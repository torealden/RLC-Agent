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Macro\"/>
    </mc:Choice>
  </mc:AlternateContent>
  <xr:revisionPtr revIDLastSave="0" documentId="13_ncr:1_{F89A7697-75F6-4243-A64B-B9873556C88F}" xr6:coauthVersionLast="47" xr6:coauthVersionMax="47" xr10:uidLastSave="{00000000-0000-0000-0000-000000000000}"/>
  <bookViews>
    <workbookView minimized="1" xWindow="450" yWindow="225" windowWidth="22680" windowHeight="15375" firstSheet="4" activeTab="4" xr2:uid="{1279C2B0-4794-4110-AF4B-3E538CC933F2}"/>
  </bookViews>
  <sheets>
    <sheet name="Formulas" sheetId="1" r:id="rId1"/>
    <sheet name="Data" sheetId="2" r:id="rId2"/>
    <sheet name="Fund Oil Share v Price Chart" sheetId="3" r:id="rId3"/>
    <sheet name="Fund Pos Delta v Price Char" sheetId="4" r:id="rId4"/>
    <sheet name="Oil Share Data" sheetId="5" r:id="rId5"/>
    <sheet name="MM Avg Monthly Position" sheetId="6" r:id="rId6"/>
    <sheet name="MM Oil Share Position" sheetId="7" r:id="rId7"/>
    <sheet name="Oil Share v Price" sheetId="8" r:id="rId8"/>
    <sheet name="Oil MM Net" sheetId="9" r:id="rId9"/>
    <sheet name="Oil Comm Net" sheetId="10" r:id="rId10"/>
    <sheet name="Meal MM Net" sheetId="11" r:id="rId11"/>
    <sheet name="Meal Comm Net" sheetId="12" r:id="rId12"/>
    <sheet name="Corn MM Net" sheetId="13" r:id="rId13"/>
    <sheet name="Corn Comm Net" sheetId="14" r:id="rId14"/>
    <sheet name="Corn Prod Net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9" i="6" l="1"/>
  <c r="D219" i="6"/>
  <c r="E218" i="6"/>
  <c r="D218" i="6"/>
  <c r="E217" i="6"/>
  <c r="D217" i="6"/>
  <c r="E216" i="6"/>
  <c r="D216" i="6"/>
  <c r="E215" i="6"/>
  <c r="C215" i="6" s="1"/>
  <c r="D215" i="6"/>
  <c r="E214" i="6"/>
  <c r="D214" i="6"/>
  <c r="E213" i="6"/>
  <c r="D213" i="6"/>
  <c r="E212" i="6"/>
  <c r="D212" i="6"/>
  <c r="E211" i="6"/>
  <c r="D211" i="6"/>
  <c r="E210" i="6"/>
  <c r="D210" i="6"/>
  <c r="E209" i="6"/>
  <c r="D209" i="6"/>
  <c r="E208" i="6"/>
  <c r="D208" i="6"/>
  <c r="C208" i="6" s="1"/>
  <c r="E207" i="6"/>
  <c r="D207" i="6"/>
  <c r="E206" i="6"/>
  <c r="D206" i="6"/>
  <c r="E205" i="6"/>
  <c r="D205" i="6"/>
  <c r="E204" i="6"/>
  <c r="D204" i="6"/>
  <c r="C204" i="6" s="1"/>
  <c r="E203" i="6"/>
  <c r="D203" i="6"/>
  <c r="E202" i="6"/>
  <c r="D202" i="6"/>
  <c r="E201" i="6"/>
  <c r="D201" i="6"/>
  <c r="E200" i="6"/>
  <c r="D200" i="6"/>
  <c r="E199" i="6"/>
  <c r="D199" i="6"/>
  <c r="E198" i="6"/>
  <c r="D198" i="6"/>
  <c r="E197" i="6"/>
  <c r="D197" i="6"/>
  <c r="E196" i="6"/>
  <c r="D196" i="6"/>
  <c r="E195" i="6"/>
  <c r="D195" i="6"/>
  <c r="E194" i="6"/>
  <c r="D194" i="6"/>
  <c r="E193" i="6"/>
  <c r="C193" i="6" s="1"/>
  <c r="D193" i="6"/>
  <c r="E192" i="6"/>
  <c r="D192" i="6"/>
  <c r="E191" i="6"/>
  <c r="D191" i="6"/>
  <c r="E190" i="6"/>
  <c r="D190" i="6"/>
  <c r="E189" i="6"/>
  <c r="D189" i="6"/>
  <c r="E188" i="6"/>
  <c r="D188" i="6"/>
  <c r="E187" i="6"/>
  <c r="D187" i="6"/>
  <c r="E186" i="6"/>
  <c r="D186" i="6"/>
  <c r="E185" i="6"/>
  <c r="D185" i="6"/>
  <c r="E184" i="6"/>
  <c r="D184" i="6"/>
  <c r="E183" i="6"/>
  <c r="D183" i="6"/>
  <c r="E182" i="6"/>
  <c r="D182" i="6"/>
  <c r="C182" i="6" s="1"/>
  <c r="E181" i="6"/>
  <c r="D181" i="6"/>
  <c r="E180" i="6"/>
  <c r="D180" i="6"/>
  <c r="E179" i="6"/>
  <c r="D179" i="6"/>
  <c r="E178" i="6"/>
  <c r="D178" i="6"/>
  <c r="E177" i="6"/>
  <c r="D177" i="6"/>
  <c r="E176" i="6"/>
  <c r="D176" i="6"/>
  <c r="E175" i="6"/>
  <c r="D175" i="6"/>
  <c r="E174" i="6"/>
  <c r="D174" i="6"/>
  <c r="E173" i="6"/>
  <c r="D173" i="6"/>
  <c r="E172" i="6"/>
  <c r="D172" i="6"/>
  <c r="E171" i="6"/>
  <c r="C171" i="6" s="1"/>
  <c r="D171" i="6"/>
  <c r="E170" i="6"/>
  <c r="D170" i="6"/>
  <c r="E169" i="6"/>
  <c r="D169" i="6"/>
  <c r="E168" i="6"/>
  <c r="D168" i="6"/>
  <c r="E167" i="6"/>
  <c r="D167" i="6"/>
  <c r="E166" i="6"/>
  <c r="D166" i="6"/>
  <c r="E165" i="6"/>
  <c r="D165" i="6"/>
  <c r="E164" i="6"/>
  <c r="D164" i="6"/>
  <c r="E163" i="6"/>
  <c r="D163" i="6"/>
  <c r="E162" i="6"/>
  <c r="D162" i="6"/>
  <c r="E161" i="6"/>
  <c r="D161" i="6"/>
  <c r="E160" i="6"/>
  <c r="D160" i="6"/>
  <c r="C160" i="6" s="1"/>
  <c r="E159" i="6"/>
  <c r="D159" i="6"/>
  <c r="E158" i="6"/>
  <c r="D158" i="6"/>
  <c r="E157" i="6"/>
  <c r="D157" i="6"/>
  <c r="E156" i="6"/>
  <c r="D156" i="6"/>
  <c r="E155" i="6"/>
  <c r="D155" i="6"/>
  <c r="E154" i="6"/>
  <c r="D154" i="6"/>
  <c r="E153" i="6"/>
  <c r="D153" i="6"/>
  <c r="E152" i="6"/>
  <c r="D152" i="6"/>
  <c r="E151" i="6"/>
  <c r="D151" i="6"/>
  <c r="E150" i="6"/>
  <c r="D150" i="6"/>
  <c r="E149" i="6"/>
  <c r="C149" i="6" s="1"/>
  <c r="D149" i="6"/>
  <c r="E148" i="6"/>
  <c r="D148" i="6"/>
  <c r="E147" i="6"/>
  <c r="D147" i="6"/>
  <c r="E146" i="6"/>
  <c r="D146" i="6"/>
  <c r="E145" i="6"/>
  <c r="D145" i="6"/>
  <c r="E144" i="6"/>
  <c r="D144" i="6"/>
  <c r="E143" i="6"/>
  <c r="D143" i="6"/>
  <c r="E142" i="6"/>
  <c r="D142" i="6"/>
  <c r="E141" i="6"/>
  <c r="D141" i="6"/>
  <c r="E140" i="6"/>
  <c r="D140" i="6"/>
  <c r="E139" i="6"/>
  <c r="D139" i="6"/>
  <c r="E138" i="6"/>
  <c r="D138" i="6"/>
  <c r="C138" i="6" s="1"/>
  <c r="E137" i="6"/>
  <c r="D137" i="6"/>
  <c r="E136" i="6"/>
  <c r="D136" i="6"/>
  <c r="E135" i="6"/>
  <c r="D135" i="6"/>
  <c r="E134" i="6"/>
  <c r="D134" i="6"/>
  <c r="E133" i="6"/>
  <c r="D133" i="6"/>
  <c r="E132" i="6"/>
  <c r="D132" i="6"/>
  <c r="E131" i="6"/>
  <c r="D131" i="6"/>
  <c r="E130" i="6"/>
  <c r="D130" i="6"/>
  <c r="E129" i="6"/>
  <c r="D129" i="6"/>
  <c r="E128" i="6"/>
  <c r="D128" i="6"/>
  <c r="E127" i="6"/>
  <c r="C127" i="6" s="1"/>
  <c r="D127" i="6"/>
  <c r="E126" i="6"/>
  <c r="D126" i="6"/>
  <c r="E125" i="6"/>
  <c r="D125" i="6"/>
  <c r="E124" i="6"/>
  <c r="D124" i="6"/>
  <c r="E123" i="6"/>
  <c r="D123" i="6"/>
  <c r="E122" i="6"/>
  <c r="D122" i="6"/>
  <c r="E121" i="6"/>
  <c r="D121" i="6"/>
  <c r="E120" i="6"/>
  <c r="D120" i="6"/>
  <c r="E119" i="6"/>
  <c r="D119" i="6"/>
  <c r="E118" i="6"/>
  <c r="D118" i="6"/>
  <c r="E117" i="6"/>
  <c r="D117" i="6"/>
  <c r="E116" i="6"/>
  <c r="D116" i="6"/>
  <c r="C116" i="6" s="1"/>
  <c r="E115" i="6"/>
  <c r="D115" i="6"/>
  <c r="E114" i="6"/>
  <c r="D114" i="6"/>
  <c r="E113" i="6"/>
  <c r="D113" i="6"/>
  <c r="E112" i="6"/>
  <c r="D112" i="6"/>
  <c r="E111" i="6"/>
  <c r="D111" i="6"/>
  <c r="E110" i="6"/>
  <c r="D110" i="6"/>
  <c r="E109" i="6"/>
  <c r="D109" i="6"/>
  <c r="E108" i="6"/>
  <c r="D108" i="6"/>
  <c r="E107" i="6"/>
  <c r="D107" i="6"/>
  <c r="E106" i="6"/>
  <c r="D106" i="6"/>
  <c r="E105" i="6"/>
  <c r="C105" i="6" s="1"/>
  <c r="D105" i="6"/>
  <c r="E104" i="6"/>
  <c r="D104" i="6"/>
  <c r="E103" i="6"/>
  <c r="D103" i="6"/>
  <c r="E102" i="6"/>
  <c r="D102" i="6"/>
  <c r="E101" i="6"/>
  <c r="D101" i="6"/>
  <c r="E100" i="6"/>
  <c r="D100" i="6"/>
  <c r="E99" i="6"/>
  <c r="D99" i="6"/>
  <c r="E98" i="6"/>
  <c r="D98" i="6"/>
  <c r="E97" i="6"/>
  <c r="D97" i="6"/>
  <c r="E96" i="6"/>
  <c r="D96" i="6"/>
  <c r="E95" i="6"/>
  <c r="D95" i="6"/>
  <c r="E94" i="6"/>
  <c r="D94" i="6"/>
  <c r="C94" i="6" s="1"/>
  <c r="E93" i="6"/>
  <c r="D93" i="6"/>
  <c r="E92" i="6"/>
  <c r="D92" i="6"/>
  <c r="E91" i="6"/>
  <c r="D91" i="6"/>
  <c r="E90" i="6"/>
  <c r="D90" i="6"/>
  <c r="E89" i="6"/>
  <c r="D89" i="6"/>
  <c r="E88" i="6"/>
  <c r="D88" i="6"/>
  <c r="E87" i="6"/>
  <c r="D87" i="6"/>
  <c r="E86" i="6"/>
  <c r="D86" i="6"/>
  <c r="E85" i="6"/>
  <c r="D85" i="6"/>
  <c r="E84" i="6"/>
  <c r="D84" i="6"/>
  <c r="E83" i="6"/>
  <c r="C83" i="6" s="1"/>
  <c r="D83" i="6"/>
  <c r="E82" i="6"/>
  <c r="D82" i="6"/>
  <c r="E81" i="6"/>
  <c r="D81" i="6"/>
  <c r="E80" i="6"/>
  <c r="D80" i="6"/>
  <c r="E79" i="6"/>
  <c r="D79" i="6"/>
  <c r="E78" i="6"/>
  <c r="D78" i="6"/>
  <c r="E77" i="6"/>
  <c r="D77" i="6"/>
  <c r="E76" i="6"/>
  <c r="D76" i="6"/>
  <c r="E75" i="6"/>
  <c r="D75" i="6"/>
  <c r="E74" i="6"/>
  <c r="D74" i="6"/>
  <c r="E73" i="6"/>
  <c r="D73" i="6"/>
  <c r="E72" i="6"/>
  <c r="D72" i="6"/>
  <c r="C72" i="6" s="1"/>
  <c r="E71" i="6"/>
  <c r="D71" i="6"/>
  <c r="E70" i="6"/>
  <c r="D70" i="6"/>
  <c r="E69" i="6"/>
  <c r="D69" i="6"/>
  <c r="E68" i="6"/>
  <c r="D68" i="6"/>
  <c r="E67" i="6"/>
  <c r="D67" i="6"/>
  <c r="E66" i="6"/>
  <c r="D66" i="6"/>
  <c r="E65" i="6"/>
  <c r="D65" i="6"/>
  <c r="E64" i="6"/>
  <c r="D64" i="6"/>
  <c r="E63" i="6"/>
  <c r="D63" i="6"/>
  <c r="E62" i="6"/>
  <c r="D62" i="6"/>
  <c r="E61" i="6"/>
  <c r="C61" i="6" s="1"/>
  <c r="D61" i="6"/>
  <c r="E60" i="6"/>
  <c r="D60" i="6"/>
  <c r="E59" i="6"/>
  <c r="D59" i="6"/>
  <c r="E58" i="6"/>
  <c r="D58" i="6"/>
  <c r="E57" i="6"/>
  <c r="D57" i="6"/>
  <c r="E56" i="6"/>
  <c r="D56" i="6"/>
  <c r="E55" i="6"/>
  <c r="D55" i="6"/>
  <c r="E54" i="6"/>
  <c r="D54" i="6"/>
  <c r="E53" i="6"/>
  <c r="D53" i="6"/>
  <c r="E52" i="6"/>
  <c r="D52" i="6"/>
  <c r="E51" i="6"/>
  <c r="D51" i="6"/>
  <c r="E50" i="6"/>
  <c r="D50" i="6"/>
  <c r="C50" i="6" s="1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C39" i="6" s="1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C28" i="6" s="1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C17" i="6" s="1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C6" i="6" s="1"/>
  <c r="E5" i="6"/>
  <c r="D5" i="6"/>
  <c r="E4" i="6"/>
  <c r="D4" i="6"/>
  <c r="E3" i="6"/>
  <c r="D3" i="6"/>
  <c r="E2" i="6"/>
  <c r="D2" i="6"/>
  <c r="I952" i="5"/>
  <c r="F952" i="5"/>
  <c r="E952" i="5"/>
  <c r="C952" i="5"/>
  <c r="B952" i="5"/>
  <c r="I951" i="5"/>
  <c r="F951" i="5"/>
  <c r="E951" i="5"/>
  <c r="B951" i="5"/>
  <c r="I950" i="5"/>
  <c r="F950" i="5"/>
  <c r="E950" i="5"/>
  <c r="B950" i="5"/>
  <c r="I949" i="5"/>
  <c r="F949" i="5"/>
  <c r="E949" i="5"/>
  <c r="B949" i="5"/>
  <c r="I948" i="5"/>
  <c r="F948" i="5"/>
  <c r="E948" i="5"/>
  <c r="B948" i="5"/>
  <c r="I947" i="5"/>
  <c r="F947" i="5"/>
  <c r="E947" i="5"/>
  <c r="B947" i="5"/>
  <c r="D948" i="5" s="1"/>
  <c r="I946" i="5"/>
  <c r="F946" i="5"/>
  <c r="E946" i="5"/>
  <c r="B946" i="5"/>
  <c r="D946" i="5" s="1"/>
  <c r="I945" i="5"/>
  <c r="F945" i="5"/>
  <c r="E945" i="5"/>
  <c r="B945" i="5"/>
  <c r="I944" i="5"/>
  <c r="F944" i="5"/>
  <c r="E944" i="5"/>
  <c r="B944" i="5"/>
  <c r="I943" i="5"/>
  <c r="F943" i="5"/>
  <c r="E943" i="5"/>
  <c r="B943" i="5"/>
  <c r="I942" i="5"/>
  <c r="F942" i="5"/>
  <c r="E942" i="5"/>
  <c r="B942" i="5"/>
  <c r="I941" i="5"/>
  <c r="F941" i="5"/>
  <c r="E941" i="5"/>
  <c r="B941" i="5"/>
  <c r="D941" i="5" s="1"/>
  <c r="I940" i="5"/>
  <c r="F940" i="5"/>
  <c r="E940" i="5"/>
  <c r="B940" i="5"/>
  <c r="D940" i="5" s="1"/>
  <c r="I939" i="5"/>
  <c r="F939" i="5"/>
  <c r="E939" i="5"/>
  <c r="B939" i="5"/>
  <c r="I938" i="5"/>
  <c r="F938" i="5"/>
  <c r="E938" i="5"/>
  <c r="B938" i="5"/>
  <c r="I937" i="5"/>
  <c r="F937" i="5"/>
  <c r="E937" i="5"/>
  <c r="B937" i="5"/>
  <c r="I936" i="5"/>
  <c r="F936" i="5"/>
  <c r="E936" i="5"/>
  <c r="B936" i="5"/>
  <c r="D937" i="5" s="1"/>
  <c r="I935" i="5"/>
  <c r="F935" i="5"/>
  <c r="E935" i="5"/>
  <c r="B935" i="5"/>
  <c r="D935" i="5" s="1"/>
  <c r="I934" i="5"/>
  <c r="F934" i="5"/>
  <c r="E934" i="5"/>
  <c r="B934" i="5"/>
  <c r="I933" i="5"/>
  <c r="F933" i="5"/>
  <c r="E933" i="5"/>
  <c r="B933" i="5"/>
  <c r="D934" i="5" s="1"/>
  <c r="I932" i="5"/>
  <c r="F932" i="5"/>
  <c r="E932" i="5"/>
  <c r="B932" i="5"/>
  <c r="D932" i="5" s="1"/>
  <c r="I931" i="5"/>
  <c r="F931" i="5"/>
  <c r="E931" i="5"/>
  <c r="B931" i="5"/>
  <c r="I930" i="5"/>
  <c r="F930" i="5"/>
  <c r="E930" i="5"/>
  <c r="B930" i="5"/>
  <c r="D930" i="5" s="1"/>
  <c r="I929" i="5"/>
  <c r="F929" i="5"/>
  <c r="E929" i="5"/>
  <c r="B929" i="5"/>
  <c r="I928" i="5"/>
  <c r="F928" i="5"/>
  <c r="E928" i="5"/>
  <c r="B928" i="5"/>
  <c r="D929" i="5" s="1"/>
  <c r="I927" i="5"/>
  <c r="F927" i="5"/>
  <c r="E927" i="5"/>
  <c r="B927" i="5"/>
  <c r="D927" i="5" s="1"/>
  <c r="I926" i="5"/>
  <c r="F926" i="5"/>
  <c r="E926" i="5"/>
  <c r="B926" i="5"/>
  <c r="I925" i="5"/>
  <c r="F925" i="5"/>
  <c r="E925" i="5"/>
  <c r="B925" i="5"/>
  <c r="D926" i="5" s="1"/>
  <c r="I924" i="5"/>
  <c r="F924" i="5"/>
  <c r="E924" i="5"/>
  <c r="B924" i="5"/>
  <c r="D924" i="5" s="1"/>
  <c r="I923" i="5"/>
  <c r="F923" i="5"/>
  <c r="E923" i="5"/>
  <c r="B923" i="5"/>
  <c r="I922" i="5"/>
  <c r="F922" i="5"/>
  <c r="E922" i="5"/>
  <c r="B922" i="5"/>
  <c r="I921" i="5"/>
  <c r="F921" i="5"/>
  <c r="E921" i="5"/>
  <c r="B921" i="5"/>
  <c r="D922" i="5" s="1"/>
  <c r="I920" i="5"/>
  <c r="F920" i="5"/>
  <c r="E920" i="5"/>
  <c r="B920" i="5"/>
  <c r="I919" i="5"/>
  <c r="F919" i="5"/>
  <c r="E919" i="5"/>
  <c r="B919" i="5"/>
  <c r="D919" i="5" s="1"/>
  <c r="I918" i="5"/>
  <c r="F918" i="5"/>
  <c r="E918" i="5"/>
  <c r="B918" i="5"/>
  <c r="I917" i="5"/>
  <c r="F917" i="5"/>
  <c r="E917" i="5"/>
  <c r="B917" i="5"/>
  <c r="I916" i="5"/>
  <c r="F916" i="5"/>
  <c r="E916" i="5"/>
  <c r="B916" i="5"/>
  <c r="D917" i="5" s="1"/>
  <c r="I915" i="5"/>
  <c r="F915" i="5"/>
  <c r="E915" i="5"/>
  <c r="B915" i="5"/>
  <c r="I914" i="5"/>
  <c r="F914" i="5"/>
  <c r="E914" i="5"/>
  <c r="B914" i="5"/>
  <c r="D914" i="5" s="1"/>
  <c r="I913" i="5"/>
  <c r="F913" i="5"/>
  <c r="E913" i="5"/>
  <c r="B913" i="5"/>
  <c r="D913" i="5" s="1"/>
  <c r="I912" i="5"/>
  <c r="F912" i="5"/>
  <c r="E912" i="5"/>
  <c r="B912" i="5"/>
  <c r="I911" i="5"/>
  <c r="F911" i="5"/>
  <c r="E911" i="5"/>
  <c r="B911" i="5"/>
  <c r="D912" i="5" s="1"/>
  <c r="I910" i="5"/>
  <c r="F910" i="5"/>
  <c r="E910" i="5"/>
  <c r="B910" i="5"/>
  <c r="I909" i="5"/>
  <c r="F909" i="5"/>
  <c r="E909" i="5"/>
  <c r="B909" i="5"/>
  <c r="D909" i="5" s="1"/>
  <c r="I908" i="5"/>
  <c r="F908" i="5"/>
  <c r="E908" i="5"/>
  <c r="D908" i="5"/>
  <c r="B908" i="5"/>
  <c r="I907" i="5"/>
  <c r="F907" i="5"/>
  <c r="E907" i="5"/>
  <c r="B907" i="5"/>
  <c r="I906" i="5"/>
  <c r="F906" i="5"/>
  <c r="E906" i="5"/>
  <c r="B906" i="5"/>
  <c r="D907" i="5" s="1"/>
  <c r="I905" i="5"/>
  <c r="F905" i="5"/>
  <c r="E905" i="5"/>
  <c r="B905" i="5"/>
  <c r="I904" i="5"/>
  <c r="F904" i="5"/>
  <c r="E904" i="5"/>
  <c r="B904" i="5"/>
  <c r="I903" i="5"/>
  <c r="F903" i="5"/>
  <c r="E903" i="5"/>
  <c r="B903" i="5"/>
  <c r="D904" i="5" s="1"/>
  <c r="I902" i="5"/>
  <c r="F902" i="5"/>
  <c r="E902" i="5"/>
  <c r="B902" i="5"/>
  <c r="I901" i="5"/>
  <c r="F901" i="5"/>
  <c r="E901" i="5"/>
  <c r="B901" i="5"/>
  <c r="D901" i="5" s="1"/>
  <c r="I900" i="5"/>
  <c r="F900" i="5"/>
  <c r="E900" i="5"/>
  <c r="D900" i="5"/>
  <c r="B900" i="5"/>
  <c r="I899" i="5"/>
  <c r="F899" i="5"/>
  <c r="E899" i="5"/>
  <c r="B899" i="5"/>
  <c r="I898" i="5"/>
  <c r="F898" i="5"/>
  <c r="E898" i="5"/>
  <c r="B898" i="5"/>
  <c r="D898" i="5" s="1"/>
  <c r="I897" i="5"/>
  <c r="F897" i="5"/>
  <c r="E897" i="5"/>
  <c r="B897" i="5"/>
  <c r="D897" i="5" s="1"/>
  <c r="I896" i="5"/>
  <c r="F896" i="5"/>
  <c r="E896" i="5"/>
  <c r="B896" i="5"/>
  <c r="I895" i="5"/>
  <c r="F895" i="5"/>
  <c r="E895" i="5"/>
  <c r="B895" i="5"/>
  <c r="I894" i="5"/>
  <c r="F894" i="5"/>
  <c r="E894" i="5"/>
  <c r="B894" i="5"/>
  <c r="D895" i="5" s="1"/>
  <c r="I893" i="5"/>
  <c r="F893" i="5"/>
  <c r="E893" i="5"/>
  <c r="B893" i="5"/>
  <c r="I892" i="5"/>
  <c r="F892" i="5"/>
  <c r="E892" i="5"/>
  <c r="B892" i="5"/>
  <c r="I891" i="5"/>
  <c r="F891" i="5"/>
  <c r="E891" i="5"/>
  <c r="B891" i="5"/>
  <c r="I890" i="5"/>
  <c r="F890" i="5"/>
  <c r="E890" i="5"/>
  <c r="B890" i="5"/>
  <c r="I889" i="5"/>
  <c r="F889" i="5"/>
  <c r="E889" i="5"/>
  <c r="B889" i="5"/>
  <c r="D890" i="5" s="1"/>
  <c r="I888" i="5"/>
  <c r="F888" i="5"/>
  <c r="E888" i="5"/>
  <c r="B888" i="5"/>
  <c r="I887" i="5"/>
  <c r="F887" i="5"/>
  <c r="E887" i="5"/>
  <c r="B887" i="5"/>
  <c r="D887" i="5" s="1"/>
  <c r="I886" i="5"/>
  <c r="F886" i="5"/>
  <c r="E886" i="5"/>
  <c r="D886" i="5"/>
  <c r="B886" i="5"/>
  <c r="I885" i="5"/>
  <c r="F885" i="5"/>
  <c r="E885" i="5"/>
  <c r="B885" i="5"/>
  <c r="I884" i="5"/>
  <c r="F884" i="5"/>
  <c r="E884" i="5"/>
  <c r="B884" i="5"/>
  <c r="D885" i="5" s="1"/>
  <c r="I883" i="5"/>
  <c r="F883" i="5"/>
  <c r="E883" i="5"/>
  <c r="B883" i="5"/>
  <c r="I882" i="5"/>
  <c r="F882" i="5"/>
  <c r="E882" i="5"/>
  <c r="B882" i="5"/>
  <c r="D882" i="5" s="1"/>
  <c r="I881" i="5"/>
  <c r="F881" i="5"/>
  <c r="E881" i="5"/>
  <c r="B881" i="5"/>
  <c r="D881" i="5" s="1"/>
  <c r="I880" i="5"/>
  <c r="F880" i="5"/>
  <c r="E880" i="5"/>
  <c r="B880" i="5"/>
  <c r="D880" i="5" s="1"/>
  <c r="I879" i="5"/>
  <c r="F879" i="5"/>
  <c r="E879" i="5"/>
  <c r="B879" i="5"/>
  <c r="I878" i="5"/>
  <c r="F878" i="5"/>
  <c r="E878" i="5"/>
  <c r="B878" i="5"/>
  <c r="I877" i="5"/>
  <c r="F877" i="5"/>
  <c r="E877" i="5"/>
  <c r="B877" i="5"/>
  <c r="D877" i="5" s="1"/>
  <c r="I876" i="5"/>
  <c r="F876" i="5"/>
  <c r="E876" i="5"/>
  <c r="B876" i="5"/>
  <c r="I875" i="5"/>
  <c r="F875" i="5"/>
  <c r="E875" i="5"/>
  <c r="B875" i="5"/>
  <c r="I874" i="5"/>
  <c r="F874" i="5"/>
  <c r="E874" i="5"/>
  <c r="B874" i="5"/>
  <c r="D874" i="5" s="1"/>
  <c r="I873" i="5"/>
  <c r="F873" i="5"/>
  <c r="E873" i="5"/>
  <c r="B873" i="5"/>
  <c r="I872" i="5"/>
  <c r="F872" i="5"/>
  <c r="E872" i="5"/>
  <c r="B872" i="5"/>
  <c r="D873" i="5" s="1"/>
  <c r="I871" i="5"/>
  <c r="F871" i="5"/>
  <c r="E871" i="5"/>
  <c r="B871" i="5"/>
  <c r="I870" i="5"/>
  <c r="F870" i="5"/>
  <c r="E870" i="5"/>
  <c r="B870" i="5"/>
  <c r="D871" i="5" s="1"/>
  <c r="I869" i="5"/>
  <c r="F869" i="5"/>
  <c r="E869" i="5"/>
  <c r="B869" i="5"/>
  <c r="I868" i="5"/>
  <c r="F868" i="5"/>
  <c r="E868" i="5"/>
  <c r="B868" i="5"/>
  <c r="I867" i="5"/>
  <c r="F867" i="5"/>
  <c r="E867" i="5"/>
  <c r="B867" i="5"/>
  <c r="D868" i="5" s="1"/>
  <c r="I866" i="5"/>
  <c r="F866" i="5"/>
  <c r="E866" i="5"/>
  <c r="B866" i="5"/>
  <c r="D866" i="5" s="1"/>
  <c r="I865" i="5"/>
  <c r="F865" i="5"/>
  <c r="E865" i="5"/>
  <c r="D865" i="5"/>
  <c r="B865" i="5"/>
  <c r="I864" i="5"/>
  <c r="F864" i="5"/>
  <c r="E864" i="5"/>
  <c r="B864" i="5"/>
  <c r="D864" i="5" s="1"/>
  <c r="I863" i="5"/>
  <c r="F863" i="5"/>
  <c r="E863" i="5"/>
  <c r="B863" i="5"/>
  <c r="I862" i="5"/>
  <c r="F862" i="5"/>
  <c r="E862" i="5"/>
  <c r="B862" i="5"/>
  <c r="D863" i="5" s="1"/>
  <c r="I861" i="5"/>
  <c r="F861" i="5"/>
  <c r="E861" i="5"/>
  <c r="B861" i="5"/>
  <c r="D861" i="5" s="1"/>
  <c r="I860" i="5"/>
  <c r="F860" i="5"/>
  <c r="E860" i="5"/>
  <c r="D860" i="5"/>
  <c r="B860" i="5"/>
  <c r="I859" i="5"/>
  <c r="F859" i="5"/>
  <c r="E859" i="5"/>
  <c r="B859" i="5"/>
  <c r="I858" i="5"/>
  <c r="F858" i="5"/>
  <c r="E858" i="5"/>
  <c r="B858" i="5"/>
  <c r="I857" i="5"/>
  <c r="F857" i="5"/>
  <c r="E857" i="5"/>
  <c r="B857" i="5"/>
  <c r="I856" i="5"/>
  <c r="F856" i="5"/>
  <c r="E856" i="5"/>
  <c r="B856" i="5"/>
  <c r="I855" i="5"/>
  <c r="F855" i="5"/>
  <c r="E855" i="5"/>
  <c r="B855" i="5"/>
  <c r="I854" i="5"/>
  <c r="F854" i="5"/>
  <c r="E854" i="5"/>
  <c r="B854" i="5"/>
  <c r="D854" i="5" s="1"/>
  <c r="I853" i="5"/>
  <c r="F853" i="5"/>
  <c r="E853" i="5"/>
  <c r="B853" i="5"/>
  <c r="D853" i="5" s="1"/>
  <c r="I852" i="5"/>
  <c r="F852" i="5"/>
  <c r="E852" i="5"/>
  <c r="B852" i="5"/>
  <c r="I851" i="5"/>
  <c r="F851" i="5"/>
  <c r="E851" i="5"/>
  <c r="B851" i="5"/>
  <c r="I850" i="5"/>
  <c r="F850" i="5"/>
  <c r="E850" i="5"/>
  <c r="D850" i="5"/>
  <c r="B850" i="5"/>
  <c r="I849" i="5"/>
  <c r="F849" i="5"/>
  <c r="E849" i="5"/>
  <c r="B849" i="5"/>
  <c r="I848" i="5"/>
  <c r="F848" i="5"/>
  <c r="E848" i="5"/>
  <c r="B848" i="5"/>
  <c r="D849" i="5" s="1"/>
  <c r="I847" i="5"/>
  <c r="F847" i="5"/>
  <c r="E847" i="5"/>
  <c r="B847" i="5"/>
  <c r="I846" i="5"/>
  <c r="F846" i="5"/>
  <c r="E846" i="5"/>
  <c r="B846" i="5"/>
  <c r="I845" i="5"/>
  <c r="F845" i="5"/>
  <c r="E845" i="5"/>
  <c r="B845" i="5"/>
  <c r="D846" i="5" s="1"/>
  <c r="I844" i="5"/>
  <c r="F844" i="5"/>
  <c r="E844" i="5"/>
  <c r="B844" i="5"/>
  <c r="D844" i="5" s="1"/>
  <c r="I843" i="5"/>
  <c r="F843" i="5"/>
  <c r="E843" i="5"/>
  <c r="B87" i="6" s="1"/>
  <c r="D843" i="5"/>
  <c r="B843" i="5"/>
  <c r="I842" i="5"/>
  <c r="F842" i="5"/>
  <c r="E842" i="5"/>
  <c r="B842" i="5"/>
  <c r="D842" i="5" s="1"/>
  <c r="I841" i="5"/>
  <c r="F841" i="5"/>
  <c r="E841" i="5"/>
  <c r="B841" i="5"/>
  <c r="I840" i="5"/>
  <c r="F840" i="5"/>
  <c r="E840" i="5"/>
  <c r="B840" i="5"/>
  <c r="D841" i="5" s="1"/>
  <c r="I839" i="5"/>
  <c r="F839" i="5"/>
  <c r="E839" i="5"/>
  <c r="B839" i="5"/>
  <c r="D839" i="5" s="1"/>
  <c r="I838" i="5"/>
  <c r="F838" i="5"/>
  <c r="E838" i="5"/>
  <c r="D838" i="5"/>
  <c r="B838" i="5"/>
  <c r="I837" i="5"/>
  <c r="F837" i="5"/>
  <c r="E837" i="5"/>
  <c r="B837" i="5"/>
  <c r="I836" i="5"/>
  <c r="F836" i="5"/>
  <c r="E836" i="5"/>
  <c r="B836" i="5"/>
  <c r="I835" i="5"/>
  <c r="F835" i="5"/>
  <c r="E835" i="5"/>
  <c r="B835" i="5"/>
  <c r="D835" i="5" s="1"/>
  <c r="I834" i="5"/>
  <c r="F834" i="5"/>
  <c r="E834" i="5"/>
  <c r="B834" i="5"/>
  <c r="I833" i="5"/>
  <c r="F833" i="5"/>
  <c r="E833" i="5"/>
  <c r="B833" i="5"/>
  <c r="D834" i="5" s="1"/>
  <c r="I832" i="5"/>
  <c r="F832" i="5"/>
  <c r="E832" i="5"/>
  <c r="B832" i="5"/>
  <c r="D832" i="5" s="1"/>
  <c r="I831" i="5"/>
  <c r="F831" i="5"/>
  <c r="E831" i="5"/>
  <c r="B831" i="5"/>
  <c r="I830" i="5"/>
  <c r="F830" i="5"/>
  <c r="E830" i="5"/>
  <c r="B830" i="5"/>
  <c r="D830" i="5" s="1"/>
  <c r="I829" i="5"/>
  <c r="F829" i="5"/>
  <c r="E829" i="5"/>
  <c r="B829" i="5"/>
  <c r="I828" i="5"/>
  <c r="F828" i="5"/>
  <c r="E828" i="5"/>
  <c r="B828" i="5"/>
  <c r="I827" i="5"/>
  <c r="F827" i="5"/>
  <c r="E827" i="5"/>
  <c r="B827" i="5"/>
  <c r="I826" i="5"/>
  <c r="F826" i="5"/>
  <c r="E826" i="5"/>
  <c r="B826" i="5"/>
  <c r="I825" i="5"/>
  <c r="F825" i="5"/>
  <c r="E825" i="5"/>
  <c r="B825" i="5"/>
  <c r="D825" i="5" s="1"/>
  <c r="I824" i="5"/>
  <c r="F824" i="5"/>
  <c r="E824" i="5"/>
  <c r="B824" i="5"/>
  <c r="I823" i="5"/>
  <c r="F823" i="5"/>
  <c r="E823" i="5"/>
  <c r="B823" i="5"/>
  <c r="I822" i="5"/>
  <c r="F822" i="5"/>
  <c r="E822" i="5"/>
  <c r="B822" i="5"/>
  <c r="I821" i="5"/>
  <c r="F821" i="5"/>
  <c r="E821" i="5"/>
  <c r="B821" i="5"/>
  <c r="D821" i="5" s="1"/>
  <c r="I820" i="5"/>
  <c r="F820" i="5"/>
  <c r="E820" i="5"/>
  <c r="B820" i="5"/>
  <c r="D820" i="5" s="1"/>
  <c r="I819" i="5"/>
  <c r="F819" i="5"/>
  <c r="E819" i="5"/>
  <c r="B819" i="5"/>
  <c r="I818" i="5"/>
  <c r="F818" i="5"/>
  <c r="E818" i="5"/>
  <c r="B818" i="5"/>
  <c r="I817" i="5"/>
  <c r="F817" i="5"/>
  <c r="E817" i="5"/>
  <c r="B817" i="5"/>
  <c r="I816" i="5"/>
  <c r="F816" i="5"/>
  <c r="E816" i="5"/>
  <c r="B816" i="5"/>
  <c r="I815" i="5"/>
  <c r="F815" i="5"/>
  <c r="E815" i="5"/>
  <c r="B815" i="5"/>
  <c r="D815" i="5" s="1"/>
  <c r="I814" i="5"/>
  <c r="F814" i="5"/>
  <c r="E814" i="5"/>
  <c r="B814" i="5"/>
  <c r="I813" i="5"/>
  <c r="F813" i="5"/>
  <c r="E813" i="5"/>
  <c r="B813" i="5"/>
  <c r="I812" i="5"/>
  <c r="F812" i="5"/>
  <c r="E812" i="5"/>
  <c r="B812" i="5"/>
  <c r="I811" i="5"/>
  <c r="F811" i="5"/>
  <c r="E811" i="5"/>
  <c r="B811" i="5"/>
  <c r="I810" i="5"/>
  <c r="F810" i="5"/>
  <c r="E810" i="5"/>
  <c r="B810" i="5"/>
  <c r="I809" i="5"/>
  <c r="F809" i="5"/>
  <c r="E809" i="5"/>
  <c r="B809" i="5"/>
  <c r="D809" i="5" s="1"/>
  <c r="I808" i="5"/>
  <c r="F808" i="5"/>
  <c r="E808" i="5"/>
  <c r="B808" i="5"/>
  <c r="I807" i="5"/>
  <c r="F807" i="5"/>
  <c r="E807" i="5"/>
  <c r="B807" i="5"/>
  <c r="D807" i="5" s="1"/>
  <c r="I806" i="5"/>
  <c r="F806" i="5"/>
  <c r="E806" i="5"/>
  <c r="D806" i="5"/>
  <c r="B806" i="5"/>
  <c r="I805" i="5"/>
  <c r="F805" i="5"/>
  <c r="E805" i="5"/>
  <c r="B805" i="5"/>
  <c r="I804" i="5"/>
  <c r="F804" i="5"/>
  <c r="E804" i="5"/>
  <c r="B804" i="5"/>
  <c r="I803" i="5"/>
  <c r="F803" i="5"/>
  <c r="E803" i="5"/>
  <c r="B803" i="5"/>
  <c r="D803" i="5" s="1"/>
  <c r="I802" i="5"/>
  <c r="F802" i="5"/>
  <c r="E802" i="5"/>
  <c r="B802" i="5"/>
  <c r="I801" i="5"/>
  <c r="F801" i="5"/>
  <c r="E801" i="5"/>
  <c r="B801" i="5"/>
  <c r="D802" i="5" s="1"/>
  <c r="I800" i="5"/>
  <c r="F800" i="5"/>
  <c r="E800" i="5"/>
  <c r="B800" i="5"/>
  <c r="I799" i="5"/>
  <c r="F799" i="5"/>
  <c r="E799" i="5"/>
  <c r="B799" i="5"/>
  <c r="D799" i="5" s="1"/>
  <c r="I798" i="5"/>
  <c r="F798" i="5"/>
  <c r="E798" i="5"/>
  <c r="D798" i="5"/>
  <c r="B798" i="5"/>
  <c r="I797" i="5"/>
  <c r="F797" i="5"/>
  <c r="E797" i="5"/>
  <c r="B797" i="5"/>
  <c r="I796" i="5"/>
  <c r="F796" i="5"/>
  <c r="E796" i="5"/>
  <c r="B796" i="5"/>
  <c r="D797" i="5" s="1"/>
  <c r="I795" i="5"/>
  <c r="F795" i="5"/>
  <c r="E795" i="5"/>
  <c r="B795" i="5"/>
  <c r="I794" i="5"/>
  <c r="F794" i="5"/>
  <c r="E794" i="5"/>
  <c r="B794" i="5"/>
  <c r="D794" i="5" s="1"/>
  <c r="I793" i="5"/>
  <c r="F793" i="5"/>
  <c r="E793" i="5"/>
  <c r="B793" i="5"/>
  <c r="D793" i="5" s="1"/>
  <c r="I792" i="5"/>
  <c r="F792" i="5"/>
  <c r="E792" i="5"/>
  <c r="B792" i="5"/>
  <c r="I791" i="5"/>
  <c r="F791" i="5"/>
  <c r="E791" i="5"/>
  <c r="B791" i="5"/>
  <c r="I790" i="5"/>
  <c r="F790" i="5"/>
  <c r="E790" i="5"/>
  <c r="B790" i="5"/>
  <c r="I789" i="5"/>
  <c r="F789" i="5"/>
  <c r="E789" i="5"/>
  <c r="B789" i="5"/>
  <c r="D790" i="5" s="1"/>
  <c r="I788" i="5"/>
  <c r="F788" i="5"/>
  <c r="E788" i="5"/>
  <c r="B788" i="5"/>
  <c r="D788" i="5" s="1"/>
  <c r="I787" i="5"/>
  <c r="F787" i="5"/>
  <c r="E787" i="5"/>
  <c r="B787" i="5"/>
  <c r="I786" i="5"/>
  <c r="F786" i="5"/>
  <c r="E786" i="5"/>
  <c r="B786" i="5"/>
  <c r="D786" i="5" s="1"/>
  <c r="I785" i="5"/>
  <c r="F785" i="5"/>
  <c r="E785" i="5"/>
  <c r="D785" i="5"/>
  <c r="B785" i="5"/>
  <c r="I784" i="5"/>
  <c r="F784" i="5"/>
  <c r="E784" i="5"/>
  <c r="D784" i="5"/>
  <c r="B784" i="5"/>
  <c r="I783" i="5"/>
  <c r="F783" i="5"/>
  <c r="E783" i="5"/>
  <c r="B783" i="5"/>
  <c r="I782" i="5"/>
  <c r="F782" i="5"/>
  <c r="E782" i="5"/>
  <c r="B782" i="5"/>
  <c r="I781" i="5"/>
  <c r="F781" i="5"/>
  <c r="E781" i="5"/>
  <c r="B781" i="5"/>
  <c r="I780" i="5"/>
  <c r="F780" i="5"/>
  <c r="E780" i="5"/>
  <c r="B780" i="5"/>
  <c r="I779" i="5"/>
  <c r="F779" i="5"/>
  <c r="E779" i="5"/>
  <c r="B779" i="5"/>
  <c r="I778" i="5"/>
  <c r="F778" i="5"/>
  <c r="E778" i="5"/>
  <c r="B778" i="5"/>
  <c r="D778" i="5" s="1"/>
  <c r="I777" i="5"/>
  <c r="F777" i="5"/>
  <c r="E777" i="5"/>
  <c r="B777" i="5"/>
  <c r="I776" i="5"/>
  <c r="F776" i="5"/>
  <c r="E776" i="5"/>
  <c r="B776" i="5"/>
  <c r="I775" i="5"/>
  <c r="F775" i="5"/>
  <c r="E775" i="5"/>
  <c r="B775" i="5"/>
  <c r="I774" i="5"/>
  <c r="F774" i="5"/>
  <c r="E774" i="5"/>
  <c r="B774" i="5"/>
  <c r="I773" i="5"/>
  <c r="F773" i="5"/>
  <c r="E773" i="5"/>
  <c r="B773" i="5"/>
  <c r="D773" i="5" s="1"/>
  <c r="I772" i="5"/>
  <c r="F772" i="5"/>
  <c r="E772" i="5"/>
  <c r="D772" i="5"/>
  <c r="B772" i="5"/>
  <c r="I771" i="5"/>
  <c r="F771" i="5"/>
  <c r="E771" i="5"/>
  <c r="B771" i="5"/>
  <c r="I770" i="5"/>
  <c r="F770" i="5"/>
  <c r="E770" i="5"/>
  <c r="B770" i="5"/>
  <c r="I769" i="5"/>
  <c r="F769" i="5"/>
  <c r="E769" i="5"/>
  <c r="B769" i="5"/>
  <c r="I768" i="5"/>
  <c r="F768" i="5"/>
  <c r="E768" i="5"/>
  <c r="B768" i="5"/>
  <c r="I767" i="5"/>
  <c r="F767" i="5"/>
  <c r="E767" i="5"/>
  <c r="B767" i="5"/>
  <c r="I766" i="5"/>
  <c r="F766" i="5"/>
  <c r="E766" i="5"/>
  <c r="B766" i="5"/>
  <c r="I765" i="5"/>
  <c r="F765" i="5"/>
  <c r="E765" i="5"/>
  <c r="B765" i="5"/>
  <c r="D765" i="5" s="1"/>
  <c r="I764" i="5"/>
  <c r="F764" i="5"/>
  <c r="E764" i="5"/>
  <c r="B764" i="5"/>
  <c r="I763" i="5"/>
  <c r="F763" i="5"/>
  <c r="E763" i="5"/>
  <c r="B763" i="5"/>
  <c r="D763" i="5" s="1"/>
  <c r="I762" i="5"/>
  <c r="F762" i="5"/>
  <c r="E762" i="5"/>
  <c r="D762" i="5"/>
  <c r="B762" i="5"/>
  <c r="I761" i="5"/>
  <c r="F761" i="5"/>
  <c r="E761" i="5"/>
  <c r="B761" i="5"/>
  <c r="I760" i="5"/>
  <c r="F760" i="5"/>
  <c r="E760" i="5"/>
  <c r="B760" i="5"/>
  <c r="D761" i="5" s="1"/>
  <c r="I759" i="5"/>
  <c r="F759" i="5"/>
  <c r="E759" i="5"/>
  <c r="B759" i="5"/>
  <c r="I758" i="5"/>
  <c r="F758" i="5"/>
  <c r="E758" i="5"/>
  <c r="B758" i="5"/>
  <c r="I757" i="5"/>
  <c r="F757" i="5"/>
  <c r="E757" i="5"/>
  <c r="B757" i="5"/>
  <c r="D758" i="5" s="1"/>
  <c r="I756" i="5"/>
  <c r="F756" i="5"/>
  <c r="E756" i="5"/>
  <c r="B756" i="5"/>
  <c r="I755" i="5"/>
  <c r="F755" i="5"/>
  <c r="E755" i="5"/>
  <c r="B755" i="5"/>
  <c r="D755" i="5" s="1"/>
  <c r="I754" i="5"/>
  <c r="F754" i="5"/>
  <c r="E754" i="5"/>
  <c r="B754" i="5"/>
  <c r="I753" i="5"/>
  <c r="F753" i="5"/>
  <c r="E753" i="5"/>
  <c r="B753" i="5"/>
  <c r="D754" i="5" s="1"/>
  <c r="I752" i="5"/>
  <c r="F752" i="5"/>
  <c r="E752" i="5"/>
  <c r="B752" i="5"/>
  <c r="I751" i="5"/>
  <c r="F751" i="5"/>
  <c r="E751" i="5"/>
  <c r="B751" i="5"/>
  <c r="I750" i="5"/>
  <c r="F750" i="5"/>
  <c r="E750" i="5"/>
  <c r="B750" i="5"/>
  <c r="I749" i="5"/>
  <c r="F749" i="5"/>
  <c r="E749" i="5"/>
  <c r="B749" i="5"/>
  <c r="D749" i="5" s="1"/>
  <c r="I748" i="5"/>
  <c r="F748" i="5"/>
  <c r="E748" i="5"/>
  <c r="B748" i="5"/>
  <c r="I747" i="5"/>
  <c r="F747" i="5"/>
  <c r="E747" i="5"/>
  <c r="B747" i="5"/>
  <c r="D747" i="5" s="1"/>
  <c r="I746" i="5"/>
  <c r="F746" i="5"/>
  <c r="E746" i="5"/>
  <c r="B746" i="5"/>
  <c r="I745" i="5"/>
  <c r="F745" i="5"/>
  <c r="E745" i="5"/>
  <c r="B745" i="5"/>
  <c r="I744" i="5"/>
  <c r="F744" i="5"/>
  <c r="E744" i="5"/>
  <c r="B744" i="5"/>
  <c r="I743" i="5"/>
  <c r="F743" i="5"/>
  <c r="E743" i="5"/>
  <c r="I742" i="5"/>
  <c r="F742" i="5"/>
  <c r="E742" i="5"/>
  <c r="B742" i="5"/>
  <c r="D742" i="5" s="1"/>
  <c r="I741" i="5"/>
  <c r="F741" i="5"/>
  <c r="E741" i="5"/>
  <c r="D741" i="5"/>
  <c r="B741" i="5"/>
  <c r="I740" i="5"/>
  <c r="F740" i="5"/>
  <c r="E740" i="5"/>
  <c r="D740" i="5"/>
  <c r="B740" i="5"/>
  <c r="I739" i="5"/>
  <c r="F739" i="5"/>
  <c r="E739" i="5"/>
  <c r="B739" i="5"/>
  <c r="I738" i="5"/>
  <c r="F738" i="5"/>
  <c r="E738" i="5"/>
  <c r="B738" i="5"/>
  <c r="D739" i="5" s="1"/>
  <c r="I737" i="5"/>
  <c r="F737" i="5"/>
  <c r="E737" i="5"/>
  <c r="B737" i="5"/>
  <c r="D737" i="5" s="1"/>
  <c r="I736" i="5"/>
  <c r="F736" i="5"/>
  <c r="E736" i="5"/>
  <c r="B736" i="5"/>
  <c r="I735" i="5"/>
  <c r="F735" i="5"/>
  <c r="E735" i="5"/>
  <c r="B735" i="5"/>
  <c r="I734" i="5"/>
  <c r="F734" i="5"/>
  <c r="E734" i="5"/>
  <c r="B734" i="5"/>
  <c r="D734" i="5" s="1"/>
  <c r="I733" i="5"/>
  <c r="F733" i="5"/>
  <c r="E733" i="5"/>
  <c r="B733" i="5"/>
  <c r="I732" i="5"/>
  <c r="F732" i="5"/>
  <c r="E732" i="5"/>
  <c r="B732" i="5"/>
  <c r="D732" i="5" s="1"/>
  <c r="I731" i="5"/>
  <c r="F731" i="5"/>
  <c r="E731" i="5"/>
  <c r="B731" i="5"/>
  <c r="I730" i="5"/>
  <c r="F730" i="5"/>
  <c r="E730" i="5"/>
  <c r="B730" i="5"/>
  <c r="I729" i="5"/>
  <c r="F729" i="5"/>
  <c r="E729" i="5"/>
  <c r="B729" i="5"/>
  <c r="D729" i="5" s="1"/>
  <c r="I728" i="5"/>
  <c r="F728" i="5"/>
  <c r="E728" i="5"/>
  <c r="B728" i="5"/>
  <c r="I727" i="5"/>
  <c r="F727" i="5"/>
  <c r="E727" i="5"/>
  <c r="B727" i="5"/>
  <c r="D727" i="5" s="1"/>
  <c r="I726" i="5"/>
  <c r="F726" i="5"/>
  <c r="E726" i="5"/>
  <c r="B726" i="5"/>
  <c r="D726" i="5" s="1"/>
  <c r="I725" i="5"/>
  <c r="F725" i="5"/>
  <c r="E725" i="5"/>
  <c r="B725" i="5"/>
  <c r="D725" i="5" s="1"/>
  <c r="I724" i="5"/>
  <c r="F724" i="5"/>
  <c r="E724" i="5"/>
  <c r="B724" i="5"/>
  <c r="I723" i="5"/>
  <c r="F723" i="5"/>
  <c r="E723" i="5"/>
  <c r="B723" i="5"/>
  <c r="D724" i="5" s="1"/>
  <c r="I722" i="5"/>
  <c r="F722" i="5"/>
  <c r="E722" i="5"/>
  <c r="B722" i="5"/>
  <c r="I721" i="5"/>
  <c r="F721" i="5"/>
  <c r="E721" i="5"/>
  <c r="B721" i="5"/>
  <c r="D721" i="5" s="1"/>
  <c r="I720" i="5"/>
  <c r="F720" i="5"/>
  <c r="E720" i="5"/>
  <c r="B720" i="5"/>
  <c r="D720" i="5" s="1"/>
  <c r="I719" i="5"/>
  <c r="F719" i="5"/>
  <c r="E719" i="5"/>
  <c r="D719" i="5"/>
  <c r="B719" i="5"/>
  <c r="I718" i="5"/>
  <c r="F718" i="5"/>
  <c r="E718" i="5"/>
  <c r="B718" i="5"/>
  <c r="D718" i="5" s="1"/>
  <c r="I717" i="5"/>
  <c r="F717" i="5"/>
  <c r="E717" i="5"/>
  <c r="B717" i="5"/>
  <c r="I716" i="5"/>
  <c r="F716" i="5"/>
  <c r="E716" i="5"/>
  <c r="B716" i="5"/>
  <c r="D717" i="5" s="1"/>
  <c r="I715" i="5"/>
  <c r="F715" i="5"/>
  <c r="E715" i="5"/>
  <c r="B715" i="5"/>
  <c r="D715" i="5" s="1"/>
  <c r="I714" i="5"/>
  <c r="F714" i="5"/>
  <c r="E714" i="5"/>
  <c r="B714" i="5"/>
  <c r="I713" i="5"/>
  <c r="F713" i="5"/>
  <c r="E713" i="5"/>
  <c r="B713" i="5"/>
  <c r="I712" i="5"/>
  <c r="F712" i="5"/>
  <c r="E712" i="5"/>
  <c r="B712" i="5"/>
  <c r="I711" i="5"/>
  <c r="F711" i="5"/>
  <c r="E711" i="5"/>
  <c r="B711" i="5"/>
  <c r="D711" i="5" s="1"/>
  <c r="I710" i="5"/>
  <c r="F710" i="5"/>
  <c r="B21" i="6" s="1"/>
  <c r="E710" i="5"/>
  <c r="D710" i="5"/>
  <c r="B710" i="5"/>
  <c r="I709" i="5"/>
  <c r="F709" i="5"/>
  <c r="E709" i="5"/>
  <c r="B709" i="5"/>
  <c r="I708" i="5"/>
  <c r="F708" i="5"/>
  <c r="E708" i="5"/>
  <c r="B708" i="5"/>
  <c r="I707" i="5"/>
  <c r="F707" i="5"/>
  <c r="E707" i="5"/>
  <c r="B707" i="5"/>
  <c r="I706" i="5"/>
  <c r="F706" i="5"/>
  <c r="E706" i="5"/>
  <c r="B706" i="5"/>
  <c r="D706" i="5" s="1"/>
  <c r="I705" i="5"/>
  <c r="F705" i="5"/>
  <c r="E705" i="5"/>
  <c r="B705" i="5"/>
  <c r="D705" i="5" s="1"/>
  <c r="I704" i="5"/>
  <c r="F704" i="5"/>
  <c r="E704" i="5"/>
  <c r="B704" i="5"/>
  <c r="I703" i="5"/>
  <c r="F703" i="5"/>
  <c r="E703" i="5"/>
  <c r="B703" i="5"/>
  <c r="I702" i="5"/>
  <c r="F702" i="5"/>
  <c r="E702" i="5"/>
  <c r="B702" i="5"/>
  <c r="I701" i="5"/>
  <c r="F701" i="5"/>
  <c r="E701" i="5"/>
  <c r="B701" i="5"/>
  <c r="I700" i="5"/>
  <c r="F700" i="5"/>
  <c r="E700" i="5"/>
  <c r="B700" i="5"/>
  <c r="D700" i="5" s="1"/>
  <c r="I699" i="5"/>
  <c r="F699" i="5"/>
  <c r="E699" i="5"/>
  <c r="B699" i="5"/>
  <c r="D699" i="5" s="1"/>
  <c r="I698" i="5"/>
  <c r="F698" i="5"/>
  <c r="E698" i="5"/>
  <c r="B698" i="5"/>
  <c r="I697" i="5"/>
  <c r="F697" i="5"/>
  <c r="E697" i="5"/>
  <c r="B697" i="5"/>
  <c r="D697" i="5" s="1"/>
  <c r="I696" i="5"/>
  <c r="F696" i="5"/>
  <c r="E696" i="5"/>
  <c r="B696" i="5"/>
  <c r="I695" i="5"/>
  <c r="F695" i="5"/>
  <c r="E695" i="5"/>
  <c r="B695" i="5"/>
  <c r="I694" i="5"/>
  <c r="F694" i="5"/>
  <c r="B65" i="6" s="1"/>
  <c r="E694" i="5"/>
  <c r="B694" i="5"/>
  <c r="I693" i="5"/>
  <c r="F693" i="5"/>
  <c r="E693" i="5"/>
  <c r="B693" i="5"/>
  <c r="I692" i="5"/>
  <c r="F692" i="5"/>
  <c r="E692" i="5"/>
  <c r="B692" i="5"/>
  <c r="I691" i="5"/>
  <c r="F691" i="5"/>
  <c r="E691" i="5"/>
  <c r="B691" i="5"/>
  <c r="D692" i="5" s="1"/>
  <c r="I690" i="5"/>
  <c r="F690" i="5"/>
  <c r="E690" i="5"/>
  <c r="B690" i="5"/>
  <c r="D690" i="5" s="1"/>
  <c r="I689" i="5"/>
  <c r="F689" i="5"/>
  <c r="E689" i="5"/>
  <c r="D689" i="5"/>
  <c r="B689" i="5"/>
  <c r="I688" i="5"/>
  <c r="F688" i="5"/>
  <c r="E688" i="5"/>
  <c r="D688" i="5"/>
  <c r="B688" i="5"/>
  <c r="I687" i="5"/>
  <c r="F687" i="5"/>
  <c r="E687" i="5"/>
  <c r="B687" i="5"/>
  <c r="I686" i="5"/>
  <c r="F686" i="5"/>
  <c r="E686" i="5"/>
  <c r="B686" i="5"/>
  <c r="D687" i="5" s="1"/>
  <c r="I685" i="5"/>
  <c r="F685" i="5"/>
  <c r="E685" i="5"/>
  <c r="B685" i="5"/>
  <c r="D685" i="5" s="1"/>
  <c r="I684" i="5"/>
  <c r="F684" i="5"/>
  <c r="E684" i="5"/>
  <c r="D684" i="5"/>
  <c r="B684" i="5"/>
  <c r="I683" i="5"/>
  <c r="F683" i="5"/>
  <c r="E683" i="5"/>
  <c r="B683" i="5"/>
  <c r="I682" i="5"/>
  <c r="F682" i="5"/>
  <c r="E682" i="5"/>
  <c r="B682" i="5"/>
  <c r="D682" i="5" s="1"/>
  <c r="I681" i="5"/>
  <c r="F681" i="5"/>
  <c r="E681" i="5"/>
  <c r="B681" i="5"/>
  <c r="I680" i="5"/>
  <c r="F680" i="5"/>
  <c r="E680" i="5"/>
  <c r="B680" i="5"/>
  <c r="I679" i="5"/>
  <c r="F679" i="5"/>
  <c r="E679" i="5"/>
  <c r="B679" i="5"/>
  <c r="D680" i="5" s="1"/>
  <c r="I678" i="5"/>
  <c r="F678" i="5"/>
  <c r="E678" i="5"/>
  <c r="B678" i="5"/>
  <c r="D678" i="5" s="1"/>
  <c r="I677" i="5"/>
  <c r="F677" i="5"/>
  <c r="E677" i="5"/>
  <c r="B677" i="5"/>
  <c r="I676" i="5"/>
  <c r="F676" i="5"/>
  <c r="E676" i="5"/>
  <c r="B676" i="5"/>
  <c r="I675" i="5"/>
  <c r="F675" i="5"/>
  <c r="E675" i="5"/>
  <c r="B675" i="5"/>
  <c r="I674" i="5"/>
  <c r="F674" i="5"/>
  <c r="E674" i="5"/>
  <c r="B674" i="5"/>
  <c r="D674" i="5" s="1"/>
  <c r="I673" i="5"/>
  <c r="F673" i="5"/>
  <c r="E673" i="5"/>
  <c r="B673" i="5"/>
  <c r="I672" i="5"/>
  <c r="F672" i="5"/>
  <c r="E672" i="5"/>
  <c r="B672" i="5"/>
  <c r="D673" i="5" s="1"/>
  <c r="I671" i="5"/>
  <c r="F671" i="5"/>
  <c r="E671" i="5"/>
  <c r="B671" i="5"/>
  <c r="I670" i="5"/>
  <c r="F670" i="5"/>
  <c r="E670" i="5"/>
  <c r="B670" i="5"/>
  <c r="I669" i="5"/>
  <c r="F669" i="5"/>
  <c r="E669" i="5"/>
  <c r="B669" i="5"/>
  <c r="D670" i="5" s="1"/>
  <c r="I668" i="5"/>
  <c r="F668" i="5"/>
  <c r="E668" i="5"/>
  <c r="B109" i="6" s="1"/>
  <c r="B668" i="5"/>
  <c r="D668" i="5" s="1"/>
  <c r="I667" i="5"/>
  <c r="F667" i="5"/>
  <c r="E667" i="5"/>
  <c r="D667" i="5"/>
  <c r="B667" i="5"/>
  <c r="I666" i="5"/>
  <c r="F666" i="5"/>
  <c r="E666" i="5"/>
  <c r="B666" i="5"/>
  <c r="D666" i="5" s="1"/>
  <c r="I665" i="5"/>
  <c r="F665" i="5"/>
  <c r="E665" i="5"/>
  <c r="B665" i="5"/>
  <c r="D665" i="5" s="1"/>
  <c r="I664" i="5"/>
  <c r="F664" i="5"/>
  <c r="E664" i="5"/>
  <c r="D664" i="5"/>
  <c r="I663" i="5"/>
  <c r="F663" i="5"/>
  <c r="E663" i="5"/>
  <c r="D663" i="5"/>
  <c r="I662" i="5"/>
  <c r="F662" i="5"/>
  <c r="E662" i="5"/>
  <c r="D662" i="5"/>
  <c r="I661" i="5"/>
  <c r="F661" i="5"/>
  <c r="E661" i="5"/>
  <c r="D661" i="5"/>
  <c r="I660" i="5"/>
  <c r="F660" i="5"/>
  <c r="E660" i="5"/>
  <c r="D660" i="5"/>
  <c r="I659" i="5"/>
  <c r="F659" i="5"/>
  <c r="E659" i="5"/>
  <c r="D659" i="5"/>
  <c r="I658" i="5"/>
  <c r="F658" i="5"/>
  <c r="E658" i="5"/>
  <c r="D658" i="5"/>
  <c r="I657" i="5"/>
  <c r="F657" i="5"/>
  <c r="E657" i="5"/>
  <c r="D657" i="5"/>
  <c r="I656" i="5"/>
  <c r="F656" i="5"/>
  <c r="E656" i="5"/>
  <c r="D656" i="5"/>
  <c r="I655" i="5"/>
  <c r="F655" i="5"/>
  <c r="E655" i="5"/>
  <c r="D655" i="5"/>
  <c r="I654" i="5"/>
  <c r="F654" i="5"/>
  <c r="E654" i="5"/>
  <c r="D654" i="5"/>
  <c r="I653" i="5"/>
  <c r="F653" i="5"/>
  <c r="E653" i="5"/>
  <c r="D653" i="5"/>
  <c r="I652" i="5"/>
  <c r="F652" i="5"/>
  <c r="E652" i="5"/>
  <c r="D652" i="5"/>
  <c r="I651" i="5"/>
  <c r="F651" i="5"/>
  <c r="E651" i="5"/>
  <c r="D651" i="5"/>
  <c r="I650" i="5"/>
  <c r="F650" i="5"/>
  <c r="E650" i="5"/>
  <c r="D650" i="5"/>
  <c r="I649" i="5"/>
  <c r="F649" i="5"/>
  <c r="E649" i="5"/>
  <c r="D649" i="5"/>
  <c r="I648" i="5"/>
  <c r="F648" i="5"/>
  <c r="E648" i="5"/>
  <c r="D648" i="5"/>
  <c r="I647" i="5"/>
  <c r="F647" i="5"/>
  <c r="E647" i="5"/>
  <c r="D647" i="5"/>
  <c r="I646" i="5"/>
  <c r="F646" i="5"/>
  <c r="E646" i="5"/>
  <c r="D646" i="5"/>
  <c r="I645" i="5"/>
  <c r="F645" i="5"/>
  <c r="E645" i="5"/>
  <c r="D645" i="5"/>
  <c r="I644" i="5"/>
  <c r="F644" i="5"/>
  <c r="E644" i="5"/>
  <c r="D644" i="5"/>
  <c r="I643" i="5"/>
  <c r="F643" i="5"/>
  <c r="E643" i="5"/>
  <c r="D643" i="5"/>
  <c r="I642" i="5"/>
  <c r="F642" i="5"/>
  <c r="E642" i="5"/>
  <c r="D642" i="5"/>
  <c r="I641" i="5"/>
  <c r="F641" i="5"/>
  <c r="E641" i="5"/>
  <c r="D641" i="5"/>
  <c r="I640" i="5"/>
  <c r="F640" i="5"/>
  <c r="E640" i="5"/>
  <c r="D640" i="5"/>
  <c r="I639" i="5"/>
  <c r="F639" i="5"/>
  <c r="E639" i="5"/>
  <c r="D639" i="5"/>
  <c r="I638" i="5"/>
  <c r="F638" i="5"/>
  <c r="E638" i="5"/>
  <c r="D638" i="5"/>
  <c r="I637" i="5"/>
  <c r="F637" i="5"/>
  <c r="E637" i="5"/>
  <c r="D637" i="5"/>
  <c r="I636" i="5"/>
  <c r="F636" i="5"/>
  <c r="E636" i="5"/>
  <c r="D636" i="5"/>
  <c r="I635" i="5"/>
  <c r="F635" i="5"/>
  <c r="E635" i="5"/>
  <c r="D635" i="5"/>
  <c r="I634" i="5"/>
  <c r="F634" i="5"/>
  <c r="E634" i="5"/>
  <c r="D634" i="5"/>
  <c r="I633" i="5"/>
  <c r="F633" i="5"/>
  <c r="E633" i="5"/>
  <c r="D633" i="5"/>
  <c r="I632" i="5"/>
  <c r="F632" i="5"/>
  <c r="E632" i="5"/>
  <c r="D632" i="5"/>
  <c r="I631" i="5"/>
  <c r="F631" i="5"/>
  <c r="E631" i="5"/>
  <c r="D631" i="5"/>
  <c r="I630" i="5"/>
  <c r="F630" i="5"/>
  <c r="E630" i="5"/>
  <c r="D630" i="5"/>
  <c r="I629" i="5"/>
  <c r="F629" i="5"/>
  <c r="E629" i="5"/>
  <c r="D629" i="5"/>
  <c r="I628" i="5"/>
  <c r="F628" i="5"/>
  <c r="E628" i="5"/>
  <c r="D628" i="5"/>
  <c r="I627" i="5"/>
  <c r="F627" i="5"/>
  <c r="E627" i="5"/>
  <c r="D627" i="5"/>
  <c r="I626" i="5"/>
  <c r="F626" i="5"/>
  <c r="E626" i="5"/>
  <c r="D626" i="5"/>
  <c r="I625" i="5"/>
  <c r="F625" i="5"/>
  <c r="E625" i="5"/>
  <c r="D625" i="5"/>
  <c r="I624" i="5"/>
  <c r="F624" i="5"/>
  <c r="E624" i="5"/>
  <c r="D624" i="5"/>
  <c r="I623" i="5"/>
  <c r="F623" i="5"/>
  <c r="E623" i="5"/>
  <c r="D623" i="5"/>
  <c r="I622" i="5"/>
  <c r="F622" i="5"/>
  <c r="E622" i="5"/>
  <c r="D622" i="5"/>
  <c r="I621" i="5"/>
  <c r="F621" i="5"/>
  <c r="E621" i="5"/>
  <c r="D621" i="5"/>
  <c r="I620" i="5"/>
  <c r="F620" i="5"/>
  <c r="E620" i="5"/>
  <c r="D620" i="5"/>
  <c r="I619" i="5"/>
  <c r="F619" i="5"/>
  <c r="E619" i="5"/>
  <c r="D619" i="5"/>
  <c r="I618" i="5"/>
  <c r="F618" i="5"/>
  <c r="E618" i="5"/>
  <c r="D618" i="5"/>
  <c r="I617" i="5"/>
  <c r="F617" i="5"/>
  <c r="E617" i="5"/>
  <c r="D617" i="5"/>
  <c r="I616" i="5"/>
  <c r="F616" i="5"/>
  <c r="E616" i="5"/>
  <c r="D616" i="5"/>
  <c r="I615" i="5"/>
  <c r="F615" i="5"/>
  <c r="E615" i="5"/>
  <c r="D615" i="5"/>
  <c r="I614" i="5"/>
  <c r="F614" i="5"/>
  <c r="E614" i="5"/>
  <c r="D614" i="5"/>
  <c r="I613" i="5"/>
  <c r="F613" i="5"/>
  <c r="E613" i="5"/>
  <c r="D613" i="5"/>
  <c r="I612" i="5"/>
  <c r="F612" i="5"/>
  <c r="E612" i="5"/>
  <c r="D612" i="5"/>
  <c r="I611" i="5"/>
  <c r="F611" i="5"/>
  <c r="E611" i="5"/>
  <c r="D611" i="5"/>
  <c r="I610" i="5"/>
  <c r="F610" i="5"/>
  <c r="E610" i="5"/>
  <c r="D610" i="5"/>
  <c r="I609" i="5"/>
  <c r="F609" i="5"/>
  <c r="E609" i="5"/>
  <c r="D609" i="5"/>
  <c r="I608" i="5"/>
  <c r="F608" i="5"/>
  <c r="E608" i="5"/>
  <c r="D608" i="5"/>
  <c r="I607" i="5"/>
  <c r="F607" i="5"/>
  <c r="E607" i="5"/>
  <c r="D607" i="5"/>
  <c r="I606" i="5"/>
  <c r="F606" i="5"/>
  <c r="E606" i="5"/>
  <c r="D606" i="5"/>
  <c r="I605" i="5"/>
  <c r="F605" i="5"/>
  <c r="E605" i="5"/>
  <c r="D605" i="5"/>
  <c r="I604" i="5"/>
  <c r="F604" i="5"/>
  <c r="E604" i="5"/>
  <c r="D604" i="5"/>
  <c r="I603" i="5"/>
  <c r="F603" i="5"/>
  <c r="E603" i="5"/>
  <c r="D603" i="5"/>
  <c r="I602" i="5"/>
  <c r="F602" i="5"/>
  <c r="E602" i="5"/>
  <c r="D602" i="5"/>
  <c r="I601" i="5"/>
  <c r="F601" i="5"/>
  <c r="E601" i="5"/>
  <c r="D601" i="5"/>
  <c r="I600" i="5"/>
  <c r="F600" i="5"/>
  <c r="E600" i="5"/>
  <c r="D600" i="5"/>
  <c r="I599" i="5"/>
  <c r="F599" i="5"/>
  <c r="E599" i="5"/>
  <c r="D599" i="5"/>
  <c r="I598" i="5"/>
  <c r="F598" i="5"/>
  <c r="E598" i="5"/>
  <c r="D598" i="5"/>
  <c r="I597" i="5"/>
  <c r="F597" i="5"/>
  <c r="E597" i="5"/>
  <c r="D597" i="5"/>
  <c r="I596" i="5"/>
  <c r="F596" i="5"/>
  <c r="E596" i="5"/>
  <c r="D596" i="5"/>
  <c r="I595" i="5"/>
  <c r="F595" i="5"/>
  <c r="E595" i="5"/>
  <c r="D595" i="5"/>
  <c r="I594" i="5"/>
  <c r="F594" i="5"/>
  <c r="E594" i="5"/>
  <c r="D594" i="5"/>
  <c r="I593" i="5"/>
  <c r="F593" i="5"/>
  <c r="E593" i="5"/>
  <c r="D593" i="5"/>
  <c r="I592" i="5"/>
  <c r="F592" i="5"/>
  <c r="E592" i="5"/>
  <c r="D592" i="5"/>
  <c r="I591" i="5"/>
  <c r="F591" i="5"/>
  <c r="E591" i="5"/>
  <c r="D591" i="5"/>
  <c r="I590" i="5"/>
  <c r="F590" i="5"/>
  <c r="E590" i="5"/>
  <c r="D590" i="5"/>
  <c r="I589" i="5"/>
  <c r="F589" i="5"/>
  <c r="E589" i="5"/>
  <c r="D589" i="5"/>
  <c r="I588" i="5"/>
  <c r="F588" i="5"/>
  <c r="E588" i="5"/>
  <c r="D588" i="5"/>
  <c r="I587" i="5"/>
  <c r="F587" i="5"/>
  <c r="E587" i="5"/>
  <c r="D587" i="5"/>
  <c r="I586" i="5"/>
  <c r="F586" i="5"/>
  <c r="E586" i="5"/>
  <c r="D586" i="5"/>
  <c r="I585" i="5"/>
  <c r="F585" i="5"/>
  <c r="E585" i="5"/>
  <c r="D585" i="5"/>
  <c r="I584" i="5"/>
  <c r="F584" i="5"/>
  <c r="E584" i="5"/>
  <c r="D584" i="5"/>
  <c r="I583" i="5"/>
  <c r="F583" i="5"/>
  <c r="E583" i="5"/>
  <c r="D583" i="5"/>
  <c r="I582" i="5"/>
  <c r="F582" i="5"/>
  <c r="E582" i="5"/>
  <c r="D582" i="5"/>
  <c r="I581" i="5"/>
  <c r="F581" i="5"/>
  <c r="E581" i="5"/>
  <c r="D581" i="5"/>
  <c r="I580" i="5"/>
  <c r="F580" i="5"/>
  <c r="E580" i="5"/>
  <c r="D580" i="5"/>
  <c r="I579" i="5"/>
  <c r="F579" i="5"/>
  <c r="E579" i="5"/>
  <c r="D579" i="5"/>
  <c r="I578" i="5"/>
  <c r="F578" i="5"/>
  <c r="E578" i="5"/>
  <c r="D578" i="5"/>
  <c r="I577" i="5"/>
  <c r="F577" i="5"/>
  <c r="E577" i="5"/>
  <c r="D577" i="5"/>
  <c r="I576" i="5"/>
  <c r="F576" i="5"/>
  <c r="E576" i="5"/>
  <c r="D576" i="5"/>
  <c r="I575" i="5"/>
  <c r="F575" i="5"/>
  <c r="E575" i="5"/>
  <c r="D575" i="5"/>
  <c r="I574" i="5"/>
  <c r="F574" i="5"/>
  <c r="E574" i="5"/>
  <c r="D574" i="5"/>
  <c r="I573" i="5"/>
  <c r="F573" i="5"/>
  <c r="E573" i="5"/>
  <c r="D573" i="5"/>
  <c r="I572" i="5"/>
  <c r="F572" i="5"/>
  <c r="E572" i="5"/>
  <c r="D572" i="5"/>
  <c r="I571" i="5"/>
  <c r="F571" i="5"/>
  <c r="E571" i="5"/>
  <c r="D571" i="5"/>
  <c r="I570" i="5"/>
  <c r="F570" i="5"/>
  <c r="E570" i="5"/>
  <c r="D570" i="5"/>
  <c r="I569" i="5"/>
  <c r="F569" i="5"/>
  <c r="E569" i="5"/>
  <c r="D569" i="5"/>
  <c r="I568" i="5"/>
  <c r="F568" i="5"/>
  <c r="E568" i="5"/>
  <c r="D568" i="5"/>
  <c r="I567" i="5"/>
  <c r="F567" i="5"/>
  <c r="E567" i="5"/>
  <c r="D567" i="5"/>
  <c r="I566" i="5"/>
  <c r="F566" i="5"/>
  <c r="E566" i="5"/>
  <c r="D566" i="5"/>
  <c r="I565" i="5"/>
  <c r="F565" i="5"/>
  <c r="E565" i="5"/>
  <c r="D565" i="5"/>
  <c r="I564" i="5"/>
  <c r="F564" i="5"/>
  <c r="E564" i="5"/>
  <c r="D564" i="5"/>
  <c r="I563" i="5"/>
  <c r="F563" i="5"/>
  <c r="E563" i="5"/>
  <c r="D563" i="5"/>
  <c r="I562" i="5"/>
  <c r="F562" i="5"/>
  <c r="E562" i="5"/>
  <c r="D562" i="5"/>
  <c r="I561" i="5"/>
  <c r="F561" i="5"/>
  <c r="E561" i="5"/>
  <c r="D561" i="5"/>
  <c r="I560" i="5"/>
  <c r="F560" i="5"/>
  <c r="E560" i="5"/>
  <c r="D560" i="5"/>
  <c r="I559" i="5"/>
  <c r="F559" i="5"/>
  <c r="E559" i="5"/>
  <c r="D559" i="5"/>
  <c r="I558" i="5"/>
  <c r="F558" i="5"/>
  <c r="E558" i="5"/>
  <c r="D558" i="5"/>
  <c r="I557" i="5"/>
  <c r="F557" i="5"/>
  <c r="E557" i="5"/>
  <c r="D557" i="5"/>
  <c r="I556" i="5"/>
  <c r="F556" i="5"/>
  <c r="E556" i="5"/>
  <c r="D556" i="5"/>
  <c r="I555" i="5"/>
  <c r="F555" i="5"/>
  <c r="E555" i="5"/>
  <c r="D555" i="5"/>
  <c r="I554" i="5"/>
  <c r="F554" i="5"/>
  <c r="E554" i="5"/>
  <c r="D554" i="5"/>
  <c r="I553" i="5"/>
  <c r="F553" i="5"/>
  <c r="E553" i="5"/>
  <c r="D553" i="5"/>
  <c r="I552" i="5"/>
  <c r="F552" i="5"/>
  <c r="E552" i="5"/>
  <c r="D552" i="5"/>
  <c r="I551" i="5"/>
  <c r="F551" i="5"/>
  <c r="E551" i="5"/>
  <c r="D551" i="5"/>
  <c r="I550" i="5"/>
  <c r="F550" i="5"/>
  <c r="E550" i="5"/>
  <c r="D550" i="5"/>
  <c r="I549" i="5"/>
  <c r="F549" i="5"/>
  <c r="E549" i="5"/>
  <c r="D549" i="5"/>
  <c r="I548" i="5"/>
  <c r="F548" i="5"/>
  <c r="E548" i="5"/>
  <c r="D548" i="5"/>
  <c r="I547" i="5"/>
  <c r="F547" i="5"/>
  <c r="E547" i="5"/>
  <c r="D547" i="5"/>
  <c r="I546" i="5"/>
  <c r="F546" i="5"/>
  <c r="E546" i="5"/>
  <c r="D546" i="5"/>
  <c r="I545" i="5"/>
  <c r="F545" i="5"/>
  <c r="E545" i="5"/>
  <c r="D545" i="5"/>
  <c r="I544" i="5"/>
  <c r="F544" i="5"/>
  <c r="E544" i="5"/>
  <c r="D544" i="5"/>
  <c r="I543" i="5"/>
  <c r="F543" i="5"/>
  <c r="E543" i="5"/>
  <c r="D543" i="5"/>
  <c r="I542" i="5"/>
  <c r="F542" i="5"/>
  <c r="E542" i="5"/>
  <c r="D542" i="5"/>
  <c r="I541" i="5"/>
  <c r="F541" i="5"/>
  <c r="E541" i="5"/>
  <c r="D541" i="5"/>
  <c r="I540" i="5"/>
  <c r="F540" i="5"/>
  <c r="E540" i="5"/>
  <c r="D540" i="5"/>
  <c r="I539" i="5"/>
  <c r="F539" i="5"/>
  <c r="E539" i="5"/>
  <c r="D539" i="5"/>
  <c r="I538" i="5"/>
  <c r="F538" i="5"/>
  <c r="E538" i="5"/>
  <c r="D538" i="5"/>
  <c r="I537" i="5"/>
  <c r="F537" i="5"/>
  <c r="E537" i="5"/>
  <c r="D537" i="5"/>
  <c r="I536" i="5"/>
  <c r="F536" i="5"/>
  <c r="E536" i="5"/>
  <c r="D536" i="5"/>
  <c r="I535" i="5"/>
  <c r="F535" i="5"/>
  <c r="E535" i="5"/>
  <c r="D535" i="5"/>
  <c r="I534" i="5"/>
  <c r="F534" i="5"/>
  <c r="E534" i="5"/>
  <c r="D534" i="5"/>
  <c r="I533" i="5"/>
  <c r="F533" i="5"/>
  <c r="E533" i="5"/>
  <c r="D533" i="5"/>
  <c r="I532" i="5"/>
  <c r="F532" i="5"/>
  <c r="E532" i="5"/>
  <c r="D532" i="5"/>
  <c r="I531" i="5"/>
  <c r="F531" i="5"/>
  <c r="E531" i="5"/>
  <c r="D531" i="5"/>
  <c r="I530" i="5"/>
  <c r="F530" i="5"/>
  <c r="E530" i="5"/>
  <c r="D530" i="5"/>
  <c r="I529" i="5"/>
  <c r="F529" i="5"/>
  <c r="E529" i="5"/>
  <c r="D529" i="5"/>
  <c r="I528" i="5"/>
  <c r="F528" i="5"/>
  <c r="E528" i="5"/>
  <c r="D528" i="5"/>
  <c r="I527" i="5"/>
  <c r="F527" i="5"/>
  <c r="E527" i="5"/>
  <c r="D527" i="5"/>
  <c r="I526" i="5"/>
  <c r="F526" i="5"/>
  <c r="E526" i="5"/>
  <c r="D526" i="5"/>
  <c r="I525" i="5"/>
  <c r="F525" i="5"/>
  <c r="E525" i="5"/>
  <c r="D525" i="5"/>
  <c r="I524" i="5"/>
  <c r="F524" i="5"/>
  <c r="E524" i="5"/>
  <c r="D524" i="5"/>
  <c r="I523" i="5"/>
  <c r="F523" i="5"/>
  <c r="E523" i="5"/>
  <c r="D523" i="5"/>
  <c r="I522" i="5"/>
  <c r="F522" i="5"/>
  <c r="E522" i="5"/>
  <c r="D522" i="5"/>
  <c r="I521" i="5"/>
  <c r="F521" i="5"/>
  <c r="E521" i="5"/>
  <c r="D521" i="5"/>
  <c r="I520" i="5"/>
  <c r="F520" i="5"/>
  <c r="E520" i="5"/>
  <c r="D520" i="5"/>
  <c r="I519" i="5"/>
  <c r="F519" i="5"/>
  <c r="E519" i="5"/>
  <c r="D519" i="5"/>
  <c r="I518" i="5"/>
  <c r="F518" i="5"/>
  <c r="E518" i="5"/>
  <c r="D518" i="5"/>
  <c r="I517" i="5"/>
  <c r="F517" i="5"/>
  <c r="E517" i="5"/>
  <c r="D517" i="5"/>
  <c r="I516" i="5"/>
  <c r="F516" i="5"/>
  <c r="E516" i="5"/>
  <c r="D516" i="5"/>
  <c r="I515" i="5"/>
  <c r="F515" i="5"/>
  <c r="E515" i="5"/>
  <c r="D515" i="5"/>
  <c r="I514" i="5"/>
  <c r="F514" i="5"/>
  <c r="E514" i="5"/>
  <c r="D514" i="5"/>
  <c r="I513" i="5"/>
  <c r="F513" i="5"/>
  <c r="E513" i="5"/>
  <c r="D513" i="5"/>
  <c r="I512" i="5"/>
  <c r="F512" i="5"/>
  <c r="E512" i="5"/>
  <c r="D512" i="5"/>
  <c r="I511" i="5"/>
  <c r="F511" i="5"/>
  <c r="E511" i="5"/>
  <c r="D511" i="5"/>
  <c r="I510" i="5"/>
  <c r="F510" i="5"/>
  <c r="E510" i="5"/>
  <c r="D510" i="5"/>
  <c r="I509" i="5"/>
  <c r="F509" i="5"/>
  <c r="E509" i="5"/>
  <c r="D509" i="5"/>
  <c r="I508" i="5"/>
  <c r="F508" i="5"/>
  <c r="E508" i="5"/>
  <c r="D508" i="5"/>
  <c r="I507" i="5"/>
  <c r="F507" i="5"/>
  <c r="E507" i="5"/>
  <c r="D507" i="5"/>
  <c r="I506" i="5"/>
  <c r="F506" i="5"/>
  <c r="E506" i="5"/>
  <c r="D506" i="5"/>
  <c r="I505" i="5"/>
  <c r="F505" i="5"/>
  <c r="E505" i="5"/>
  <c r="D505" i="5"/>
  <c r="I504" i="5"/>
  <c r="F504" i="5"/>
  <c r="E504" i="5"/>
  <c r="D504" i="5"/>
  <c r="I503" i="5"/>
  <c r="F503" i="5"/>
  <c r="E503" i="5"/>
  <c r="D503" i="5"/>
  <c r="I502" i="5"/>
  <c r="F502" i="5"/>
  <c r="E502" i="5"/>
  <c r="D502" i="5"/>
  <c r="I501" i="5"/>
  <c r="F501" i="5"/>
  <c r="E501" i="5"/>
  <c r="D501" i="5"/>
  <c r="I500" i="5"/>
  <c r="F500" i="5"/>
  <c r="E500" i="5"/>
  <c r="D500" i="5"/>
  <c r="I499" i="5"/>
  <c r="F499" i="5"/>
  <c r="E499" i="5"/>
  <c r="D499" i="5"/>
  <c r="I498" i="5"/>
  <c r="F498" i="5"/>
  <c r="E498" i="5"/>
  <c r="D498" i="5"/>
  <c r="I497" i="5"/>
  <c r="F497" i="5"/>
  <c r="E497" i="5"/>
  <c r="D497" i="5"/>
  <c r="I496" i="5"/>
  <c r="F496" i="5"/>
  <c r="E496" i="5"/>
  <c r="D496" i="5"/>
  <c r="I495" i="5"/>
  <c r="F495" i="5"/>
  <c r="E495" i="5"/>
  <c r="D495" i="5"/>
  <c r="I494" i="5"/>
  <c r="F494" i="5"/>
  <c r="E494" i="5"/>
  <c r="D494" i="5"/>
  <c r="I493" i="5"/>
  <c r="F493" i="5"/>
  <c r="E493" i="5"/>
  <c r="D493" i="5"/>
  <c r="I492" i="5"/>
  <c r="F492" i="5"/>
  <c r="E492" i="5"/>
  <c r="D492" i="5"/>
  <c r="I491" i="5"/>
  <c r="F491" i="5"/>
  <c r="E491" i="5"/>
  <c r="D491" i="5"/>
  <c r="I490" i="5"/>
  <c r="F490" i="5"/>
  <c r="E490" i="5"/>
  <c r="D490" i="5"/>
  <c r="I489" i="5"/>
  <c r="F489" i="5"/>
  <c r="E489" i="5"/>
  <c r="D489" i="5"/>
  <c r="I488" i="5"/>
  <c r="F488" i="5"/>
  <c r="E488" i="5"/>
  <c r="D488" i="5"/>
  <c r="I487" i="5"/>
  <c r="F487" i="5"/>
  <c r="E487" i="5"/>
  <c r="D487" i="5"/>
  <c r="I486" i="5"/>
  <c r="F486" i="5"/>
  <c r="E486" i="5"/>
  <c r="D486" i="5"/>
  <c r="I485" i="5"/>
  <c r="F485" i="5"/>
  <c r="E485" i="5"/>
  <c r="D485" i="5"/>
  <c r="I484" i="5"/>
  <c r="F484" i="5"/>
  <c r="E484" i="5"/>
  <c r="D484" i="5"/>
  <c r="I483" i="5"/>
  <c r="F483" i="5"/>
  <c r="E483" i="5"/>
  <c r="D483" i="5"/>
  <c r="I482" i="5"/>
  <c r="F482" i="5"/>
  <c r="E482" i="5"/>
  <c r="D482" i="5"/>
  <c r="I481" i="5"/>
  <c r="F481" i="5"/>
  <c r="E481" i="5"/>
  <c r="D481" i="5"/>
  <c r="I480" i="5"/>
  <c r="F480" i="5"/>
  <c r="E480" i="5"/>
  <c r="D480" i="5"/>
  <c r="I479" i="5"/>
  <c r="F479" i="5"/>
  <c r="E479" i="5"/>
  <c r="D479" i="5"/>
  <c r="I478" i="5"/>
  <c r="F478" i="5"/>
  <c r="E478" i="5"/>
  <c r="D478" i="5"/>
  <c r="I477" i="5"/>
  <c r="F477" i="5"/>
  <c r="E477" i="5"/>
  <c r="D477" i="5"/>
  <c r="I476" i="5"/>
  <c r="F476" i="5"/>
  <c r="E476" i="5"/>
  <c r="D476" i="5"/>
  <c r="I475" i="5"/>
  <c r="F475" i="5"/>
  <c r="E475" i="5"/>
  <c r="D475" i="5"/>
  <c r="I474" i="5"/>
  <c r="F474" i="5"/>
  <c r="E474" i="5"/>
  <c r="D474" i="5"/>
  <c r="I473" i="5"/>
  <c r="F473" i="5"/>
  <c r="E473" i="5"/>
  <c r="D473" i="5"/>
  <c r="I472" i="5"/>
  <c r="F472" i="5"/>
  <c r="E472" i="5"/>
  <c r="D472" i="5"/>
  <c r="I471" i="5"/>
  <c r="F471" i="5"/>
  <c r="E471" i="5"/>
  <c r="D471" i="5"/>
  <c r="I470" i="5"/>
  <c r="F470" i="5"/>
  <c r="E470" i="5"/>
  <c r="D470" i="5"/>
  <c r="I469" i="5"/>
  <c r="F469" i="5"/>
  <c r="E469" i="5"/>
  <c r="D469" i="5"/>
  <c r="I468" i="5"/>
  <c r="F468" i="5"/>
  <c r="E468" i="5"/>
  <c r="D468" i="5"/>
  <c r="I467" i="5"/>
  <c r="F467" i="5"/>
  <c r="E467" i="5"/>
  <c r="D467" i="5"/>
  <c r="I466" i="5"/>
  <c r="F466" i="5"/>
  <c r="E466" i="5"/>
  <c r="D466" i="5"/>
  <c r="I465" i="5"/>
  <c r="F465" i="5"/>
  <c r="E465" i="5"/>
  <c r="D465" i="5"/>
  <c r="I464" i="5"/>
  <c r="F464" i="5"/>
  <c r="E464" i="5"/>
  <c r="D464" i="5"/>
  <c r="I463" i="5"/>
  <c r="F463" i="5"/>
  <c r="E463" i="5"/>
  <c r="D463" i="5"/>
  <c r="I462" i="5"/>
  <c r="F462" i="5"/>
  <c r="E462" i="5"/>
  <c r="D462" i="5"/>
  <c r="I461" i="5"/>
  <c r="F461" i="5"/>
  <c r="E461" i="5"/>
  <c r="D461" i="5"/>
  <c r="I460" i="5"/>
  <c r="F460" i="5"/>
  <c r="E460" i="5"/>
  <c r="D460" i="5"/>
  <c r="I459" i="5"/>
  <c r="F459" i="5"/>
  <c r="E459" i="5"/>
  <c r="D459" i="5"/>
  <c r="I458" i="5"/>
  <c r="F458" i="5"/>
  <c r="E458" i="5"/>
  <c r="D458" i="5"/>
  <c r="I457" i="5"/>
  <c r="F457" i="5"/>
  <c r="E457" i="5"/>
  <c r="D457" i="5"/>
  <c r="I456" i="5"/>
  <c r="F456" i="5"/>
  <c r="E456" i="5"/>
  <c r="D456" i="5"/>
  <c r="I455" i="5"/>
  <c r="F455" i="5"/>
  <c r="E455" i="5"/>
  <c r="D455" i="5"/>
  <c r="I454" i="5"/>
  <c r="F454" i="5"/>
  <c r="E454" i="5"/>
  <c r="D454" i="5"/>
  <c r="I453" i="5"/>
  <c r="F453" i="5"/>
  <c r="E453" i="5"/>
  <c r="D453" i="5"/>
  <c r="I452" i="5"/>
  <c r="F452" i="5"/>
  <c r="E452" i="5"/>
  <c r="D452" i="5"/>
  <c r="I451" i="5"/>
  <c r="F451" i="5"/>
  <c r="E451" i="5"/>
  <c r="D451" i="5"/>
  <c r="I450" i="5"/>
  <c r="F450" i="5"/>
  <c r="E450" i="5"/>
  <c r="D450" i="5"/>
  <c r="I449" i="5"/>
  <c r="F449" i="5"/>
  <c r="E449" i="5"/>
  <c r="D449" i="5"/>
  <c r="I448" i="5"/>
  <c r="F448" i="5"/>
  <c r="E448" i="5"/>
  <c r="D448" i="5"/>
  <c r="I447" i="5"/>
  <c r="F447" i="5"/>
  <c r="E447" i="5"/>
  <c r="D447" i="5"/>
  <c r="I446" i="5"/>
  <c r="F446" i="5"/>
  <c r="E446" i="5"/>
  <c r="D446" i="5"/>
  <c r="I445" i="5"/>
  <c r="F445" i="5"/>
  <c r="E445" i="5"/>
  <c r="D445" i="5"/>
  <c r="I444" i="5"/>
  <c r="F444" i="5"/>
  <c r="E444" i="5"/>
  <c r="D444" i="5"/>
  <c r="I443" i="5"/>
  <c r="F443" i="5"/>
  <c r="E443" i="5"/>
  <c r="D443" i="5"/>
  <c r="I442" i="5"/>
  <c r="F442" i="5"/>
  <c r="E442" i="5"/>
  <c r="D442" i="5"/>
  <c r="I441" i="5"/>
  <c r="F441" i="5"/>
  <c r="E441" i="5"/>
  <c r="D441" i="5"/>
  <c r="I440" i="5"/>
  <c r="F440" i="5"/>
  <c r="E440" i="5"/>
  <c r="D440" i="5"/>
  <c r="I439" i="5"/>
  <c r="F439" i="5"/>
  <c r="E439" i="5"/>
  <c r="D439" i="5"/>
  <c r="I438" i="5"/>
  <c r="F438" i="5"/>
  <c r="E438" i="5"/>
  <c r="D438" i="5"/>
  <c r="I437" i="5"/>
  <c r="F437" i="5"/>
  <c r="E437" i="5"/>
  <c r="D437" i="5"/>
  <c r="I436" i="5"/>
  <c r="F436" i="5"/>
  <c r="E436" i="5"/>
  <c r="D436" i="5"/>
  <c r="I435" i="5"/>
  <c r="F435" i="5"/>
  <c r="E435" i="5"/>
  <c r="D435" i="5"/>
  <c r="I434" i="5"/>
  <c r="F434" i="5"/>
  <c r="E434" i="5"/>
  <c r="D434" i="5"/>
  <c r="I433" i="5"/>
  <c r="F433" i="5"/>
  <c r="E433" i="5"/>
  <c r="D433" i="5"/>
  <c r="I432" i="5"/>
  <c r="F432" i="5"/>
  <c r="E432" i="5"/>
  <c r="D432" i="5"/>
  <c r="I431" i="5"/>
  <c r="F431" i="5"/>
  <c r="E431" i="5"/>
  <c r="D431" i="5"/>
  <c r="I430" i="5"/>
  <c r="F430" i="5"/>
  <c r="E430" i="5"/>
  <c r="D430" i="5"/>
  <c r="I429" i="5"/>
  <c r="F429" i="5"/>
  <c r="E429" i="5"/>
  <c r="D429" i="5"/>
  <c r="I428" i="5"/>
  <c r="F428" i="5"/>
  <c r="E428" i="5"/>
  <c r="D428" i="5"/>
  <c r="I427" i="5"/>
  <c r="F427" i="5"/>
  <c r="E427" i="5"/>
  <c r="D427" i="5"/>
  <c r="I426" i="5"/>
  <c r="F426" i="5"/>
  <c r="E426" i="5"/>
  <c r="D426" i="5"/>
  <c r="I425" i="5"/>
  <c r="F425" i="5"/>
  <c r="E425" i="5"/>
  <c r="D425" i="5"/>
  <c r="I424" i="5"/>
  <c r="F424" i="5"/>
  <c r="E424" i="5"/>
  <c r="D424" i="5"/>
  <c r="I423" i="5"/>
  <c r="F423" i="5"/>
  <c r="E423" i="5"/>
  <c r="D423" i="5"/>
  <c r="I422" i="5"/>
  <c r="F422" i="5"/>
  <c r="E422" i="5"/>
  <c r="D422" i="5"/>
  <c r="I421" i="5"/>
  <c r="F421" i="5"/>
  <c r="E421" i="5"/>
  <c r="D421" i="5"/>
  <c r="I420" i="5"/>
  <c r="F420" i="5"/>
  <c r="E420" i="5"/>
  <c r="D420" i="5"/>
  <c r="I419" i="5"/>
  <c r="F419" i="5"/>
  <c r="E419" i="5"/>
  <c r="D419" i="5"/>
  <c r="I418" i="5"/>
  <c r="F418" i="5"/>
  <c r="E418" i="5"/>
  <c r="D418" i="5"/>
  <c r="I417" i="5"/>
  <c r="F417" i="5"/>
  <c r="E417" i="5"/>
  <c r="D417" i="5"/>
  <c r="I416" i="5"/>
  <c r="F416" i="5"/>
  <c r="E416" i="5"/>
  <c r="D416" i="5"/>
  <c r="I415" i="5"/>
  <c r="F415" i="5"/>
  <c r="E415" i="5"/>
  <c r="D415" i="5"/>
  <c r="I414" i="5"/>
  <c r="F414" i="5"/>
  <c r="E414" i="5"/>
  <c r="D414" i="5"/>
  <c r="I413" i="5"/>
  <c r="F413" i="5"/>
  <c r="E413" i="5"/>
  <c r="D413" i="5"/>
  <c r="I412" i="5"/>
  <c r="F412" i="5"/>
  <c r="E412" i="5"/>
  <c r="D412" i="5"/>
  <c r="I411" i="5"/>
  <c r="F411" i="5"/>
  <c r="E411" i="5"/>
  <c r="D411" i="5"/>
  <c r="I410" i="5"/>
  <c r="F410" i="5"/>
  <c r="E410" i="5"/>
  <c r="D410" i="5"/>
  <c r="I409" i="5"/>
  <c r="F409" i="5"/>
  <c r="E409" i="5"/>
  <c r="D409" i="5"/>
  <c r="I408" i="5"/>
  <c r="F408" i="5"/>
  <c r="E408" i="5"/>
  <c r="D408" i="5"/>
  <c r="I407" i="5"/>
  <c r="F407" i="5"/>
  <c r="E407" i="5"/>
  <c r="D407" i="5"/>
  <c r="I406" i="5"/>
  <c r="F406" i="5"/>
  <c r="E406" i="5"/>
  <c r="D406" i="5"/>
  <c r="I405" i="5"/>
  <c r="F405" i="5"/>
  <c r="E405" i="5"/>
  <c r="D405" i="5"/>
  <c r="I404" i="5"/>
  <c r="F404" i="5"/>
  <c r="E404" i="5"/>
  <c r="D404" i="5"/>
  <c r="I403" i="5"/>
  <c r="F403" i="5"/>
  <c r="E403" i="5"/>
  <c r="D403" i="5"/>
  <c r="I402" i="5"/>
  <c r="F402" i="5"/>
  <c r="E402" i="5"/>
  <c r="D402" i="5"/>
  <c r="I401" i="5"/>
  <c r="F401" i="5"/>
  <c r="E401" i="5"/>
  <c r="D401" i="5"/>
  <c r="I400" i="5"/>
  <c r="F400" i="5"/>
  <c r="E400" i="5"/>
  <c r="D400" i="5"/>
  <c r="I399" i="5"/>
  <c r="F399" i="5"/>
  <c r="E399" i="5"/>
  <c r="D399" i="5"/>
  <c r="I398" i="5"/>
  <c r="F398" i="5"/>
  <c r="E398" i="5"/>
  <c r="D398" i="5"/>
  <c r="I397" i="5"/>
  <c r="F397" i="5"/>
  <c r="E397" i="5"/>
  <c r="D397" i="5"/>
  <c r="I396" i="5"/>
  <c r="F396" i="5"/>
  <c r="E396" i="5"/>
  <c r="D396" i="5"/>
  <c r="I395" i="5"/>
  <c r="F395" i="5"/>
  <c r="E395" i="5"/>
  <c r="D395" i="5"/>
  <c r="I394" i="5"/>
  <c r="F394" i="5"/>
  <c r="E394" i="5"/>
  <c r="D394" i="5"/>
  <c r="I393" i="5"/>
  <c r="F393" i="5"/>
  <c r="E393" i="5"/>
  <c r="D393" i="5"/>
  <c r="I392" i="5"/>
  <c r="F392" i="5"/>
  <c r="E392" i="5"/>
  <c r="D392" i="5"/>
  <c r="I391" i="5"/>
  <c r="F391" i="5"/>
  <c r="E391" i="5"/>
  <c r="D391" i="5"/>
  <c r="I390" i="5"/>
  <c r="F390" i="5"/>
  <c r="E390" i="5"/>
  <c r="D390" i="5"/>
  <c r="I389" i="5"/>
  <c r="F389" i="5"/>
  <c r="E389" i="5"/>
  <c r="D389" i="5"/>
  <c r="I388" i="5"/>
  <c r="F388" i="5"/>
  <c r="E388" i="5"/>
  <c r="D388" i="5"/>
  <c r="I387" i="5"/>
  <c r="F387" i="5"/>
  <c r="E387" i="5"/>
  <c r="D387" i="5"/>
  <c r="I386" i="5"/>
  <c r="F386" i="5"/>
  <c r="E386" i="5"/>
  <c r="D386" i="5"/>
  <c r="I385" i="5"/>
  <c r="F385" i="5"/>
  <c r="E385" i="5"/>
  <c r="D385" i="5"/>
  <c r="I384" i="5"/>
  <c r="F384" i="5"/>
  <c r="E384" i="5"/>
  <c r="D384" i="5"/>
  <c r="I383" i="5"/>
  <c r="F383" i="5"/>
  <c r="E383" i="5"/>
  <c r="D383" i="5"/>
  <c r="I382" i="5"/>
  <c r="F382" i="5"/>
  <c r="E382" i="5"/>
  <c r="D382" i="5"/>
  <c r="I381" i="5"/>
  <c r="F381" i="5"/>
  <c r="E381" i="5"/>
  <c r="D381" i="5"/>
  <c r="I380" i="5"/>
  <c r="F380" i="5"/>
  <c r="E380" i="5"/>
  <c r="D380" i="5"/>
  <c r="I379" i="5"/>
  <c r="F379" i="5"/>
  <c r="E379" i="5"/>
  <c r="D379" i="5"/>
  <c r="I378" i="5"/>
  <c r="F378" i="5"/>
  <c r="E378" i="5"/>
  <c r="D378" i="5"/>
  <c r="I377" i="5"/>
  <c r="F377" i="5"/>
  <c r="E377" i="5"/>
  <c r="D377" i="5"/>
  <c r="I376" i="5"/>
  <c r="F376" i="5"/>
  <c r="E376" i="5"/>
  <c r="D376" i="5"/>
  <c r="I375" i="5"/>
  <c r="F375" i="5"/>
  <c r="E375" i="5"/>
  <c r="D375" i="5"/>
  <c r="I374" i="5"/>
  <c r="F374" i="5"/>
  <c r="E374" i="5"/>
  <c r="D374" i="5"/>
  <c r="I373" i="5"/>
  <c r="F373" i="5"/>
  <c r="E373" i="5"/>
  <c r="D373" i="5"/>
  <c r="I372" i="5"/>
  <c r="F372" i="5"/>
  <c r="E372" i="5"/>
  <c r="D372" i="5"/>
  <c r="I371" i="5"/>
  <c r="F371" i="5"/>
  <c r="E371" i="5"/>
  <c r="D371" i="5"/>
  <c r="I370" i="5"/>
  <c r="F370" i="5"/>
  <c r="E370" i="5"/>
  <c r="D370" i="5"/>
  <c r="I369" i="5"/>
  <c r="F369" i="5"/>
  <c r="E369" i="5"/>
  <c r="D369" i="5"/>
  <c r="I368" i="5"/>
  <c r="F368" i="5"/>
  <c r="E368" i="5"/>
  <c r="D368" i="5"/>
  <c r="I367" i="5"/>
  <c r="F367" i="5"/>
  <c r="E367" i="5"/>
  <c r="D367" i="5"/>
  <c r="I366" i="5"/>
  <c r="F366" i="5"/>
  <c r="E366" i="5"/>
  <c r="D366" i="5"/>
  <c r="I365" i="5"/>
  <c r="F365" i="5"/>
  <c r="E365" i="5"/>
  <c r="D365" i="5"/>
  <c r="I364" i="5"/>
  <c r="F364" i="5"/>
  <c r="E364" i="5"/>
  <c r="D364" i="5"/>
  <c r="I363" i="5"/>
  <c r="F363" i="5"/>
  <c r="E363" i="5"/>
  <c r="D363" i="5"/>
  <c r="I362" i="5"/>
  <c r="F362" i="5"/>
  <c r="E362" i="5"/>
  <c r="D362" i="5"/>
  <c r="I361" i="5"/>
  <c r="F361" i="5"/>
  <c r="E361" i="5"/>
  <c r="D361" i="5"/>
  <c r="I360" i="5"/>
  <c r="F360" i="5"/>
  <c r="E360" i="5"/>
  <c r="D360" i="5"/>
  <c r="I359" i="5"/>
  <c r="F359" i="5"/>
  <c r="E359" i="5"/>
  <c r="D359" i="5"/>
  <c r="I358" i="5"/>
  <c r="F358" i="5"/>
  <c r="E358" i="5"/>
  <c r="D358" i="5"/>
  <c r="I357" i="5"/>
  <c r="F357" i="5"/>
  <c r="E357" i="5"/>
  <c r="D357" i="5"/>
  <c r="I356" i="5"/>
  <c r="F356" i="5"/>
  <c r="E356" i="5"/>
  <c r="D356" i="5"/>
  <c r="I355" i="5"/>
  <c r="F355" i="5"/>
  <c r="E355" i="5"/>
  <c r="D355" i="5"/>
  <c r="I354" i="5"/>
  <c r="F354" i="5"/>
  <c r="E354" i="5"/>
  <c r="D354" i="5"/>
  <c r="I353" i="5"/>
  <c r="F353" i="5"/>
  <c r="E353" i="5"/>
  <c r="D353" i="5"/>
  <c r="I352" i="5"/>
  <c r="F352" i="5"/>
  <c r="E352" i="5"/>
  <c r="D352" i="5"/>
  <c r="I351" i="5"/>
  <c r="F351" i="5"/>
  <c r="E351" i="5"/>
  <c r="D351" i="5"/>
  <c r="I350" i="5"/>
  <c r="F350" i="5"/>
  <c r="E350" i="5"/>
  <c r="D350" i="5"/>
  <c r="I349" i="5"/>
  <c r="F349" i="5"/>
  <c r="E349" i="5"/>
  <c r="D349" i="5"/>
  <c r="I348" i="5"/>
  <c r="F348" i="5"/>
  <c r="E348" i="5"/>
  <c r="D348" i="5"/>
  <c r="I347" i="5"/>
  <c r="F347" i="5"/>
  <c r="E347" i="5"/>
  <c r="D347" i="5"/>
  <c r="I346" i="5"/>
  <c r="F346" i="5"/>
  <c r="E346" i="5"/>
  <c r="D346" i="5"/>
  <c r="I345" i="5"/>
  <c r="F345" i="5"/>
  <c r="E345" i="5"/>
  <c r="D345" i="5"/>
  <c r="I344" i="5"/>
  <c r="F344" i="5"/>
  <c r="E344" i="5"/>
  <c r="D344" i="5"/>
  <c r="I343" i="5"/>
  <c r="F343" i="5"/>
  <c r="E343" i="5"/>
  <c r="D343" i="5"/>
  <c r="I342" i="5"/>
  <c r="F342" i="5"/>
  <c r="E342" i="5"/>
  <c r="D342" i="5"/>
  <c r="I341" i="5"/>
  <c r="F341" i="5"/>
  <c r="E341" i="5"/>
  <c r="D341" i="5"/>
  <c r="I340" i="5"/>
  <c r="F340" i="5"/>
  <c r="E340" i="5"/>
  <c r="D340" i="5"/>
  <c r="I339" i="5"/>
  <c r="F339" i="5"/>
  <c r="E339" i="5"/>
  <c r="D339" i="5"/>
  <c r="I338" i="5"/>
  <c r="F338" i="5"/>
  <c r="E338" i="5"/>
  <c r="D338" i="5"/>
  <c r="I337" i="5"/>
  <c r="F337" i="5"/>
  <c r="E337" i="5"/>
  <c r="D337" i="5"/>
  <c r="I336" i="5"/>
  <c r="F336" i="5"/>
  <c r="E336" i="5"/>
  <c r="D336" i="5"/>
  <c r="I335" i="5"/>
  <c r="F335" i="5"/>
  <c r="E335" i="5"/>
  <c r="D335" i="5"/>
  <c r="I334" i="5"/>
  <c r="F334" i="5"/>
  <c r="E334" i="5"/>
  <c r="D334" i="5"/>
  <c r="I333" i="5"/>
  <c r="F333" i="5"/>
  <c r="E333" i="5"/>
  <c r="D333" i="5"/>
  <c r="I332" i="5"/>
  <c r="F332" i="5"/>
  <c r="E332" i="5"/>
  <c r="D332" i="5"/>
  <c r="I331" i="5"/>
  <c r="F331" i="5"/>
  <c r="E331" i="5"/>
  <c r="D331" i="5"/>
  <c r="I330" i="5"/>
  <c r="F330" i="5"/>
  <c r="E330" i="5"/>
  <c r="D330" i="5"/>
  <c r="I329" i="5"/>
  <c r="F329" i="5"/>
  <c r="E329" i="5"/>
  <c r="D329" i="5"/>
  <c r="I328" i="5"/>
  <c r="F328" i="5"/>
  <c r="E328" i="5"/>
  <c r="D328" i="5"/>
  <c r="I327" i="5"/>
  <c r="F327" i="5"/>
  <c r="E327" i="5"/>
  <c r="D327" i="5"/>
  <c r="I326" i="5"/>
  <c r="F326" i="5"/>
  <c r="E326" i="5"/>
  <c r="D326" i="5"/>
  <c r="I325" i="5"/>
  <c r="F325" i="5"/>
  <c r="E325" i="5"/>
  <c r="D325" i="5"/>
  <c r="I324" i="5"/>
  <c r="F324" i="5"/>
  <c r="E324" i="5"/>
  <c r="D324" i="5"/>
  <c r="I323" i="5"/>
  <c r="F323" i="5"/>
  <c r="E323" i="5"/>
  <c r="D323" i="5"/>
  <c r="I322" i="5"/>
  <c r="F322" i="5"/>
  <c r="E322" i="5"/>
  <c r="D322" i="5"/>
  <c r="I321" i="5"/>
  <c r="F321" i="5"/>
  <c r="E321" i="5"/>
  <c r="D321" i="5"/>
  <c r="I320" i="5"/>
  <c r="F320" i="5"/>
  <c r="E320" i="5"/>
  <c r="D320" i="5"/>
  <c r="I319" i="5"/>
  <c r="F319" i="5"/>
  <c r="E319" i="5"/>
  <c r="D319" i="5"/>
  <c r="I318" i="5"/>
  <c r="F318" i="5"/>
  <c r="E318" i="5"/>
  <c r="D318" i="5"/>
  <c r="I317" i="5"/>
  <c r="F317" i="5"/>
  <c r="E317" i="5"/>
  <c r="D317" i="5"/>
  <c r="I316" i="5"/>
  <c r="F316" i="5"/>
  <c r="E316" i="5"/>
  <c r="D316" i="5"/>
  <c r="I315" i="5"/>
  <c r="F315" i="5"/>
  <c r="E315" i="5"/>
  <c r="D315" i="5"/>
  <c r="I314" i="5"/>
  <c r="F314" i="5"/>
  <c r="E314" i="5"/>
  <c r="D314" i="5"/>
  <c r="I313" i="5"/>
  <c r="F313" i="5"/>
  <c r="E313" i="5"/>
  <c r="D313" i="5"/>
  <c r="I312" i="5"/>
  <c r="F312" i="5"/>
  <c r="E312" i="5"/>
  <c r="D312" i="5"/>
  <c r="I311" i="5"/>
  <c r="F311" i="5"/>
  <c r="E311" i="5"/>
  <c r="D311" i="5"/>
  <c r="I310" i="5"/>
  <c r="F310" i="5"/>
  <c r="E310" i="5"/>
  <c r="D310" i="5"/>
  <c r="I309" i="5"/>
  <c r="F309" i="5"/>
  <c r="E309" i="5"/>
  <c r="D309" i="5"/>
  <c r="I308" i="5"/>
  <c r="F308" i="5"/>
  <c r="E308" i="5"/>
  <c r="D308" i="5"/>
  <c r="I307" i="5"/>
  <c r="F307" i="5"/>
  <c r="E307" i="5"/>
  <c r="D307" i="5"/>
  <c r="I306" i="5"/>
  <c r="F306" i="5"/>
  <c r="E306" i="5"/>
  <c r="D306" i="5"/>
  <c r="I305" i="5"/>
  <c r="F305" i="5"/>
  <c r="E305" i="5"/>
  <c r="D305" i="5"/>
  <c r="I304" i="5"/>
  <c r="F304" i="5"/>
  <c r="E304" i="5"/>
  <c r="D304" i="5"/>
  <c r="I303" i="5"/>
  <c r="F303" i="5"/>
  <c r="E303" i="5"/>
  <c r="D303" i="5"/>
  <c r="I302" i="5"/>
  <c r="F302" i="5"/>
  <c r="E302" i="5"/>
  <c r="D302" i="5"/>
  <c r="I301" i="5"/>
  <c r="F301" i="5"/>
  <c r="E301" i="5"/>
  <c r="D301" i="5"/>
  <c r="I300" i="5"/>
  <c r="F300" i="5"/>
  <c r="E300" i="5"/>
  <c r="D300" i="5"/>
  <c r="I299" i="5"/>
  <c r="F299" i="5"/>
  <c r="E299" i="5"/>
  <c r="D299" i="5"/>
  <c r="I298" i="5"/>
  <c r="F298" i="5"/>
  <c r="E298" i="5"/>
  <c r="D298" i="5"/>
  <c r="I297" i="5"/>
  <c r="F297" i="5"/>
  <c r="E297" i="5"/>
  <c r="D297" i="5"/>
  <c r="I296" i="5"/>
  <c r="F296" i="5"/>
  <c r="E296" i="5"/>
  <c r="D296" i="5"/>
  <c r="I295" i="5"/>
  <c r="F295" i="5"/>
  <c r="E295" i="5"/>
  <c r="D295" i="5"/>
  <c r="I294" i="5"/>
  <c r="F294" i="5"/>
  <c r="E294" i="5"/>
  <c r="D294" i="5"/>
  <c r="I293" i="5"/>
  <c r="F293" i="5"/>
  <c r="E293" i="5"/>
  <c r="D293" i="5"/>
  <c r="I292" i="5"/>
  <c r="F292" i="5"/>
  <c r="E292" i="5"/>
  <c r="D292" i="5"/>
  <c r="I291" i="5"/>
  <c r="F291" i="5"/>
  <c r="E291" i="5"/>
  <c r="D291" i="5"/>
  <c r="I290" i="5"/>
  <c r="F290" i="5"/>
  <c r="E290" i="5"/>
  <c r="D290" i="5"/>
  <c r="I289" i="5"/>
  <c r="F289" i="5"/>
  <c r="E289" i="5"/>
  <c r="D289" i="5"/>
  <c r="I288" i="5"/>
  <c r="F288" i="5"/>
  <c r="E288" i="5"/>
  <c r="D288" i="5"/>
  <c r="I287" i="5"/>
  <c r="F287" i="5"/>
  <c r="E287" i="5"/>
  <c r="D287" i="5"/>
  <c r="I286" i="5"/>
  <c r="F286" i="5"/>
  <c r="E286" i="5"/>
  <c r="D286" i="5"/>
  <c r="I285" i="5"/>
  <c r="F285" i="5"/>
  <c r="E285" i="5"/>
  <c r="D285" i="5"/>
  <c r="I284" i="5"/>
  <c r="F284" i="5"/>
  <c r="E284" i="5"/>
  <c r="D284" i="5"/>
  <c r="I283" i="5"/>
  <c r="F283" i="5"/>
  <c r="E283" i="5"/>
  <c r="D283" i="5"/>
  <c r="I282" i="5"/>
  <c r="F282" i="5"/>
  <c r="E282" i="5"/>
  <c r="D282" i="5"/>
  <c r="I281" i="5"/>
  <c r="F281" i="5"/>
  <c r="E281" i="5"/>
  <c r="D281" i="5"/>
  <c r="I280" i="5"/>
  <c r="F280" i="5"/>
  <c r="E280" i="5"/>
  <c r="D280" i="5"/>
  <c r="I279" i="5"/>
  <c r="F279" i="5"/>
  <c r="E279" i="5"/>
  <c r="D279" i="5"/>
  <c r="I278" i="5"/>
  <c r="F278" i="5"/>
  <c r="E278" i="5"/>
  <c r="D278" i="5"/>
  <c r="I277" i="5"/>
  <c r="F277" i="5"/>
  <c r="E277" i="5"/>
  <c r="D277" i="5"/>
  <c r="I276" i="5"/>
  <c r="F276" i="5"/>
  <c r="E276" i="5"/>
  <c r="D276" i="5"/>
  <c r="I275" i="5"/>
  <c r="F275" i="5"/>
  <c r="E275" i="5"/>
  <c r="D275" i="5"/>
  <c r="I274" i="5"/>
  <c r="F274" i="5"/>
  <c r="E274" i="5"/>
  <c r="D274" i="5"/>
  <c r="I273" i="5"/>
  <c r="F273" i="5"/>
  <c r="E273" i="5"/>
  <c r="D273" i="5"/>
  <c r="I272" i="5"/>
  <c r="F272" i="5"/>
  <c r="E272" i="5"/>
  <c r="D272" i="5"/>
  <c r="I271" i="5"/>
  <c r="F271" i="5"/>
  <c r="E271" i="5"/>
  <c r="D271" i="5"/>
  <c r="I270" i="5"/>
  <c r="F270" i="5"/>
  <c r="E270" i="5"/>
  <c r="D270" i="5"/>
  <c r="I269" i="5"/>
  <c r="F269" i="5"/>
  <c r="E269" i="5"/>
  <c r="D269" i="5"/>
  <c r="I268" i="5"/>
  <c r="F268" i="5"/>
  <c r="E268" i="5"/>
  <c r="D268" i="5"/>
  <c r="I267" i="5"/>
  <c r="F267" i="5"/>
  <c r="E267" i="5"/>
  <c r="D267" i="5"/>
  <c r="I266" i="5"/>
  <c r="F266" i="5"/>
  <c r="E266" i="5"/>
  <c r="D266" i="5"/>
  <c r="I265" i="5"/>
  <c r="F265" i="5"/>
  <c r="E265" i="5"/>
  <c r="D265" i="5"/>
  <c r="I264" i="5"/>
  <c r="F264" i="5"/>
  <c r="E264" i="5"/>
  <c r="D264" i="5"/>
  <c r="I263" i="5"/>
  <c r="F263" i="5"/>
  <c r="E263" i="5"/>
  <c r="D263" i="5"/>
  <c r="I262" i="5"/>
  <c r="F262" i="5"/>
  <c r="E262" i="5"/>
  <c r="D262" i="5"/>
  <c r="I261" i="5"/>
  <c r="F261" i="5"/>
  <c r="E261" i="5"/>
  <c r="D261" i="5"/>
  <c r="I260" i="5"/>
  <c r="F260" i="5"/>
  <c r="E260" i="5"/>
  <c r="D260" i="5"/>
  <c r="I259" i="5"/>
  <c r="F259" i="5"/>
  <c r="E259" i="5"/>
  <c r="D259" i="5"/>
  <c r="I258" i="5"/>
  <c r="F258" i="5"/>
  <c r="E258" i="5"/>
  <c r="D258" i="5"/>
  <c r="I257" i="5"/>
  <c r="F257" i="5"/>
  <c r="E257" i="5"/>
  <c r="D257" i="5"/>
  <c r="I256" i="5"/>
  <c r="F256" i="5"/>
  <c r="E256" i="5"/>
  <c r="D256" i="5"/>
  <c r="I255" i="5"/>
  <c r="F255" i="5"/>
  <c r="E255" i="5"/>
  <c r="D255" i="5"/>
  <c r="I254" i="5"/>
  <c r="F254" i="5"/>
  <c r="E254" i="5"/>
  <c r="D254" i="5"/>
  <c r="I253" i="5"/>
  <c r="F253" i="5"/>
  <c r="E253" i="5"/>
  <c r="D253" i="5"/>
  <c r="I252" i="5"/>
  <c r="F252" i="5"/>
  <c r="E252" i="5"/>
  <c r="D252" i="5"/>
  <c r="I251" i="5"/>
  <c r="F251" i="5"/>
  <c r="E251" i="5"/>
  <c r="D251" i="5"/>
  <c r="I250" i="5"/>
  <c r="F250" i="5"/>
  <c r="E250" i="5"/>
  <c r="D250" i="5"/>
  <c r="I249" i="5"/>
  <c r="F249" i="5"/>
  <c r="E249" i="5"/>
  <c r="D249" i="5"/>
  <c r="I248" i="5"/>
  <c r="F248" i="5"/>
  <c r="E248" i="5"/>
  <c r="D248" i="5"/>
  <c r="I247" i="5"/>
  <c r="F247" i="5"/>
  <c r="E247" i="5"/>
  <c r="D247" i="5"/>
  <c r="I246" i="5"/>
  <c r="F246" i="5"/>
  <c r="E246" i="5"/>
  <c r="D246" i="5"/>
  <c r="I245" i="5"/>
  <c r="F245" i="5"/>
  <c r="E245" i="5"/>
  <c r="D245" i="5"/>
  <c r="I244" i="5"/>
  <c r="F244" i="5"/>
  <c r="E244" i="5"/>
  <c r="D244" i="5"/>
  <c r="I243" i="5"/>
  <c r="F243" i="5"/>
  <c r="E243" i="5"/>
  <c r="D243" i="5"/>
  <c r="I242" i="5"/>
  <c r="F242" i="5"/>
  <c r="E242" i="5"/>
  <c r="D242" i="5"/>
  <c r="I241" i="5"/>
  <c r="F241" i="5"/>
  <c r="E241" i="5"/>
  <c r="D241" i="5"/>
  <c r="I240" i="5"/>
  <c r="F240" i="5"/>
  <c r="E240" i="5"/>
  <c r="D240" i="5"/>
  <c r="I239" i="5"/>
  <c r="F239" i="5"/>
  <c r="E239" i="5"/>
  <c r="D239" i="5"/>
  <c r="I238" i="5"/>
  <c r="F238" i="5"/>
  <c r="E238" i="5"/>
  <c r="D238" i="5"/>
  <c r="I237" i="5"/>
  <c r="F237" i="5"/>
  <c r="E237" i="5"/>
  <c r="D237" i="5"/>
  <c r="I236" i="5"/>
  <c r="F236" i="5"/>
  <c r="E236" i="5"/>
  <c r="D236" i="5"/>
  <c r="I235" i="5"/>
  <c r="F235" i="5"/>
  <c r="E235" i="5"/>
  <c r="D235" i="5"/>
  <c r="I234" i="5"/>
  <c r="F234" i="5"/>
  <c r="E234" i="5"/>
  <c r="D234" i="5"/>
  <c r="I233" i="5"/>
  <c r="F233" i="5"/>
  <c r="E233" i="5"/>
  <c r="D233" i="5"/>
  <c r="I232" i="5"/>
  <c r="F232" i="5"/>
  <c r="E232" i="5"/>
  <c r="D232" i="5"/>
  <c r="I231" i="5"/>
  <c r="F231" i="5"/>
  <c r="E231" i="5"/>
  <c r="D231" i="5"/>
  <c r="I230" i="5"/>
  <c r="F230" i="5"/>
  <c r="E230" i="5"/>
  <c r="D230" i="5"/>
  <c r="I229" i="5"/>
  <c r="F229" i="5"/>
  <c r="E229" i="5"/>
  <c r="D229" i="5"/>
  <c r="I228" i="5"/>
  <c r="F228" i="5"/>
  <c r="E228" i="5"/>
  <c r="D228" i="5"/>
  <c r="I227" i="5"/>
  <c r="F227" i="5"/>
  <c r="E227" i="5"/>
  <c r="D227" i="5"/>
  <c r="I226" i="5"/>
  <c r="F226" i="5"/>
  <c r="E226" i="5"/>
  <c r="D226" i="5"/>
  <c r="I225" i="5"/>
  <c r="F225" i="5"/>
  <c r="E225" i="5"/>
  <c r="D225" i="5"/>
  <c r="I224" i="5"/>
  <c r="F224" i="5"/>
  <c r="E224" i="5"/>
  <c r="D224" i="5"/>
  <c r="I223" i="5"/>
  <c r="F223" i="5"/>
  <c r="E223" i="5"/>
  <c r="D223" i="5"/>
  <c r="I222" i="5"/>
  <c r="F222" i="5"/>
  <c r="E222" i="5"/>
  <c r="D222" i="5"/>
  <c r="I221" i="5"/>
  <c r="F221" i="5"/>
  <c r="E221" i="5"/>
  <c r="D221" i="5"/>
  <c r="I220" i="5"/>
  <c r="F220" i="5"/>
  <c r="E220" i="5"/>
  <c r="D220" i="5"/>
  <c r="I219" i="5"/>
  <c r="F219" i="5"/>
  <c r="E219" i="5"/>
  <c r="D219" i="5"/>
  <c r="I218" i="5"/>
  <c r="F218" i="5"/>
  <c r="E218" i="5"/>
  <c r="D218" i="5"/>
  <c r="I217" i="5"/>
  <c r="F217" i="5"/>
  <c r="E217" i="5"/>
  <c r="D217" i="5"/>
  <c r="I216" i="5"/>
  <c r="F216" i="5"/>
  <c r="E216" i="5"/>
  <c r="D216" i="5"/>
  <c r="I215" i="5"/>
  <c r="F215" i="5"/>
  <c r="E215" i="5"/>
  <c r="D215" i="5"/>
  <c r="I214" i="5"/>
  <c r="F214" i="5"/>
  <c r="E214" i="5"/>
  <c r="D214" i="5"/>
  <c r="I213" i="5"/>
  <c r="F213" i="5"/>
  <c r="E213" i="5"/>
  <c r="D213" i="5"/>
  <c r="I212" i="5"/>
  <c r="F212" i="5"/>
  <c r="E212" i="5"/>
  <c r="D212" i="5"/>
  <c r="I211" i="5"/>
  <c r="F211" i="5"/>
  <c r="E211" i="5"/>
  <c r="D211" i="5"/>
  <c r="I210" i="5"/>
  <c r="F210" i="5"/>
  <c r="E210" i="5"/>
  <c r="D210" i="5"/>
  <c r="I209" i="5"/>
  <c r="F209" i="5"/>
  <c r="E209" i="5"/>
  <c r="D209" i="5"/>
  <c r="I208" i="5"/>
  <c r="F208" i="5"/>
  <c r="E208" i="5"/>
  <c r="D208" i="5"/>
  <c r="I207" i="5"/>
  <c r="F207" i="5"/>
  <c r="E207" i="5"/>
  <c r="D207" i="5"/>
  <c r="I206" i="5"/>
  <c r="F206" i="5"/>
  <c r="E206" i="5"/>
  <c r="D206" i="5"/>
  <c r="I205" i="5"/>
  <c r="F205" i="5"/>
  <c r="E205" i="5"/>
  <c r="D205" i="5"/>
  <c r="I204" i="5"/>
  <c r="F204" i="5"/>
  <c r="E204" i="5"/>
  <c r="D204" i="5"/>
  <c r="I203" i="5"/>
  <c r="F203" i="5"/>
  <c r="E203" i="5"/>
  <c r="D203" i="5"/>
  <c r="I202" i="5"/>
  <c r="F202" i="5"/>
  <c r="E202" i="5"/>
  <c r="D202" i="5"/>
  <c r="I201" i="5"/>
  <c r="F201" i="5"/>
  <c r="E201" i="5"/>
  <c r="D201" i="5"/>
  <c r="I200" i="5"/>
  <c r="F200" i="5"/>
  <c r="E200" i="5"/>
  <c r="D200" i="5"/>
  <c r="I199" i="5"/>
  <c r="F199" i="5"/>
  <c r="E199" i="5"/>
  <c r="D199" i="5"/>
  <c r="I198" i="5"/>
  <c r="F198" i="5"/>
  <c r="E198" i="5"/>
  <c r="D198" i="5"/>
  <c r="I197" i="5"/>
  <c r="F197" i="5"/>
  <c r="E197" i="5"/>
  <c r="D197" i="5"/>
  <c r="I196" i="5"/>
  <c r="F196" i="5"/>
  <c r="E196" i="5"/>
  <c r="D196" i="5"/>
  <c r="I195" i="5"/>
  <c r="F195" i="5"/>
  <c r="E195" i="5"/>
  <c r="D195" i="5"/>
  <c r="I194" i="5"/>
  <c r="F194" i="5"/>
  <c r="E194" i="5"/>
  <c r="D194" i="5"/>
  <c r="I193" i="5"/>
  <c r="F193" i="5"/>
  <c r="E193" i="5"/>
  <c r="D193" i="5"/>
  <c r="I192" i="5"/>
  <c r="F192" i="5"/>
  <c r="E192" i="5"/>
  <c r="D192" i="5"/>
  <c r="I191" i="5"/>
  <c r="F191" i="5"/>
  <c r="E191" i="5"/>
  <c r="D191" i="5"/>
  <c r="I190" i="5"/>
  <c r="F190" i="5"/>
  <c r="E190" i="5"/>
  <c r="D190" i="5"/>
  <c r="I189" i="5"/>
  <c r="F189" i="5"/>
  <c r="E189" i="5"/>
  <c r="D189" i="5"/>
  <c r="I188" i="5"/>
  <c r="F188" i="5"/>
  <c r="E188" i="5"/>
  <c r="D188" i="5"/>
  <c r="I187" i="5"/>
  <c r="F187" i="5"/>
  <c r="E187" i="5"/>
  <c r="D187" i="5"/>
  <c r="I186" i="5"/>
  <c r="F186" i="5"/>
  <c r="E186" i="5"/>
  <c r="D186" i="5"/>
  <c r="I185" i="5"/>
  <c r="F185" i="5"/>
  <c r="E185" i="5"/>
  <c r="D185" i="5"/>
  <c r="I184" i="5"/>
  <c r="F184" i="5"/>
  <c r="E184" i="5"/>
  <c r="D184" i="5"/>
  <c r="I183" i="5"/>
  <c r="F183" i="5"/>
  <c r="E183" i="5"/>
  <c r="D183" i="5"/>
  <c r="I182" i="5"/>
  <c r="F182" i="5"/>
  <c r="E182" i="5"/>
  <c r="D182" i="5"/>
  <c r="I181" i="5"/>
  <c r="F181" i="5"/>
  <c r="E181" i="5"/>
  <c r="D181" i="5"/>
  <c r="I180" i="5"/>
  <c r="F180" i="5"/>
  <c r="E180" i="5"/>
  <c r="D180" i="5"/>
  <c r="I179" i="5"/>
  <c r="F179" i="5"/>
  <c r="E179" i="5"/>
  <c r="D179" i="5"/>
  <c r="I178" i="5"/>
  <c r="F178" i="5"/>
  <c r="E178" i="5"/>
  <c r="D178" i="5"/>
  <c r="I177" i="5"/>
  <c r="F177" i="5"/>
  <c r="E177" i="5"/>
  <c r="D177" i="5"/>
  <c r="I176" i="5"/>
  <c r="F176" i="5"/>
  <c r="E176" i="5"/>
  <c r="D176" i="5"/>
  <c r="I175" i="5"/>
  <c r="F175" i="5"/>
  <c r="E175" i="5"/>
  <c r="D175" i="5"/>
  <c r="I174" i="5"/>
  <c r="F174" i="5"/>
  <c r="E174" i="5"/>
  <c r="D174" i="5"/>
  <c r="I173" i="5"/>
  <c r="F173" i="5"/>
  <c r="E173" i="5"/>
  <c r="D173" i="5"/>
  <c r="I172" i="5"/>
  <c r="F172" i="5"/>
  <c r="E172" i="5"/>
  <c r="D172" i="5"/>
  <c r="I171" i="5"/>
  <c r="F171" i="5"/>
  <c r="E171" i="5"/>
  <c r="D171" i="5"/>
  <c r="I170" i="5"/>
  <c r="F170" i="5"/>
  <c r="E170" i="5"/>
  <c r="D170" i="5"/>
  <c r="I169" i="5"/>
  <c r="F169" i="5"/>
  <c r="E169" i="5"/>
  <c r="D169" i="5"/>
  <c r="I168" i="5"/>
  <c r="F168" i="5"/>
  <c r="E168" i="5"/>
  <c r="D168" i="5"/>
  <c r="I167" i="5"/>
  <c r="F167" i="5"/>
  <c r="E167" i="5"/>
  <c r="D167" i="5"/>
  <c r="I166" i="5"/>
  <c r="F166" i="5"/>
  <c r="E166" i="5"/>
  <c r="D166" i="5"/>
  <c r="I165" i="5"/>
  <c r="F165" i="5"/>
  <c r="E165" i="5"/>
  <c r="D165" i="5"/>
  <c r="I164" i="5"/>
  <c r="F164" i="5"/>
  <c r="E164" i="5"/>
  <c r="D164" i="5"/>
  <c r="I163" i="5"/>
  <c r="F163" i="5"/>
  <c r="E163" i="5"/>
  <c r="D163" i="5"/>
  <c r="I162" i="5"/>
  <c r="F162" i="5"/>
  <c r="E162" i="5"/>
  <c r="D162" i="5"/>
  <c r="I161" i="5"/>
  <c r="F161" i="5"/>
  <c r="E161" i="5"/>
  <c r="D161" i="5"/>
  <c r="I160" i="5"/>
  <c r="F160" i="5"/>
  <c r="E160" i="5"/>
  <c r="D160" i="5"/>
  <c r="I159" i="5"/>
  <c r="F159" i="5"/>
  <c r="E159" i="5"/>
  <c r="D159" i="5"/>
  <c r="I158" i="5"/>
  <c r="F158" i="5"/>
  <c r="E158" i="5"/>
  <c r="D158" i="5"/>
  <c r="I157" i="5"/>
  <c r="F157" i="5"/>
  <c r="E157" i="5"/>
  <c r="D157" i="5"/>
  <c r="I156" i="5"/>
  <c r="F156" i="5"/>
  <c r="E156" i="5"/>
  <c r="D156" i="5"/>
  <c r="I155" i="5"/>
  <c r="F155" i="5"/>
  <c r="E155" i="5"/>
  <c r="D155" i="5"/>
  <c r="I154" i="5"/>
  <c r="F154" i="5"/>
  <c r="E154" i="5"/>
  <c r="D154" i="5"/>
  <c r="I153" i="5"/>
  <c r="F153" i="5"/>
  <c r="E153" i="5"/>
  <c r="D153" i="5"/>
  <c r="I152" i="5"/>
  <c r="F152" i="5"/>
  <c r="E152" i="5"/>
  <c r="D152" i="5"/>
  <c r="I151" i="5"/>
  <c r="F151" i="5"/>
  <c r="E151" i="5"/>
  <c r="D151" i="5"/>
  <c r="I150" i="5"/>
  <c r="F150" i="5"/>
  <c r="E150" i="5"/>
  <c r="D150" i="5"/>
  <c r="I149" i="5"/>
  <c r="F149" i="5"/>
  <c r="E149" i="5"/>
  <c r="D149" i="5"/>
  <c r="I148" i="5"/>
  <c r="F148" i="5"/>
  <c r="E148" i="5"/>
  <c r="D148" i="5"/>
  <c r="I147" i="5"/>
  <c r="F147" i="5"/>
  <c r="E147" i="5"/>
  <c r="D147" i="5"/>
  <c r="I146" i="5"/>
  <c r="F146" i="5"/>
  <c r="E146" i="5"/>
  <c r="D146" i="5"/>
  <c r="I145" i="5"/>
  <c r="F145" i="5"/>
  <c r="E145" i="5"/>
  <c r="D145" i="5"/>
  <c r="I144" i="5"/>
  <c r="F144" i="5"/>
  <c r="E144" i="5"/>
  <c r="D144" i="5"/>
  <c r="I143" i="5"/>
  <c r="F143" i="5"/>
  <c r="E143" i="5"/>
  <c r="D143" i="5"/>
  <c r="I142" i="5"/>
  <c r="F142" i="5"/>
  <c r="E142" i="5"/>
  <c r="D142" i="5"/>
  <c r="I141" i="5"/>
  <c r="F141" i="5"/>
  <c r="E141" i="5"/>
  <c r="D141" i="5"/>
  <c r="I140" i="5"/>
  <c r="F140" i="5"/>
  <c r="E140" i="5"/>
  <c r="D140" i="5"/>
  <c r="I139" i="5"/>
  <c r="F139" i="5"/>
  <c r="E139" i="5"/>
  <c r="D139" i="5"/>
  <c r="I138" i="5"/>
  <c r="F138" i="5"/>
  <c r="E138" i="5"/>
  <c r="D138" i="5"/>
  <c r="I137" i="5"/>
  <c r="F137" i="5"/>
  <c r="E137" i="5"/>
  <c r="D137" i="5"/>
  <c r="I136" i="5"/>
  <c r="F136" i="5"/>
  <c r="E136" i="5"/>
  <c r="D136" i="5"/>
  <c r="I135" i="5"/>
  <c r="F135" i="5"/>
  <c r="E135" i="5"/>
  <c r="D135" i="5"/>
  <c r="I134" i="5"/>
  <c r="F134" i="5"/>
  <c r="E134" i="5"/>
  <c r="D134" i="5"/>
  <c r="I133" i="5"/>
  <c r="F133" i="5"/>
  <c r="E133" i="5"/>
  <c r="D133" i="5"/>
  <c r="I132" i="5"/>
  <c r="F132" i="5"/>
  <c r="E132" i="5"/>
  <c r="D132" i="5"/>
  <c r="I131" i="5"/>
  <c r="F131" i="5"/>
  <c r="E131" i="5"/>
  <c r="D131" i="5"/>
  <c r="I130" i="5"/>
  <c r="F130" i="5"/>
  <c r="E130" i="5"/>
  <c r="D130" i="5"/>
  <c r="I129" i="5"/>
  <c r="F129" i="5"/>
  <c r="E129" i="5"/>
  <c r="D129" i="5"/>
  <c r="I128" i="5"/>
  <c r="F128" i="5"/>
  <c r="E128" i="5"/>
  <c r="D128" i="5"/>
  <c r="I127" i="5"/>
  <c r="F127" i="5"/>
  <c r="E127" i="5"/>
  <c r="D127" i="5"/>
  <c r="I126" i="5"/>
  <c r="F126" i="5"/>
  <c r="E126" i="5"/>
  <c r="D126" i="5"/>
  <c r="I125" i="5"/>
  <c r="F125" i="5"/>
  <c r="E125" i="5"/>
  <c r="D125" i="5"/>
  <c r="I124" i="5"/>
  <c r="F124" i="5"/>
  <c r="E124" i="5"/>
  <c r="D124" i="5"/>
  <c r="I123" i="5"/>
  <c r="F123" i="5"/>
  <c r="E123" i="5"/>
  <c r="D123" i="5"/>
  <c r="I122" i="5"/>
  <c r="F122" i="5"/>
  <c r="E122" i="5"/>
  <c r="D122" i="5"/>
  <c r="I121" i="5"/>
  <c r="F121" i="5"/>
  <c r="E121" i="5"/>
  <c r="D121" i="5"/>
  <c r="I120" i="5"/>
  <c r="F120" i="5"/>
  <c r="E120" i="5"/>
  <c r="D120" i="5"/>
  <c r="I119" i="5"/>
  <c r="F119" i="5"/>
  <c r="E119" i="5"/>
  <c r="D119" i="5"/>
  <c r="I118" i="5"/>
  <c r="F118" i="5"/>
  <c r="E118" i="5"/>
  <c r="D118" i="5"/>
  <c r="I117" i="5"/>
  <c r="F117" i="5"/>
  <c r="E117" i="5"/>
  <c r="D117" i="5"/>
  <c r="I116" i="5"/>
  <c r="F116" i="5"/>
  <c r="E116" i="5"/>
  <c r="D116" i="5"/>
  <c r="I115" i="5"/>
  <c r="F115" i="5"/>
  <c r="E115" i="5"/>
  <c r="D115" i="5"/>
  <c r="I114" i="5"/>
  <c r="F114" i="5"/>
  <c r="E114" i="5"/>
  <c r="D114" i="5"/>
  <c r="I113" i="5"/>
  <c r="F113" i="5"/>
  <c r="E113" i="5"/>
  <c r="D113" i="5"/>
  <c r="I112" i="5"/>
  <c r="F112" i="5"/>
  <c r="E112" i="5"/>
  <c r="D112" i="5"/>
  <c r="I111" i="5"/>
  <c r="F111" i="5"/>
  <c r="E111" i="5"/>
  <c r="D111" i="5"/>
  <c r="I110" i="5"/>
  <c r="F110" i="5"/>
  <c r="E110" i="5"/>
  <c r="D110" i="5"/>
  <c r="I109" i="5"/>
  <c r="F109" i="5"/>
  <c r="E109" i="5"/>
  <c r="D109" i="5"/>
  <c r="I108" i="5"/>
  <c r="F108" i="5"/>
  <c r="E108" i="5"/>
  <c r="D108" i="5"/>
  <c r="I107" i="5"/>
  <c r="F107" i="5"/>
  <c r="E107" i="5"/>
  <c r="D107" i="5"/>
  <c r="I106" i="5"/>
  <c r="F106" i="5"/>
  <c r="E106" i="5"/>
  <c r="D106" i="5"/>
  <c r="I105" i="5"/>
  <c r="F105" i="5"/>
  <c r="E105" i="5"/>
  <c r="D105" i="5"/>
  <c r="I104" i="5"/>
  <c r="F104" i="5"/>
  <c r="E104" i="5"/>
  <c r="D104" i="5"/>
  <c r="I103" i="5"/>
  <c r="F103" i="5"/>
  <c r="E103" i="5"/>
  <c r="D103" i="5"/>
  <c r="I102" i="5"/>
  <c r="F102" i="5"/>
  <c r="E102" i="5"/>
  <c r="D102" i="5"/>
  <c r="I101" i="5"/>
  <c r="F101" i="5"/>
  <c r="E101" i="5"/>
  <c r="D101" i="5"/>
  <c r="I100" i="5"/>
  <c r="F100" i="5"/>
  <c r="E100" i="5"/>
  <c r="D100" i="5"/>
  <c r="I99" i="5"/>
  <c r="F99" i="5"/>
  <c r="E99" i="5"/>
  <c r="D99" i="5"/>
  <c r="I98" i="5"/>
  <c r="F98" i="5"/>
  <c r="E98" i="5"/>
  <c r="D98" i="5"/>
  <c r="I97" i="5"/>
  <c r="F97" i="5"/>
  <c r="E97" i="5"/>
  <c r="D97" i="5"/>
  <c r="I96" i="5"/>
  <c r="F96" i="5"/>
  <c r="E96" i="5"/>
  <c r="D96" i="5"/>
  <c r="I95" i="5"/>
  <c r="F95" i="5"/>
  <c r="E95" i="5"/>
  <c r="D95" i="5"/>
  <c r="I94" i="5"/>
  <c r="F94" i="5"/>
  <c r="E94" i="5"/>
  <c r="D94" i="5"/>
  <c r="I93" i="5"/>
  <c r="F93" i="5"/>
  <c r="E93" i="5"/>
  <c r="D93" i="5"/>
  <c r="I92" i="5"/>
  <c r="F92" i="5"/>
  <c r="E92" i="5"/>
  <c r="D92" i="5"/>
  <c r="I91" i="5"/>
  <c r="F91" i="5"/>
  <c r="E91" i="5"/>
  <c r="D91" i="5"/>
  <c r="I90" i="5"/>
  <c r="F90" i="5"/>
  <c r="E90" i="5"/>
  <c r="D90" i="5"/>
  <c r="I89" i="5"/>
  <c r="F89" i="5"/>
  <c r="E89" i="5"/>
  <c r="D89" i="5"/>
  <c r="I88" i="5"/>
  <c r="F88" i="5"/>
  <c r="E88" i="5"/>
  <c r="D88" i="5"/>
  <c r="I87" i="5"/>
  <c r="F87" i="5"/>
  <c r="E87" i="5"/>
  <c r="D87" i="5"/>
  <c r="I86" i="5"/>
  <c r="F86" i="5"/>
  <c r="E86" i="5"/>
  <c r="D86" i="5"/>
  <c r="I85" i="5"/>
  <c r="F85" i="5"/>
  <c r="E85" i="5"/>
  <c r="D85" i="5"/>
  <c r="I84" i="5"/>
  <c r="F84" i="5"/>
  <c r="E84" i="5"/>
  <c r="D84" i="5"/>
  <c r="I83" i="5"/>
  <c r="F83" i="5"/>
  <c r="E83" i="5"/>
  <c r="D83" i="5"/>
  <c r="I82" i="5"/>
  <c r="F82" i="5"/>
  <c r="E82" i="5"/>
  <c r="D82" i="5"/>
  <c r="I81" i="5"/>
  <c r="F81" i="5"/>
  <c r="E81" i="5"/>
  <c r="D81" i="5"/>
  <c r="I80" i="5"/>
  <c r="F80" i="5"/>
  <c r="E80" i="5"/>
  <c r="D80" i="5"/>
  <c r="I79" i="5"/>
  <c r="F79" i="5"/>
  <c r="E79" i="5"/>
  <c r="D79" i="5"/>
  <c r="I78" i="5"/>
  <c r="F78" i="5"/>
  <c r="E78" i="5"/>
  <c r="D78" i="5"/>
  <c r="I77" i="5"/>
  <c r="F77" i="5"/>
  <c r="E77" i="5"/>
  <c r="D77" i="5"/>
  <c r="I76" i="5"/>
  <c r="F76" i="5"/>
  <c r="E76" i="5"/>
  <c r="D76" i="5"/>
  <c r="I75" i="5"/>
  <c r="F75" i="5"/>
  <c r="E75" i="5"/>
  <c r="D75" i="5"/>
  <c r="I74" i="5"/>
  <c r="F74" i="5"/>
  <c r="E74" i="5"/>
  <c r="D74" i="5"/>
  <c r="I73" i="5"/>
  <c r="F73" i="5"/>
  <c r="E73" i="5"/>
  <c r="D73" i="5"/>
  <c r="I72" i="5"/>
  <c r="F72" i="5"/>
  <c r="E72" i="5"/>
  <c r="D72" i="5"/>
  <c r="I71" i="5"/>
  <c r="F71" i="5"/>
  <c r="E71" i="5"/>
  <c r="D71" i="5"/>
  <c r="I70" i="5"/>
  <c r="F70" i="5"/>
  <c r="E70" i="5"/>
  <c r="D70" i="5"/>
  <c r="I69" i="5"/>
  <c r="F69" i="5"/>
  <c r="E69" i="5"/>
  <c r="D69" i="5"/>
  <c r="I68" i="5"/>
  <c r="F68" i="5"/>
  <c r="E68" i="5"/>
  <c r="D68" i="5"/>
  <c r="I67" i="5"/>
  <c r="F67" i="5"/>
  <c r="E67" i="5"/>
  <c r="D67" i="5"/>
  <c r="I66" i="5"/>
  <c r="F66" i="5"/>
  <c r="E66" i="5"/>
  <c r="D66" i="5"/>
  <c r="I65" i="5"/>
  <c r="F65" i="5"/>
  <c r="E65" i="5"/>
  <c r="D65" i="5"/>
  <c r="I64" i="5"/>
  <c r="F64" i="5"/>
  <c r="E64" i="5"/>
  <c r="D64" i="5"/>
  <c r="I63" i="5"/>
  <c r="F63" i="5"/>
  <c r="E63" i="5"/>
  <c r="D63" i="5"/>
  <c r="I62" i="5"/>
  <c r="F62" i="5"/>
  <c r="E62" i="5"/>
  <c r="D62" i="5"/>
  <c r="I61" i="5"/>
  <c r="F61" i="5"/>
  <c r="E61" i="5"/>
  <c r="D61" i="5"/>
  <c r="I60" i="5"/>
  <c r="F60" i="5"/>
  <c r="E60" i="5"/>
  <c r="D60" i="5"/>
  <c r="I59" i="5"/>
  <c r="F59" i="5"/>
  <c r="E59" i="5"/>
  <c r="D59" i="5"/>
  <c r="I58" i="5"/>
  <c r="F58" i="5"/>
  <c r="E58" i="5"/>
  <c r="D58" i="5"/>
  <c r="I57" i="5"/>
  <c r="F57" i="5"/>
  <c r="E57" i="5"/>
  <c r="D57" i="5"/>
  <c r="I56" i="5"/>
  <c r="F56" i="5"/>
  <c r="E56" i="5"/>
  <c r="D56" i="5"/>
  <c r="I55" i="5"/>
  <c r="F55" i="5"/>
  <c r="E55" i="5"/>
  <c r="D55" i="5"/>
  <c r="I54" i="5"/>
  <c r="F54" i="5"/>
  <c r="E54" i="5"/>
  <c r="D54" i="5"/>
  <c r="I53" i="5"/>
  <c r="F53" i="5"/>
  <c r="E53" i="5"/>
  <c r="D53" i="5"/>
  <c r="I52" i="5"/>
  <c r="F52" i="5"/>
  <c r="E52" i="5"/>
  <c r="D52" i="5"/>
  <c r="I51" i="5"/>
  <c r="F51" i="5"/>
  <c r="E51" i="5"/>
  <c r="D51" i="5"/>
  <c r="I50" i="5"/>
  <c r="F50" i="5"/>
  <c r="E50" i="5"/>
  <c r="D50" i="5"/>
  <c r="I49" i="5"/>
  <c r="F49" i="5"/>
  <c r="E49" i="5"/>
  <c r="D49" i="5"/>
  <c r="I48" i="5"/>
  <c r="F48" i="5"/>
  <c r="E48" i="5"/>
  <c r="D48" i="5"/>
  <c r="I47" i="5"/>
  <c r="F47" i="5"/>
  <c r="E47" i="5"/>
  <c r="D47" i="5"/>
  <c r="I46" i="5"/>
  <c r="F46" i="5"/>
  <c r="E46" i="5"/>
  <c r="D46" i="5"/>
  <c r="I45" i="5"/>
  <c r="F45" i="5"/>
  <c r="E45" i="5"/>
  <c r="D45" i="5"/>
  <c r="I44" i="5"/>
  <c r="F44" i="5"/>
  <c r="E44" i="5"/>
  <c r="D44" i="5"/>
  <c r="I43" i="5"/>
  <c r="F43" i="5"/>
  <c r="E43" i="5"/>
  <c r="D43" i="5"/>
  <c r="I42" i="5"/>
  <c r="F42" i="5"/>
  <c r="E42" i="5"/>
  <c r="D42" i="5"/>
  <c r="I41" i="5"/>
  <c r="F41" i="5"/>
  <c r="E41" i="5"/>
  <c r="D41" i="5"/>
  <c r="I40" i="5"/>
  <c r="F40" i="5"/>
  <c r="E40" i="5"/>
  <c r="D40" i="5"/>
  <c r="I39" i="5"/>
  <c r="F39" i="5"/>
  <c r="E39" i="5"/>
  <c r="D39" i="5"/>
  <c r="I38" i="5"/>
  <c r="F38" i="5"/>
  <c r="E38" i="5"/>
  <c r="D38" i="5"/>
  <c r="I37" i="5"/>
  <c r="F37" i="5"/>
  <c r="E37" i="5"/>
  <c r="D37" i="5"/>
  <c r="I36" i="5"/>
  <c r="F36" i="5"/>
  <c r="E36" i="5"/>
  <c r="D36" i="5"/>
  <c r="I35" i="5"/>
  <c r="F35" i="5"/>
  <c r="E35" i="5"/>
  <c r="D35" i="5"/>
  <c r="I34" i="5"/>
  <c r="F34" i="5"/>
  <c r="E34" i="5"/>
  <c r="D34" i="5"/>
  <c r="I33" i="5"/>
  <c r="F33" i="5"/>
  <c r="E33" i="5"/>
  <c r="D33" i="5"/>
  <c r="I32" i="5"/>
  <c r="F32" i="5"/>
  <c r="E32" i="5"/>
  <c r="D32" i="5"/>
  <c r="I31" i="5"/>
  <c r="F31" i="5"/>
  <c r="E31" i="5"/>
  <c r="D31" i="5"/>
  <c r="I30" i="5"/>
  <c r="F30" i="5"/>
  <c r="E30" i="5"/>
  <c r="D30" i="5"/>
  <c r="I29" i="5"/>
  <c r="F29" i="5"/>
  <c r="E29" i="5"/>
  <c r="D29" i="5"/>
  <c r="I28" i="5"/>
  <c r="F28" i="5"/>
  <c r="E28" i="5"/>
  <c r="D28" i="5"/>
  <c r="I27" i="5"/>
  <c r="F27" i="5"/>
  <c r="E27" i="5"/>
  <c r="D27" i="5"/>
  <c r="I26" i="5"/>
  <c r="F26" i="5"/>
  <c r="E26" i="5"/>
  <c r="D26" i="5"/>
  <c r="I25" i="5"/>
  <c r="F25" i="5"/>
  <c r="E25" i="5"/>
  <c r="D25" i="5"/>
  <c r="I24" i="5"/>
  <c r="F24" i="5"/>
  <c r="E24" i="5"/>
  <c r="D24" i="5"/>
  <c r="I23" i="5"/>
  <c r="F23" i="5"/>
  <c r="E23" i="5"/>
  <c r="D23" i="5"/>
  <c r="I22" i="5"/>
  <c r="F22" i="5"/>
  <c r="E22" i="5"/>
  <c r="D22" i="5"/>
  <c r="I21" i="5"/>
  <c r="F21" i="5"/>
  <c r="E21" i="5"/>
  <c r="D21" i="5"/>
  <c r="I20" i="5"/>
  <c r="F20" i="5"/>
  <c r="E20" i="5"/>
  <c r="D20" i="5"/>
  <c r="I19" i="5"/>
  <c r="F19" i="5"/>
  <c r="E19" i="5"/>
  <c r="D19" i="5"/>
  <c r="I18" i="5"/>
  <c r="F18" i="5"/>
  <c r="E18" i="5"/>
  <c r="D18" i="5"/>
  <c r="I17" i="5"/>
  <c r="F17" i="5"/>
  <c r="E17" i="5"/>
  <c r="D17" i="5"/>
  <c r="I16" i="5"/>
  <c r="F16" i="5"/>
  <c r="E16" i="5"/>
  <c r="D16" i="5"/>
  <c r="I15" i="5"/>
  <c r="F15" i="5"/>
  <c r="E15" i="5"/>
  <c r="D15" i="5"/>
  <c r="I14" i="5"/>
  <c r="F14" i="5"/>
  <c r="E14" i="5"/>
  <c r="D14" i="5"/>
  <c r="I13" i="5"/>
  <c r="F13" i="5"/>
  <c r="E13" i="5"/>
  <c r="D13" i="5"/>
  <c r="I12" i="5"/>
  <c r="F12" i="5"/>
  <c r="E12" i="5"/>
  <c r="D12" i="5"/>
  <c r="I11" i="5"/>
  <c r="F11" i="5"/>
  <c r="E11" i="5"/>
  <c r="D11" i="5"/>
  <c r="I10" i="5"/>
  <c r="F10" i="5"/>
  <c r="E10" i="5"/>
  <c r="D10" i="5"/>
  <c r="I9" i="5"/>
  <c r="F9" i="5"/>
  <c r="E9" i="5"/>
  <c r="D9" i="5"/>
  <c r="I8" i="5"/>
  <c r="F8" i="5"/>
  <c r="E8" i="5"/>
  <c r="D8" i="5"/>
  <c r="I7" i="5"/>
  <c r="F7" i="5"/>
  <c r="E7" i="5"/>
  <c r="D7" i="5"/>
  <c r="I6" i="5"/>
  <c r="F6" i="5"/>
  <c r="E6" i="5"/>
  <c r="D6" i="5"/>
  <c r="I5" i="5"/>
  <c r="F5" i="5"/>
  <c r="E5" i="5"/>
  <c r="D5" i="5"/>
  <c r="I4" i="5"/>
  <c r="F4" i="5"/>
  <c r="E4" i="5"/>
  <c r="D4" i="5"/>
  <c r="I3" i="5"/>
  <c r="F3" i="5"/>
  <c r="E3" i="5"/>
  <c r="B40" i="6" s="1"/>
  <c r="D3" i="5"/>
  <c r="I2" i="5"/>
  <c r="F2" i="5"/>
  <c r="E2" i="5"/>
  <c r="B210" i="6" s="1"/>
  <c r="Q1903" i="2"/>
  <c r="P1903" i="2"/>
  <c r="O1903" i="2"/>
  <c r="N1903" i="2"/>
  <c r="BK967" i="2"/>
  <c r="BI967" i="2"/>
  <c r="BG967" i="2"/>
  <c r="BE967" i="2"/>
  <c r="BC967" i="2"/>
  <c r="BA967" i="2"/>
  <c r="AY967" i="2"/>
  <c r="AW967" i="2"/>
  <c r="AU967" i="2"/>
  <c r="AS967" i="2"/>
  <c r="AP967" i="2"/>
  <c r="AN967" i="2"/>
  <c r="AL967" i="2"/>
  <c r="AJ967" i="2"/>
  <c r="AH967" i="2"/>
  <c r="AF967" i="2"/>
  <c r="AD967" i="2"/>
  <c r="AB967" i="2"/>
  <c r="Z967" i="2"/>
  <c r="X967" i="2"/>
  <c r="U967" i="2"/>
  <c r="S967" i="2"/>
  <c r="Q967" i="2"/>
  <c r="O967" i="2"/>
  <c r="M967" i="2"/>
  <c r="K967" i="2"/>
  <c r="I967" i="2"/>
  <c r="G967" i="2"/>
  <c r="E967" i="2"/>
  <c r="C967" i="2"/>
  <c r="BK966" i="2"/>
  <c r="BI966" i="2"/>
  <c r="BG966" i="2"/>
  <c r="BE966" i="2"/>
  <c r="BC966" i="2"/>
  <c r="BA966" i="2"/>
  <c r="AY966" i="2"/>
  <c r="AW966" i="2"/>
  <c r="AU966" i="2"/>
  <c r="AS966" i="2"/>
  <c r="AP966" i="2"/>
  <c r="AN966" i="2"/>
  <c r="AL966" i="2"/>
  <c r="AJ966" i="2"/>
  <c r="AH966" i="2"/>
  <c r="AF966" i="2"/>
  <c r="AD966" i="2"/>
  <c r="AB966" i="2"/>
  <c r="Z966" i="2"/>
  <c r="X966" i="2"/>
  <c r="U966" i="2"/>
  <c r="S966" i="2"/>
  <c r="Q966" i="2"/>
  <c r="O966" i="2"/>
  <c r="M966" i="2"/>
  <c r="K966" i="2"/>
  <c r="I966" i="2"/>
  <c r="G966" i="2"/>
  <c r="E966" i="2"/>
  <c r="C966" i="2"/>
  <c r="BK965" i="2"/>
  <c r="BI965" i="2"/>
  <c r="BG965" i="2"/>
  <c r="BE965" i="2"/>
  <c r="BC965" i="2"/>
  <c r="BA965" i="2"/>
  <c r="AY965" i="2"/>
  <c r="AW965" i="2"/>
  <c r="AU965" i="2"/>
  <c r="AS965" i="2"/>
  <c r="AP965" i="2"/>
  <c r="AN965" i="2"/>
  <c r="AL965" i="2"/>
  <c r="AJ965" i="2"/>
  <c r="AH965" i="2"/>
  <c r="AF965" i="2"/>
  <c r="AD965" i="2"/>
  <c r="AB965" i="2"/>
  <c r="Z965" i="2"/>
  <c r="X965" i="2"/>
  <c r="U965" i="2"/>
  <c r="S965" i="2"/>
  <c r="Q965" i="2"/>
  <c r="O965" i="2"/>
  <c r="M965" i="2"/>
  <c r="K965" i="2"/>
  <c r="I965" i="2"/>
  <c r="G965" i="2"/>
  <c r="E965" i="2"/>
  <c r="C965" i="2"/>
  <c r="BK964" i="2"/>
  <c r="BI964" i="2"/>
  <c r="BG964" i="2"/>
  <c r="BE964" i="2"/>
  <c r="BC964" i="2"/>
  <c r="BA964" i="2"/>
  <c r="AY964" i="2"/>
  <c r="AW964" i="2"/>
  <c r="AU964" i="2"/>
  <c r="AS964" i="2"/>
  <c r="AP964" i="2"/>
  <c r="AN964" i="2"/>
  <c r="AL964" i="2"/>
  <c r="AJ964" i="2"/>
  <c r="AH964" i="2"/>
  <c r="AF964" i="2"/>
  <c r="AD964" i="2"/>
  <c r="AB964" i="2"/>
  <c r="Z964" i="2"/>
  <c r="X964" i="2"/>
  <c r="U964" i="2"/>
  <c r="S964" i="2"/>
  <c r="Q964" i="2"/>
  <c r="O964" i="2"/>
  <c r="M964" i="2"/>
  <c r="K964" i="2"/>
  <c r="I964" i="2"/>
  <c r="G964" i="2"/>
  <c r="E964" i="2"/>
  <c r="C964" i="2"/>
  <c r="BK963" i="2"/>
  <c r="BI963" i="2"/>
  <c r="BG963" i="2"/>
  <c r="BE963" i="2"/>
  <c r="BC963" i="2"/>
  <c r="BA963" i="2"/>
  <c r="AY963" i="2"/>
  <c r="AW963" i="2"/>
  <c r="AU963" i="2"/>
  <c r="AS963" i="2"/>
  <c r="AP963" i="2"/>
  <c r="AN963" i="2"/>
  <c r="AL963" i="2"/>
  <c r="AJ963" i="2"/>
  <c r="AH963" i="2"/>
  <c r="AF963" i="2"/>
  <c r="AD963" i="2"/>
  <c r="AB963" i="2"/>
  <c r="Z963" i="2"/>
  <c r="X963" i="2"/>
  <c r="U963" i="2"/>
  <c r="S963" i="2"/>
  <c r="Q963" i="2"/>
  <c r="O963" i="2"/>
  <c r="M963" i="2"/>
  <c r="K963" i="2"/>
  <c r="I963" i="2"/>
  <c r="G963" i="2"/>
  <c r="E963" i="2"/>
  <c r="C963" i="2"/>
  <c r="BK962" i="2"/>
  <c r="BI962" i="2"/>
  <c r="BG962" i="2"/>
  <c r="BE962" i="2"/>
  <c r="BC962" i="2"/>
  <c r="BA962" i="2"/>
  <c r="AY962" i="2"/>
  <c r="AW962" i="2"/>
  <c r="AU962" i="2"/>
  <c r="AS962" i="2"/>
  <c r="AP962" i="2"/>
  <c r="AN962" i="2"/>
  <c r="AL962" i="2"/>
  <c r="AJ962" i="2"/>
  <c r="AH962" i="2"/>
  <c r="AF962" i="2"/>
  <c r="AD962" i="2"/>
  <c r="AB962" i="2"/>
  <c r="Z962" i="2"/>
  <c r="X962" i="2"/>
  <c r="U962" i="2"/>
  <c r="S962" i="2"/>
  <c r="Q962" i="2"/>
  <c r="O962" i="2"/>
  <c r="M962" i="2"/>
  <c r="K962" i="2"/>
  <c r="I962" i="2"/>
  <c r="G962" i="2"/>
  <c r="E962" i="2"/>
  <c r="C962" i="2"/>
  <c r="BK961" i="2"/>
  <c r="BI961" i="2"/>
  <c r="BG961" i="2"/>
  <c r="BE961" i="2"/>
  <c r="BC961" i="2"/>
  <c r="BA961" i="2"/>
  <c r="AY961" i="2"/>
  <c r="AW961" i="2"/>
  <c r="AU961" i="2"/>
  <c r="AS961" i="2"/>
  <c r="AP961" i="2"/>
  <c r="AN961" i="2"/>
  <c r="AL961" i="2"/>
  <c r="AJ961" i="2"/>
  <c r="AH961" i="2"/>
  <c r="AF961" i="2"/>
  <c r="AD961" i="2"/>
  <c r="AB961" i="2"/>
  <c r="Z961" i="2"/>
  <c r="X961" i="2"/>
  <c r="U961" i="2"/>
  <c r="S961" i="2"/>
  <c r="Q961" i="2"/>
  <c r="O961" i="2"/>
  <c r="M961" i="2"/>
  <c r="K961" i="2"/>
  <c r="I961" i="2"/>
  <c r="G961" i="2"/>
  <c r="E961" i="2"/>
  <c r="C961" i="2"/>
  <c r="BK960" i="2"/>
  <c r="BI960" i="2"/>
  <c r="BG960" i="2"/>
  <c r="BE960" i="2"/>
  <c r="BC960" i="2"/>
  <c r="BA960" i="2"/>
  <c r="AY960" i="2"/>
  <c r="AW960" i="2"/>
  <c r="AU960" i="2"/>
  <c r="AS960" i="2"/>
  <c r="AP960" i="2"/>
  <c r="AN960" i="2"/>
  <c r="AL960" i="2"/>
  <c r="AJ960" i="2"/>
  <c r="AH960" i="2"/>
  <c r="AF960" i="2"/>
  <c r="AD960" i="2"/>
  <c r="AB960" i="2"/>
  <c r="Z960" i="2"/>
  <c r="X960" i="2"/>
  <c r="U960" i="2"/>
  <c r="S960" i="2"/>
  <c r="Q960" i="2"/>
  <c r="O960" i="2"/>
  <c r="M960" i="2"/>
  <c r="K960" i="2"/>
  <c r="I960" i="2"/>
  <c r="G960" i="2"/>
  <c r="E960" i="2"/>
  <c r="C960" i="2"/>
  <c r="BK959" i="2"/>
  <c r="BI959" i="2"/>
  <c r="BG959" i="2"/>
  <c r="BE959" i="2"/>
  <c r="BC959" i="2"/>
  <c r="BA959" i="2"/>
  <c r="AY959" i="2"/>
  <c r="AW959" i="2"/>
  <c r="AU959" i="2"/>
  <c r="AS959" i="2"/>
  <c r="AP959" i="2"/>
  <c r="AN959" i="2"/>
  <c r="AL959" i="2"/>
  <c r="AJ959" i="2"/>
  <c r="AH959" i="2"/>
  <c r="AF959" i="2"/>
  <c r="AD959" i="2"/>
  <c r="AB959" i="2"/>
  <c r="Z959" i="2"/>
  <c r="X959" i="2"/>
  <c r="U959" i="2"/>
  <c r="S959" i="2"/>
  <c r="Q959" i="2"/>
  <c r="O959" i="2"/>
  <c r="M959" i="2"/>
  <c r="K959" i="2"/>
  <c r="I959" i="2"/>
  <c r="G959" i="2"/>
  <c r="E959" i="2"/>
  <c r="C959" i="2"/>
  <c r="BK958" i="2"/>
  <c r="BI958" i="2"/>
  <c r="BG958" i="2"/>
  <c r="BE958" i="2"/>
  <c r="BC958" i="2"/>
  <c r="BA958" i="2"/>
  <c r="AY958" i="2"/>
  <c r="AW958" i="2"/>
  <c r="AU958" i="2"/>
  <c r="AS958" i="2"/>
  <c r="AP958" i="2"/>
  <c r="AN958" i="2"/>
  <c r="AL958" i="2"/>
  <c r="AJ958" i="2"/>
  <c r="AH958" i="2"/>
  <c r="AF958" i="2"/>
  <c r="AD958" i="2"/>
  <c r="AB958" i="2"/>
  <c r="Z958" i="2"/>
  <c r="X958" i="2"/>
  <c r="U958" i="2"/>
  <c r="S958" i="2"/>
  <c r="Q958" i="2"/>
  <c r="O958" i="2"/>
  <c r="M958" i="2"/>
  <c r="K958" i="2"/>
  <c r="I958" i="2"/>
  <c r="G958" i="2"/>
  <c r="E958" i="2"/>
  <c r="C958" i="2"/>
  <c r="BK957" i="2"/>
  <c r="BI957" i="2"/>
  <c r="BG957" i="2"/>
  <c r="BE957" i="2"/>
  <c r="BC957" i="2"/>
  <c r="BA957" i="2"/>
  <c r="AY957" i="2"/>
  <c r="AW957" i="2"/>
  <c r="AU957" i="2"/>
  <c r="AS957" i="2"/>
  <c r="AP957" i="2"/>
  <c r="AN957" i="2"/>
  <c r="AL957" i="2"/>
  <c r="AJ957" i="2"/>
  <c r="AH957" i="2"/>
  <c r="AF957" i="2"/>
  <c r="AD957" i="2"/>
  <c r="AB957" i="2"/>
  <c r="Z957" i="2"/>
  <c r="X957" i="2"/>
  <c r="U957" i="2"/>
  <c r="S957" i="2"/>
  <c r="Q957" i="2"/>
  <c r="O957" i="2"/>
  <c r="M957" i="2"/>
  <c r="K957" i="2"/>
  <c r="I957" i="2"/>
  <c r="G957" i="2"/>
  <c r="E957" i="2"/>
  <c r="C957" i="2"/>
  <c r="BK956" i="2"/>
  <c r="BI956" i="2"/>
  <c r="BG956" i="2"/>
  <c r="BE956" i="2"/>
  <c r="BC956" i="2"/>
  <c r="BA956" i="2"/>
  <c r="AY956" i="2"/>
  <c r="AW956" i="2"/>
  <c r="AU956" i="2"/>
  <c r="AS956" i="2"/>
  <c r="AP956" i="2"/>
  <c r="AN956" i="2"/>
  <c r="AL956" i="2"/>
  <c r="AJ956" i="2"/>
  <c r="AH956" i="2"/>
  <c r="AF956" i="2"/>
  <c r="AD956" i="2"/>
  <c r="AB956" i="2"/>
  <c r="Z956" i="2"/>
  <c r="X956" i="2"/>
  <c r="U956" i="2"/>
  <c r="S956" i="2"/>
  <c r="Q956" i="2"/>
  <c r="O956" i="2"/>
  <c r="M956" i="2"/>
  <c r="K956" i="2"/>
  <c r="I956" i="2"/>
  <c r="G956" i="2"/>
  <c r="E956" i="2"/>
  <c r="C956" i="2"/>
  <c r="BK955" i="2"/>
  <c r="BI955" i="2"/>
  <c r="BG955" i="2"/>
  <c r="BE955" i="2"/>
  <c r="BC955" i="2"/>
  <c r="BA955" i="2"/>
  <c r="AY955" i="2"/>
  <c r="AW955" i="2"/>
  <c r="AU955" i="2"/>
  <c r="AS955" i="2"/>
  <c r="AP955" i="2"/>
  <c r="AN955" i="2"/>
  <c r="AL955" i="2"/>
  <c r="AJ955" i="2"/>
  <c r="AH955" i="2"/>
  <c r="AF955" i="2"/>
  <c r="AD955" i="2"/>
  <c r="AB955" i="2"/>
  <c r="Z955" i="2"/>
  <c r="X955" i="2"/>
  <c r="U955" i="2"/>
  <c r="S955" i="2"/>
  <c r="Q955" i="2"/>
  <c r="O955" i="2"/>
  <c r="M955" i="2"/>
  <c r="K955" i="2"/>
  <c r="I955" i="2"/>
  <c r="G955" i="2"/>
  <c r="E955" i="2"/>
  <c r="C955" i="2"/>
  <c r="BK954" i="2"/>
  <c r="BI954" i="2"/>
  <c r="BG954" i="2"/>
  <c r="BE954" i="2"/>
  <c r="BC954" i="2"/>
  <c r="BA954" i="2"/>
  <c r="AY954" i="2"/>
  <c r="AW954" i="2"/>
  <c r="AU954" i="2"/>
  <c r="AS954" i="2"/>
  <c r="AP954" i="2"/>
  <c r="AN954" i="2"/>
  <c r="AL954" i="2"/>
  <c r="AJ954" i="2"/>
  <c r="AH954" i="2"/>
  <c r="AF954" i="2"/>
  <c r="AD954" i="2"/>
  <c r="AB954" i="2"/>
  <c r="Z954" i="2"/>
  <c r="X954" i="2"/>
  <c r="U954" i="2"/>
  <c r="S954" i="2"/>
  <c r="Q954" i="2"/>
  <c r="O954" i="2"/>
  <c r="M954" i="2"/>
  <c r="K954" i="2"/>
  <c r="I954" i="2"/>
  <c r="G954" i="2"/>
  <c r="E954" i="2"/>
  <c r="C954" i="2"/>
  <c r="BK953" i="2"/>
  <c r="BI953" i="2"/>
  <c r="BG953" i="2"/>
  <c r="BE953" i="2"/>
  <c r="BC953" i="2"/>
  <c r="BA953" i="2"/>
  <c r="AY953" i="2"/>
  <c r="AW953" i="2"/>
  <c r="AU953" i="2"/>
  <c r="AS953" i="2"/>
  <c r="AP953" i="2"/>
  <c r="AN953" i="2"/>
  <c r="AL953" i="2"/>
  <c r="AJ953" i="2"/>
  <c r="AH953" i="2"/>
  <c r="AF953" i="2"/>
  <c r="AD953" i="2"/>
  <c r="AB953" i="2"/>
  <c r="Z953" i="2"/>
  <c r="X953" i="2"/>
  <c r="U953" i="2"/>
  <c r="S953" i="2"/>
  <c r="Q953" i="2"/>
  <c r="O953" i="2"/>
  <c r="M953" i="2"/>
  <c r="K953" i="2"/>
  <c r="I953" i="2"/>
  <c r="G953" i="2"/>
  <c r="E953" i="2"/>
  <c r="C953" i="2"/>
  <c r="BK952" i="2"/>
  <c r="BI952" i="2"/>
  <c r="BG952" i="2"/>
  <c r="BE952" i="2"/>
  <c r="BC952" i="2"/>
  <c r="BA952" i="2"/>
  <c r="AY952" i="2"/>
  <c r="AW952" i="2"/>
  <c r="AU952" i="2"/>
  <c r="AS952" i="2"/>
  <c r="AP952" i="2"/>
  <c r="AN952" i="2"/>
  <c r="AL952" i="2"/>
  <c r="AJ952" i="2"/>
  <c r="AH952" i="2"/>
  <c r="AF952" i="2"/>
  <c r="AD952" i="2"/>
  <c r="AB952" i="2"/>
  <c r="Z952" i="2"/>
  <c r="X952" i="2"/>
  <c r="U952" i="2"/>
  <c r="S952" i="2"/>
  <c r="Q952" i="2"/>
  <c r="O952" i="2"/>
  <c r="M952" i="2"/>
  <c r="K952" i="2"/>
  <c r="I952" i="2"/>
  <c r="G952" i="2"/>
  <c r="E952" i="2"/>
  <c r="C952" i="2"/>
  <c r="BK951" i="2"/>
  <c r="BI951" i="2"/>
  <c r="BG951" i="2"/>
  <c r="BE951" i="2"/>
  <c r="BC951" i="2"/>
  <c r="BA951" i="2"/>
  <c r="AY951" i="2"/>
  <c r="AW951" i="2"/>
  <c r="AU951" i="2"/>
  <c r="AS951" i="2"/>
  <c r="AP951" i="2"/>
  <c r="AN951" i="2"/>
  <c r="AL951" i="2"/>
  <c r="AJ951" i="2"/>
  <c r="AH951" i="2"/>
  <c r="AF951" i="2"/>
  <c r="AD951" i="2"/>
  <c r="AB951" i="2"/>
  <c r="Z951" i="2"/>
  <c r="X951" i="2"/>
  <c r="U951" i="2"/>
  <c r="S951" i="2"/>
  <c r="Q951" i="2"/>
  <c r="O951" i="2"/>
  <c r="M951" i="2"/>
  <c r="K951" i="2"/>
  <c r="I951" i="2"/>
  <c r="G951" i="2"/>
  <c r="E951" i="2"/>
  <c r="C951" i="2"/>
  <c r="BK950" i="2"/>
  <c r="BI950" i="2"/>
  <c r="BG950" i="2"/>
  <c r="BE950" i="2"/>
  <c r="BC950" i="2"/>
  <c r="BA950" i="2"/>
  <c r="AY950" i="2"/>
  <c r="AW950" i="2"/>
  <c r="AU950" i="2"/>
  <c r="AS950" i="2"/>
  <c r="AP950" i="2"/>
  <c r="AN950" i="2"/>
  <c r="AL950" i="2"/>
  <c r="AJ950" i="2"/>
  <c r="AH950" i="2"/>
  <c r="AF950" i="2"/>
  <c r="AD950" i="2"/>
  <c r="AB950" i="2"/>
  <c r="Z950" i="2"/>
  <c r="X950" i="2"/>
  <c r="U950" i="2"/>
  <c r="S950" i="2"/>
  <c r="Q950" i="2"/>
  <c r="O950" i="2"/>
  <c r="M950" i="2"/>
  <c r="K950" i="2"/>
  <c r="I950" i="2"/>
  <c r="G950" i="2"/>
  <c r="E950" i="2"/>
  <c r="C950" i="2"/>
  <c r="BK949" i="2"/>
  <c r="BI949" i="2"/>
  <c r="BG949" i="2"/>
  <c r="BE949" i="2"/>
  <c r="BC949" i="2"/>
  <c r="BA949" i="2"/>
  <c r="AY949" i="2"/>
  <c r="AW949" i="2"/>
  <c r="AU949" i="2"/>
  <c r="AS949" i="2"/>
  <c r="AP949" i="2"/>
  <c r="AN949" i="2"/>
  <c r="AL949" i="2"/>
  <c r="AJ949" i="2"/>
  <c r="AH949" i="2"/>
  <c r="AF949" i="2"/>
  <c r="AD949" i="2"/>
  <c r="AB949" i="2"/>
  <c r="Z949" i="2"/>
  <c r="X949" i="2"/>
  <c r="U949" i="2"/>
  <c r="S949" i="2"/>
  <c r="Q949" i="2"/>
  <c r="O949" i="2"/>
  <c r="M949" i="2"/>
  <c r="K949" i="2"/>
  <c r="I949" i="2"/>
  <c r="G949" i="2"/>
  <c r="E949" i="2"/>
  <c r="C949" i="2"/>
  <c r="BK948" i="2"/>
  <c r="BI948" i="2"/>
  <c r="BG948" i="2"/>
  <c r="BE948" i="2"/>
  <c r="BC948" i="2"/>
  <c r="BA948" i="2"/>
  <c r="AY948" i="2"/>
  <c r="AW948" i="2"/>
  <c r="AU948" i="2"/>
  <c r="AS948" i="2"/>
  <c r="AP948" i="2"/>
  <c r="AN948" i="2"/>
  <c r="AL948" i="2"/>
  <c r="AJ948" i="2"/>
  <c r="AH948" i="2"/>
  <c r="AF948" i="2"/>
  <c r="AD948" i="2"/>
  <c r="AB948" i="2"/>
  <c r="Z948" i="2"/>
  <c r="X948" i="2"/>
  <c r="U948" i="2"/>
  <c r="S948" i="2"/>
  <c r="Q948" i="2"/>
  <c r="O948" i="2"/>
  <c r="M948" i="2"/>
  <c r="K948" i="2"/>
  <c r="I948" i="2"/>
  <c r="G948" i="2"/>
  <c r="E948" i="2"/>
  <c r="C948" i="2"/>
  <c r="BK947" i="2"/>
  <c r="BI947" i="2"/>
  <c r="BG947" i="2"/>
  <c r="BE947" i="2"/>
  <c r="BC947" i="2"/>
  <c r="BA947" i="2"/>
  <c r="AY947" i="2"/>
  <c r="AW947" i="2"/>
  <c r="AU947" i="2"/>
  <c r="AS947" i="2"/>
  <c r="AP947" i="2"/>
  <c r="AN947" i="2"/>
  <c r="AL947" i="2"/>
  <c r="AJ947" i="2"/>
  <c r="AH947" i="2"/>
  <c r="AF947" i="2"/>
  <c r="AD947" i="2"/>
  <c r="AB947" i="2"/>
  <c r="Z947" i="2"/>
  <c r="X947" i="2"/>
  <c r="U947" i="2"/>
  <c r="S947" i="2"/>
  <c r="Q947" i="2"/>
  <c r="O947" i="2"/>
  <c r="M947" i="2"/>
  <c r="K947" i="2"/>
  <c r="I947" i="2"/>
  <c r="G947" i="2"/>
  <c r="E947" i="2"/>
  <c r="C947" i="2"/>
  <c r="BK946" i="2"/>
  <c r="BI946" i="2"/>
  <c r="BG946" i="2"/>
  <c r="BE946" i="2"/>
  <c r="BC946" i="2"/>
  <c r="BA946" i="2"/>
  <c r="AY946" i="2"/>
  <c r="AW946" i="2"/>
  <c r="AU946" i="2"/>
  <c r="AS946" i="2"/>
  <c r="AP946" i="2"/>
  <c r="AN946" i="2"/>
  <c r="AL946" i="2"/>
  <c r="AJ946" i="2"/>
  <c r="AH946" i="2"/>
  <c r="AF946" i="2"/>
  <c r="AD946" i="2"/>
  <c r="AB946" i="2"/>
  <c r="Z946" i="2"/>
  <c r="X946" i="2"/>
  <c r="U946" i="2"/>
  <c r="S946" i="2"/>
  <c r="Q946" i="2"/>
  <c r="O946" i="2"/>
  <c r="M946" i="2"/>
  <c r="K946" i="2"/>
  <c r="I946" i="2"/>
  <c r="G946" i="2"/>
  <c r="E946" i="2"/>
  <c r="C946" i="2"/>
  <c r="BK945" i="2"/>
  <c r="BI945" i="2"/>
  <c r="BG945" i="2"/>
  <c r="BE945" i="2"/>
  <c r="BC945" i="2"/>
  <c r="BA945" i="2"/>
  <c r="AY945" i="2"/>
  <c r="AW945" i="2"/>
  <c r="AU945" i="2"/>
  <c r="AS945" i="2"/>
  <c r="AP945" i="2"/>
  <c r="AN945" i="2"/>
  <c r="AL945" i="2"/>
  <c r="AJ945" i="2"/>
  <c r="AH945" i="2"/>
  <c r="AF945" i="2"/>
  <c r="AD945" i="2"/>
  <c r="AB945" i="2"/>
  <c r="Z945" i="2"/>
  <c r="X945" i="2"/>
  <c r="U945" i="2"/>
  <c r="S945" i="2"/>
  <c r="Q945" i="2"/>
  <c r="O945" i="2"/>
  <c r="M945" i="2"/>
  <c r="K945" i="2"/>
  <c r="I945" i="2"/>
  <c r="G945" i="2"/>
  <c r="E945" i="2"/>
  <c r="C945" i="2"/>
  <c r="BK944" i="2"/>
  <c r="BI944" i="2"/>
  <c r="BG944" i="2"/>
  <c r="BE944" i="2"/>
  <c r="BC944" i="2"/>
  <c r="BA944" i="2"/>
  <c r="AY944" i="2"/>
  <c r="AW944" i="2"/>
  <c r="AU944" i="2"/>
  <c r="AS944" i="2"/>
  <c r="AP944" i="2"/>
  <c r="AN944" i="2"/>
  <c r="AL944" i="2"/>
  <c r="AJ944" i="2"/>
  <c r="AH944" i="2"/>
  <c r="AF944" i="2"/>
  <c r="AD944" i="2"/>
  <c r="AB944" i="2"/>
  <c r="Z944" i="2"/>
  <c r="X944" i="2"/>
  <c r="U944" i="2"/>
  <c r="S944" i="2"/>
  <c r="Q944" i="2"/>
  <c r="O944" i="2"/>
  <c r="M944" i="2"/>
  <c r="K944" i="2"/>
  <c r="I944" i="2"/>
  <c r="G944" i="2"/>
  <c r="E944" i="2"/>
  <c r="C944" i="2"/>
  <c r="BK943" i="2"/>
  <c r="BI943" i="2"/>
  <c r="BG943" i="2"/>
  <c r="BE943" i="2"/>
  <c r="BC943" i="2"/>
  <c r="BA943" i="2"/>
  <c r="AY943" i="2"/>
  <c r="AW943" i="2"/>
  <c r="AU943" i="2"/>
  <c r="AS943" i="2"/>
  <c r="AP943" i="2"/>
  <c r="AN943" i="2"/>
  <c r="AL943" i="2"/>
  <c r="AJ943" i="2"/>
  <c r="AH943" i="2"/>
  <c r="AF943" i="2"/>
  <c r="AD943" i="2"/>
  <c r="AB943" i="2"/>
  <c r="Z943" i="2"/>
  <c r="X943" i="2"/>
  <c r="U943" i="2"/>
  <c r="S943" i="2"/>
  <c r="Q943" i="2"/>
  <c r="O943" i="2"/>
  <c r="M943" i="2"/>
  <c r="K943" i="2"/>
  <c r="I943" i="2"/>
  <c r="G943" i="2"/>
  <c r="E943" i="2"/>
  <c r="C943" i="2"/>
  <c r="BK942" i="2"/>
  <c r="BI942" i="2"/>
  <c r="BG942" i="2"/>
  <c r="BE942" i="2"/>
  <c r="BC942" i="2"/>
  <c r="BA942" i="2"/>
  <c r="AY942" i="2"/>
  <c r="AW942" i="2"/>
  <c r="AU942" i="2"/>
  <c r="AS942" i="2"/>
  <c r="AP942" i="2"/>
  <c r="AN942" i="2"/>
  <c r="AL942" i="2"/>
  <c r="AJ942" i="2"/>
  <c r="AH942" i="2"/>
  <c r="AF942" i="2"/>
  <c r="AD942" i="2"/>
  <c r="AB942" i="2"/>
  <c r="Z942" i="2"/>
  <c r="X942" i="2"/>
  <c r="U942" i="2"/>
  <c r="S942" i="2"/>
  <c r="Q942" i="2"/>
  <c r="O942" i="2"/>
  <c r="M942" i="2"/>
  <c r="K942" i="2"/>
  <c r="I942" i="2"/>
  <c r="G942" i="2"/>
  <c r="E942" i="2"/>
  <c r="C942" i="2"/>
  <c r="BK941" i="2"/>
  <c r="BI941" i="2"/>
  <c r="BG941" i="2"/>
  <c r="BE941" i="2"/>
  <c r="BC941" i="2"/>
  <c r="BA941" i="2"/>
  <c r="AY941" i="2"/>
  <c r="AW941" i="2"/>
  <c r="AU941" i="2"/>
  <c r="AS941" i="2"/>
  <c r="AP941" i="2"/>
  <c r="AN941" i="2"/>
  <c r="AL941" i="2"/>
  <c r="AJ941" i="2"/>
  <c r="AH941" i="2"/>
  <c r="AF941" i="2"/>
  <c r="AD941" i="2"/>
  <c r="AB941" i="2"/>
  <c r="Z941" i="2"/>
  <c r="X941" i="2"/>
  <c r="U941" i="2"/>
  <c r="S941" i="2"/>
  <c r="Q941" i="2"/>
  <c r="O941" i="2"/>
  <c r="M941" i="2"/>
  <c r="K941" i="2"/>
  <c r="I941" i="2"/>
  <c r="G941" i="2"/>
  <c r="E941" i="2"/>
  <c r="C941" i="2"/>
  <c r="BK940" i="2"/>
  <c r="BI940" i="2"/>
  <c r="BG940" i="2"/>
  <c r="BE940" i="2"/>
  <c r="BC940" i="2"/>
  <c r="BA940" i="2"/>
  <c r="AY940" i="2"/>
  <c r="AW940" i="2"/>
  <c r="AU940" i="2"/>
  <c r="AS940" i="2"/>
  <c r="AP940" i="2"/>
  <c r="AN940" i="2"/>
  <c r="AL940" i="2"/>
  <c r="AJ940" i="2"/>
  <c r="AH940" i="2"/>
  <c r="AF940" i="2"/>
  <c r="AD940" i="2"/>
  <c r="AB940" i="2"/>
  <c r="Z940" i="2"/>
  <c r="X940" i="2"/>
  <c r="U940" i="2"/>
  <c r="S940" i="2"/>
  <c r="Q940" i="2"/>
  <c r="O940" i="2"/>
  <c r="M940" i="2"/>
  <c r="K940" i="2"/>
  <c r="I940" i="2"/>
  <c r="G940" i="2"/>
  <c r="E940" i="2"/>
  <c r="C940" i="2"/>
  <c r="BK939" i="2"/>
  <c r="BI939" i="2"/>
  <c r="BG939" i="2"/>
  <c r="BE939" i="2"/>
  <c r="BC939" i="2"/>
  <c r="BA939" i="2"/>
  <c r="AY939" i="2"/>
  <c r="AW939" i="2"/>
  <c r="AU939" i="2"/>
  <c r="AS939" i="2"/>
  <c r="AP939" i="2"/>
  <c r="AN939" i="2"/>
  <c r="AL939" i="2"/>
  <c r="AJ939" i="2"/>
  <c r="AH939" i="2"/>
  <c r="AF939" i="2"/>
  <c r="AD939" i="2"/>
  <c r="AB939" i="2"/>
  <c r="Z939" i="2"/>
  <c r="X939" i="2"/>
  <c r="U939" i="2"/>
  <c r="S939" i="2"/>
  <c r="Q939" i="2"/>
  <c r="O939" i="2"/>
  <c r="M939" i="2"/>
  <c r="K939" i="2"/>
  <c r="I939" i="2"/>
  <c r="G939" i="2"/>
  <c r="E939" i="2"/>
  <c r="C939" i="2"/>
  <c r="BK938" i="2"/>
  <c r="BI938" i="2"/>
  <c r="BG938" i="2"/>
  <c r="BE938" i="2"/>
  <c r="BC938" i="2"/>
  <c r="BA938" i="2"/>
  <c r="AY938" i="2"/>
  <c r="AW938" i="2"/>
  <c r="AU938" i="2"/>
  <c r="AS938" i="2"/>
  <c r="AP938" i="2"/>
  <c r="AN938" i="2"/>
  <c r="AL938" i="2"/>
  <c r="AJ938" i="2"/>
  <c r="AH938" i="2"/>
  <c r="AF938" i="2"/>
  <c r="AD938" i="2"/>
  <c r="AB938" i="2"/>
  <c r="Z938" i="2"/>
  <c r="X938" i="2"/>
  <c r="U938" i="2"/>
  <c r="S938" i="2"/>
  <c r="Q938" i="2"/>
  <c r="O938" i="2"/>
  <c r="M938" i="2"/>
  <c r="K938" i="2"/>
  <c r="I938" i="2"/>
  <c r="G938" i="2"/>
  <c r="E938" i="2"/>
  <c r="C938" i="2"/>
  <c r="BK937" i="2"/>
  <c r="BI937" i="2"/>
  <c r="BG937" i="2"/>
  <c r="BE937" i="2"/>
  <c r="BC937" i="2"/>
  <c r="BA937" i="2"/>
  <c r="AY937" i="2"/>
  <c r="AW937" i="2"/>
  <c r="AU937" i="2"/>
  <c r="AS937" i="2"/>
  <c r="AP937" i="2"/>
  <c r="AN937" i="2"/>
  <c r="AL937" i="2"/>
  <c r="AJ937" i="2"/>
  <c r="AH937" i="2"/>
  <c r="AF937" i="2"/>
  <c r="AD937" i="2"/>
  <c r="AB937" i="2"/>
  <c r="Z937" i="2"/>
  <c r="X937" i="2"/>
  <c r="U937" i="2"/>
  <c r="S937" i="2"/>
  <c r="Q937" i="2"/>
  <c r="O937" i="2"/>
  <c r="M937" i="2"/>
  <c r="K937" i="2"/>
  <c r="I937" i="2"/>
  <c r="G937" i="2"/>
  <c r="E937" i="2"/>
  <c r="C937" i="2"/>
  <c r="BK936" i="2"/>
  <c r="BI936" i="2"/>
  <c r="BG936" i="2"/>
  <c r="BE936" i="2"/>
  <c r="BC936" i="2"/>
  <c r="BA936" i="2"/>
  <c r="AY936" i="2"/>
  <c r="AW936" i="2"/>
  <c r="AU936" i="2"/>
  <c r="AS936" i="2"/>
  <c r="AP936" i="2"/>
  <c r="AN936" i="2"/>
  <c r="AL936" i="2"/>
  <c r="AJ936" i="2"/>
  <c r="AH936" i="2"/>
  <c r="AF936" i="2"/>
  <c r="AD936" i="2"/>
  <c r="AB936" i="2"/>
  <c r="Z936" i="2"/>
  <c r="X936" i="2"/>
  <c r="U936" i="2"/>
  <c r="S936" i="2"/>
  <c r="Q936" i="2"/>
  <c r="O936" i="2"/>
  <c r="M936" i="2"/>
  <c r="K936" i="2"/>
  <c r="I936" i="2"/>
  <c r="G936" i="2"/>
  <c r="E936" i="2"/>
  <c r="C936" i="2"/>
  <c r="BK935" i="2"/>
  <c r="BI935" i="2"/>
  <c r="BG935" i="2"/>
  <c r="BE935" i="2"/>
  <c r="BC935" i="2"/>
  <c r="BA935" i="2"/>
  <c r="AY935" i="2"/>
  <c r="AW935" i="2"/>
  <c r="AU935" i="2"/>
  <c r="AS935" i="2"/>
  <c r="AP935" i="2"/>
  <c r="AN935" i="2"/>
  <c r="AL935" i="2"/>
  <c r="AJ935" i="2"/>
  <c r="AH935" i="2"/>
  <c r="AF935" i="2"/>
  <c r="AD935" i="2"/>
  <c r="AB935" i="2"/>
  <c r="Z935" i="2"/>
  <c r="X935" i="2"/>
  <c r="U935" i="2"/>
  <c r="S935" i="2"/>
  <c r="Q935" i="2"/>
  <c r="O935" i="2"/>
  <c r="M935" i="2"/>
  <c r="K935" i="2"/>
  <c r="I935" i="2"/>
  <c r="G935" i="2"/>
  <c r="E935" i="2"/>
  <c r="C935" i="2"/>
  <c r="BK934" i="2"/>
  <c r="BI934" i="2"/>
  <c r="BG934" i="2"/>
  <c r="BE934" i="2"/>
  <c r="BC934" i="2"/>
  <c r="BA934" i="2"/>
  <c r="AY934" i="2"/>
  <c r="AW934" i="2"/>
  <c r="AU934" i="2"/>
  <c r="AS934" i="2"/>
  <c r="AP934" i="2"/>
  <c r="AN934" i="2"/>
  <c r="AL934" i="2"/>
  <c r="AJ934" i="2"/>
  <c r="AH934" i="2"/>
  <c r="AF934" i="2"/>
  <c r="AD934" i="2"/>
  <c r="AB934" i="2"/>
  <c r="Z934" i="2"/>
  <c r="X934" i="2"/>
  <c r="U934" i="2"/>
  <c r="S934" i="2"/>
  <c r="Q934" i="2"/>
  <c r="O934" i="2"/>
  <c r="M934" i="2"/>
  <c r="K934" i="2"/>
  <c r="I934" i="2"/>
  <c r="G934" i="2"/>
  <c r="E934" i="2"/>
  <c r="C934" i="2"/>
  <c r="BK933" i="2"/>
  <c r="BI933" i="2"/>
  <c r="BG933" i="2"/>
  <c r="BE933" i="2"/>
  <c r="BC933" i="2"/>
  <c r="BA933" i="2"/>
  <c r="AY933" i="2"/>
  <c r="AW933" i="2"/>
  <c r="AU933" i="2"/>
  <c r="AS933" i="2"/>
  <c r="AP933" i="2"/>
  <c r="AN933" i="2"/>
  <c r="AL933" i="2"/>
  <c r="AJ933" i="2"/>
  <c r="AH933" i="2"/>
  <c r="AF933" i="2"/>
  <c r="AD933" i="2"/>
  <c r="AB933" i="2"/>
  <c r="Z933" i="2"/>
  <c r="X933" i="2"/>
  <c r="U933" i="2"/>
  <c r="S933" i="2"/>
  <c r="Q933" i="2"/>
  <c r="O933" i="2"/>
  <c r="M933" i="2"/>
  <c r="K933" i="2"/>
  <c r="I933" i="2"/>
  <c r="G933" i="2"/>
  <c r="E933" i="2"/>
  <c r="C933" i="2"/>
  <c r="BK932" i="2"/>
  <c r="BI932" i="2"/>
  <c r="BG932" i="2"/>
  <c r="BE932" i="2"/>
  <c r="BC932" i="2"/>
  <c r="BA932" i="2"/>
  <c r="AY932" i="2"/>
  <c r="AW932" i="2"/>
  <c r="AU932" i="2"/>
  <c r="AS932" i="2"/>
  <c r="AP932" i="2"/>
  <c r="AN932" i="2"/>
  <c r="AL932" i="2"/>
  <c r="AJ932" i="2"/>
  <c r="AH932" i="2"/>
  <c r="AF932" i="2"/>
  <c r="AD932" i="2"/>
  <c r="AB932" i="2"/>
  <c r="Z932" i="2"/>
  <c r="X932" i="2"/>
  <c r="U932" i="2"/>
  <c r="S932" i="2"/>
  <c r="Q932" i="2"/>
  <c r="O932" i="2"/>
  <c r="M932" i="2"/>
  <c r="K932" i="2"/>
  <c r="I932" i="2"/>
  <c r="G932" i="2"/>
  <c r="E932" i="2"/>
  <c r="C932" i="2"/>
  <c r="BK931" i="2"/>
  <c r="BI931" i="2"/>
  <c r="BG931" i="2"/>
  <c r="BE931" i="2"/>
  <c r="BC931" i="2"/>
  <c r="BA931" i="2"/>
  <c r="AY931" i="2"/>
  <c r="AW931" i="2"/>
  <c r="AU931" i="2"/>
  <c r="AS931" i="2"/>
  <c r="AP931" i="2"/>
  <c r="AN931" i="2"/>
  <c r="AL931" i="2"/>
  <c r="AJ931" i="2"/>
  <c r="AH931" i="2"/>
  <c r="AF931" i="2"/>
  <c r="AD931" i="2"/>
  <c r="AB931" i="2"/>
  <c r="Z931" i="2"/>
  <c r="X931" i="2"/>
  <c r="U931" i="2"/>
  <c r="S931" i="2"/>
  <c r="Q931" i="2"/>
  <c r="O931" i="2"/>
  <c r="M931" i="2"/>
  <c r="K931" i="2"/>
  <c r="I931" i="2"/>
  <c r="G931" i="2"/>
  <c r="E931" i="2"/>
  <c r="C931" i="2"/>
  <c r="BK930" i="2"/>
  <c r="BI930" i="2"/>
  <c r="BG930" i="2"/>
  <c r="BE930" i="2"/>
  <c r="BC930" i="2"/>
  <c r="BA930" i="2"/>
  <c r="AY930" i="2"/>
  <c r="AW930" i="2"/>
  <c r="AU930" i="2"/>
  <c r="AS930" i="2"/>
  <c r="AP930" i="2"/>
  <c r="AN930" i="2"/>
  <c r="AL930" i="2"/>
  <c r="AJ930" i="2"/>
  <c r="AH930" i="2"/>
  <c r="AF930" i="2"/>
  <c r="AD930" i="2"/>
  <c r="AB930" i="2"/>
  <c r="Z930" i="2"/>
  <c r="X930" i="2"/>
  <c r="U930" i="2"/>
  <c r="S930" i="2"/>
  <c r="Q930" i="2"/>
  <c r="O930" i="2"/>
  <c r="M930" i="2"/>
  <c r="K930" i="2"/>
  <c r="I930" i="2"/>
  <c r="G930" i="2"/>
  <c r="E930" i="2"/>
  <c r="C930" i="2"/>
  <c r="BK929" i="2"/>
  <c r="BI929" i="2"/>
  <c r="BG929" i="2"/>
  <c r="BE929" i="2"/>
  <c r="BC929" i="2"/>
  <c r="BA929" i="2"/>
  <c r="AY929" i="2"/>
  <c r="AW929" i="2"/>
  <c r="AU929" i="2"/>
  <c r="AS929" i="2"/>
  <c r="AP929" i="2"/>
  <c r="AN929" i="2"/>
  <c r="AL929" i="2"/>
  <c r="AJ929" i="2"/>
  <c r="AH929" i="2"/>
  <c r="AF929" i="2"/>
  <c r="AD929" i="2"/>
  <c r="AB929" i="2"/>
  <c r="Z929" i="2"/>
  <c r="X929" i="2"/>
  <c r="U929" i="2"/>
  <c r="S929" i="2"/>
  <c r="Q929" i="2"/>
  <c r="O929" i="2"/>
  <c r="M929" i="2"/>
  <c r="K929" i="2"/>
  <c r="I929" i="2"/>
  <c r="G929" i="2"/>
  <c r="E929" i="2"/>
  <c r="C929" i="2"/>
  <c r="BK928" i="2"/>
  <c r="BI928" i="2"/>
  <c r="BG928" i="2"/>
  <c r="BE928" i="2"/>
  <c r="BC928" i="2"/>
  <c r="BA928" i="2"/>
  <c r="AY928" i="2"/>
  <c r="AW928" i="2"/>
  <c r="AU928" i="2"/>
  <c r="AS928" i="2"/>
  <c r="AP928" i="2"/>
  <c r="AN928" i="2"/>
  <c r="AL928" i="2"/>
  <c r="AJ928" i="2"/>
  <c r="AH928" i="2"/>
  <c r="AF928" i="2"/>
  <c r="AD928" i="2"/>
  <c r="AB928" i="2"/>
  <c r="Z928" i="2"/>
  <c r="X928" i="2"/>
  <c r="U928" i="2"/>
  <c r="S928" i="2"/>
  <c r="Q928" i="2"/>
  <c r="O928" i="2"/>
  <c r="M928" i="2"/>
  <c r="K928" i="2"/>
  <c r="I928" i="2"/>
  <c r="G928" i="2"/>
  <c r="E928" i="2"/>
  <c r="C928" i="2"/>
  <c r="BK927" i="2"/>
  <c r="BI927" i="2"/>
  <c r="BG927" i="2"/>
  <c r="BE927" i="2"/>
  <c r="BC927" i="2"/>
  <c r="BA927" i="2"/>
  <c r="AY927" i="2"/>
  <c r="AW927" i="2"/>
  <c r="AU927" i="2"/>
  <c r="AS927" i="2"/>
  <c r="AP927" i="2"/>
  <c r="AN927" i="2"/>
  <c r="AL927" i="2"/>
  <c r="AJ927" i="2"/>
  <c r="AH927" i="2"/>
  <c r="AF927" i="2"/>
  <c r="AD927" i="2"/>
  <c r="AB927" i="2"/>
  <c r="Z927" i="2"/>
  <c r="X927" i="2"/>
  <c r="U927" i="2"/>
  <c r="S927" i="2"/>
  <c r="Q927" i="2"/>
  <c r="O927" i="2"/>
  <c r="M927" i="2"/>
  <c r="K927" i="2"/>
  <c r="I927" i="2"/>
  <c r="G927" i="2"/>
  <c r="E927" i="2"/>
  <c r="C927" i="2"/>
  <c r="BK926" i="2"/>
  <c r="BI926" i="2"/>
  <c r="BG926" i="2"/>
  <c r="BE926" i="2"/>
  <c r="BC926" i="2"/>
  <c r="BA926" i="2"/>
  <c r="AY926" i="2"/>
  <c r="AW926" i="2"/>
  <c r="AU926" i="2"/>
  <c r="AS926" i="2"/>
  <c r="AP926" i="2"/>
  <c r="AN926" i="2"/>
  <c r="AL926" i="2"/>
  <c r="AJ926" i="2"/>
  <c r="AH926" i="2"/>
  <c r="AF926" i="2"/>
  <c r="AD926" i="2"/>
  <c r="AB926" i="2"/>
  <c r="Z926" i="2"/>
  <c r="X926" i="2"/>
  <c r="U926" i="2"/>
  <c r="S926" i="2"/>
  <c r="Q926" i="2"/>
  <c r="O926" i="2"/>
  <c r="M926" i="2"/>
  <c r="K926" i="2"/>
  <c r="I926" i="2"/>
  <c r="G926" i="2"/>
  <c r="E926" i="2"/>
  <c r="C926" i="2"/>
  <c r="BK925" i="2"/>
  <c r="BI925" i="2"/>
  <c r="BG925" i="2"/>
  <c r="BE925" i="2"/>
  <c r="BC925" i="2"/>
  <c r="BA925" i="2"/>
  <c r="AY925" i="2"/>
  <c r="AW925" i="2"/>
  <c r="AU925" i="2"/>
  <c r="AS925" i="2"/>
  <c r="AP925" i="2"/>
  <c r="AN925" i="2"/>
  <c r="AL925" i="2"/>
  <c r="AJ925" i="2"/>
  <c r="AH925" i="2"/>
  <c r="AF925" i="2"/>
  <c r="AD925" i="2"/>
  <c r="AB925" i="2"/>
  <c r="Z925" i="2"/>
  <c r="X925" i="2"/>
  <c r="U925" i="2"/>
  <c r="S925" i="2"/>
  <c r="Q925" i="2"/>
  <c r="O925" i="2"/>
  <c r="M925" i="2"/>
  <c r="K925" i="2"/>
  <c r="I925" i="2"/>
  <c r="G925" i="2"/>
  <c r="E925" i="2"/>
  <c r="C925" i="2"/>
  <c r="BK924" i="2"/>
  <c r="BI924" i="2"/>
  <c r="BG924" i="2"/>
  <c r="BE924" i="2"/>
  <c r="BC924" i="2"/>
  <c r="BA924" i="2"/>
  <c r="AY924" i="2"/>
  <c r="AW924" i="2"/>
  <c r="AU924" i="2"/>
  <c r="AS924" i="2"/>
  <c r="AP924" i="2"/>
  <c r="AN924" i="2"/>
  <c r="AL924" i="2"/>
  <c r="AJ924" i="2"/>
  <c r="AH924" i="2"/>
  <c r="AF924" i="2"/>
  <c r="AD924" i="2"/>
  <c r="AB924" i="2"/>
  <c r="Z924" i="2"/>
  <c r="X924" i="2"/>
  <c r="U924" i="2"/>
  <c r="S924" i="2"/>
  <c r="Q924" i="2"/>
  <c r="O924" i="2"/>
  <c r="M924" i="2"/>
  <c r="K924" i="2"/>
  <c r="I924" i="2"/>
  <c r="G924" i="2"/>
  <c r="E924" i="2"/>
  <c r="C924" i="2"/>
  <c r="BK923" i="2"/>
  <c r="BI923" i="2"/>
  <c r="BG923" i="2"/>
  <c r="BE923" i="2"/>
  <c r="BC923" i="2"/>
  <c r="BA923" i="2"/>
  <c r="AY923" i="2"/>
  <c r="AW923" i="2"/>
  <c r="AU923" i="2"/>
  <c r="AS923" i="2"/>
  <c r="AP923" i="2"/>
  <c r="AN923" i="2"/>
  <c r="AL923" i="2"/>
  <c r="AJ923" i="2"/>
  <c r="AH923" i="2"/>
  <c r="AF923" i="2"/>
  <c r="AD923" i="2"/>
  <c r="AB923" i="2"/>
  <c r="Z923" i="2"/>
  <c r="X923" i="2"/>
  <c r="U923" i="2"/>
  <c r="S923" i="2"/>
  <c r="Q923" i="2"/>
  <c r="O923" i="2"/>
  <c r="M923" i="2"/>
  <c r="K923" i="2"/>
  <c r="I923" i="2"/>
  <c r="G923" i="2"/>
  <c r="E923" i="2"/>
  <c r="C923" i="2"/>
  <c r="BK922" i="2"/>
  <c r="BI922" i="2"/>
  <c r="BG922" i="2"/>
  <c r="BE922" i="2"/>
  <c r="BC922" i="2"/>
  <c r="BA922" i="2"/>
  <c r="AY922" i="2"/>
  <c r="AW922" i="2"/>
  <c r="AU922" i="2"/>
  <c r="AS922" i="2"/>
  <c r="AP922" i="2"/>
  <c r="AN922" i="2"/>
  <c r="AL922" i="2"/>
  <c r="AJ922" i="2"/>
  <c r="AH922" i="2"/>
  <c r="AF922" i="2"/>
  <c r="AD922" i="2"/>
  <c r="AB922" i="2"/>
  <c r="Z922" i="2"/>
  <c r="X922" i="2"/>
  <c r="U922" i="2"/>
  <c r="S922" i="2"/>
  <c r="Q922" i="2"/>
  <c r="O922" i="2"/>
  <c r="M922" i="2"/>
  <c r="K922" i="2"/>
  <c r="I922" i="2"/>
  <c r="G922" i="2"/>
  <c r="E922" i="2"/>
  <c r="C922" i="2"/>
  <c r="BK921" i="2"/>
  <c r="BI921" i="2"/>
  <c r="BG921" i="2"/>
  <c r="BE921" i="2"/>
  <c r="BC921" i="2"/>
  <c r="BA921" i="2"/>
  <c r="AY921" i="2"/>
  <c r="AW921" i="2"/>
  <c r="AU921" i="2"/>
  <c r="AS921" i="2"/>
  <c r="AP921" i="2"/>
  <c r="AN921" i="2"/>
  <c r="AL921" i="2"/>
  <c r="AJ921" i="2"/>
  <c r="AH921" i="2"/>
  <c r="AF921" i="2"/>
  <c r="AD921" i="2"/>
  <c r="AB921" i="2"/>
  <c r="Z921" i="2"/>
  <c r="X921" i="2"/>
  <c r="U921" i="2"/>
  <c r="S921" i="2"/>
  <c r="Q921" i="2"/>
  <c r="O921" i="2"/>
  <c r="M921" i="2"/>
  <c r="K921" i="2"/>
  <c r="I921" i="2"/>
  <c r="G921" i="2"/>
  <c r="E921" i="2"/>
  <c r="C921" i="2"/>
  <c r="BK920" i="2"/>
  <c r="BI920" i="2"/>
  <c r="BG920" i="2"/>
  <c r="BE920" i="2"/>
  <c r="BC920" i="2"/>
  <c r="BA920" i="2"/>
  <c r="AY920" i="2"/>
  <c r="AW920" i="2"/>
  <c r="AU920" i="2"/>
  <c r="AS920" i="2"/>
  <c r="AP920" i="2"/>
  <c r="AN920" i="2"/>
  <c r="AL920" i="2"/>
  <c r="AJ920" i="2"/>
  <c r="AH920" i="2"/>
  <c r="AF920" i="2"/>
  <c r="AD920" i="2"/>
  <c r="AB920" i="2"/>
  <c r="Z920" i="2"/>
  <c r="X920" i="2"/>
  <c r="U920" i="2"/>
  <c r="S920" i="2"/>
  <c r="Q920" i="2"/>
  <c r="O920" i="2"/>
  <c r="M920" i="2"/>
  <c r="K920" i="2"/>
  <c r="I920" i="2"/>
  <c r="G920" i="2"/>
  <c r="E920" i="2"/>
  <c r="C920" i="2"/>
  <c r="BK919" i="2"/>
  <c r="BI919" i="2"/>
  <c r="BG919" i="2"/>
  <c r="BE919" i="2"/>
  <c r="BC919" i="2"/>
  <c r="BA919" i="2"/>
  <c r="AY919" i="2"/>
  <c r="AW919" i="2"/>
  <c r="AU919" i="2"/>
  <c r="AS919" i="2"/>
  <c r="AP919" i="2"/>
  <c r="AN919" i="2"/>
  <c r="AL919" i="2"/>
  <c r="AJ919" i="2"/>
  <c r="AH919" i="2"/>
  <c r="AF919" i="2"/>
  <c r="AD919" i="2"/>
  <c r="AB919" i="2"/>
  <c r="Z919" i="2"/>
  <c r="X919" i="2"/>
  <c r="U919" i="2"/>
  <c r="S919" i="2"/>
  <c r="Q919" i="2"/>
  <c r="O919" i="2"/>
  <c r="M919" i="2"/>
  <c r="K919" i="2"/>
  <c r="I919" i="2"/>
  <c r="G919" i="2"/>
  <c r="E919" i="2"/>
  <c r="C919" i="2"/>
  <c r="BK918" i="2"/>
  <c r="BI918" i="2"/>
  <c r="BG918" i="2"/>
  <c r="BE918" i="2"/>
  <c r="BC918" i="2"/>
  <c r="BA918" i="2"/>
  <c r="AY918" i="2"/>
  <c r="AW918" i="2"/>
  <c r="AU918" i="2"/>
  <c r="AS918" i="2"/>
  <c r="AP918" i="2"/>
  <c r="AN918" i="2"/>
  <c r="AL918" i="2"/>
  <c r="AJ918" i="2"/>
  <c r="AH918" i="2"/>
  <c r="AF918" i="2"/>
  <c r="AD918" i="2"/>
  <c r="AB918" i="2"/>
  <c r="Z918" i="2"/>
  <c r="X918" i="2"/>
  <c r="U918" i="2"/>
  <c r="S918" i="2"/>
  <c r="Q918" i="2"/>
  <c r="O918" i="2"/>
  <c r="M918" i="2"/>
  <c r="K918" i="2"/>
  <c r="I918" i="2"/>
  <c r="G918" i="2"/>
  <c r="E918" i="2"/>
  <c r="C918" i="2"/>
  <c r="BK917" i="2"/>
  <c r="BI917" i="2"/>
  <c r="BG917" i="2"/>
  <c r="BE917" i="2"/>
  <c r="BC917" i="2"/>
  <c r="BA917" i="2"/>
  <c r="AY917" i="2"/>
  <c r="AW917" i="2"/>
  <c r="AU917" i="2"/>
  <c r="AS917" i="2"/>
  <c r="AP917" i="2"/>
  <c r="AN917" i="2"/>
  <c r="AL917" i="2"/>
  <c r="AJ917" i="2"/>
  <c r="AH917" i="2"/>
  <c r="AF917" i="2"/>
  <c r="AD917" i="2"/>
  <c r="AB917" i="2"/>
  <c r="Z917" i="2"/>
  <c r="X917" i="2"/>
  <c r="U917" i="2"/>
  <c r="S917" i="2"/>
  <c r="Q917" i="2"/>
  <c r="O917" i="2"/>
  <c r="M917" i="2"/>
  <c r="K917" i="2"/>
  <c r="I917" i="2"/>
  <c r="G917" i="2"/>
  <c r="E917" i="2"/>
  <c r="C917" i="2"/>
  <c r="BK916" i="2"/>
  <c r="BI916" i="2"/>
  <c r="BG916" i="2"/>
  <c r="BE916" i="2"/>
  <c r="BC916" i="2"/>
  <c r="BA916" i="2"/>
  <c r="AY916" i="2"/>
  <c r="AW916" i="2"/>
  <c r="AU916" i="2"/>
  <c r="AS916" i="2"/>
  <c r="AP916" i="2"/>
  <c r="AN916" i="2"/>
  <c r="AL916" i="2"/>
  <c r="AJ916" i="2"/>
  <c r="AH916" i="2"/>
  <c r="AF916" i="2"/>
  <c r="AD916" i="2"/>
  <c r="AB916" i="2"/>
  <c r="Z916" i="2"/>
  <c r="X916" i="2"/>
  <c r="U916" i="2"/>
  <c r="S916" i="2"/>
  <c r="Q916" i="2"/>
  <c r="O916" i="2"/>
  <c r="M916" i="2"/>
  <c r="K916" i="2"/>
  <c r="I916" i="2"/>
  <c r="G916" i="2"/>
  <c r="E916" i="2"/>
  <c r="C916" i="2"/>
  <c r="BK915" i="2"/>
  <c r="BI915" i="2"/>
  <c r="BG915" i="2"/>
  <c r="BE915" i="2"/>
  <c r="BC915" i="2"/>
  <c r="BA915" i="2"/>
  <c r="AY915" i="2"/>
  <c r="AW915" i="2"/>
  <c r="AU915" i="2"/>
  <c r="AS915" i="2"/>
  <c r="AP915" i="2"/>
  <c r="AN915" i="2"/>
  <c r="AL915" i="2"/>
  <c r="AJ915" i="2"/>
  <c r="AH915" i="2"/>
  <c r="AF915" i="2"/>
  <c r="AD915" i="2"/>
  <c r="AB915" i="2"/>
  <c r="Z915" i="2"/>
  <c r="X915" i="2"/>
  <c r="U915" i="2"/>
  <c r="S915" i="2"/>
  <c r="Q915" i="2"/>
  <c r="O915" i="2"/>
  <c r="M915" i="2"/>
  <c r="K915" i="2"/>
  <c r="I915" i="2"/>
  <c r="G915" i="2"/>
  <c r="E915" i="2"/>
  <c r="C915" i="2"/>
  <c r="BK914" i="2"/>
  <c r="BI914" i="2"/>
  <c r="BG914" i="2"/>
  <c r="BE914" i="2"/>
  <c r="BC914" i="2"/>
  <c r="BA914" i="2"/>
  <c r="AY914" i="2"/>
  <c r="AW914" i="2"/>
  <c r="AU914" i="2"/>
  <c r="AS914" i="2"/>
  <c r="AP914" i="2"/>
  <c r="AN914" i="2"/>
  <c r="AL914" i="2"/>
  <c r="AJ914" i="2"/>
  <c r="AH914" i="2"/>
  <c r="AF914" i="2"/>
  <c r="AD914" i="2"/>
  <c r="AB914" i="2"/>
  <c r="Z914" i="2"/>
  <c r="X914" i="2"/>
  <c r="U914" i="2"/>
  <c r="S914" i="2"/>
  <c r="Q914" i="2"/>
  <c r="O914" i="2"/>
  <c r="M914" i="2"/>
  <c r="K914" i="2"/>
  <c r="I914" i="2"/>
  <c r="G914" i="2"/>
  <c r="E914" i="2"/>
  <c r="C914" i="2"/>
  <c r="BK913" i="2"/>
  <c r="BI913" i="2"/>
  <c r="BG913" i="2"/>
  <c r="BE913" i="2"/>
  <c r="BC913" i="2"/>
  <c r="BA913" i="2"/>
  <c r="AY913" i="2"/>
  <c r="AW913" i="2"/>
  <c r="AU913" i="2"/>
  <c r="AS913" i="2"/>
  <c r="AP913" i="2"/>
  <c r="AN913" i="2"/>
  <c r="AL913" i="2"/>
  <c r="AJ913" i="2"/>
  <c r="AH913" i="2"/>
  <c r="AF913" i="2"/>
  <c r="AD913" i="2"/>
  <c r="AB913" i="2"/>
  <c r="Z913" i="2"/>
  <c r="X913" i="2"/>
  <c r="U913" i="2"/>
  <c r="S913" i="2"/>
  <c r="Q913" i="2"/>
  <c r="O913" i="2"/>
  <c r="M913" i="2"/>
  <c r="K913" i="2"/>
  <c r="I913" i="2"/>
  <c r="G913" i="2"/>
  <c r="E913" i="2"/>
  <c r="C913" i="2"/>
  <c r="BK912" i="2"/>
  <c r="BI912" i="2"/>
  <c r="BG912" i="2"/>
  <c r="BE912" i="2"/>
  <c r="BC912" i="2"/>
  <c r="BA912" i="2"/>
  <c r="AY912" i="2"/>
  <c r="AW912" i="2"/>
  <c r="AU912" i="2"/>
  <c r="AS912" i="2"/>
  <c r="AP912" i="2"/>
  <c r="AN912" i="2"/>
  <c r="AL912" i="2"/>
  <c r="AJ912" i="2"/>
  <c r="AH912" i="2"/>
  <c r="AF912" i="2"/>
  <c r="AD912" i="2"/>
  <c r="AB912" i="2"/>
  <c r="Z912" i="2"/>
  <c r="X912" i="2"/>
  <c r="U912" i="2"/>
  <c r="S912" i="2"/>
  <c r="Q912" i="2"/>
  <c r="O912" i="2"/>
  <c r="M912" i="2"/>
  <c r="K912" i="2"/>
  <c r="I912" i="2"/>
  <c r="G912" i="2"/>
  <c r="E912" i="2"/>
  <c r="C912" i="2"/>
  <c r="BK911" i="2"/>
  <c r="BI911" i="2"/>
  <c r="BG911" i="2"/>
  <c r="BE911" i="2"/>
  <c r="BC911" i="2"/>
  <c r="BA911" i="2"/>
  <c r="AY911" i="2"/>
  <c r="AW911" i="2"/>
  <c r="AU911" i="2"/>
  <c r="AS911" i="2"/>
  <c r="AP911" i="2"/>
  <c r="AN911" i="2"/>
  <c r="AL911" i="2"/>
  <c r="AJ911" i="2"/>
  <c r="AH911" i="2"/>
  <c r="AF911" i="2"/>
  <c r="AD911" i="2"/>
  <c r="AB911" i="2"/>
  <c r="Z911" i="2"/>
  <c r="X911" i="2"/>
  <c r="U911" i="2"/>
  <c r="S911" i="2"/>
  <c r="Q911" i="2"/>
  <c r="O911" i="2"/>
  <c r="M911" i="2"/>
  <c r="K911" i="2"/>
  <c r="I911" i="2"/>
  <c r="G911" i="2"/>
  <c r="E911" i="2"/>
  <c r="C911" i="2"/>
  <c r="BK910" i="2"/>
  <c r="BI910" i="2"/>
  <c r="BG910" i="2"/>
  <c r="BE910" i="2"/>
  <c r="BC910" i="2"/>
  <c r="BA910" i="2"/>
  <c r="AY910" i="2"/>
  <c r="AW910" i="2"/>
  <c r="AU910" i="2"/>
  <c r="AS910" i="2"/>
  <c r="AP910" i="2"/>
  <c r="AN910" i="2"/>
  <c r="AL910" i="2"/>
  <c r="AJ910" i="2"/>
  <c r="AH910" i="2"/>
  <c r="AF910" i="2"/>
  <c r="AD910" i="2"/>
  <c r="AB910" i="2"/>
  <c r="Z910" i="2"/>
  <c r="X910" i="2"/>
  <c r="U910" i="2"/>
  <c r="S910" i="2"/>
  <c r="Q910" i="2"/>
  <c r="O910" i="2"/>
  <c r="M910" i="2"/>
  <c r="K910" i="2"/>
  <c r="I910" i="2"/>
  <c r="G910" i="2"/>
  <c r="E910" i="2"/>
  <c r="C910" i="2"/>
  <c r="BK909" i="2"/>
  <c r="BI909" i="2"/>
  <c r="BG909" i="2"/>
  <c r="BE909" i="2"/>
  <c r="BC909" i="2"/>
  <c r="BA909" i="2"/>
  <c r="AY909" i="2"/>
  <c r="AW909" i="2"/>
  <c r="AU909" i="2"/>
  <c r="AS909" i="2"/>
  <c r="AP909" i="2"/>
  <c r="AN909" i="2"/>
  <c r="AL909" i="2"/>
  <c r="AJ909" i="2"/>
  <c r="AH909" i="2"/>
  <c r="AF909" i="2"/>
  <c r="AD909" i="2"/>
  <c r="AB909" i="2"/>
  <c r="Z909" i="2"/>
  <c r="X909" i="2"/>
  <c r="U909" i="2"/>
  <c r="S909" i="2"/>
  <c r="Q909" i="2"/>
  <c r="O909" i="2"/>
  <c r="M909" i="2"/>
  <c r="K909" i="2"/>
  <c r="I909" i="2"/>
  <c r="G909" i="2"/>
  <c r="E909" i="2"/>
  <c r="C909" i="2"/>
  <c r="BK908" i="2"/>
  <c r="BI908" i="2"/>
  <c r="BG908" i="2"/>
  <c r="BE908" i="2"/>
  <c r="BC908" i="2"/>
  <c r="BA908" i="2"/>
  <c r="AY908" i="2"/>
  <c r="AW908" i="2"/>
  <c r="AU908" i="2"/>
  <c r="AS908" i="2"/>
  <c r="AP908" i="2"/>
  <c r="AN908" i="2"/>
  <c r="AL908" i="2"/>
  <c r="AJ908" i="2"/>
  <c r="AH908" i="2"/>
  <c r="AF908" i="2"/>
  <c r="AD908" i="2"/>
  <c r="AB908" i="2"/>
  <c r="Z908" i="2"/>
  <c r="X908" i="2"/>
  <c r="U908" i="2"/>
  <c r="S908" i="2"/>
  <c r="Q908" i="2"/>
  <c r="O908" i="2"/>
  <c r="M908" i="2"/>
  <c r="K908" i="2"/>
  <c r="I908" i="2"/>
  <c r="G908" i="2"/>
  <c r="E908" i="2"/>
  <c r="C908" i="2"/>
  <c r="BK907" i="2"/>
  <c r="BI907" i="2"/>
  <c r="BG907" i="2"/>
  <c r="BE907" i="2"/>
  <c r="BC907" i="2"/>
  <c r="BA907" i="2"/>
  <c r="AY907" i="2"/>
  <c r="AW907" i="2"/>
  <c r="AU907" i="2"/>
  <c r="AS907" i="2"/>
  <c r="AP907" i="2"/>
  <c r="AN907" i="2"/>
  <c r="AL907" i="2"/>
  <c r="AJ907" i="2"/>
  <c r="AH907" i="2"/>
  <c r="AF907" i="2"/>
  <c r="AD907" i="2"/>
  <c r="AB907" i="2"/>
  <c r="Z907" i="2"/>
  <c r="X907" i="2"/>
  <c r="U907" i="2"/>
  <c r="S907" i="2"/>
  <c r="Q907" i="2"/>
  <c r="O907" i="2"/>
  <c r="M907" i="2"/>
  <c r="K907" i="2"/>
  <c r="I907" i="2"/>
  <c r="G907" i="2"/>
  <c r="E907" i="2"/>
  <c r="C907" i="2"/>
  <c r="BK906" i="2"/>
  <c r="BI906" i="2"/>
  <c r="BG906" i="2"/>
  <c r="BE906" i="2"/>
  <c r="BC906" i="2"/>
  <c r="BA906" i="2"/>
  <c r="AY906" i="2"/>
  <c r="AW906" i="2"/>
  <c r="AU906" i="2"/>
  <c r="AS906" i="2"/>
  <c r="AP906" i="2"/>
  <c r="AN906" i="2"/>
  <c r="AL906" i="2"/>
  <c r="AJ906" i="2"/>
  <c r="AH906" i="2"/>
  <c r="AF906" i="2"/>
  <c r="AD906" i="2"/>
  <c r="AB906" i="2"/>
  <c r="Z906" i="2"/>
  <c r="X906" i="2"/>
  <c r="U906" i="2"/>
  <c r="S906" i="2"/>
  <c r="Q906" i="2"/>
  <c r="O906" i="2"/>
  <c r="M906" i="2"/>
  <c r="K906" i="2"/>
  <c r="I906" i="2"/>
  <c r="G906" i="2"/>
  <c r="E906" i="2"/>
  <c r="C906" i="2"/>
  <c r="BK905" i="2"/>
  <c r="BI905" i="2"/>
  <c r="BG905" i="2"/>
  <c r="BE905" i="2"/>
  <c r="BC905" i="2"/>
  <c r="BA905" i="2"/>
  <c r="AY905" i="2"/>
  <c r="AW905" i="2"/>
  <c r="AU905" i="2"/>
  <c r="AS905" i="2"/>
  <c r="AP905" i="2"/>
  <c r="AN905" i="2"/>
  <c r="AL905" i="2"/>
  <c r="AJ905" i="2"/>
  <c r="AH905" i="2"/>
  <c r="AF905" i="2"/>
  <c r="AD905" i="2"/>
  <c r="AB905" i="2"/>
  <c r="Z905" i="2"/>
  <c r="X905" i="2"/>
  <c r="U905" i="2"/>
  <c r="S905" i="2"/>
  <c r="Q905" i="2"/>
  <c r="O905" i="2"/>
  <c r="M905" i="2"/>
  <c r="K905" i="2"/>
  <c r="I905" i="2"/>
  <c r="G905" i="2"/>
  <c r="E905" i="2"/>
  <c r="C905" i="2"/>
  <c r="BK904" i="2"/>
  <c r="BI904" i="2"/>
  <c r="BG904" i="2"/>
  <c r="BE904" i="2"/>
  <c r="BC904" i="2"/>
  <c r="BA904" i="2"/>
  <c r="AY904" i="2"/>
  <c r="AW904" i="2"/>
  <c r="AU904" i="2"/>
  <c r="AS904" i="2"/>
  <c r="AP904" i="2"/>
  <c r="AN904" i="2"/>
  <c r="AL904" i="2"/>
  <c r="AJ904" i="2"/>
  <c r="AH904" i="2"/>
  <c r="AF904" i="2"/>
  <c r="AD904" i="2"/>
  <c r="AB904" i="2"/>
  <c r="Z904" i="2"/>
  <c r="X904" i="2"/>
  <c r="U904" i="2"/>
  <c r="S904" i="2"/>
  <c r="Q904" i="2"/>
  <c r="O904" i="2"/>
  <c r="M904" i="2"/>
  <c r="K904" i="2"/>
  <c r="I904" i="2"/>
  <c r="G904" i="2"/>
  <c r="E904" i="2"/>
  <c r="C904" i="2"/>
  <c r="BK903" i="2"/>
  <c r="BI903" i="2"/>
  <c r="BG903" i="2"/>
  <c r="BE903" i="2"/>
  <c r="BC903" i="2"/>
  <c r="BA903" i="2"/>
  <c r="AY903" i="2"/>
  <c r="AW903" i="2"/>
  <c r="AU903" i="2"/>
  <c r="AS903" i="2"/>
  <c r="AP903" i="2"/>
  <c r="AN903" i="2"/>
  <c r="AL903" i="2"/>
  <c r="AJ903" i="2"/>
  <c r="AH903" i="2"/>
  <c r="AF903" i="2"/>
  <c r="AD903" i="2"/>
  <c r="AB903" i="2"/>
  <c r="Z903" i="2"/>
  <c r="X903" i="2"/>
  <c r="U903" i="2"/>
  <c r="S903" i="2"/>
  <c r="Q903" i="2"/>
  <c r="O903" i="2"/>
  <c r="M903" i="2"/>
  <c r="K903" i="2"/>
  <c r="I903" i="2"/>
  <c r="G903" i="2"/>
  <c r="E903" i="2"/>
  <c r="C903" i="2"/>
  <c r="BK902" i="2"/>
  <c r="BI902" i="2"/>
  <c r="BG902" i="2"/>
  <c r="BE902" i="2"/>
  <c r="BC902" i="2"/>
  <c r="BA902" i="2"/>
  <c r="AY902" i="2"/>
  <c r="AW902" i="2"/>
  <c r="AU902" i="2"/>
  <c r="AS902" i="2"/>
  <c r="AP902" i="2"/>
  <c r="AN902" i="2"/>
  <c r="AL902" i="2"/>
  <c r="AJ902" i="2"/>
  <c r="AH902" i="2"/>
  <c r="AF902" i="2"/>
  <c r="AD902" i="2"/>
  <c r="AB902" i="2"/>
  <c r="Z902" i="2"/>
  <c r="X902" i="2"/>
  <c r="U902" i="2"/>
  <c r="S902" i="2"/>
  <c r="Q902" i="2"/>
  <c r="O902" i="2"/>
  <c r="M902" i="2"/>
  <c r="K902" i="2"/>
  <c r="I902" i="2"/>
  <c r="G902" i="2"/>
  <c r="E902" i="2"/>
  <c r="C902" i="2"/>
  <c r="BK901" i="2"/>
  <c r="BI901" i="2"/>
  <c r="BG901" i="2"/>
  <c r="BE901" i="2"/>
  <c r="BC901" i="2"/>
  <c r="BA901" i="2"/>
  <c r="AY901" i="2"/>
  <c r="AW901" i="2"/>
  <c r="AU901" i="2"/>
  <c r="AS901" i="2"/>
  <c r="AP901" i="2"/>
  <c r="AN901" i="2"/>
  <c r="AL901" i="2"/>
  <c r="AJ901" i="2"/>
  <c r="AH901" i="2"/>
  <c r="AF901" i="2"/>
  <c r="AD901" i="2"/>
  <c r="AB901" i="2"/>
  <c r="Z901" i="2"/>
  <c r="X901" i="2"/>
  <c r="U901" i="2"/>
  <c r="S901" i="2"/>
  <c r="Q901" i="2"/>
  <c r="O901" i="2"/>
  <c r="M901" i="2"/>
  <c r="K901" i="2"/>
  <c r="I901" i="2"/>
  <c r="G901" i="2"/>
  <c r="E901" i="2"/>
  <c r="C901" i="2"/>
  <c r="BK900" i="2"/>
  <c r="BI900" i="2"/>
  <c r="BG900" i="2"/>
  <c r="BE900" i="2"/>
  <c r="BC900" i="2"/>
  <c r="BA900" i="2"/>
  <c r="AY900" i="2"/>
  <c r="AW900" i="2"/>
  <c r="AU900" i="2"/>
  <c r="AS900" i="2"/>
  <c r="AP900" i="2"/>
  <c r="AN900" i="2"/>
  <c r="AL900" i="2"/>
  <c r="AJ900" i="2"/>
  <c r="AH900" i="2"/>
  <c r="AF900" i="2"/>
  <c r="AD900" i="2"/>
  <c r="AB900" i="2"/>
  <c r="Z900" i="2"/>
  <c r="X900" i="2"/>
  <c r="U900" i="2"/>
  <c r="S900" i="2"/>
  <c r="Q900" i="2"/>
  <c r="O900" i="2"/>
  <c r="M900" i="2"/>
  <c r="K900" i="2"/>
  <c r="I900" i="2"/>
  <c r="G900" i="2"/>
  <c r="E900" i="2"/>
  <c r="C900" i="2"/>
  <c r="BK899" i="2"/>
  <c r="BI899" i="2"/>
  <c r="BG899" i="2"/>
  <c r="BE899" i="2"/>
  <c r="BC899" i="2"/>
  <c r="BA899" i="2"/>
  <c r="AY899" i="2"/>
  <c r="AW899" i="2"/>
  <c r="AU899" i="2"/>
  <c r="AS899" i="2"/>
  <c r="AP899" i="2"/>
  <c r="AN899" i="2"/>
  <c r="AL899" i="2"/>
  <c r="AJ899" i="2"/>
  <c r="AH899" i="2"/>
  <c r="AF899" i="2"/>
  <c r="AD899" i="2"/>
  <c r="AB899" i="2"/>
  <c r="Z899" i="2"/>
  <c r="X899" i="2"/>
  <c r="U899" i="2"/>
  <c r="S899" i="2"/>
  <c r="Q899" i="2"/>
  <c r="O899" i="2"/>
  <c r="M899" i="2"/>
  <c r="K899" i="2"/>
  <c r="I899" i="2"/>
  <c r="G899" i="2"/>
  <c r="E899" i="2"/>
  <c r="C899" i="2"/>
  <c r="BK898" i="2"/>
  <c r="BI898" i="2"/>
  <c r="BG898" i="2"/>
  <c r="BE898" i="2"/>
  <c r="BC898" i="2"/>
  <c r="BA898" i="2"/>
  <c r="AY898" i="2"/>
  <c r="AW898" i="2"/>
  <c r="AU898" i="2"/>
  <c r="AS898" i="2"/>
  <c r="AP898" i="2"/>
  <c r="AN898" i="2"/>
  <c r="AL898" i="2"/>
  <c r="AJ898" i="2"/>
  <c r="AH898" i="2"/>
  <c r="AF898" i="2"/>
  <c r="AD898" i="2"/>
  <c r="AB898" i="2"/>
  <c r="Z898" i="2"/>
  <c r="X898" i="2"/>
  <c r="U898" i="2"/>
  <c r="S898" i="2"/>
  <c r="Q898" i="2"/>
  <c r="O898" i="2"/>
  <c r="M898" i="2"/>
  <c r="K898" i="2"/>
  <c r="I898" i="2"/>
  <c r="G898" i="2"/>
  <c r="E898" i="2"/>
  <c r="C898" i="2"/>
  <c r="BK897" i="2"/>
  <c r="BI897" i="2"/>
  <c r="BG897" i="2"/>
  <c r="BE897" i="2"/>
  <c r="BC897" i="2"/>
  <c r="BA897" i="2"/>
  <c r="AY897" i="2"/>
  <c r="AW897" i="2"/>
  <c r="AU897" i="2"/>
  <c r="AS897" i="2"/>
  <c r="AP897" i="2"/>
  <c r="AN897" i="2"/>
  <c r="AL897" i="2"/>
  <c r="AJ897" i="2"/>
  <c r="AH897" i="2"/>
  <c r="AF897" i="2"/>
  <c r="AD897" i="2"/>
  <c r="AB897" i="2"/>
  <c r="Z897" i="2"/>
  <c r="X897" i="2"/>
  <c r="U897" i="2"/>
  <c r="S897" i="2"/>
  <c r="Q897" i="2"/>
  <c r="O897" i="2"/>
  <c r="M897" i="2"/>
  <c r="K897" i="2"/>
  <c r="I897" i="2"/>
  <c r="G897" i="2"/>
  <c r="E897" i="2"/>
  <c r="C897" i="2"/>
  <c r="BK896" i="2"/>
  <c r="BI896" i="2"/>
  <c r="BG896" i="2"/>
  <c r="BE896" i="2"/>
  <c r="BC896" i="2"/>
  <c r="BA896" i="2"/>
  <c r="AY896" i="2"/>
  <c r="AW896" i="2"/>
  <c r="AU896" i="2"/>
  <c r="AS896" i="2"/>
  <c r="AP896" i="2"/>
  <c r="AN896" i="2"/>
  <c r="AL896" i="2"/>
  <c r="AJ896" i="2"/>
  <c r="AH896" i="2"/>
  <c r="AF896" i="2"/>
  <c r="AD896" i="2"/>
  <c r="AB896" i="2"/>
  <c r="Z896" i="2"/>
  <c r="X896" i="2"/>
  <c r="U896" i="2"/>
  <c r="S896" i="2"/>
  <c r="Q896" i="2"/>
  <c r="O896" i="2"/>
  <c r="M896" i="2"/>
  <c r="K896" i="2"/>
  <c r="I896" i="2"/>
  <c r="G896" i="2"/>
  <c r="E896" i="2"/>
  <c r="C896" i="2"/>
  <c r="BK895" i="2"/>
  <c r="BI895" i="2"/>
  <c r="BG895" i="2"/>
  <c r="BE895" i="2"/>
  <c r="BC895" i="2"/>
  <c r="BA895" i="2"/>
  <c r="AY895" i="2"/>
  <c r="AW895" i="2"/>
  <c r="AU895" i="2"/>
  <c r="AS895" i="2"/>
  <c r="AP895" i="2"/>
  <c r="AN895" i="2"/>
  <c r="AL895" i="2"/>
  <c r="AJ895" i="2"/>
  <c r="AH895" i="2"/>
  <c r="AF895" i="2"/>
  <c r="AD895" i="2"/>
  <c r="AB895" i="2"/>
  <c r="Z895" i="2"/>
  <c r="X895" i="2"/>
  <c r="U895" i="2"/>
  <c r="S895" i="2"/>
  <c r="Q895" i="2"/>
  <c r="O895" i="2"/>
  <c r="M895" i="2"/>
  <c r="K895" i="2"/>
  <c r="I895" i="2"/>
  <c r="G895" i="2"/>
  <c r="E895" i="2"/>
  <c r="C895" i="2"/>
  <c r="BK894" i="2"/>
  <c r="BI894" i="2"/>
  <c r="BG894" i="2"/>
  <c r="BE894" i="2"/>
  <c r="BC894" i="2"/>
  <c r="BA894" i="2"/>
  <c r="AY894" i="2"/>
  <c r="AW894" i="2"/>
  <c r="AU894" i="2"/>
  <c r="AS894" i="2"/>
  <c r="AP894" i="2"/>
  <c r="AN894" i="2"/>
  <c r="AL894" i="2"/>
  <c r="AJ894" i="2"/>
  <c r="AH894" i="2"/>
  <c r="AF894" i="2"/>
  <c r="AD894" i="2"/>
  <c r="AB894" i="2"/>
  <c r="Z894" i="2"/>
  <c r="X894" i="2"/>
  <c r="U894" i="2"/>
  <c r="S894" i="2"/>
  <c r="Q894" i="2"/>
  <c r="O894" i="2"/>
  <c r="M894" i="2"/>
  <c r="K894" i="2"/>
  <c r="I894" i="2"/>
  <c r="G894" i="2"/>
  <c r="E894" i="2"/>
  <c r="C894" i="2"/>
  <c r="BK893" i="2"/>
  <c r="BI893" i="2"/>
  <c r="BG893" i="2"/>
  <c r="BE893" i="2"/>
  <c r="BC893" i="2"/>
  <c r="BA893" i="2"/>
  <c r="AY893" i="2"/>
  <c r="AW893" i="2"/>
  <c r="AU893" i="2"/>
  <c r="AS893" i="2"/>
  <c r="AP893" i="2"/>
  <c r="AN893" i="2"/>
  <c r="AL893" i="2"/>
  <c r="AJ893" i="2"/>
  <c r="AH893" i="2"/>
  <c r="AF893" i="2"/>
  <c r="AD893" i="2"/>
  <c r="AB893" i="2"/>
  <c r="Z893" i="2"/>
  <c r="X893" i="2"/>
  <c r="U893" i="2"/>
  <c r="S893" i="2"/>
  <c r="Q893" i="2"/>
  <c r="O893" i="2"/>
  <c r="M893" i="2"/>
  <c r="K893" i="2"/>
  <c r="I893" i="2"/>
  <c r="G893" i="2"/>
  <c r="E893" i="2"/>
  <c r="C893" i="2"/>
  <c r="BK892" i="2"/>
  <c r="BI892" i="2"/>
  <c r="BG892" i="2"/>
  <c r="BE892" i="2"/>
  <c r="BC892" i="2"/>
  <c r="BA892" i="2"/>
  <c r="AY892" i="2"/>
  <c r="AW892" i="2"/>
  <c r="AU892" i="2"/>
  <c r="AS892" i="2"/>
  <c r="AP892" i="2"/>
  <c r="AN892" i="2"/>
  <c r="AL892" i="2"/>
  <c r="AJ892" i="2"/>
  <c r="AH892" i="2"/>
  <c r="AF892" i="2"/>
  <c r="AD892" i="2"/>
  <c r="AB892" i="2"/>
  <c r="Z892" i="2"/>
  <c r="X892" i="2"/>
  <c r="U892" i="2"/>
  <c r="S892" i="2"/>
  <c r="Q892" i="2"/>
  <c r="O892" i="2"/>
  <c r="M892" i="2"/>
  <c r="K892" i="2"/>
  <c r="I892" i="2"/>
  <c r="G892" i="2"/>
  <c r="E892" i="2"/>
  <c r="C892" i="2"/>
  <c r="BK891" i="2"/>
  <c r="BI891" i="2"/>
  <c r="BG891" i="2"/>
  <c r="BE891" i="2"/>
  <c r="BC891" i="2"/>
  <c r="BA891" i="2"/>
  <c r="AY891" i="2"/>
  <c r="AW891" i="2"/>
  <c r="AU891" i="2"/>
  <c r="AS891" i="2"/>
  <c r="AP891" i="2"/>
  <c r="AN891" i="2"/>
  <c r="AL891" i="2"/>
  <c r="AJ891" i="2"/>
  <c r="AH891" i="2"/>
  <c r="AF891" i="2"/>
  <c r="AD891" i="2"/>
  <c r="AB891" i="2"/>
  <c r="Z891" i="2"/>
  <c r="X891" i="2"/>
  <c r="U891" i="2"/>
  <c r="S891" i="2"/>
  <c r="Q891" i="2"/>
  <c r="O891" i="2"/>
  <c r="M891" i="2"/>
  <c r="K891" i="2"/>
  <c r="I891" i="2"/>
  <c r="G891" i="2"/>
  <c r="E891" i="2"/>
  <c r="C891" i="2"/>
  <c r="BK890" i="2"/>
  <c r="BI890" i="2"/>
  <c r="BG890" i="2"/>
  <c r="BE890" i="2"/>
  <c r="BC890" i="2"/>
  <c r="BA890" i="2"/>
  <c r="AY890" i="2"/>
  <c r="AW890" i="2"/>
  <c r="AU890" i="2"/>
  <c r="AS890" i="2"/>
  <c r="AP890" i="2"/>
  <c r="AN890" i="2"/>
  <c r="AL890" i="2"/>
  <c r="AJ890" i="2"/>
  <c r="AH890" i="2"/>
  <c r="AF890" i="2"/>
  <c r="AD890" i="2"/>
  <c r="AB890" i="2"/>
  <c r="Z890" i="2"/>
  <c r="X890" i="2"/>
  <c r="U890" i="2"/>
  <c r="S890" i="2"/>
  <c r="Q890" i="2"/>
  <c r="O890" i="2"/>
  <c r="M890" i="2"/>
  <c r="K890" i="2"/>
  <c r="I890" i="2"/>
  <c r="G890" i="2"/>
  <c r="E890" i="2"/>
  <c r="C890" i="2"/>
  <c r="BK889" i="2"/>
  <c r="BI889" i="2"/>
  <c r="BG889" i="2"/>
  <c r="BE889" i="2"/>
  <c r="BC889" i="2"/>
  <c r="BA889" i="2"/>
  <c r="AY889" i="2"/>
  <c r="AW889" i="2"/>
  <c r="AU889" i="2"/>
  <c r="AS889" i="2"/>
  <c r="AP889" i="2"/>
  <c r="AN889" i="2"/>
  <c r="AL889" i="2"/>
  <c r="AJ889" i="2"/>
  <c r="AH889" i="2"/>
  <c r="AF889" i="2"/>
  <c r="AD889" i="2"/>
  <c r="AB889" i="2"/>
  <c r="Z889" i="2"/>
  <c r="X889" i="2"/>
  <c r="U889" i="2"/>
  <c r="S889" i="2"/>
  <c r="Q889" i="2"/>
  <c r="O889" i="2"/>
  <c r="M889" i="2"/>
  <c r="K889" i="2"/>
  <c r="I889" i="2"/>
  <c r="G889" i="2"/>
  <c r="E889" i="2"/>
  <c r="C889" i="2"/>
  <c r="BK888" i="2"/>
  <c r="BI888" i="2"/>
  <c r="BG888" i="2"/>
  <c r="BE888" i="2"/>
  <c r="BC888" i="2"/>
  <c r="BA888" i="2"/>
  <c r="AY888" i="2"/>
  <c r="AW888" i="2"/>
  <c r="AU888" i="2"/>
  <c r="AS888" i="2"/>
  <c r="AP888" i="2"/>
  <c r="AN888" i="2"/>
  <c r="AL888" i="2"/>
  <c r="AJ888" i="2"/>
  <c r="AH888" i="2"/>
  <c r="AF888" i="2"/>
  <c r="AD888" i="2"/>
  <c r="AB888" i="2"/>
  <c r="Z888" i="2"/>
  <c r="X888" i="2"/>
  <c r="U888" i="2"/>
  <c r="S888" i="2"/>
  <c r="Q888" i="2"/>
  <c r="O888" i="2"/>
  <c r="M888" i="2"/>
  <c r="K888" i="2"/>
  <c r="I888" i="2"/>
  <c r="G888" i="2"/>
  <c r="E888" i="2"/>
  <c r="C888" i="2"/>
  <c r="BK887" i="2"/>
  <c r="BI887" i="2"/>
  <c r="BG887" i="2"/>
  <c r="BE887" i="2"/>
  <c r="BC887" i="2"/>
  <c r="BA887" i="2"/>
  <c r="AY887" i="2"/>
  <c r="AW887" i="2"/>
  <c r="AU887" i="2"/>
  <c r="AS887" i="2"/>
  <c r="AP887" i="2"/>
  <c r="AN887" i="2"/>
  <c r="AL887" i="2"/>
  <c r="AJ887" i="2"/>
  <c r="AH887" i="2"/>
  <c r="AF887" i="2"/>
  <c r="AD887" i="2"/>
  <c r="AB887" i="2"/>
  <c r="Z887" i="2"/>
  <c r="X887" i="2"/>
  <c r="U887" i="2"/>
  <c r="S887" i="2"/>
  <c r="Q887" i="2"/>
  <c r="O887" i="2"/>
  <c r="M887" i="2"/>
  <c r="K887" i="2"/>
  <c r="I887" i="2"/>
  <c r="G887" i="2"/>
  <c r="E887" i="2"/>
  <c r="C887" i="2"/>
  <c r="BK886" i="2"/>
  <c r="BI886" i="2"/>
  <c r="BG886" i="2"/>
  <c r="BE886" i="2"/>
  <c r="BC886" i="2"/>
  <c r="BA886" i="2"/>
  <c r="AY886" i="2"/>
  <c r="AW886" i="2"/>
  <c r="AU886" i="2"/>
  <c r="AS886" i="2"/>
  <c r="AP886" i="2"/>
  <c r="AN886" i="2"/>
  <c r="AL886" i="2"/>
  <c r="AJ886" i="2"/>
  <c r="AH886" i="2"/>
  <c r="AF886" i="2"/>
  <c r="AD886" i="2"/>
  <c r="AB886" i="2"/>
  <c r="Z886" i="2"/>
  <c r="X886" i="2"/>
  <c r="U886" i="2"/>
  <c r="S886" i="2"/>
  <c r="Q886" i="2"/>
  <c r="O886" i="2"/>
  <c r="M886" i="2"/>
  <c r="K886" i="2"/>
  <c r="I886" i="2"/>
  <c r="G886" i="2"/>
  <c r="E886" i="2"/>
  <c r="C886" i="2"/>
  <c r="BK885" i="2"/>
  <c r="BI885" i="2"/>
  <c r="BG885" i="2"/>
  <c r="BE885" i="2"/>
  <c r="BC885" i="2"/>
  <c r="BA885" i="2"/>
  <c r="AY885" i="2"/>
  <c r="AW885" i="2"/>
  <c r="AU885" i="2"/>
  <c r="AS885" i="2"/>
  <c r="AP885" i="2"/>
  <c r="AN885" i="2"/>
  <c r="AL885" i="2"/>
  <c r="AJ885" i="2"/>
  <c r="AH885" i="2"/>
  <c r="AF885" i="2"/>
  <c r="AD885" i="2"/>
  <c r="AB885" i="2"/>
  <c r="Z885" i="2"/>
  <c r="X885" i="2"/>
  <c r="U885" i="2"/>
  <c r="S885" i="2"/>
  <c r="Q885" i="2"/>
  <c r="O885" i="2"/>
  <c r="M885" i="2"/>
  <c r="K885" i="2"/>
  <c r="I885" i="2"/>
  <c r="G885" i="2"/>
  <c r="E885" i="2"/>
  <c r="C885" i="2"/>
  <c r="BK884" i="2"/>
  <c r="BI884" i="2"/>
  <c r="BG884" i="2"/>
  <c r="BE884" i="2"/>
  <c r="BC884" i="2"/>
  <c r="BA884" i="2"/>
  <c r="AY884" i="2"/>
  <c r="AW884" i="2"/>
  <c r="AU884" i="2"/>
  <c r="AS884" i="2"/>
  <c r="AP884" i="2"/>
  <c r="AN884" i="2"/>
  <c r="AL884" i="2"/>
  <c r="AJ884" i="2"/>
  <c r="AH884" i="2"/>
  <c r="AF884" i="2"/>
  <c r="AD884" i="2"/>
  <c r="AB884" i="2"/>
  <c r="Z884" i="2"/>
  <c r="X884" i="2"/>
  <c r="U884" i="2"/>
  <c r="S884" i="2"/>
  <c r="Q884" i="2"/>
  <c r="O884" i="2"/>
  <c r="M884" i="2"/>
  <c r="K884" i="2"/>
  <c r="I884" i="2"/>
  <c r="G884" i="2"/>
  <c r="E884" i="2"/>
  <c r="C884" i="2"/>
  <c r="BK883" i="2"/>
  <c r="BI883" i="2"/>
  <c r="BG883" i="2"/>
  <c r="BE883" i="2"/>
  <c r="BC883" i="2"/>
  <c r="BA883" i="2"/>
  <c r="AY883" i="2"/>
  <c r="AW883" i="2"/>
  <c r="AU883" i="2"/>
  <c r="AS883" i="2"/>
  <c r="AP883" i="2"/>
  <c r="AN883" i="2"/>
  <c r="AL883" i="2"/>
  <c r="AJ883" i="2"/>
  <c r="AH883" i="2"/>
  <c r="AF883" i="2"/>
  <c r="AD883" i="2"/>
  <c r="AB883" i="2"/>
  <c r="Z883" i="2"/>
  <c r="X883" i="2"/>
  <c r="U883" i="2"/>
  <c r="S883" i="2"/>
  <c r="Q883" i="2"/>
  <c r="O883" i="2"/>
  <c r="M883" i="2"/>
  <c r="K883" i="2"/>
  <c r="I883" i="2"/>
  <c r="G883" i="2"/>
  <c r="E883" i="2"/>
  <c r="C883" i="2"/>
  <c r="BK882" i="2"/>
  <c r="BI882" i="2"/>
  <c r="BG882" i="2"/>
  <c r="BE882" i="2"/>
  <c r="BC882" i="2"/>
  <c r="BA882" i="2"/>
  <c r="AY882" i="2"/>
  <c r="AW882" i="2"/>
  <c r="AU882" i="2"/>
  <c r="AS882" i="2"/>
  <c r="AP882" i="2"/>
  <c r="AN882" i="2"/>
  <c r="AL882" i="2"/>
  <c r="AJ882" i="2"/>
  <c r="AH882" i="2"/>
  <c r="AF882" i="2"/>
  <c r="AD882" i="2"/>
  <c r="AB882" i="2"/>
  <c r="Z882" i="2"/>
  <c r="X882" i="2"/>
  <c r="U882" i="2"/>
  <c r="S882" i="2"/>
  <c r="Q882" i="2"/>
  <c r="O882" i="2"/>
  <c r="M882" i="2"/>
  <c r="K882" i="2"/>
  <c r="I882" i="2"/>
  <c r="G882" i="2"/>
  <c r="E882" i="2"/>
  <c r="C882" i="2"/>
  <c r="BK881" i="2"/>
  <c r="BI881" i="2"/>
  <c r="BG881" i="2"/>
  <c r="BE881" i="2"/>
  <c r="BC881" i="2"/>
  <c r="BA881" i="2"/>
  <c r="AY881" i="2"/>
  <c r="AW881" i="2"/>
  <c r="AU881" i="2"/>
  <c r="AS881" i="2"/>
  <c r="AP881" i="2"/>
  <c r="AN881" i="2"/>
  <c r="AL881" i="2"/>
  <c r="AJ881" i="2"/>
  <c r="AH881" i="2"/>
  <c r="AF881" i="2"/>
  <c r="AD881" i="2"/>
  <c r="AB881" i="2"/>
  <c r="Z881" i="2"/>
  <c r="X881" i="2"/>
  <c r="U881" i="2"/>
  <c r="S881" i="2"/>
  <c r="Q881" i="2"/>
  <c r="O881" i="2"/>
  <c r="M881" i="2"/>
  <c r="K881" i="2"/>
  <c r="I881" i="2"/>
  <c r="G881" i="2"/>
  <c r="E881" i="2"/>
  <c r="C881" i="2"/>
  <c r="BK880" i="2"/>
  <c r="BI880" i="2"/>
  <c r="BG880" i="2"/>
  <c r="BE880" i="2"/>
  <c r="BC880" i="2"/>
  <c r="BA880" i="2"/>
  <c r="AY880" i="2"/>
  <c r="AW880" i="2"/>
  <c r="AU880" i="2"/>
  <c r="AS880" i="2"/>
  <c r="AP880" i="2"/>
  <c r="AN880" i="2"/>
  <c r="AL880" i="2"/>
  <c r="AJ880" i="2"/>
  <c r="AH880" i="2"/>
  <c r="AF880" i="2"/>
  <c r="AD880" i="2"/>
  <c r="AB880" i="2"/>
  <c r="Z880" i="2"/>
  <c r="X880" i="2"/>
  <c r="U880" i="2"/>
  <c r="S880" i="2"/>
  <c r="Q880" i="2"/>
  <c r="O880" i="2"/>
  <c r="M880" i="2"/>
  <c r="K880" i="2"/>
  <c r="I880" i="2"/>
  <c r="G880" i="2"/>
  <c r="E880" i="2"/>
  <c r="C880" i="2"/>
  <c r="BK879" i="2"/>
  <c r="BI879" i="2"/>
  <c r="BG879" i="2"/>
  <c r="BE879" i="2"/>
  <c r="BC879" i="2"/>
  <c r="BA879" i="2"/>
  <c r="AY879" i="2"/>
  <c r="AW879" i="2"/>
  <c r="AU879" i="2"/>
  <c r="AS879" i="2"/>
  <c r="AP879" i="2"/>
  <c r="AN879" i="2"/>
  <c r="AL879" i="2"/>
  <c r="AJ879" i="2"/>
  <c r="AH879" i="2"/>
  <c r="AF879" i="2"/>
  <c r="AD879" i="2"/>
  <c r="AB879" i="2"/>
  <c r="Z879" i="2"/>
  <c r="X879" i="2"/>
  <c r="U879" i="2"/>
  <c r="S879" i="2"/>
  <c r="Q879" i="2"/>
  <c r="O879" i="2"/>
  <c r="M879" i="2"/>
  <c r="K879" i="2"/>
  <c r="I879" i="2"/>
  <c r="G879" i="2"/>
  <c r="E879" i="2"/>
  <c r="C879" i="2"/>
  <c r="BK878" i="2"/>
  <c r="BI878" i="2"/>
  <c r="BG878" i="2"/>
  <c r="BE878" i="2"/>
  <c r="BC878" i="2"/>
  <c r="BA878" i="2"/>
  <c r="AY878" i="2"/>
  <c r="AW878" i="2"/>
  <c r="AU878" i="2"/>
  <c r="AS878" i="2"/>
  <c r="AP878" i="2"/>
  <c r="AN878" i="2"/>
  <c r="AL878" i="2"/>
  <c r="AJ878" i="2"/>
  <c r="AH878" i="2"/>
  <c r="AF878" i="2"/>
  <c r="AD878" i="2"/>
  <c r="AB878" i="2"/>
  <c r="Z878" i="2"/>
  <c r="X878" i="2"/>
  <c r="U878" i="2"/>
  <c r="S878" i="2"/>
  <c r="Q878" i="2"/>
  <c r="O878" i="2"/>
  <c r="M878" i="2"/>
  <c r="K878" i="2"/>
  <c r="I878" i="2"/>
  <c r="G878" i="2"/>
  <c r="E878" i="2"/>
  <c r="C878" i="2"/>
  <c r="BK877" i="2"/>
  <c r="BI877" i="2"/>
  <c r="BG877" i="2"/>
  <c r="BE877" i="2"/>
  <c r="BC877" i="2"/>
  <c r="BA877" i="2"/>
  <c r="AY877" i="2"/>
  <c r="AW877" i="2"/>
  <c r="AU877" i="2"/>
  <c r="AS877" i="2"/>
  <c r="AP877" i="2"/>
  <c r="AN877" i="2"/>
  <c r="AL877" i="2"/>
  <c r="AJ877" i="2"/>
  <c r="AH877" i="2"/>
  <c r="AF877" i="2"/>
  <c r="AD877" i="2"/>
  <c r="AB877" i="2"/>
  <c r="Z877" i="2"/>
  <c r="X877" i="2"/>
  <c r="U877" i="2"/>
  <c r="S877" i="2"/>
  <c r="Q877" i="2"/>
  <c r="O877" i="2"/>
  <c r="M877" i="2"/>
  <c r="K877" i="2"/>
  <c r="I877" i="2"/>
  <c r="G877" i="2"/>
  <c r="E877" i="2"/>
  <c r="C877" i="2"/>
  <c r="BK876" i="2"/>
  <c r="BI876" i="2"/>
  <c r="BG876" i="2"/>
  <c r="BE876" i="2"/>
  <c r="BC876" i="2"/>
  <c r="BA876" i="2"/>
  <c r="AY876" i="2"/>
  <c r="AW876" i="2"/>
  <c r="AU876" i="2"/>
  <c r="AS876" i="2"/>
  <c r="AP876" i="2"/>
  <c r="AN876" i="2"/>
  <c r="AL876" i="2"/>
  <c r="AJ876" i="2"/>
  <c r="AH876" i="2"/>
  <c r="AF876" i="2"/>
  <c r="AD876" i="2"/>
  <c r="AB876" i="2"/>
  <c r="Z876" i="2"/>
  <c r="X876" i="2"/>
  <c r="U876" i="2"/>
  <c r="S876" i="2"/>
  <c r="Q876" i="2"/>
  <c r="O876" i="2"/>
  <c r="M876" i="2"/>
  <c r="K876" i="2"/>
  <c r="I876" i="2"/>
  <c r="G876" i="2"/>
  <c r="E876" i="2"/>
  <c r="C876" i="2"/>
  <c r="BK875" i="2"/>
  <c r="BI875" i="2"/>
  <c r="BG875" i="2"/>
  <c r="BE875" i="2"/>
  <c r="BC875" i="2"/>
  <c r="BA875" i="2"/>
  <c r="AY875" i="2"/>
  <c r="AW875" i="2"/>
  <c r="AU875" i="2"/>
  <c r="AS875" i="2"/>
  <c r="AP875" i="2"/>
  <c r="AN875" i="2"/>
  <c r="AL875" i="2"/>
  <c r="AJ875" i="2"/>
  <c r="AH875" i="2"/>
  <c r="AF875" i="2"/>
  <c r="AD875" i="2"/>
  <c r="AB875" i="2"/>
  <c r="Z875" i="2"/>
  <c r="X875" i="2"/>
  <c r="U875" i="2"/>
  <c r="S875" i="2"/>
  <c r="Q875" i="2"/>
  <c r="O875" i="2"/>
  <c r="M875" i="2"/>
  <c r="K875" i="2"/>
  <c r="I875" i="2"/>
  <c r="G875" i="2"/>
  <c r="E875" i="2"/>
  <c r="C875" i="2"/>
  <c r="BK874" i="2"/>
  <c r="BI874" i="2"/>
  <c r="BG874" i="2"/>
  <c r="BE874" i="2"/>
  <c r="BC874" i="2"/>
  <c r="BA874" i="2"/>
  <c r="AY874" i="2"/>
  <c r="AW874" i="2"/>
  <c r="AU874" i="2"/>
  <c r="AS874" i="2"/>
  <c r="AP874" i="2"/>
  <c r="AN874" i="2"/>
  <c r="AL874" i="2"/>
  <c r="AJ874" i="2"/>
  <c r="AH874" i="2"/>
  <c r="AF874" i="2"/>
  <c r="AD874" i="2"/>
  <c r="AB874" i="2"/>
  <c r="Z874" i="2"/>
  <c r="X874" i="2"/>
  <c r="U874" i="2"/>
  <c r="S874" i="2"/>
  <c r="Q874" i="2"/>
  <c r="O874" i="2"/>
  <c r="M874" i="2"/>
  <c r="K874" i="2"/>
  <c r="I874" i="2"/>
  <c r="G874" i="2"/>
  <c r="E874" i="2"/>
  <c r="C874" i="2"/>
  <c r="BK873" i="2"/>
  <c r="BI873" i="2"/>
  <c r="BG873" i="2"/>
  <c r="BE873" i="2"/>
  <c r="BC873" i="2"/>
  <c r="BA873" i="2"/>
  <c r="AY873" i="2"/>
  <c r="AW873" i="2"/>
  <c r="AU873" i="2"/>
  <c r="AS873" i="2"/>
  <c r="AP873" i="2"/>
  <c r="AN873" i="2"/>
  <c r="AL873" i="2"/>
  <c r="AJ873" i="2"/>
  <c r="AH873" i="2"/>
  <c r="AF873" i="2"/>
  <c r="AD873" i="2"/>
  <c r="AB873" i="2"/>
  <c r="Z873" i="2"/>
  <c r="X873" i="2"/>
  <c r="U873" i="2"/>
  <c r="S873" i="2"/>
  <c r="Q873" i="2"/>
  <c r="O873" i="2"/>
  <c r="M873" i="2"/>
  <c r="K873" i="2"/>
  <c r="I873" i="2"/>
  <c r="G873" i="2"/>
  <c r="E873" i="2"/>
  <c r="C873" i="2"/>
  <c r="BK872" i="2"/>
  <c r="BI872" i="2"/>
  <c r="BG872" i="2"/>
  <c r="BE872" i="2"/>
  <c r="BC872" i="2"/>
  <c r="BA872" i="2"/>
  <c r="AY872" i="2"/>
  <c r="AW872" i="2"/>
  <c r="AU872" i="2"/>
  <c r="AS872" i="2"/>
  <c r="AP872" i="2"/>
  <c r="AN872" i="2"/>
  <c r="AL872" i="2"/>
  <c r="AJ872" i="2"/>
  <c r="AH872" i="2"/>
  <c r="AF872" i="2"/>
  <c r="AD872" i="2"/>
  <c r="AB872" i="2"/>
  <c r="Z872" i="2"/>
  <c r="X872" i="2"/>
  <c r="U872" i="2"/>
  <c r="S872" i="2"/>
  <c r="Q872" i="2"/>
  <c r="O872" i="2"/>
  <c r="M872" i="2"/>
  <c r="K872" i="2"/>
  <c r="I872" i="2"/>
  <c r="G872" i="2"/>
  <c r="E872" i="2"/>
  <c r="C872" i="2"/>
  <c r="BK871" i="2"/>
  <c r="BI871" i="2"/>
  <c r="BG871" i="2"/>
  <c r="BE871" i="2"/>
  <c r="BC871" i="2"/>
  <c r="BA871" i="2"/>
  <c r="AY871" i="2"/>
  <c r="AW871" i="2"/>
  <c r="AU871" i="2"/>
  <c r="AS871" i="2"/>
  <c r="AP871" i="2"/>
  <c r="AN871" i="2"/>
  <c r="AL871" i="2"/>
  <c r="AJ871" i="2"/>
  <c r="AH871" i="2"/>
  <c r="AF871" i="2"/>
  <c r="AD871" i="2"/>
  <c r="AB871" i="2"/>
  <c r="Z871" i="2"/>
  <c r="X871" i="2"/>
  <c r="U871" i="2"/>
  <c r="S871" i="2"/>
  <c r="Q871" i="2"/>
  <c r="O871" i="2"/>
  <c r="M871" i="2"/>
  <c r="K871" i="2"/>
  <c r="I871" i="2"/>
  <c r="G871" i="2"/>
  <c r="E871" i="2"/>
  <c r="C871" i="2"/>
  <c r="BK870" i="2"/>
  <c r="BI870" i="2"/>
  <c r="BG870" i="2"/>
  <c r="BE870" i="2"/>
  <c r="BC870" i="2"/>
  <c r="BA870" i="2"/>
  <c r="AY870" i="2"/>
  <c r="AW870" i="2"/>
  <c r="AU870" i="2"/>
  <c r="AS870" i="2"/>
  <c r="AP870" i="2"/>
  <c r="AN870" i="2"/>
  <c r="AL870" i="2"/>
  <c r="AJ870" i="2"/>
  <c r="AH870" i="2"/>
  <c r="AF870" i="2"/>
  <c r="AD870" i="2"/>
  <c r="AB870" i="2"/>
  <c r="Z870" i="2"/>
  <c r="X870" i="2"/>
  <c r="U870" i="2"/>
  <c r="S870" i="2"/>
  <c r="Q870" i="2"/>
  <c r="O870" i="2"/>
  <c r="M870" i="2"/>
  <c r="K870" i="2"/>
  <c r="I870" i="2"/>
  <c r="G870" i="2"/>
  <c r="E870" i="2"/>
  <c r="C870" i="2"/>
  <c r="BK869" i="2"/>
  <c r="BI869" i="2"/>
  <c r="BG869" i="2"/>
  <c r="BE869" i="2"/>
  <c r="BC869" i="2"/>
  <c r="BA869" i="2"/>
  <c r="AY869" i="2"/>
  <c r="AW869" i="2"/>
  <c r="AU869" i="2"/>
  <c r="AS869" i="2"/>
  <c r="AP869" i="2"/>
  <c r="AN869" i="2"/>
  <c r="AL869" i="2"/>
  <c r="AJ869" i="2"/>
  <c r="AH869" i="2"/>
  <c r="AF869" i="2"/>
  <c r="AD869" i="2"/>
  <c r="AB869" i="2"/>
  <c r="Z869" i="2"/>
  <c r="X869" i="2"/>
  <c r="U869" i="2"/>
  <c r="S869" i="2"/>
  <c r="Q869" i="2"/>
  <c r="O869" i="2"/>
  <c r="M869" i="2"/>
  <c r="K869" i="2"/>
  <c r="I869" i="2"/>
  <c r="G869" i="2"/>
  <c r="E869" i="2"/>
  <c r="C869" i="2"/>
  <c r="BK868" i="2"/>
  <c r="BI868" i="2"/>
  <c r="BG868" i="2"/>
  <c r="BE868" i="2"/>
  <c r="BC868" i="2"/>
  <c r="BA868" i="2"/>
  <c r="AY868" i="2"/>
  <c r="AW868" i="2"/>
  <c r="AU868" i="2"/>
  <c r="AS868" i="2"/>
  <c r="AP868" i="2"/>
  <c r="AN868" i="2"/>
  <c r="AL868" i="2"/>
  <c r="AJ868" i="2"/>
  <c r="AH868" i="2"/>
  <c r="AF868" i="2"/>
  <c r="AD868" i="2"/>
  <c r="AB868" i="2"/>
  <c r="Z868" i="2"/>
  <c r="X868" i="2"/>
  <c r="U868" i="2"/>
  <c r="S868" i="2"/>
  <c r="Q868" i="2"/>
  <c r="O868" i="2"/>
  <c r="M868" i="2"/>
  <c r="K868" i="2"/>
  <c r="I868" i="2"/>
  <c r="G868" i="2"/>
  <c r="E868" i="2"/>
  <c r="C868" i="2"/>
  <c r="BK867" i="2"/>
  <c r="BI867" i="2"/>
  <c r="BG867" i="2"/>
  <c r="BE867" i="2"/>
  <c r="BC867" i="2"/>
  <c r="BA867" i="2"/>
  <c r="AY867" i="2"/>
  <c r="AW867" i="2"/>
  <c r="AU867" i="2"/>
  <c r="AS867" i="2"/>
  <c r="AP867" i="2"/>
  <c r="AN867" i="2"/>
  <c r="AL867" i="2"/>
  <c r="AJ867" i="2"/>
  <c r="AH867" i="2"/>
  <c r="AF867" i="2"/>
  <c r="AD867" i="2"/>
  <c r="AB867" i="2"/>
  <c r="Z867" i="2"/>
  <c r="X867" i="2"/>
  <c r="U867" i="2"/>
  <c r="S867" i="2"/>
  <c r="Q867" i="2"/>
  <c r="O867" i="2"/>
  <c r="M867" i="2"/>
  <c r="K867" i="2"/>
  <c r="I867" i="2"/>
  <c r="G867" i="2"/>
  <c r="E867" i="2"/>
  <c r="C867" i="2"/>
  <c r="BK866" i="2"/>
  <c r="BI866" i="2"/>
  <c r="BG866" i="2"/>
  <c r="BE866" i="2"/>
  <c r="BC866" i="2"/>
  <c r="BA866" i="2"/>
  <c r="AY866" i="2"/>
  <c r="AW866" i="2"/>
  <c r="AU866" i="2"/>
  <c r="AS866" i="2"/>
  <c r="AP866" i="2"/>
  <c r="AN866" i="2"/>
  <c r="AL866" i="2"/>
  <c r="AJ866" i="2"/>
  <c r="AH866" i="2"/>
  <c r="AF866" i="2"/>
  <c r="AD866" i="2"/>
  <c r="AB866" i="2"/>
  <c r="Z866" i="2"/>
  <c r="X866" i="2"/>
  <c r="U866" i="2"/>
  <c r="S866" i="2"/>
  <c r="Q866" i="2"/>
  <c r="O866" i="2"/>
  <c r="M866" i="2"/>
  <c r="K866" i="2"/>
  <c r="I866" i="2"/>
  <c r="G866" i="2"/>
  <c r="E866" i="2"/>
  <c r="C866" i="2"/>
  <c r="BK865" i="2"/>
  <c r="BI865" i="2"/>
  <c r="BG865" i="2"/>
  <c r="BE865" i="2"/>
  <c r="BC865" i="2"/>
  <c r="BA865" i="2"/>
  <c r="AY865" i="2"/>
  <c r="AW865" i="2"/>
  <c r="AU865" i="2"/>
  <c r="AS865" i="2"/>
  <c r="AP865" i="2"/>
  <c r="AN865" i="2"/>
  <c r="AL865" i="2"/>
  <c r="AJ865" i="2"/>
  <c r="AH865" i="2"/>
  <c r="AF865" i="2"/>
  <c r="AD865" i="2"/>
  <c r="AB865" i="2"/>
  <c r="Z865" i="2"/>
  <c r="X865" i="2"/>
  <c r="U865" i="2"/>
  <c r="S865" i="2"/>
  <c r="Q865" i="2"/>
  <c r="O865" i="2"/>
  <c r="M865" i="2"/>
  <c r="K865" i="2"/>
  <c r="I865" i="2"/>
  <c r="G865" i="2"/>
  <c r="E865" i="2"/>
  <c r="C865" i="2"/>
  <c r="BK864" i="2"/>
  <c r="BI864" i="2"/>
  <c r="BG864" i="2"/>
  <c r="BE864" i="2"/>
  <c r="BC864" i="2"/>
  <c r="BA864" i="2"/>
  <c r="AY864" i="2"/>
  <c r="AW864" i="2"/>
  <c r="AU864" i="2"/>
  <c r="AS864" i="2"/>
  <c r="AP864" i="2"/>
  <c r="AN864" i="2"/>
  <c r="AL864" i="2"/>
  <c r="AJ864" i="2"/>
  <c r="AH864" i="2"/>
  <c r="AF864" i="2"/>
  <c r="AD864" i="2"/>
  <c r="AB864" i="2"/>
  <c r="Z864" i="2"/>
  <c r="X864" i="2"/>
  <c r="U864" i="2"/>
  <c r="S864" i="2"/>
  <c r="Q864" i="2"/>
  <c r="O864" i="2"/>
  <c r="M864" i="2"/>
  <c r="K864" i="2"/>
  <c r="I864" i="2"/>
  <c r="G864" i="2"/>
  <c r="E864" i="2"/>
  <c r="C864" i="2"/>
  <c r="BK863" i="2"/>
  <c r="BI863" i="2"/>
  <c r="BG863" i="2"/>
  <c r="BE863" i="2"/>
  <c r="BC863" i="2"/>
  <c r="BA863" i="2"/>
  <c r="AY863" i="2"/>
  <c r="AW863" i="2"/>
  <c r="AU863" i="2"/>
  <c r="AS863" i="2"/>
  <c r="AP863" i="2"/>
  <c r="AN863" i="2"/>
  <c r="AL863" i="2"/>
  <c r="AJ863" i="2"/>
  <c r="AH863" i="2"/>
  <c r="AF863" i="2"/>
  <c r="AD863" i="2"/>
  <c r="AB863" i="2"/>
  <c r="Z863" i="2"/>
  <c r="X863" i="2"/>
  <c r="U863" i="2"/>
  <c r="S863" i="2"/>
  <c r="Q863" i="2"/>
  <c r="O863" i="2"/>
  <c r="M863" i="2"/>
  <c r="K863" i="2"/>
  <c r="I863" i="2"/>
  <c r="G863" i="2"/>
  <c r="E863" i="2"/>
  <c r="C863" i="2"/>
  <c r="BK862" i="2"/>
  <c r="BI862" i="2"/>
  <c r="BG862" i="2"/>
  <c r="BE862" i="2"/>
  <c r="BC862" i="2"/>
  <c r="BA862" i="2"/>
  <c r="AY862" i="2"/>
  <c r="AW862" i="2"/>
  <c r="AU862" i="2"/>
  <c r="AS862" i="2"/>
  <c r="AP862" i="2"/>
  <c r="AN862" i="2"/>
  <c r="AL862" i="2"/>
  <c r="AJ862" i="2"/>
  <c r="AH862" i="2"/>
  <c r="AF862" i="2"/>
  <c r="AD862" i="2"/>
  <c r="AB862" i="2"/>
  <c r="Z862" i="2"/>
  <c r="X862" i="2"/>
  <c r="U862" i="2"/>
  <c r="S862" i="2"/>
  <c r="Q862" i="2"/>
  <c r="O862" i="2"/>
  <c r="M862" i="2"/>
  <c r="K862" i="2"/>
  <c r="I862" i="2"/>
  <c r="G862" i="2"/>
  <c r="E862" i="2"/>
  <c r="C862" i="2"/>
  <c r="BK861" i="2"/>
  <c r="BI861" i="2"/>
  <c r="BG861" i="2"/>
  <c r="BE861" i="2"/>
  <c r="BC861" i="2"/>
  <c r="BA861" i="2"/>
  <c r="AY861" i="2"/>
  <c r="AW861" i="2"/>
  <c r="AU861" i="2"/>
  <c r="AS861" i="2"/>
  <c r="AP861" i="2"/>
  <c r="AN861" i="2"/>
  <c r="AL861" i="2"/>
  <c r="AJ861" i="2"/>
  <c r="AH861" i="2"/>
  <c r="AF861" i="2"/>
  <c r="AD861" i="2"/>
  <c r="AB861" i="2"/>
  <c r="Z861" i="2"/>
  <c r="X861" i="2"/>
  <c r="U861" i="2"/>
  <c r="S861" i="2"/>
  <c r="Q861" i="2"/>
  <c r="O861" i="2"/>
  <c r="M861" i="2"/>
  <c r="K861" i="2"/>
  <c r="I861" i="2"/>
  <c r="G861" i="2"/>
  <c r="E861" i="2"/>
  <c r="C861" i="2"/>
  <c r="BK860" i="2"/>
  <c r="BI860" i="2"/>
  <c r="BG860" i="2"/>
  <c r="BE860" i="2"/>
  <c r="BC860" i="2"/>
  <c r="BA860" i="2"/>
  <c r="AY860" i="2"/>
  <c r="AW860" i="2"/>
  <c r="AU860" i="2"/>
  <c r="AS860" i="2"/>
  <c r="AP860" i="2"/>
  <c r="AN860" i="2"/>
  <c r="AL860" i="2"/>
  <c r="AJ860" i="2"/>
  <c r="AH860" i="2"/>
  <c r="AF860" i="2"/>
  <c r="AD860" i="2"/>
  <c r="AB860" i="2"/>
  <c r="Z860" i="2"/>
  <c r="X860" i="2"/>
  <c r="U860" i="2"/>
  <c r="S860" i="2"/>
  <c r="Q860" i="2"/>
  <c r="O860" i="2"/>
  <c r="M860" i="2"/>
  <c r="K860" i="2"/>
  <c r="I860" i="2"/>
  <c r="G860" i="2"/>
  <c r="E860" i="2"/>
  <c r="C860" i="2"/>
  <c r="BK859" i="2"/>
  <c r="BI859" i="2"/>
  <c r="BG859" i="2"/>
  <c r="BE859" i="2"/>
  <c r="BC859" i="2"/>
  <c r="BA859" i="2"/>
  <c r="AY859" i="2"/>
  <c r="AW859" i="2"/>
  <c r="AU859" i="2"/>
  <c r="AS859" i="2"/>
  <c r="AP859" i="2"/>
  <c r="AN859" i="2"/>
  <c r="AL859" i="2"/>
  <c r="AJ859" i="2"/>
  <c r="AH859" i="2"/>
  <c r="AF859" i="2"/>
  <c r="AD859" i="2"/>
  <c r="AB859" i="2"/>
  <c r="Z859" i="2"/>
  <c r="X859" i="2"/>
  <c r="U859" i="2"/>
  <c r="S859" i="2"/>
  <c r="Q859" i="2"/>
  <c r="O859" i="2"/>
  <c r="M859" i="2"/>
  <c r="K859" i="2"/>
  <c r="I859" i="2"/>
  <c r="G859" i="2"/>
  <c r="E859" i="2"/>
  <c r="C859" i="2"/>
  <c r="BK858" i="2"/>
  <c r="BI858" i="2"/>
  <c r="BG858" i="2"/>
  <c r="BE858" i="2"/>
  <c r="BC858" i="2"/>
  <c r="BA858" i="2"/>
  <c r="AY858" i="2"/>
  <c r="AW858" i="2"/>
  <c r="AU858" i="2"/>
  <c r="AS858" i="2"/>
  <c r="AP858" i="2"/>
  <c r="AN858" i="2"/>
  <c r="AL858" i="2"/>
  <c r="AJ858" i="2"/>
  <c r="AH858" i="2"/>
  <c r="AF858" i="2"/>
  <c r="AD858" i="2"/>
  <c r="AB858" i="2"/>
  <c r="Z858" i="2"/>
  <c r="X858" i="2"/>
  <c r="U858" i="2"/>
  <c r="S858" i="2"/>
  <c r="Q858" i="2"/>
  <c r="O858" i="2"/>
  <c r="M858" i="2"/>
  <c r="K858" i="2"/>
  <c r="I858" i="2"/>
  <c r="G858" i="2"/>
  <c r="E858" i="2"/>
  <c r="C858" i="2"/>
  <c r="BK857" i="2"/>
  <c r="BI857" i="2"/>
  <c r="BG857" i="2"/>
  <c r="BE857" i="2"/>
  <c r="BC857" i="2"/>
  <c r="BA857" i="2"/>
  <c r="AY857" i="2"/>
  <c r="AW857" i="2"/>
  <c r="AU857" i="2"/>
  <c r="AS857" i="2"/>
  <c r="AP857" i="2"/>
  <c r="AN857" i="2"/>
  <c r="AL857" i="2"/>
  <c r="AJ857" i="2"/>
  <c r="AH857" i="2"/>
  <c r="AF857" i="2"/>
  <c r="AD857" i="2"/>
  <c r="AB857" i="2"/>
  <c r="Z857" i="2"/>
  <c r="X857" i="2"/>
  <c r="U857" i="2"/>
  <c r="S857" i="2"/>
  <c r="Q857" i="2"/>
  <c r="O857" i="2"/>
  <c r="M857" i="2"/>
  <c r="K857" i="2"/>
  <c r="I857" i="2"/>
  <c r="G857" i="2"/>
  <c r="E857" i="2"/>
  <c r="C857" i="2"/>
  <c r="BK856" i="2"/>
  <c r="BI856" i="2"/>
  <c r="BG856" i="2"/>
  <c r="BE856" i="2"/>
  <c r="BC856" i="2"/>
  <c r="BA856" i="2"/>
  <c r="AY856" i="2"/>
  <c r="AW856" i="2"/>
  <c r="AU856" i="2"/>
  <c r="AS856" i="2"/>
  <c r="AP856" i="2"/>
  <c r="AN856" i="2"/>
  <c r="AL856" i="2"/>
  <c r="AJ856" i="2"/>
  <c r="AH856" i="2"/>
  <c r="AF856" i="2"/>
  <c r="AD856" i="2"/>
  <c r="AB856" i="2"/>
  <c r="Z856" i="2"/>
  <c r="X856" i="2"/>
  <c r="U856" i="2"/>
  <c r="S856" i="2"/>
  <c r="Q856" i="2"/>
  <c r="O856" i="2"/>
  <c r="M856" i="2"/>
  <c r="K856" i="2"/>
  <c r="I856" i="2"/>
  <c r="G856" i="2"/>
  <c r="E856" i="2"/>
  <c r="C856" i="2"/>
  <c r="BK855" i="2"/>
  <c r="BI855" i="2"/>
  <c r="BG855" i="2"/>
  <c r="BE855" i="2"/>
  <c r="BC855" i="2"/>
  <c r="BA855" i="2"/>
  <c r="AY855" i="2"/>
  <c r="AW855" i="2"/>
  <c r="AU855" i="2"/>
  <c r="AS855" i="2"/>
  <c r="AP855" i="2"/>
  <c r="AN855" i="2"/>
  <c r="AL855" i="2"/>
  <c r="AJ855" i="2"/>
  <c r="AH855" i="2"/>
  <c r="AF855" i="2"/>
  <c r="AD855" i="2"/>
  <c r="AB855" i="2"/>
  <c r="Z855" i="2"/>
  <c r="X855" i="2"/>
  <c r="U855" i="2"/>
  <c r="S855" i="2"/>
  <c r="Q855" i="2"/>
  <c r="O855" i="2"/>
  <c r="M855" i="2"/>
  <c r="K855" i="2"/>
  <c r="I855" i="2"/>
  <c r="G855" i="2"/>
  <c r="E855" i="2"/>
  <c r="C855" i="2"/>
  <c r="BK854" i="2"/>
  <c r="BI854" i="2"/>
  <c r="BG854" i="2"/>
  <c r="BE854" i="2"/>
  <c r="BC854" i="2"/>
  <c r="BA854" i="2"/>
  <c r="AY854" i="2"/>
  <c r="AW854" i="2"/>
  <c r="AU854" i="2"/>
  <c r="AS854" i="2"/>
  <c r="AP854" i="2"/>
  <c r="AN854" i="2"/>
  <c r="AL854" i="2"/>
  <c r="AJ854" i="2"/>
  <c r="AH854" i="2"/>
  <c r="AF854" i="2"/>
  <c r="AD854" i="2"/>
  <c r="AB854" i="2"/>
  <c r="Z854" i="2"/>
  <c r="X854" i="2"/>
  <c r="U854" i="2"/>
  <c r="S854" i="2"/>
  <c r="Q854" i="2"/>
  <c r="O854" i="2"/>
  <c r="M854" i="2"/>
  <c r="K854" i="2"/>
  <c r="I854" i="2"/>
  <c r="G854" i="2"/>
  <c r="E854" i="2"/>
  <c r="C854" i="2"/>
  <c r="BK853" i="2"/>
  <c r="BI853" i="2"/>
  <c r="BG853" i="2"/>
  <c r="BE853" i="2"/>
  <c r="BC853" i="2"/>
  <c r="BA853" i="2"/>
  <c r="AY853" i="2"/>
  <c r="AW853" i="2"/>
  <c r="AU853" i="2"/>
  <c r="AS853" i="2"/>
  <c r="AP853" i="2"/>
  <c r="AN853" i="2"/>
  <c r="AL853" i="2"/>
  <c r="AJ853" i="2"/>
  <c r="AH853" i="2"/>
  <c r="AF853" i="2"/>
  <c r="AD853" i="2"/>
  <c r="AB853" i="2"/>
  <c r="Z853" i="2"/>
  <c r="X853" i="2"/>
  <c r="U853" i="2"/>
  <c r="S853" i="2"/>
  <c r="Q853" i="2"/>
  <c r="O853" i="2"/>
  <c r="M853" i="2"/>
  <c r="K853" i="2"/>
  <c r="I853" i="2"/>
  <c r="G853" i="2"/>
  <c r="E853" i="2"/>
  <c r="C853" i="2"/>
  <c r="BK852" i="2"/>
  <c r="BI852" i="2"/>
  <c r="BG852" i="2"/>
  <c r="BE852" i="2"/>
  <c r="BC852" i="2"/>
  <c r="BA852" i="2"/>
  <c r="AY852" i="2"/>
  <c r="AW852" i="2"/>
  <c r="AU852" i="2"/>
  <c r="AS852" i="2"/>
  <c r="AP852" i="2"/>
  <c r="AN852" i="2"/>
  <c r="AL852" i="2"/>
  <c r="AJ852" i="2"/>
  <c r="AH852" i="2"/>
  <c r="AF852" i="2"/>
  <c r="AD852" i="2"/>
  <c r="AB852" i="2"/>
  <c r="Z852" i="2"/>
  <c r="X852" i="2"/>
  <c r="U852" i="2"/>
  <c r="S852" i="2"/>
  <c r="Q852" i="2"/>
  <c r="O852" i="2"/>
  <c r="M852" i="2"/>
  <c r="K852" i="2"/>
  <c r="I852" i="2"/>
  <c r="G852" i="2"/>
  <c r="E852" i="2"/>
  <c r="C852" i="2"/>
  <c r="BK851" i="2"/>
  <c r="BI851" i="2"/>
  <c r="BG851" i="2"/>
  <c r="BE851" i="2"/>
  <c r="BC851" i="2"/>
  <c r="BA851" i="2"/>
  <c r="AY851" i="2"/>
  <c r="AW851" i="2"/>
  <c r="AU851" i="2"/>
  <c r="AS851" i="2"/>
  <c r="AP851" i="2"/>
  <c r="AN851" i="2"/>
  <c r="AL851" i="2"/>
  <c r="AJ851" i="2"/>
  <c r="AH851" i="2"/>
  <c r="AF851" i="2"/>
  <c r="AD851" i="2"/>
  <c r="AB851" i="2"/>
  <c r="Z851" i="2"/>
  <c r="X851" i="2"/>
  <c r="U851" i="2"/>
  <c r="S851" i="2"/>
  <c r="Q851" i="2"/>
  <c r="O851" i="2"/>
  <c r="M851" i="2"/>
  <c r="K851" i="2"/>
  <c r="I851" i="2"/>
  <c r="G851" i="2"/>
  <c r="E851" i="2"/>
  <c r="C851" i="2"/>
  <c r="A851" i="2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BK850" i="2"/>
  <c r="BI850" i="2"/>
  <c r="BG850" i="2"/>
  <c r="BE850" i="2"/>
  <c r="BC850" i="2"/>
  <c r="BA850" i="2"/>
  <c r="AY850" i="2"/>
  <c r="AW850" i="2"/>
  <c r="AU850" i="2"/>
  <c r="AS850" i="2"/>
  <c r="AP850" i="2"/>
  <c r="AN850" i="2"/>
  <c r="AL850" i="2"/>
  <c r="AJ850" i="2"/>
  <c r="AH850" i="2"/>
  <c r="AF850" i="2"/>
  <c r="AD850" i="2"/>
  <c r="AB850" i="2"/>
  <c r="Z850" i="2"/>
  <c r="X850" i="2"/>
  <c r="U850" i="2"/>
  <c r="S850" i="2"/>
  <c r="Q850" i="2"/>
  <c r="O850" i="2"/>
  <c r="M850" i="2"/>
  <c r="K850" i="2"/>
  <c r="I850" i="2"/>
  <c r="G850" i="2"/>
  <c r="E850" i="2"/>
  <c r="C850" i="2"/>
  <c r="BK849" i="2"/>
  <c r="BI849" i="2"/>
  <c r="BG849" i="2"/>
  <c r="BE849" i="2"/>
  <c r="BC849" i="2"/>
  <c r="BA849" i="2"/>
  <c r="AY849" i="2"/>
  <c r="AW849" i="2"/>
  <c r="AU849" i="2"/>
  <c r="AS849" i="2"/>
  <c r="AP849" i="2"/>
  <c r="AN849" i="2"/>
  <c r="AL849" i="2"/>
  <c r="AJ849" i="2"/>
  <c r="AH849" i="2"/>
  <c r="AF849" i="2"/>
  <c r="AD849" i="2"/>
  <c r="AB849" i="2"/>
  <c r="Z849" i="2"/>
  <c r="X849" i="2"/>
  <c r="U849" i="2"/>
  <c r="S849" i="2"/>
  <c r="Q849" i="2"/>
  <c r="O849" i="2"/>
  <c r="M849" i="2"/>
  <c r="K849" i="2"/>
  <c r="I849" i="2"/>
  <c r="G849" i="2"/>
  <c r="E849" i="2"/>
  <c r="C849" i="2"/>
  <c r="BK848" i="2"/>
  <c r="BI848" i="2"/>
  <c r="BG848" i="2"/>
  <c r="BE848" i="2"/>
  <c r="BC848" i="2"/>
  <c r="BA848" i="2"/>
  <c r="AY848" i="2"/>
  <c r="AW848" i="2"/>
  <c r="AU848" i="2"/>
  <c r="AS848" i="2"/>
  <c r="AP848" i="2"/>
  <c r="AN848" i="2"/>
  <c r="AL848" i="2"/>
  <c r="AJ848" i="2"/>
  <c r="AH848" i="2"/>
  <c r="AF848" i="2"/>
  <c r="AD848" i="2"/>
  <c r="AB848" i="2"/>
  <c r="Z848" i="2"/>
  <c r="X848" i="2"/>
  <c r="U848" i="2"/>
  <c r="S848" i="2"/>
  <c r="Q848" i="2"/>
  <c r="O848" i="2"/>
  <c r="M848" i="2"/>
  <c r="K848" i="2"/>
  <c r="I848" i="2"/>
  <c r="G848" i="2"/>
  <c r="E848" i="2"/>
  <c r="C848" i="2"/>
  <c r="BK847" i="2"/>
  <c r="BI847" i="2"/>
  <c r="BG847" i="2"/>
  <c r="BE847" i="2"/>
  <c r="BC847" i="2"/>
  <c r="BA847" i="2"/>
  <c r="AY847" i="2"/>
  <c r="AW847" i="2"/>
  <c r="AU847" i="2"/>
  <c r="AS847" i="2"/>
  <c r="AP847" i="2"/>
  <c r="AN847" i="2"/>
  <c r="AL847" i="2"/>
  <c r="AJ847" i="2"/>
  <c r="AH847" i="2"/>
  <c r="AF847" i="2"/>
  <c r="AD847" i="2"/>
  <c r="AB847" i="2"/>
  <c r="Z847" i="2"/>
  <c r="X847" i="2"/>
  <c r="U847" i="2"/>
  <c r="S847" i="2"/>
  <c r="Q847" i="2"/>
  <c r="O847" i="2"/>
  <c r="M847" i="2"/>
  <c r="K847" i="2"/>
  <c r="I847" i="2"/>
  <c r="G847" i="2"/>
  <c r="E847" i="2"/>
  <c r="C847" i="2"/>
  <c r="BK846" i="2"/>
  <c r="BI846" i="2"/>
  <c r="BG846" i="2"/>
  <c r="BE846" i="2"/>
  <c r="BC846" i="2"/>
  <c r="BA846" i="2"/>
  <c r="AY846" i="2"/>
  <c r="AW846" i="2"/>
  <c r="AU846" i="2"/>
  <c r="AS846" i="2"/>
  <c r="AP846" i="2"/>
  <c r="AN846" i="2"/>
  <c r="AL846" i="2"/>
  <c r="AJ846" i="2"/>
  <c r="AH846" i="2"/>
  <c r="AF846" i="2"/>
  <c r="AD846" i="2"/>
  <c r="AB846" i="2"/>
  <c r="Z846" i="2"/>
  <c r="X846" i="2"/>
  <c r="U846" i="2"/>
  <c r="S846" i="2"/>
  <c r="Q846" i="2"/>
  <c r="O846" i="2"/>
  <c r="M846" i="2"/>
  <c r="K846" i="2"/>
  <c r="I846" i="2"/>
  <c r="G846" i="2"/>
  <c r="E846" i="2"/>
  <c r="C846" i="2"/>
  <c r="A846" i="2"/>
  <c r="A847" i="2" s="1"/>
  <c r="A848" i="2" s="1"/>
  <c r="A849" i="2" s="1"/>
  <c r="A850" i="2" s="1"/>
  <c r="BK845" i="2"/>
  <c r="BI845" i="2"/>
  <c r="BG845" i="2"/>
  <c r="BE845" i="2"/>
  <c r="BC845" i="2"/>
  <c r="BA845" i="2"/>
  <c r="AY845" i="2"/>
  <c r="AW845" i="2"/>
  <c r="AU845" i="2"/>
  <c r="AS845" i="2"/>
  <c r="AP845" i="2"/>
  <c r="AN845" i="2"/>
  <c r="AL845" i="2"/>
  <c r="AJ845" i="2"/>
  <c r="AH845" i="2"/>
  <c r="AF845" i="2"/>
  <c r="AD845" i="2"/>
  <c r="AB845" i="2"/>
  <c r="Z845" i="2"/>
  <c r="X845" i="2"/>
  <c r="U845" i="2"/>
  <c r="S845" i="2"/>
  <c r="Q845" i="2"/>
  <c r="O845" i="2"/>
  <c r="M845" i="2"/>
  <c r="K845" i="2"/>
  <c r="I845" i="2"/>
  <c r="G845" i="2"/>
  <c r="E845" i="2"/>
  <c r="C845" i="2"/>
  <c r="BK844" i="2"/>
  <c r="BI844" i="2"/>
  <c r="BG844" i="2"/>
  <c r="BE844" i="2"/>
  <c r="BC844" i="2"/>
  <c r="BA844" i="2"/>
  <c r="AY844" i="2"/>
  <c r="AW844" i="2"/>
  <c r="AU844" i="2"/>
  <c r="AS844" i="2"/>
  <c r="AP844" i="2"/>
  <c r="AN844" i="2"/>
  <c r="AL844" i="2"/>
  <c r="AJ844" i="2"/>
  <c r="AH844" i="2"/>
  <c r="AF844" i="2"/>
  <c r="AD844" i="2"/>
  <c r="AB844" i="2"/>
  <c r="Z844" i="2"/>
  <c r="X844" i="2"/>
  <c r="U844" i="2"/>
  <c r="S844" i="2"/>
  <c r="Q844" i="2"/>
  <c r="O844" i="2"/>
  <c r="M844" i="2"/>
  <c r="K844" i="2"/>
  <c r="I844" i="2"/>
  <c r="G844" i="2"/>
  <c r="E844" i="2"/>
  <c r="C844" i="2"/>
  <c r="BK843" i="2"/>
  <c r="BI843" i="2"/>
  <c r="BG843" i="2"/>
  <c r="BE843" i="2"/>
  <c r="BC843" i="2"/>
  <c r="BA843" i="2"/>
  <c r="AY843" i="2"/>
  <c r="AW843" i="2"/>
  <c r="AU843" i="2"/>
  <c r="AS843" i="2"/>
  <c r="AP843" i="2"/>
  <c r="AN843" i="2"/>
  <c r="AL843" i="2"/>
  <c r="AJ843" i="2"/>
  <c r="AH843" i="2"/>
  <c r="AF843" i="2"/>
  <c r="AD843" i="2"/>
  <c r="AB843" i="2"/>
  <c r="Z843" i="2"/>
  <c r="X843" i="2"/>
  <c r="U843" i="2"/>
  <c r="S843" i="2"/>
  <c r="Q843" i="2"/>
  <c r="O843" i="2"/>
  <c r="M843" i="2"/>
  <c r="K843" i="2"/>
  <c r="I843" i="2"/>
  <c r="G843" i="2"/>
  <c r="E843" i="2"/>
  <c r="C843" i="2"/>
  <c r="BK842" i="2"/>
  <c r="BI842" i="2"/>
  <c r="BG842" i="2"/>
  <c r="BE842" i="2"/>
  <c r="BC842" i="2"/>
  <c r="BA842" i="2"/>
  <c r="AY842" i="2"/>
  <c r="AW842" i="2"/>
  <c r="AU842" i="2"/>
  <c r="AS842" i="2"/>
  <c r="AP842" i="2"/>
  <c r="AN842" i="2"/>
  <c r="AL842" i="2"/>
  <c r="AJ842" i="2"/>
  <c r="AH842" i="2"/>
  <c r="AF842" i="2"/>
  <c r="AD842" i="2"/>
  <c r="AB842" i="2"/>
  <c r="Z842" i="2"/>
  <c r="X842" i="2"/>
  <c r="U842" i="2"/>
  <c r="S842" i="2"/>
  <c r="Q842" i="2"/>
  <c r="O842" i="2"/>
  <c r="M842" i="2"/>
  <c r="K842" i="2"/>
  <c r="I842" i="2"/>
  <c r="G842" i="2"/>
  <c r="E842" i="2"/>
  <c r="C842" i="2"/>
  <c r="BK841" i="2"/>
  <c r="BI841" i="2"/>
  <c r="BG841" i="2"/>
  <c r="BE841" i="2"/>
  <c r="BC841" i="2"/>
  <c r="BA841" i="2"/>
  <c r="AY841" i="2"/>
  <c r="AW841" i="2"/>
  <c r="AU841" i="2"/>
  <c r="AS841" i="2"/>
  <c r="AP841" i="2"/>
  <c r="AN841" i="2"/>
  <c r="AL841" i="2"/>
  <c r="AJ841" i="2"/>
  <c r="AH841" i="2"/>
  <c r="AF841" i="2"/>
  <c r="AD841" i="2"/>
  <c r="AB841" i="2"/>
  <c r="Z841" i="2"/>
  <c r="X841" i="2"/>
  <c r="U841" i="2"/>
  <c r="S841" i="2"/>
  <c r="Q841" i="2"/>
  <c r="O841" i="2"/>
  <c r="M841" i="2"/>
  <c r="K841" i="2"/>
  <c r="I841" i="2"/>
  <c r="G841" i="2"/>
  <c r="E841" i="2"/>
  <c r="C841" i="2"/>
  <c r="BK840" i="2"/>
  <c r="BI840" i="2"/>
  <c r="BG840" i="2"/>
  <c r="BE840" i="2"/>
  <c r="BC840" i="2"/>
  <c r="BA840" i="2"/>
  <c r="AY840" i="2"/>
  <c r="AW840" i="2"/>
  <c r="AU840" i="2"/>
  <c r="AS840" i="2"/>
  <c r="AP840" i="2"/>
  <c r="AN840" i="2"/>
  <c r="AL840" i="2"/>
  <c r="AJ840" i="2"/>
  <c r="AH840" i="2"/>
  <c r="AF840" i="2"/>
  <c r="AD840" i="2"/>
  <c r="AB840" i="2"/>
  <c r="Z840" i="2"/>
  <c r="X840" i="2"/>
  <c r="U840" i="2"/>
  <c r="S840" i="2"/>
  <c r="Q840" i="2"/>
  <c r="O840" i="2"/>
  <c r="M840" i="2"/>
  <c r="K840" i="2"/>
  <c r="I840" i="2"/>
  <c r="G840" i="2"/>
  <c r="E840" i="2"/>
  <c r="C840" i="2"/>
  <c r="BK839" i="2"/>
  <c r="BI839" i="2"/>
  <c r="BG839" i="2"/>
  <c r="BE839" i="2"/>
  <c r="BC839" i="2"/>
  <c r="BA839" i="2"/>
  <c r="AY839" i="2"/>
  <c r="AW839" i="2"/>
  <c r="AU839" i="2"/>
  <c r="AS839" i="2"/>
  <c r="AP839" i="2"/>
  <c r="AN839" i="2"/>
  <c r="AL839" i="2"/>
  <c r="AJ839" i="2"/>
  <c r="AH839" i="2"/>
  <c r="AF839" i="2"/>
  <c r="AD839" i="2"/>
  <c r="AB839" i="2"/>
  <c r="Z839" i="2"/>
  <c r="X839" i="2"/>
  <c r="U839" i="2"/>
  <c r="S839" i="2"/>
  <c r="Q839" i="2"/>
  <c r="O839" i="2"/>
  <c r="M839" i="2"/>
  <c r="K839" i="2"/>
  <c r="I839" i="2"/>
  <c r="G839" i="2"/>
  <c r="E839" i="2"/>
  <c r="C839" i="2"/>
  <c r="BK838" i="2"/>
  <c r="BI838" i="2"/>
  <c r="BG838" i="2"/>
  <c r="BE838" i="2"/>
  <c r="BC838" i="2"/>
  <c r="BA838" i="2"/>
  <c r="AY838" i="2"/>
  <c r="AW838" i="2"/>
  <c r="AU838" i="2"/>
  <c r="AS838" i="2"/>
  <c r="AP838" i="2"/>
  <c r="AN838" i="2"/>
  <c r="AL838" i="2"/>
  <c r="AJ838" i="2"/>
  <c r="AH838" i="2"/>
  <c r="AF838" i="2"/>
  <c r="AD838" i="2"/>
  <c r="AB838" i="2"/>
  <c r="Z838" i="2"/>
  <c r="X838" i="2"/>
  <c r="U838" i="2"/>
  <c r="S838" i="2"/>
  <c r="Q838" i="2"/>
  <c r="O838" i="2"/>
  <c r="M838" i="2"/>
  <c r="K838" i="2"/>
  <c r="I838" i="2"/>
  <c r="G838" i="2"/>
  <c r="E838" i="2"/>
  <c r="C838" i="2"/>
  <c r="BK837" i="2"/>
  <c r="BI837" i="2"/>
  <c r="BG837" i="2"/>
  <c r="BE837" i="2"/>
  <c r="BC837" i="2"/>
  <c r="BA837" i="2"/>
  <c r="AY837" i="2"/>
  <c r="AW837" i="2"/>
  <c r="AU837" i="2"/>
  <c r="AS837" i="2"/>
  <c r="AP837" i="2"/>
  <c r="AN837" i="2"/>
  <c r="AL837" i="2"/>
  <c r="AJ837" i="2"/>
  <c r="AH837" i="2"/>
  <c r="AF837" i="2"/>
  <c r="AD837" i="2"/>
  <c r="AB837" i="2"/>
  <c r="Z837" i="2"/>
  <c r="X837" i="2"/>
  <c r="U837" i="2"/>
  <c r="S837" i="2"/>
  <c r="Q837" i="2"/>
  <c r="O837" i="2"/>
  <c r="M837" i="2"/>
  <c r="K837" i="2"/>
  <c r="I837" i="2"/>
  <c r="G837" i="2"/>
  <c r="E837" i="2"/>
  <c r="C837" i="2"/>
  <c r="BK836" i="2"/>
  <c r="BI836" i="2"/>
  <c r="BG836" i="2"/>
  <c r="BE836" i="2"/>
  <c r="BC836" i="2"/>
  <c r="BA836" i="2"/>
  <c r="AY836" i="2"/>
  <c r="AW836" i="2"/>
  <c r="AU836" i="2"/>
  <c r="AS836" i="2"/>
  <c r="AP836" i="2"/>
  <c r="AN836" i="2"/>
  <c r="AL836" i="2"/>
  <c r="AJ836" i="2"/>
  <c r="AH836" i="2"/>
  <c r="AF836" i="2"/>
  <c r="AD836" i="2"/>
  <c r="AB836" i="2"/>
  <c r="Z836" i="2"/>
  <c r="X836" i="2"/>
  <c r="U836" i="2"/>
  <c r="S836" i="2"/>
  <c r="Q836" i="2"/>
  <c r="O836" i="2"/>
  <c r="M836" i="2"/>
  <c r="K836" i="2"/>
  <c r="I836" i="2"/>
  <c r="G836" i="2"/>
  <c r="E836" i="2"/>
  <c r="C836" i="2"/>
  <c r="BK835" i="2"/>
  <c r="BI835" i="2"/>
  <c r="BG835" i="2"/>
  <c r="BE835" i="2"/>
  <c r="BC835" i="2"/>
  <c r="BA835" i="2"/>
  <c r="AY835" i="2"/>
  <c r="AW835" i="2"/>
  <c r="AU835" i="2"/>
  <c r="AS835" i="2"/>
  <c r="AP835" i="2"/>
  <c r="AN835" i="2"/>
  <c r="AL835" i="2"/>
  <c r="AJ835" i="2"/>
  <c r="AH835" i="2"/>
  <c r="AF835" i="2"/>
  <c r="AD835" i="2"/>
  <c r="AB835" i="2"/>
  <c r="Z835" i="2"/>
  <c r="X835" i="2"/>
  <c r="U835" i="2"/>
  <c r="S835" i="2"/>
  <c r="Q835" i="2"/>
  <c r="O835" i="2"/>
  <c r="M835" i="2"/>
  <c r="K835" i="2"/>
  <c r="I835" i="2"/>
  <c r="G835" i="2"/>
  <c r="E835" i="2"/>
  <c r="C835" i="2"/>
  <c r="BK834" i="2"/>
  <c r="BI834" i="2"/>
  <c r="BG834" i="2"/>
  <c r="BE834" i="2"/>
  <c r="BC834" i="2"/>
  <c r="BA834" i="2"/>
  <c r="AY834" i="2"/>
  <c r="AW834" i="2"/>
  <c r="AU834" i="2"/>
  <c r="AS834" i="2"/>
  <c r="AP834" i="2"/>
  <c r="AN834" i="2"/>
  <c r="AL834" i="2"/>
  <c r="AJ834" i="2"/>
  <c r="AH834" i="2"/>
  <c r="AF834" i="2"/>
  <c r="AD834" i="2"/>
  <c r="AB834" i="2"/>
  <c r="Z834" i="2"/>
  <c r="X834" i="2"/>
  <c r="U834" i="2"/>
  <c r="S834" i="2"/>
  <c r="Q834" i="2"/>
  <c r="O834" i="2"/>
  <c r="M834" i="2"/>
  <c r="K834" i="2"/>
  <c r="I834" i="2"/>
  <c r="G834" i="2"/>
  <c r="E834" i="2"/>
  <c r="C834" i="2"/>
  <c r="BK833" i="2"/>
  <c r="BI833" i="2"/>
  <c r="BG833" i="2"/>
  <c r="BE833" i="2"/>
  <c r="BC833" i="2"/>
  <c r="BA833" i="2"/>
  <c r="AY833" i="2"/>
  <c r="AW833" i="2"/>
  <c r="AU833" i="2"/>
  <c r="AS833" i="2"/>
  <c r="AP833" i="2"/>
  <c r="AN833" i="2"/>
  <c r="AL833" i="2"/>
  <c r="AJ833" i="2"/>
  <c r="AH833" i="2"/>
  <c r="AF833" i="2"/>
  <c r="AD833" i="2"/>
  <c r="AB833" i="2"/>
  <c r="Z833" i="2"/>
  <c r="X833" i="2"/>
  <c r="U833" i="2"/>
  <c r="S833" i="2"/>
  <c r="Q833" i="2"/>
  <c r="O833" i="2"/>
  <c r="M833" i="2"/>
  <c r="K833" i="2"/>
  <c r="I833" i="2"/>
  <c r="G833" i="2"/>
  <c r="E833" i="2"/>
  <c r="C833" i="2"/>
  <c r="BK832" i="2"/>
  <c r="BI832" i="2"/>
  <c r="BG832" i="2"/>
  <c r="BE832" i="2"/>
  <c r="BC832" i="2"/>
  <c r="BA832" i="2"/>
  <c r="AY832" i="2"/>
  <c r="AW832" i="2"/>
  <c r="AU832" i="2"/>
  <c r="AS832" i="2"/>
  <c r="AP832" i="2"/>
  <c r="AN832" i="2"/>
  <c r="AL832" i="2"/>
  <c r="AJ832" i="2"/>
  <c r="AH832" i="2"/>
  <c r="AF832" i="2"/>
  <c r="AD832" i="2"/>
  <c r="AB832" i="2"/>
  <c r="Z832" i="2"/>
  <c r="X832" i="2"/>
  <c r="U832" i="2"/>
  <c r="S832" i="2"/>
  <c r="Q832" i="2"/>
  <c r="O832" i="2"/>
  <c r="M832" i="2"/>
  <c r="K832" i="2"/>
  <c r="I832" i="2"/>
  <c r="G832" i="2"/>
  <c r="E832" i="2"/>
  <c r="C832" i="2"/>
  <c r="BK831" i="2"/>
  <c r="BI831" i="2"/>
  <c r="BG831" i="2"/>
  <c r="BE831" i="2"/>
  <c r="BC831" i="2"/>
  <c r="BA831" i="2"/>
  <c r="AY831" i="2"/>
  <c r="AW831" i="2"/>
  <c r="AU831" i="2"/>
  <c r="AS831" i="2"/>
  <c r="AP831" i="2"/>
  <c r="AN831" i="2"/>
  <c r="AL831" i="2"/>
  <c r="AJ831" i="2"/>
  <c r="AH831" i="2"/>
  <c r="AF831" i="2"/>
  <c r="AD831" i="2"/>
  <c r="AB831" i="2"/>
  <c r="Z831" i="2"/>
  <c r="X831" i="2"/>
  <c r="U831" i="2"/>
  <c r="S831" i="2"/>
  <c r="Q831" i="2"/>
  <c r="O831" i="2"/>
  <c r="M831" i="2"/>
  <c r="K831" i="2"/>
  <c r="I831" i="2"/>
  <c r="G831" i="2"/>
  <c r="E831" i="2"/>
  <c r="C831" i="2"/>
  <c r="BK830" i="2"/>
  <c r="BI830" i="2"/>
  <c r="BG830" i="2"/>
  <c r="BE830" i="2"/>
  <c r="BC830" i="2"/>
  <c r="BA830" i="2"/>
  <c r="AY830" i="2"/>
  <c r="AW830" i="2"/>
  <c r="AU830" i="2"/>
  <c r="AS830" i="2"/>
  <c r="AP830" i="2"/>
  <c r="AN830" i="2"/>
  <c r="AL830" i="2"/>
  <c r="AJ830" i="2"/>
  <c r="AH830" i="2"/>
  <c r="AF830" i="2"/>
  <c r="AD830" i="2"/>
  <c r="AB830" i="2"/>
  <c r="Z830" i="2"/>
  <c r="X830" i="2"/>
  <c r="U830" i="2"/>
  <c r="S830" i="2"/>
  <c r="Q830" i="2"/>
  <c r="O830" i="2"/>
  <c r="M830" i="2"/>
  <c r="K830" i="2"/>
  <c r="I830" i="2"/>
  <c r="G830" i="2"/>
  <c r="E830" i="2"/>
  <c r="C830" i="2"/>
  <c r="BK829" i="2"/>
  <c r="BI829" i="2"/>
  <c r="BG829" i="2"/>
  <c r="BE829" i="2"/>
  <c r="BC829" i="2"/>
  <c r="BA829" i="2"/>
  <c r="AY829" i="2"/>
  <c r="AW829" i="2"/>
  <c r="AU829" i="2"/>
  <c r="AS829" i="2"/>
  <c r="AP829" i="2"/>
  <c r="AN829" i="2"/>
  <c r="AL829" i="2"/>
  <c r="AJ829" i="2"/>
  <c r="AH829" i="2"/>
  <c r="AF829" i="2"/>
  <c r="AD829" i="2"/>
  <c r="AB829" i="2"/>
  <c r="Z829" i="2"/>
  <c r="X829" i="2"/>
  <c r="U829" i="2"/>
  <c r="S829" i="2"/>
  <c r="Q829" i="2"/>
  <c r="O829" i="2"/>
  <c r="M829" i="2"/>
  <c r="K829" i="2"/>
  <c r="I829" i="2"/>
  <c r="G829" i="2"/>
  <c r="E829" i="2"/>
  <c r="C829" i="2"/>
  <c r="BK828" i="2"/>
  <c r="BI828" i="2"/>
  <c r="BG828" i="2"/>
  <c r="BE828" i="2"/>
  <c r="BC828" i="2"/>
  <c r="BA828" i="2"/>
  <c r="AY828" i="2"/>
  <c r="AW828" i="2"/>
  <c r="AU828" i="2"/>
  <c r="AS828" i="2"/>
  <c r="AP828" i="2"/>
  <c r="AN828" i="2"/>
  <c r="AL828" i="2"/>
  <c r="AJ828" i="2"/>
  <c r="AH828" i="2"/>
  <c r="AF828" i="2"/>
  <c r="AD828" i="2"/>
  <c r="AB828" i="2"/>
  <c r="Z828" i="2"/>
  <c r="X828" i="2"/>
  <c r="U828" i="2"/>
  <c r="S828" i="2"/>
  <c r="Q828" i="2"/>
  <c r="O828" i="2"/>
  <c r="M828" i="2"/>
  <c r="K828" i="2"/>
  <c r="I828" i="2"/>
  <c r="G828" i="2"/>
  <c r="E828" i="2"/>
  <c r="C828" i="2"/>
  <c r="BK827" i="2"/>
  <c r="BI827" i="2"/>
  <c r="BG827" i="2"/>
  <c r="BE827" i="2"/>
  <c r="BC827" i="2"/>
  <c r="BA827" i="2"/>
  <c r="AY827" i="2"/>
  <c r="AW827" i="2"/>
  <c r="AU827" i="2"/>
  <c r="AS827" i="2"/>
  <c r="AP827" i="2"/>
  <c r="AN827" i="2"/>
  <c r="AL827" i="2"/>
  <c r="AJ827" i="2"/>
  <c r="AH827" i="2"/>
  <c r="AF827" i="2"/>
  <c r="AD827" i="2"/>
  <c r="AB827" i="2"/>
  <c r="Z827" i="2"/>
  <c r="X827" i="2"/>
  <c r="U827" i="2"/>
  <c r="S827" i="2"/>
  <c r="Q827" i="2"/>
  <c r="O827" i="2"/>
  <c r="M827" i="2"/>
  <c r="K827" i="2"/>
  <c r="I827" i="2"/>
  <c r="G827" i="2"/>
  <c r="E827" i="2"/>
  <c r="C827" i="2"/>
  <c r="BK826" i="2"/>
  <c r="BI826" i="2"/>
  <c r="BG826" i="2"/>
  <c r="BE826" i="2"/>
  <c r="BC826" i="2"/>
  <c r="BA826" i="2"/>
  <c r="AY826" i="2"/>
  <c r="AW826" i="2"/>
  <c r="AU826" i="2"/>
  <c r="AS826" i="2"/>
  <c r="AP826" i="2"/>
  <c r="AN826" i="2"/>
  <c r="AL826" i="2"/>
  <c r="AJ826" i="2"/>
  <c r="AH826" i="2"/>
  <c r="AF826" i="2"/>
  <c r="AD826" i="2"/>
  <c r="AB826" i="2"/>
  <c r="Z826" i="2"/>
  <c r="X826" i="2"/>
  <c r="U826" i="2"/>
  <c r="S826" i="2"/>
  <c r="Q826" i="2"/>
  <c r="O826" i="2"/>
  <c r="M826" i="2"/>
  <c r="K826" i="2"/>
  <c r="I826" i="2"/>
  <c r="G826" i="2"/>
  <c r="E826" i="2"/>
  <c r="C826" i="2"/>
  <c r="BK825" i="2"/>
  <c r="BI825" i="2"/>
  <c r="BG825" i="2"/>
  <c r="BE825" i="2"/>
  <c r="BC825" i="2"/>
  <c r="BA825" i="2"/>
  <c r="AY825" i="2"/>
  <c r="AW825" i="2"/>
  <c r="AU825" i="2"/>
  <c r="AS825" i="2"/>
  <c r="AP825" i="2"/>
  <c r="AN825" i="2"/>
  <c r="AL825" i="2"/>
  <c r="AJ825" i="2"/>
  <c r="AH825" i="2"/>
  <c r="AF825" i="2"/>
  <c r="AD825" i="2"/>
  <c r="AB825" i="2"/>
  <c r="Z825" i="2"/>
  <c r="X825" i="2"/>
  <c r="U825" i="2"/>
  <c r="S825" i="2"/>
  <c r="Q825" i="2"/>
  <c r="O825" i="2"/>
  <c r="M825" i="2"/>
  <c r="K825" i="2"/>
  <c r="I825" i="2"/>
  <c r="G825" i="2"/>
  <c r="E825" i="2"/>
  <c r="C825" i="2"/>
  <c r="BK824" i="2"/>
  <c r="BI824" i="2"/>
  <c r="BG824" i="2"/>
  <c r="BE824" i="2"/>
  <c r="BC824" i="2"/>
  <c r="BA824" i="2"/>
  <c r="AY824" i="2"/>
  <c r="AW824" i="2"/>
  <c r="AU824" i="2"/>
  <c r="AS824" i="2"/>
  <c r="AP824" i="2"/>
  <c r="AN824" i="2"/>
  <c r="AL824" i="2"/>
  <c r="AJ824" i="2"/>
  <c r="AH824" i="2"/>
  <c r="AF824" i="2"/>
  <c r="AD824" i="2"/>
  <c r="AB824" i="2"/>
  <c r="Z824" i="2"/>
  <c r="X824" i="2"/>
  <c r="U824" i="2"/>
  <c r="S824" i="2"/>
  <c r="Q824" i="2"/>
  <c r="O824" i="2"/>
  <c r="M824" i="2"/>
  <c r="K824" i="2"/>
  <c r="I824" i="2"/>
  <c r="G824" i="2"/>
  <c r="E824" i="2"/>
  <c r="C824" i="2"/>
  <c r="BK823" i="2"/>
  <c r="BI823" i="2"/>
  <c r="BG823" i="2"/>
  <c r="BE823" i="2"/>
  <c r="BC823" i="2"/>
  <c r="BA823" i="2"/>
  <c r="AY823" i="2"/>
  <c r="AW823" i="2"/>
  <c r="AU823" i="2"/>
  <c r="AS823" i="2"/>
  <c r="AP823" i="2"/>
  <c r="AN823" i="2"/>
  <c r="AL823" i="2"/>
  <c r="AJ823" i="2"/>
  <c r="AH823" i="2"/>
  <c r="AF823" i="2"/>
  <c r="AD823" i="2"/>
  <c r="AB823" i="2"/>
  <c r="Z823" i="2"/>
  <c r="X823" i="2"/>
  <c r="U823" i="2"/>
  <c r="S823" i="2"/>
  <c r="Q823" i="2"/>
  <c r="O823" i="2"/>
  <c r="M823" i="2"/>
  <c r="K823" i="2"/>
  <c r="I823" i="2"/>
  <c r="G823" i="2"/>
  <c r="E823" i="2"/>
  <c r="C823" i="2"/>
  <c r="BK822" i="2"/>
  <c r="BI822" i="2"/>
  <c r="BG822" i="2"/>
  <c r="BE822" i="2"/>
  <c r="BC822" i="2"/>
  <c r="BA822" i="2"/>
  <c r="AY822" i="2"/>
  <c r="AW822" i="2"/>
  <c r="AU822" i="2"/>
  <c r="AS822" i="2"/>
  <c r="AP822" i="2"/>
  <c r="AN822" i="2"/>
  <c r="AL822" i="2"/>
  <c r="AJ822" i="2"/>
  <c r="AH822" i="2"/>
  <c r="AF822" i="2"/>
  <c r="AD822" i="2"/>
  <c r="AB822" i="2"/>
  <c r="Z822" i="2"/>
  <c r="X822" i="2"/>
  <c r="U822" i="2"/>
  <c r="S822" i="2"/>
  <c r="Q822" i="2"/>
  <c r="O822" i="2"/>
  <c r="M822" i="2"/>
  <c r="K822" i="2"/>
  <c r="I822" i="2"/>
  <c r="G822" i="2"/>
  <c r="E822" i="2"/>
  <c r="C822" i="2"/>
  <c r="BK821" i="2"/>
  <c r="BI821" i="2"/>
  <c r="BG821" i="2"/>
  <c r="BE821" i="2"/>
  <c r="BC821" i="2"/>
  <c r="BA821" i="2"/>
  <c r="AY821" i="2"/>
  <c r="AW821" i="2"/>
  <c r="AU821" i="2"/>
  <c r="AS821" i="2"/>
  <c r="AP821" i="2"/>
  <c r="AN821" i="2"/>
  <c r="AL821" i="2"/>
  <c r="AJ821" i="2"/>
  <c r="AH821" i="2"/>
  <c r="AF821" i="2"/>
  <c r="AD821" i="2"/>
  <c r="AB821" i="2"/>
  <c r="Z821" i="2"/>
  <c r="X821" i="2"/>
  <c r="U821" i="2"/>
  <c r="S821" i="2"/>
  <c r="Q821" i="2"/>
  <c r="O821" i="2"/>
  <c r="M821" i="2"/>
  <c r="K821" i="2"/>
  <c r="I821" i="2"/>
  <c r="G821" i="2"/>
  <c r="E821" i="2"/>
  <c r="C821" i="2"/>
  <c r="BK820" i="2"/>
  <c r="BI820" i="2"/>
  <c r="BG820" i="2"/>
  <c r="BE820" i="2"/>
  <c r="BC820" i="2"/>
  <c r="BA820" i="2"/>
  <c r="AY820" i="2"/>
  <c r="AW820" i="2"/>
  <c r="AU820" i="2"/>
  <c r="AS820" i="2"/>
  <c r="AP820" i="2"/>
  <c r="AN820" i="2"/>
  <c r="AL820" i="2"/>
  <c r="AJ820" i="2"/>
  <c r="AH820" i="2"/>
  <c r="AF820" i="2"/>
  <c r="AD820" i="2"/>
  <c r="AB820" i="2"/>
  <c r="Z820" i="2"/>
  <c r="X820" i="2"/>
  <c r="U820" i="2"/>
  <c r="S820" i="2"/>
  <c r="Q820" i="2"/>
  <c r="O820" i="2"/>
  <c r="M820" i="2"/>
  <c r="K820" i="2"/>
  <c r="I820" i="2"/>
  <c r="G820" i="2"/>
  <c r="E820" i="2"/>
  <c r="C820" i="2"/>
  <c r="BK819" i="2"/>
  <c r="BI819" i="2"/>
  <c r="BG819" i="2"/>
  <c r="BE819" i="2"/>
  <c r="BC819" i="2"/>
  <c r="BA819" i="2"/>
  <c r="AY819" i="2"/>
  <c r="AW819" i="2"/>
  <c r="AU819" i="2"/>
  <c r="AS819" i="2"/>
  <c r="AP819" i="2"/>
  <c r="AN819" i="2"/>
  <c r="AL819" i="2"/>
  <c r="AJ819" i="2"/>
  <c r="AH819" i="2"/>
  <c r="AF819" i="2"/>
  <c r="AD819" i="2"/>
  <c r="AB819" i="2"/>
  <c r="Z819" i="2"/>
  <c r="X819" i="2"/>
  <c r="U819" i="2"/>
  <c r="S819" i="2"/>
  <c r="Q819" i="2"/>
  <c r="O819" i="2"/>
  <c r="M819" i="2"/>
  <c r="K819" i="2"/>
  <c r="I819" i="2"/>
  <c r="G819" i="2"/>
  <c r="E819" i="2"/>
  <c r="C819" i="2"/>
  <c r="BK818" i="2"/>
  <c r="BI818" i="2"/>
  <c r="BG818" i="2"/>
  <c r="BE818" i="2"/>
  <c r="BC818" i="2"/>
  <c r="BA818" i="2"/>
  <c r="AY818" i="2"/>
  <c r="AW818" i="2"/>
  <c r="AU818" i="2"/>
  <c r="AS818" i="2"/>
  <c r="AP818" i="2"/>
  <c r="AN818" i="2"/>
  <c r="AL818" i="2"/>
  <c r="AJ818" i="2"/>
  <c r="AH818" i="2"/>
  <c r="AF818" i="2"/>
  <c r="AD818" i="2"/>
  <c r="AB818" i="2"/>
  <c r="Z818" i="2"/>
  <c r="X818" i="2"/>
  <c r="U818" i="2"/>
  <c r="S818" i="2"/>
  <c r="Q818" i="2"/>
  <c r="O818" i="2"/>
  <c r="M818" i="2"/>
  <c r="K818" i="2"/>
  <c r="I818" i="2"/>
  <c r="G818" i="2"/>
  <c r="E818" i="2"/>
  <c r="C818" i="2"/>
  <c r="BK817" i="2"/>
  <c r="BI817" i="2"/>
  <c r="BG817" i="2"/>
  <c r="BE817" i="2"/>
  <c r="BC817" i="2"/>
  <c r="BA817" i="2"/>
  <c r="AY817" i="2"/>
  <c r="AW817" i="2"/>
  <c r="AU817" i="2"/>
  <c r="AS817" i="2"/>
  <c r="AP817" i="2"/>
  <c r="AN817" i="2"/>
  <c r="AL817" i="2"/>
  <c r="AJ817" i="2"/>
  <c r="AH817" i="2"/>
  <c r="AF817" i="2"/>
  <c r="AD817" i="2"/>
  <c r="AB817" i="2"/>
  <c r="Z817" i="2"/>
  <c r="X817" i="2"/>
  <c r="U817" i="2"/>
  <c r="S817" i="2"/>
  <c r="Q817" i="2"/>
  <c r="O817" i="2"/>
  <c r="M817" i="2"/>
  <c r="K817" i="2"/>
  <c r="I817" i="2"/>
  <c r="G817" i="2"/>
  <c r="E817" i="2"/>
  <c r="C817" i="2"/>
  <c r="BK816" i="2"/>
  <c r="BI816" i="2"/>
  <c r="BG816" i="2"/>
  <c r="BE816" i="2"/>
  <c r="BC816" i="2"/>
  <c r="BA816" i="2"/>
  <c r="AY816" i="2"/>
  <c r="AW816" i="2"/>
  <c r="AU816" i="2"/>
  <c r="AS816" i="2"/>
  <c r="AP816" i="2"/>
  <c r="AN816" i="2"/>
  <c r="AL816" i="2"/>
  <c r="AJ816" i="2"/>
  <c r="AH816" i="2"/>
  <c r="AF816" i="2"/>
  <c r="AD816" i="2"/>
  <c r="AB816" i="2"/>
  <c r="Z816" i="2"/>
  <c r="X816" i="2"/>
  <c r="U816" i="2"/>
  <c r="S816" i="2"/>
  <c r="Q816" i="2"/>
  <c r="O816" i="2"/>
  <c r="M816" i="2"/>
  <c r="K816" i="2"/>
  <c r="I816" i="2"/>
  <c r="G816" i="2"/>
  <c r="E816" i="2"/>
  <c r="C816" i="2"/>
  <c r="BK815" i="2"/>
  <c r="BI815" i="2"/>
  <c r="BG815" i="2"/>
  <c r="BE815" i="2"/>
  <c r="BC815" i="2"/>
  <c r="BA815" i="2"/>
  <c r="AY815" i="2"/>
  <c r="AW815" i="2"/>
  <c r="AU815" i="2"/>
  <c r="AS815" i="2"/>
  <c r="AP815" i="2"/>
  <c r="AN815" i="2"/>
  <c r="AL815" i="2"/>
  <c r="AJ815" i="2"/>
  <c r="AH815" i="2"/>
  <c r="AF815" i="2"/>
  <c r="AD815" i="2"/>
  <c r="AB815" i="2"/>
  <c r="Z815" i="2"/>
  <c r="X815" i="2"/>
  <c r="U815" i="2"/>
  <c r="S815" i="2"/>
  <c r="Q815" i="2"/>
  <c r="O815" i="2"/>
  <c r="M815" i="2"/>
  <c r="K815" i="2"/>
  <c r="I815" i="2"/>
  <c r="G815" i="2"/>
  <c r="E815" i="2"/>
  <c r="C815" i="2"/>
  <c r="BK814" i="2"/>
  <c r="BI814" i="2"/>
  <c r="BG814" i="2"/>
  <c r="BE814" i="2"/>
  <c r="BC814" i="2"/>
  <c r="BA814" i="2"/>
  <c r="AY814" i="2"/>
  <c r="AW814" i="2"/>
  <c r="AU814" i="2"/>
  <c r="AS814" i="2"/>
  <c r="AP814" i="2"/>
  <c r="AN814" i="2"/>
  <c r="AL814" i="2"/>
  <c r="AJ814" i="2"/>
  <c r="AH814" i="2"/>
  <c r="AF814" i="2"/>
  <c r="AD814" i="2"/>
  <c r="AB814" i="2"/>
  <c r="Z814" i="2"/>
  <c r="X814" i="2"/>
  <c r="U814" i="2"/>
  <c r="S814" i="2"/>
  <c r="Q814" i="2"/>
  <c r="O814" i="2"/>
  <c r="M814" i="2"/>
  <c r="K814" i="2"/>
  <c r="I814" i="2"/>
  <c r="G814" i="2"/>
  <c r="E814" i="2"/>
  <c r="C814" i="2"/>
  <c r="BK813" i="2"/>
  <c r="BI813" i="2"/>
  <c r="BG813" i="2"/>
  <c r="BE813" i="2"/>
  <c r="BC813" i="2"/>
  <c r="BA813" i="2"/>
  <c r="AY813" i="2"/>
  <c r="AW813" i="2"/>
  <c r="AU813" i="2"/>
  <c r="AS813" i="2"/>
  <c r="AP813" i="2"/>
  <c r="AN813" i="2"/>
  <c r="AL813" i="2"/>
  <c r="AJ813" i="2"/>
  <c r="AH813" i="2"/>
  <c r="AF813" i="2"/>
  <c r="AD813" i="2"/>
  <c r="AB813" i="2"/>
  <c r="Z813" i="2"/>
  <c r="X813" i="2"/>
  <c r="U813" i="2"/>
  <c r="S813" i="2"/>
  <c r="Q813" i="2"/>
  <c r="O813" i="2"/>
  <c r="M813" i="2"/>
  <c r="K813" i="2"/>
  <c r="I813" i="2"/>
  <c r="G813" i="2"/>
  <c r="E813" i="2"/>
  <c r="C813" i="2"/>
  <c r="BK812" i="2"/>
  <c r="BI812" i="2"/>
  <c r="BG812" i="2"/>
  <c r="BE812" i="2"/>
  <c r="BC812" i="2"/>
  <c r="BA812" i="2"/>
  <c r="AY812" i="2"/>
  <c r="AW812" i="2"/>
  <c r="AU812" i="2"/>
  <c r="AS812" i="2"/>
  <c r="AP812" i="2"/>
  <c r="AN812" i="2"/>
  <c r="AL812" i="2"/>
  <c r="AJ812" i="2"/>
  <c r="AH812" i="2"/>
  <c r="AF812" i="2"/>
  <c r="AD812" i="2"/>
  <c r="AB812" i="2"/>
  <c r="Z812" i="2"/>
  <c r="X812" i="2"/>
  <c r="U812" i="2"/>
  <c r="S812" i="2"/>
  <c r="Q812" i="2"/>
  <c r="O812" i="2"/>
  <c r="M812" i="2"/>
  <c r="K812" i="2"/>
  <c r="I812" i="2"/>
  <c r="G812" i="2"/>
  <c r="E812" i="2"/>
  <c r="C812" i="2"/>
  <c r="BK811" i="2"/>
  <c r="BI811" i="2"/>
  <c r="BG811" i="2"/>
  <c r="BE811" i="2"/>
  <c r="BC811" i="2"/>
  <c r="BA811" i="2"/>
  <c r="AY811" i="2"/>
  <c r="AW811" i="2"/>
  <c r="AU811" i="2"/>
  <c r="AS811" i="2"/>
  <c r="AP811" i="2"/>
  <c r="AN811" i="2"/>
  <c r="AL811" i="2"/>
  <c r="AJ811" i="2"/>
  <c r="AH811" i="2"/>
  <c r="AF811" i="2"/>
  <c r="AD811" i="2"/>
  <c r="AB811" i="2"/>
  <c r="Z811" i="2"/>
  <c r="X811" i="2"/>
  <c r="U811" i="2"/>
  <c r="S811" i="2"/>
  <c r="Q811" i="2"/>
  <c r="O811" i="2"/>
  <c r="M811" i="2"/>
  <c r="K811" i="2"/>
  <c r="I811" i="2"/>
  <c r="G811" i="2"/>
  <c r="E811" i="2"/>
  <c r="C811" i="2"/>
  <c r="BK810" i="2"/>
  <c r="BI810" i="2"/>
  <c r="BG810" i="2"/>
  <c r="BE810" i="2"/>
  <c r="BC810" i="2"/>
  <c r="BA810" i="2"/>
  <c r="AY810" i="2"/>
  <c r="AW810" i="2"/>
  <c r="AU810" i="2"/>
  <c r="AS810" i="2"/>
  <c r="AP810" i="2"/>
  <c r="AN810" i="2"/>
  <c r="AL810" i="2"/>
  <c r="AJ810" i="2"/>
  <c r="AH810" i="2"/>
  <c r="AF810" i="2"/>
  <c r="AD810" i="2"/>
  <c r="AB810" i="2"/>
  <c r="Z810" i="2"/>
  <c r="X810" i="2"/>
  <c r="U810" i="2"/>
  <c r="S810" i="2"/>
  <c r="Q810" i="2"/>
  <c r="O810" i="2"/>
  <c r="M810" i="2"/>
  <c r="K810" i="2"/>
  <c r="I810" i="2"/>
  <c r="G810" i="2"/>
  <c r="E810" i="2"/>
  <c r="C810" i="2"/>
  <c r="BK809" i="2"/>
  <c r="BI809" i="2"/>
  <c r="BG809" i="2"/>
  <c r="BE809" i="2"/>
  <c r="BC809" i="2"/>
  <c r="BA809" i="2"/>
  <c r="AY809" i="2"/>
  <c r="AW809" i="2"/>
  <c r="AU809" i="2"/>
  <c r="AS809" i="2"/>
  <c r="AP809" i="2"/>
  <c r="AN809" i="2"/>
  <c r="AL809" i="2"/>
  <c r="AJ809" i="2"/>
  <c r="AH809" i="2"/>
  <c r="AF809" i="2"/>
  <c r="AD809" i="2"/>
  <c r="AB809" i="2"/>
  <c r="Z809" i="2"/>
  <c r="X809" i="2"/>
  <c r="U809" i="2"/>
  <c r="S809" i="2"/>
  <c r="Q809" i="2"/>
  <c r="O809" i="2"/>
  <c r="M809" i="2"/>
  <c r="K809" i="2"/>
  <c r="I809" i="2"/>
  <c r="G809" i="2"/>
  <c r="E809" i="2"/>
  <c r="C809" i="2"/>
  <c r="BK808" i="2"/>
  <c r="BI808" i="2"/>
  <c r="BG808" i="2"/>
  <c r="BE808" i="2"/>
  <c r="BC808" i="2"/>
  <c r="BA808" i="2"/>
  <c r="AY808" i="2"/>
  <c r="AW808" i="2"/>
  <c r="AU808" i="2"/>
  <c r="AS808" i="2"/>
  <c r="AP808" i="2"/>
  <c r="AN808" i="2"/>
  <c r="AL808" i="2"/>
  <c r="AJ808" i="2"/>
  <c r="AH808" i="2"/>
  <c r="AF808" i="2"/>
  <c r="AD808" i="2"/>
  <c r="AB808" i="2"/>
  <c r="Z808" i="2"/>
  <c r="X808" i="2"/>
  <c r="U808" i="2"/>
  <c r="S808" i="2"/>
  <c r="Q808" i="2"/>
  <c r="O808" i="2"/>
  <c r="M808" i="2"/>
  <c r="K808" i="2"/>
  <c r="I808" i="2"/>
  <c r="G808" i="2"/>
  <c r="E808" i="2"/>
  <c r="C808" i="2"/>
  <c r="BK807" i="2"/>
  <c r="BI807" i="2"/>
  <c r="BG807" i="2"/>
  <c r="BE807" i="2"/>
  <c r="BC807" i="2"/>
  <c r="BA807" i="2"/>
  <c r="AY807" i="2"/>
  <c r="AW807" i="2"/>
  <c r="AU807" i="2"/>
  <c r="AS807" i="2"/>
  <c r="AP807" i="2"/>
  <c r="AN807" i="2"/>
  <c r="AL807" i="2"/>
  <c r="AJ807" i="2"/>
  <c r="AH807" i="2"/>
  <c r="AF807" i="2"/>
  <c r="AD807" i="2"/>
  <c r="AB807" i="2"/>
  <c r="Z807" i="2"/>
  <c r="X807" i="2"/>
  <c r="U807" i="2"/>
  <c r="S807" i="2"/>
  <c r="Q807" i="2"/>
  <c r="O807" i="2"/>
  <c r="M807" i="2"/>
  <c r="K807" i="2"/>
  <c r="I807" i="2"/>
  <c r="G807" i="2"/>
  <c r="E807" i="2"/>
  <c r="C807" i="2"/>
  <c r="BK806" i="2"/>
  <c r="BI806" i="2"/>
  <c r="BG806" i="2"/>
  <c r="BE806" i="2"/>
  <c r="BC806" i="2"/>
  <c r="BA806" i="2"/>
  <c r="AY806" i="2"/>
  <c r="AW806" i="2"/>
  <c r="AU806" i="2"/>
  <c r="AS806" i="2"/>
  <c r="AP806" i="2"/>
  <c r="AN806" i="2"/>
  <c r="AL806" i="2"/>
  <c r="AJ806" i="2"/>
  <c r="AH806" i="2"/>
  <c r="AF806" i="2"/>
  <c r="AD806" i="2"/>
  <c r="AB806" i="2"/>
  <c r="Z806" i="2"/>
  <c r="X806" i="2"/>
  <c r="U806" i="2"/>
  <c r="S806" i="2"/>
  <c r="Q806" i="2"/>
  <c r="O806" i="2"/>
  <c r="M806" i="2"/>
  <c r="K806" i="2"/>
  <c r="I806" i="2"/>
  <c r="G806" i="2"/>
  <c r="E806" i="2"/>
  <c r="C806" i="2"/>
  <c r="BK805" i="2"/>
  <c r="BI805" i="2"/>
  <c r="BG805" i="2"/>
  <c r="BE805" i="2"/>
  <c r="BC805" i="2"/>
  <c r="BA805" i="2"/>
  <c r="AY805" i="2"/>
  <c r="AW805" i="2"/>
  <c r="AU805" i="2"/>
  <c r="AS805" i="2"/>
  <c r="AP805" i="2"/>
  <c r="AN805" i="2"/>
  <c r="AL805" i="2"/>
  <c r="AJ805" i="2"/>
  <c r="AH805" i="2"/>
  <c r="AF805" i="2"/>
  <c r="AD805" i="2"/>
  <c r="AB805" i="2"/>
  <c r="Z805" i="2"/>
  <c r="X805" i="2"/>
  <c r="U805" i="2"/>
  <c r="S805" i="2"/>
  <c r="Q805" i="2"/>
  <c r="O805" i="2"/>
  <c r="M805" i="2"/>
  <c r="K805" i="2"/>
  <c r="I805" i="2"/>
  <c r="G805" i="2"/>
  <c r="E805" i="2"/>
  <c r="C805" i="2"/>
  <c r="BK804" i="2"/>
  <c r="BI804" i="2"/>
  <c r="BG804" i="2"/>
  <c r="BE804" i="2"/>
  <c r="BC804" i="2"/>
  <c r="BA804" i="2"/>
  <c r="AY804" i="2"/>
  <c r="AW804" i="2"/>
  <c r="AU804" i="2"/>
  <c r="AS804" i="2"/>
  <c r="AP804" i="2"/>
  <c r="AN804" i="2"/>
  <c r="AL804" i="2"/>
  <c r="AJ804" i="2"/>
  <c r="AH804" i="2"/>
  <c r="AF804" i="2"/>
  <c r="AD804" i="2"/>
  <c r="AB804" i="2"/>
  <c r="Z804" i="2"/>
  <c r="X804" i="2"/>
  <c r="U804" i="2"/>
  <c r="S804" i="2"/>
  <c r="Q804" i="2"/>
  <c r="O804" i="2"/>
  <c r="M804" i="2"/>
  <c r="K804" i="2"/>
  <c r="I804" i="2"/>
  <c r="G804" i="2"/>
  <c r="E804" i="2"/>
  <c r="C804" i="2"/>
  <c r="BK803" i="2"/>
  <c r="BI803" i="2"/>
  <c r="BG803" i="2"/>
  <c r="BE803" i="2"/>
  <c r="BC803" i="2"/>
  <c r="BA803" i="2"/>
  <c r="AY803" i="2"/>
  <c r="AW803" i="2"/>
  <c r="AU803" i="2"/>
  <c r="AS803" i="2"/>
  <c r="AP803" i="2"/>
  <c r="AN803" i="2"/>
  <c r="AL803" i="2"/>
  <c r="AJ803" i="2"/>
  <c r="AH803" i="2"/>
  <c r="AF803" i="2"/>
  <c r="AD803" i="2"/>
  <c r="AB803" i="2"/>
  <c r="Z803" i="2"/>
  <c r="X803" i="2"/>
  <c r="U803" i="2"/>
  <c r="S803" i="2"/>
  <c r="Q803" i="2"/>
  <c r="O803" i="2"/>
  <c r="M803" i="2"/>
  <c r="K803" i="2"/>
  <c r="I803" i="2"/>
  <c r="G803" i="2"/>
  <c r="E803" i="2"/>
  <c r="C803" i="2"/>
  <c r="BK802" i="2"/>
  <c r="BI802" i="2"/>
  <c r="BG802" i="2"/>
  <c r="BE802" i="2"/>
  <c r="BC802" i="2"/>
  <c r="BA802" i="2"/>
  <c r="AY802" i="2"/>
  <c r="AW802" i="2"/>
  <c r="AU802" i="2"/>
  <c r="AS802" i="2"/>
  <c r="AP802" i="2"/>
  <c r="AN802" i="2"/>
  <c r="AL802" i="2"/>
  <c r="AJ802" i="2"/>
  <c r="AH802" i="2"/>
  <c r="AF802" i="2"/>
  <c r="AD802" i="2"/>
  <c r="AB802" i="2"/>
  <c r="Z802" i="2"/>
  <c r="X802" i="2"/>
  <c r="U802" i="2"/>
  <c r="S802" i="2"/>
  <c r="Q802" i="2"/>
  <c r="O802" i="2"/>
  <c r="M802" i="2"/>
  <c r="K802" i="2"/>
  <c r="I802" i="2"/>
  <c r="G802" i="2"/>
  <c r="E802" i="2"/>
  <c r="C802" i="2"/>
  <c r="BK801" i="2"/>
  <c r="BI801" i="2"/>
  <c r="BG801" i="2"/>
  <c r="BE801" i="2"/>
  <c r="BC801" i="2"/>
  <c r="BA801" i="2"/>
  <c r="AY801" i="2"/>
  <c r="AW801" i="2"/>
  <c r="AU801" i="2"/>
  <c r="AS801" i="2"/>
  <c r="AP801" i="2"/>
  <c r="AN801" i="2"/>
  <c r="AL801" i="2"/>
  <c r="AJ801" i="2"/>
  <c r="AH801" i="2"/>
  <c r="AF801" i="2"/>
  <c r="AD801" i="2"/>
  <c r="AB801" i="2"/>
  <c r="Z801" i="2"/>
  <c r="X801" i="2"/>
  <c r="U801" i="2"/>
  <c r="S801" i="2"/>
  <c r="Q801" i="2"/>
  <c r="O801" i="2"/>
  <c r="M801" i="2"/>
  <c r="K801" i="2"/>
  <c r="I801" i="2"/>
  <c r="G801" i="2"/>
  <c r="E801" i="2"/>
  <c r="C801" i="2"/>
  <c r="BK800" i="2"/>
  <c r="BI800" i="2"/>
  <c r="BG800" i="2"/>
  <c r="BE800" i="2"/>
  <c r="BC800" i="2"/>
  <c r="BA800" i="2"/>
  <c r="AY800" i="2"/>
  <c r="AW800" i="2"/>
  <c r="AU800" i="2"/>
  <c r="AS800" i="2"/>
  <c r="AP800" i="2"/>
  <c r="AN800" i="2"/>
  <c r="AL800" i="2"/>
  <c r="AJ800" i="2"/>
  <c r="AH800" i="2"/>
  <c r="AF800" i="2"/>
  <c r="AD800" i="2"/>
  <c r="AB800" i="2"/>
  <c r="Z800" i="2"/>
  <c r="X800" i="2"/>
  <c r="U800" i="2"/>
  <c r="S800" i="2"/>
  <c r="Q800" i="2"/>
  <c r="O800" i="2"/>
  <c r="M800" i="2"/>
  <c r="K800" i="2"/>
  <c r="I800" i="2"/>
  <c r="G800" i="2"/>
  <c r="E800" i="2"/>
  <c r="C800" i="2"/>
  <c r="BK799" i="2"/>
  <c r="BI799" i="2"/>
  <c r="BG799" i="2"/>
  <c r="BE799" i="2"/>
  <c r="BC799" i="2"/>
  <c r="BA799" i="2"/>
  <c r="AY799" i="2"/>
  <c r="AW799" i="2"/>
  <c r="AU799" i="2"/>
  <c r="AS799" i="2"/>
  <c r="AP799" i="2"/>
  <c r="AN799" i="2"/>
  <c r="AL799" i="2"/>
  <c r="AJ799" i="2"/>
  <c r="AH799" i="2"/>
  <c r="AF799" i="2"/>
  <c r="AD799" i="2"/>
  <c r="AB799" i="2"/>
  <c r="Z799" i="2"/>
  <c r="X799" i="2"/>
  <c r="U799" i="2"/>
  <c r="S799" i="2"/>
  <c r="Q799" i="2"/>
  <c r="O799" i="2"/>
  <c r="M799" i="2"/>
  <c r="K799" i="2"/>
  <c r="I799" i="2"/>
  <c r="G799" i="2"/>
  <c r="E799" i="2"/>
  <c r="C799" i="2"/>
  <c r="BK798" i="2"/>
  <c r="BI798" i="2"/>
  <c r="BG798" i="2"/>
  <c r="BE798" i="2"/>
  <c r="BC798" i="2"/>
  <c r="BA798" i="2"/>
  <c r="AY798" i="2"/>
  <c r="AW798" i="2"/>
  <c r="AU798" i="2"/>
  <c r="AS798" i="2"/>
  <c r="AP798" i="2"/>
  <c r="AN798" i="2"/>
  <c r="AL798" i="2"/>
  <c r="AJ798" i="2"/>
  <c r="AH798" i="2"/>
  <c r="AF798" i="2"/>
  <c r="AD798" i="2"/>
  <c r="AB798" i="2"/>
  <c r="Z798" i="2"/>
  <c r="X798" i="2"/>
  <c r="U798" i="2"/>
  <c r="S798" i="2"/>
  <c r="Q798" i="2"/>
  <c r="O798" i="2"/>
  <c r="M798" i="2"/>
  <c r="K798" i="2"/>
  <c r="I798" i="2"/>
  <c r="G798" i="2"/>
  <c r="E798" i="2"/>
  <c r="C798" i="2"/>
  <c r="BK797" i="2"/>
  <c r="BI797" i="2"/>
  <c r="BG797" i="2"/>
  <c r="BE797" i="2"/>
  <c r="BC797" i="2"/>
  <c r="BA797" i="2"/>
  <c r="AY797" i="2"/>
  <c r="AW797" i="2"/>
  <c r="AU797" i="2"/>
  <c r="AS797" i="2"/>
  <c r="AP797" i="2"/>
  <c r="AN797" i="2"/>
  <c r="AL797" i="2"/>
  <c r="AJ797" i="2"/>
  <c r="AH797" i="2"/>
  <c r="AF797" i="2"/>
  <c r="AD797" i="2"/>
  <c r="AB797" i="2"/>
  <c r="Z797" i="2"/>
  <c r="X797" i="2"/>
  <c r="U797" i="2"/>
  <c r="S797" i="2"/>
  <c r="Q797" i="2"/>
  <c r="O797" i="2"/>
  <c r="M797" i="2"/>
  <c r="K797" i="2"/>
  <c r="I797" i="2"/>
  <c r="G797" i="2"/>
  <c r="E797" i="2"/>
  <c r="C797" i="2"/>
  <c r="BK796" i="2"/>
  <c r="BI796" i="2"/>
  <c r="BG796" i="2"/>
  <c r="BE796" i="2"/>
  <c r="BC796" i="2"/>
  <c r="BA796" i="2"/>
  <c r="AY796" i="2"/>
  <c r="AW796" i="2"/>
  <c r="AU796" i="2"/>
  <c r="AS796" i="2"/>
  <c r="AP796" i="2"/>
  <c r="AN796" i="2"/>
  <c r="AL796" i="2"/>
  <c r="AJ796" i="2"/>
  <c r="AH796" i="2"/>
  <c r="AF796" i="2"/>
  <c r="AD796" i="2"/>
  <c r="AB796" i="2"/>
  <c r="Z796" i="2"/>
  <c r="X796" i="2"/>
  <c r="U796" i="2"/>
  <c r="S796" i="2"/>
  <c r="Q796" i="2"/>
  <c r="O796" i="2"/>
  <c r="M796" i="2"/>
  <c r="K796" i="2"/>
  <c r="I796" i="2"/>
  <c r="G796" i="2"/>
  <c r="E796" i="2"/>
  <c r="C796" i="2"/>
  <c r="BK795" i="2"/>
  <c r="BI795" i="2"/>
  <c r="BG795" i="2"/>
  <c r="BE795" i="2"/>
  <c r="BC795" i="2"/>
  <c r="BA795" i="2"/>
  <c r="AY795" i="2"/>
  <c r="AW795" i="2"/>
  <c r="AU795" i="2"/>
  <c r="AS795" i="2"/>
  <c r="AP795" i="2"/>
  <c r="AN795" i="2"/>
  <c r="AL795" i="2"/>
  <c r="AJ795" i="2"/>
  <c r="AH795" i="2"/>
  <c r="AF795" i="2"/>
  <c r="AD795" i="2"/>
  <c r="AB795" i="2"/>
  <c r="Z795" i="2"/>
  <c r="X795" i="2"/>
  <c r="U795" i="2"/>
  <c r="S795" i="2"/>
  <c r="Q795" i="2"/>
  <c r="O795" i="2"/>
  <c r="M795" i="2"/>
  <c r="K795" i="2"/>
  <c r="I795" i="2"/>
  <c r="G795" i="2"/>
  <c r="E795" i="2"/>
  <c r="C795" i="2"/>
  <c r="BK794" i="2"/>
  <c r="BI794" i="2"/>
  <c r="BG794" i="2"/>
  <c r="BE794" i="2"/>
  <c r="BC794" i="2"/>
  <c r="BA794" i="2"/>
  <c r="AY794" i="2"/>
  <c r="AW794" i="2"/>
  <c r="AU794" i="2"/>
  <c r="AS794" i="2"/>
  <c r="AP794" i="2"/>
  <c r="AN794" i="2"/>
  <c r="AL794" i="2"/>
  <c r="AJ794" i="2"/>
  <c r="AH794" i="2"/>
  <c r="AF794" i="2"/>
  <c r="AD794" i="2"/>
  <c r="AB794" i="2"/>
  <c r="Z794" i="2"/>
  <c r="X794" i="2"/>
  <c r="U794" i="2"/>
  <c r="S794" i="2"/>
  <c r="Q794" i="2"/>
  <c r="O794" i="2"/>
  <c r="M794" i="2"/>
  <c r="K794" i="2"/>
  <c r="I794" i="2"/>
  <c r="G794" i="2"/>
  <c r="E794" i="2"/>
  <c r="C794" i="2"/>
  <c r="BK793" i="2"/>
  <c r="BI793" i="2"/>
  <c r="BG793" i="2"/>
  <c r="BE793" i="2"/>
  <c r="BC793" i="2"/>
  <c r="BA793" i="2"/>
  <c r="AY793" i="2"/>
  <c r="AW793" i="2"/>
  <c r="AU793" i="2"/>
  <c r="AS793" i="2"/>
  <c r="AP793" i="2"/>
  <c r="AN793" i="2"/>
  <c r="AL793" i="2"/>
  <c r="AJ793" i="2"/>
  <c r="AH793" i="2"/>
  <c r="AF793" i="2"/>
  <c r="AD793" i="2"/>
  <c r="AB793" i="2"/>
  <c r="Z793" i="2"/>
  <c r="X793" i="2"/>
  <c r="U793" i="2"/>
  <c r="S793" i="2"/>
  <c r="Q793" i="2"/>
  <c r="O793" i="2"/>
  <c r="M793" i="2"/>
  <c r="K793" i="2"/>
  <c r="I793" i="2"/>
  <c r="G793" i="2"/>
  <c r="E793" i="2"/>
  <c r="C793" i="2"/>
  <c r="BK792" i="2"/>
  <c r="BI792" i="2"/>
  <c r="BG792" i="2"/>
  <c r="BE792" i="2"/>
  <c r="BC792" i="2"/>
  <c r="BA792" i="2"/>
  <c r="AY792" i="2"/>
  <c r="AW792" i="2"/>
  <c r="AU792" i="2"/>
  <c r="AS792" i="2"/>
  <c r="AP792" i="2"/>
  <c r="AN792" i="2"/>
  <c r="AL792" i="2"/>
  <c r="AJ792" i="2"/>
  <c r="AH792" i="2"/>
  <c r="AF792" i="2"/>
  <c r="AD792" i="2"/>
  <c r="AB792" i="2"/>
  <c r="Z792" i="2"/>
  <c r="X792" i="2"/>
  <c r="U792" i="2"/>
  <c r="S792" i="2"/>
  <c r="Q792" i="2"/>
  <c r="O792" i="2"/>
  <c r="M792" i="2"/>
  <c r="K792" i="2"/>
  <c r="I792" i="2"/>
  <c r="G792" i="2"/>
  <c r="E792" i="2"/>
  <c r="C792" i="2"/>
  <c r="BK791" i="2"/>
  <c r="BI791" i="2"/>
  <c r="BG791" i="2"/>
  <c r="BE791" i="2"/>
  <c r="BC791" i="2"/>
  <c r="BA791" i="2"/>
  <c r="AY791" i="2"/>
  <c r="AW791" i="2"/>
  <c r="AU791" i="2"/>
  <c r="AS791" i="2"/>
  <c r="AP791" i="2"/>
  <c r="AN791" i="2"/>
  <c r="AL791" i="2"/>
  <c r="AJ791" i="2"/>
  <c r="AH791" i="2"/>
  <c r="AF791" i="2"/>
  <c r="AD791" i="2"/>
  <c r="AB791" i="2"/>
  <c r="Z791" i="2"/>
  <c r="X791" i="2"/>
  <c r="U791" i="2"/>
  <c r="S791" i="2"/>
  <c r="Q791" i="2"/>
  <c r="O791" i="2"/>
  <c r="M791" i="2"/>
  <c r="K791" i="2"/>
  <c r="I791" i="2"/>
  <c r="G791" i="2"/>
  <c r="E791" i="2"/>
  <c r="C791" i="2"/>
  <c r="BK790" i="2"/>
  <c r="BI790" i="2"/>
  <c r="BG790" i="2"/>
  <c r="BE790" i="2"/>
  <c r="BC790" i="2"/>
  <c r="BA790" i="2"/>
  <c r="AY790" i="2"/>
  <c r="AW790" i="2"/>
  <c r="AU790" i="2"/>
  <c r="AS790" i="2"/>
  <c r="AP790" i="2"/>
  <c r="AN790" i="2"/>
  <c r="AL790" i="2"/>
  <c r="AJ790" i="2"/>
  <c r="AH790" i="2"/>
  <c r="AF790" i="2"/>
  <c r="AD790" i="2"/>
  <c r="AB790" i="2"/>
  <c r="Z790" i="2"/>
  <c r="X790" i="2"/>
  <c r="U790" i="2"/>
  <c r="S790" i="2"/>
  <c r="Q790" i="2"/>
  <c r="O790" i="2"/>
  <c r="M790" i="2"/>
  <c r="K790" i="2"/>
  <c r="I790" i="2"/>
  <c r="G790" i="2"/>
  <c r="E790" i="2"/>
  <c r="C790" i="2"/>
  <c r="BK789" i="2"/>
  <c r="BI789" i="2"/>
  <c r="BG789" i="2"/>
  <c r="BE789" i="2"/>
  <c r="BC789" i="2"/>
  <c r="BA789" i="2"/>
  <c r="AY789" i="2"/>
  <c r="AW789" i="2"/>
  <c r="AU789" i="2"/>
  <c r="AS789" i="2"/>
  <c r="AP789" i="2"/>
  <c r="AN789" i="2"/>
  <c r="AL789" i="2"/>
  <c r="AJ789" i="2"/>
  <c r="AH789" i="2"/>
  <c r="AF789" i="2"/>
  <c r="AD789" i="2"/>
  <c r="AB789" i="2"/>
  <c r="Z789" i="2"/>
  <c r="X789" i="2"/>
  <c r="U789" i="2"/>
  <c r="S789" i="2"/>
  <c r="Q789" i="2"/>
  <c r="O789" i="2"/>
  <c r="M789" i="2"/>
  <c r="K789" i="2"/>
  <c r="I789" i="2"/>
  <c r="G789" i="2"/>
  <c r="E789" i="2"/>
  <c r="C789" i="2"/>
  <c r="BK788" i="2"/>
  <c r="BI788" i="2"/>
  <c r="BG788" i="2"/>
  <c r="BE788" i="2"/>
  <c r="BC788" i="2"/>
  <c r="BA788" i="2"/>
  <c r="AY788" i="2"/>
  <c r="AW788" i="2"/>
  <c r="AU788" i="2"/>
  <c r="AS788" i="2"/>
  <c r="AP788" i="2"/>
  <c r="AN788" i="2"/>
  <c r="AL788" i="2"/>
  <c r="AJ788" i="2"/>
  <c r="AH788" i="2"/>
  <c r="AF788" i="2"/>
  <c r="AD788" i="2"/>
  <c r="AB788" i="2"/>
  <c r="Z788" i="2"/>
  <c r="X788" i="2"/>
  <c r="U788" i="2"/>
  <c r="S788" i="2"/>
  <c r="Q788" i="2"/>
  <c r="O788" i="2"/>
  <c r="M788" i="2"/>
  <c r="K788" i="2"/>
  <c r="I788" i="2"/>
  <c r="G788" i="2"/>
  <c r="E788" i="2"/>
  <c r="C788" i="2"/>
  <c r="BK787" i="2"/>
  <c r="BI787" i="2"/>
  <c r="BG787" i="2"/>
  <c r="BE787" i="2"/>
  <c r="BC787" i="2"/>
  <c r="BA787" i="2"/>
  <c r="AY787" i="2"/>
  <c r="AW787" i="2"/>
  <c r="AU787" i="2"/>
  <c r="AS787" i="2"/>
  <c r="AP787" i="2"/>
  <c r="AN787" i="2"/>
  <c r="AL787" i="2"/>
  <c r="AJ787" i="2"/>
  <c r="AH787" i="2"/>
  <c r="AF787" i="2"/>
  <c r="AD787" i="2"/>
  <c r="AB787" i="2"/>
  <c r="Z787" i="2"/>
  <c r="X787" i="2"/>
  <c r="U787" i="2"/>
  <c r="S787" i="2"/>
  <c r="Q787" i="2"/>
  <c r="O787" i="2"/>
  <c r="M787" i="2"/>
  <c r="K787" i="2"/>
  <c r="I787" i="2"/>
  <c r="G787" i="2"/>
  <c r="E787" i="2"/>
  <c r="C787" i="2"/>
  <c r="BK786" i="2"/>
  <c r="BI786" i="2"/>
  <c r="BG786" i="2"/>
  <c r="BE786" i="2"/>
  <c r="BC786" i="2"/>
  <c r="BA786" i="2"/>
  <c r="AY786" i="2"/>
  <c r="AW786" i="2"/>
  <c r="AU786" i="2"/>
  <c r="AS786" i="2"/>
  <c r="AP786" i="2"/>
  <c r="AN786" i="2"/>
  <c r="AL786" i="2"/>
  <c r="AJ786" i="2"/>
  <c r="AH786" i="2"/>
  <c r="AF786" i="2"/>
  <c r="AD786" i="2"/>
  <c r="AB786" i="2"/>
  <c r="Z786" i="2"/>
  <c r="X786" i="2"/>
  <c r="U786" i="2"/>
  <c r="S786" i="2"/>
  <c r="Q786" i="2"/>
  <c r="O786" i="2"/>
  <c r="M786" i="2"/>
  <c r="K786" i="2"/>
  <c r="I786" i="2"/>
  <c r="G786" i="2"/>
  <c r="E786" i="2"/>
  <c r="C786" i="2"/>
  <c r="BK785" i="2"/>
  <c r="BI785" i="2"/>
  <c r="BG785" i="2"/>
  <c r="BE785" i="2"/>
  <c r="BC785" i="2"/>
  <c r="BA785" i="2"/>
  <c r="AY785" i="2"/>
  <c r="AW785" i="2"/>
  <c r="AU785" i="2"/>
  <c r="AS785" i="2"/>
  <c r="AP785" i="2"/>
  <c r="AN785" i="2"/>
  <c r="AL785" i="2"/>
  <c r="AJ785" i="2"/>
  <c r="AH785" i="2"/>
  <c r="AF785" i="2"/>
  <c r="AD785" i="2"/>
  <c r="AB785" i="2"/>
  <c r="Z785" i="2"/>
  <c r="X785" i="2"/>
  <c r="U785" i="2"/>
  <c r="S785" i="2"/>
  <c r="Q785" i="2"/>
  <c r="O785" i="2"/>
  <c r="M785" i="2"/>
  <c r="K785" i="2"/>
  <c r="I785" i="2"/>
  <c r="G785" i="2"/>
  <c r="E785" i="2"/>
  <c r="C785" i="2"/>
  <c r="BK784" i="2"/>
  <c r="BI784" i="2"/>
  <c r="BG784" i="2"/>
  <c r="BE784" i="2"/>
  <c r="BC784" i="2"/>
  <c r="BA784" i="2"/>
  <c r="AY784" i="2"/>
  <c r="AW784" i="2"/>
  <c r="AU784" i="2"/>
  <c r="AS784" i="2"/>
  <c r="AP784" i="2"/>
  <c r="AN784" i="2"/>
  <c r="AL784" i="2"/>
  <c r="AJ784" i="2"/>
  <c r="AH784" i="2"/>
  <c r="AF784" i="2"/>
  <c r="AD784" i="2"/>
  <c r="AB784" i="2"/>
  <c r="Z784" i="2"/>
  <c r="X784" i="2"/>
  <c r="U784" i="2"/>
  <c r="S784" i="2"/>
  <c r="Q784" i="2"/>
  <c r="O784" i="2"/>
  <c r="M784" i="2"/>
  <c r="K784" i="2"/>
  <c r="I784" i="2"/>
  <c r="G784" i="2"/>
  <c r="E784" i="2"/>
  <c r="C784" i="2"/>
  <c r="BK783" i="2"/>
  <c r="BI783" i="2"/>
  <c r="BG783" i="2"/>
  <c r="BE783" i="2"/>
  <c r="BC783" i="2"/>
  <c r="BA783" i="2"/>
  <c r="AY783" i="2"/>
  <c r="AW783" i="2"/>
  <c r="AU783" i="2"/>
  <c r="AS783" i="2"/>
  <c r="AP783" i="2"/>
  <c r="AN783" i="2"/>
  <c r="AL783" i="2"/>
  <c r="AJ783" i="2"/>
  <c r="AH783" i="2"/>
  <c r="AF783" i="2"/>
  <c r="AD783" i="2"/>
  <c r="AB783" i="2"/>
  <c r="Z783" i="2"/>
  <c r="X783" i="2"/>
  <c r="U783" i="2"/>
  <c r="S783" i="2"/>
  <c r="Q783" i="2"/>
  <c r="O783" i="2"/>
  <c r="M783" i="2"/>
  <c r="K783" i="2"/>
  <c r="I783" i="2"/>
  <c r="G783" i="2"/>
  <c r="E783" i="2"/>
  <c r="C783" i="2"/>
  <c r="BK782" i="2"/>
  <c r="BI782" i="2"/>
  <c r="BG782" i="2"/>
  <c r="BE782" i="2"/>
  <c r="BC782" i="2"/>
  <c r="BA782" i="2"/>
  <c r="AY782" i="2"/>
  <c r="AW782" i="2"/>
  <c r="AU782" i="2"/>
  <c r="AS782" i="2"/>
  <c r="AP782" i="2"/>
  <c r="AN782" i="2"/>
  <c r="AL782" i="2"/>
  <c r="AJ782" i="2"/>
  <c r="AH782" i="2"/>
  <c r="AF782" i="2"/>
  <c r="AD782" i="2"/>
  <c r="AB782" i="2"/>
  <c r="Z782" i="2"/>
  <c r="X782" i="2"/>
  <c r="U782" i="2"/>
  <c r="S782" i="2"/>
  <c r="Q782" i="2"/>
  <c r="O782" i="2"/>
  <c r="M782" i="2"/>
  <c r="K782" i="2"/>
  <c r="I782" i="2"/>
  <c r="G782" i="2"/>
  <c r="E782" i="2"/>
  <c r="C782" i="2"/>
  <c r="BK781" i="2"/>
  <c r="BI781" i="2"/>
  <c r="BG781" i="2"/>
  <c r="BE781" i="2"/>
  <c r="BC781" i="2"/>
  <c r="BA781" i="2"/>
  <c r="AY781" i="2"/>
  <c r="AW781" i="2"/>
  <c r="AU781" i="2"/>
  <c r="AS781" i="2"/>
  <c r="AP781" i="2"/>
  <c r="AN781" i="2"/>
  <c r="AL781" i="2"/>
  <c r="AJ781" i="2"/>
  <c r="AH781" i="2"/>
  <c r="AF781" i="2"/>
  <c r="AD781" i="2"/>
  <c r="AB781" i="2"/>
  <c r="Z781" i="2"/>
  <c r="X781" i="2"/>
  <c r="U781" i="2"/>
  <c r="S781" i="2"/>
  <c r="Q781" i="2"/>
  <c r="O781" i="2"/>
  <c r="M781" i="2"/>
  <c r="K781" i="2"/>
  <c r="I781" i="2"/>
  <c r="G781" i="2"/>
  <c r="E781" i="2"/>
  <c r="C781" i="2"/>
  <c r="BK780" i="2"/>
  <c r="BI780" i="2"/>
  <c r="BG780" i="2"/>
  <c r="BE780" i="2"/>
  <c r="BC780" i="2"/>
  <c r="BA780" i="2"/>
  <c r="AY780" i="2"/>
  <c r="AW780" i="2"/>
  <c r="AU780" i="2"/>
  <c r="AS780" i="2"/>
  <c r="AP780" i="2"/>
  <c r="AN780" i="2"/>
  <c r="AL780" i="2"/>
  <c r="AJ780" i="2"/>
  <c r="AH780" i="2"/>
  <c r="AF780" i="2"/>
  <c r="AD780" i="2"/>
  <c r="AB780" i="2"/>
  <c r="Z780" i="2"/>
  <c r="X780" i="2"/>
  <c r="U780" i="2"/>
  <c r="S780" i="2"/>
  <c r="Q780" i="2"/>
  <c r="O780" i="2"/>
  <c r="M780" i="2"/>
  <c r="K780" i="2"/>
  <c r="I780" i="2"/>
  <c r="G780" i="2"/>
  <c r="E780" i="2"/>
  <c r="C780" i="2"/>
  <c r="BK779" i="2"/>
  <c r="BI779" i="2"/>
  <c r="BG779" i="2"/>
  <c r="BE779" i="2"/>
  <c r="BC779" i="2"/>
  <c r="BA779" i="2"/>
  <c r="AY779" i="2"/>
  <c r="AW779" i="2"/>
  <c r="AU779" i="2"/>
  <c r="AS779" i="2"/>
  <c r="AP779" i="2"/>
  <c r="AN779" i="2"/>
  <c r="AL779" i="2"/>
  <c r="AJ779" i="2"/>
  <c r="AH779" i="2"/>
  <c r="AF779" i="2"/>
  <c r="AD779" i="2"/>
  <c r="AB779" i="2"/>
  <c r="Z779" i="2"/>
  <c r="X779" i="2"/>
  <c r="U779" i="2"/>
  <c r="S779" i="2"/>
  <c r="Q779" i="2"/>
  <c r="O779" i="2"/>
  <c r="M779" i="2"/>
  <c r="K779" i="2"/>
  <c r="I779" i="2"/>
  <c r="G779" i="2"/>
  <c r="E779" i="2"/>
  <c r="C779" i="2"/>
  <c r="BK778" i="2"/>
  <c r="BI778" i="2"/>
  <c r="BG778" i="2"/>
  <c r="BE778" i="2"/>
  <c r="BC778" i="2"/>
  <c r="BA778" i="2"/>
  <c r="AY778" i="2"/>
  <c r="AW778" i="2"/>
  <c r="AU778" i="2"/>
  <c r="AS778" i="2"/>
  <c r="AP778" i="2"/>
  <c r="AN778" i="2"/>
  <c r="AL778" i="2"/>
  <c r="AJ778" i="2"/>
  <c r="AH778" i="2"/>
  <c r="AF778" i="2"/>
  <c r="AD778" i="2"/>
  <c r="AB778" i="2"/>
  <c r="Z778" i="2"/>
  <c r="X778" i="2"/>
  <c r="U778" i="2"/>
  <c r="S778" i="2"/>
  <c r="Q778" i="2"/>
  <c r="O778" i="2"/>
  <c r="M778" i="2"/>
  <c r="K778" i="2"/>
  <c r="I778" i="2"/>
  <c r="G778" i="2"/>
  <c r="E778" i="2"/>
  <c r="C778" i="2"/>
  <c r="BK777" i="2"/>
  <c r="BI777" i="2"/>
  <c r="BG777" i="2"/>
  <c r="BE777" i="2"/>
  <c r="BC777" i="2"/>
  <c r="BA777" i="2"/>
  <c r="AY777" i="2"/>
  <c r="AW777" i="2"/>
  <c r="AU777" i="2"/>
  <c r="AS777" i="2"/>
  <c r="AP777" i="2"/>
  <c r="AN777" i="2"/>
  <c r="AL777" i="2"/>
  <c r="AJ777" i="2"/>
  <c r="AH777" i="2"/>
  <c r="AF777" i="2"/>
  <c r="AD777" i="2"/>
  <c r="AB777" i="2"/>
  <c r="Z777" i="2"/>
  <c r="X777" i="2"/>
  <c r="U777" i="2"/>
  <c r="S777" i="2"/>
  <c r="Q777" i="2"/>
  <c r="O777" i="2"/>
  <c r="M777" i="2"/>
  <c r="K777" i="2"/>
  <c r="I777" i="2"/>
  <c r="G777" i="2"/>
  <c r="E777" i="2"/>
  <c r="C777" i="2"/>
  <c r="BK776" i="2"/>
  <c r="BI776" i="2"/>
  <c r="BG776" i="2"/>
  <c r="BE776" i="2"/>
  <c r="BC776" i="2"/>
  <c r="BA776" i="2"/>
  <c r="AY776" i="2"/>
  <c r="AW776" i="2"/>
  <c r="AU776" i="2"/>
  <c r="AS776" i="2"/>
  <c r="AP776" i="2"/>
  <c r="AN776" i="2"/>
  <c r="AL776" i="2"/>
  <c r="AJ776" i="2"/>
  <c r="AH776" i="2"/>
  <c r="AF776" i="2"/>
  <c r="AD776" i="2"/>
  <c r="AB776" i="2"/>
  <c r="Z776" i="2"/>
  <c r="X776" i="2"/>
  <c r="U776" i="2"/>
  <c r="S776" i="2"/>
  <c r="Q776" i="2"/>
  <c r="O776" i="2"/>
  <c r="M776" i="2"/>
  <c r="K776" i="2"/>
  <c r="I776" i="2"/>
  <c r="G776" i="2"/>
  <c r="E776" i="2"/>
  <c r="C776" i="2"/>
  <c r="BK775" i="2"/>
  <c r="BI775" i="2"/>
  <c r="BG775" i="2"/>
  <c r="BE775" i="2"/>
  <c r="BC775" i="2"/>
  <c r="BA775" i="2"/>
  <c r="AY775" i="2"/>
  <c r="AW775" i="2"/>
  <c r="AU775" i="2"/>
  <c r="AS775" i="2"/>
  <c r="AP775" i="2"/>
  <c r="AN775" i="2"/>
  <c r="AL775" i="2"/>
  <c r="AJ775" i="2"/>
  <c r="AH775" i="2"/>
  <c r="AF775" i="2"/>
  <c r="AD775" i="2"/>
  <c r="AB775" i="2"/>
  <c r="Z775" i="2"/>
  <c r="X775" i="2"/>
  <c r="U775" i="2"/>
  <c r="S775" i="2"/>
  <c r="Q775" i="2"/>
  <c r="O775" i="2"/>
  <c r="M775" i="2"/>
  <c r="K775" i="2"/>
  <c r="I775" i="2"/>
  <c r="G775" i="2"/>
  <c r="E775" i="2"/>
  <c r="C775" i="2"/>
  <c r="BK774" i="2"/>
  <c r="BI774" i="2"/>
  <c r="BG774" i="2"/>
  <c r="BE774" i="2"/>
  <c r="BC774" i="2"/>
  <c r="BA774" i="2"/>
  <c r="AY774" i="2"/>
  <c r="AW774" i="2"/>
  <c r="AU774" i="2"/>
  <c r="AS774" i="2"/>
  <c r="AP774" i="2"/>
  <c r="AN774" i="2"/>
  <c r="AL774" i="2"/>
  <c r="AJ774" i="2"/>
  <c r="AH774" i="2"/>
  <c r="AF774" i="2"/>
  <c r="AD774" i="2"/>
  <c r="AB774" i="2"/>
  <c r="Z774" i="2"/>
  <c r="X774" i="2"/>
  <c r="U774" i="2"/>
  <c r="S774" i="2"/>
  <c r="Q774" i="2"/>
  <c r="O774" i="2"/>
  <c r="M774" i="2"/>
  <c r="K774" i="2"/>
  <c r="I774" i="2"/>
  <c r="G774" i="2"/>
  <c r="E774" i="2"/>
  <c r="C774" i="2"/>
  <c r="BK773" i="2"/>
  <c r="BI773" i="2"/>
  <c r="BG773" i="2"/>
  <c r="BE773" i="2"/>
  <c r="BC773" i="2"/>
  <c r="BA773" i="2"/>
  <c r="AY773" i="2"/>
  <c r="AW773" i="2"/>
  <c r="AU773" i="2"/>
  <c r="AS773" i="2"/>
  <c r="AP773" i="2"/>
  <c r="AN773" i="2"/>
  <c r="AL773" i="2"/>
  <c r="AJ773" i="2"/>
  <c r="AH773" i="2"/>
  <c r="AF773" i="2"/>
  <c r="AD773" i="2"/>
  <c r="AB773" i="2"/>
  <c r="Z773" i="2"/>
  <c r="X773" i="2"/>
  <c r="U773" i="2"/>
  <c r="S773" i="2"/>
  <c r="Q773" i="2"/>
  <c r="O773" i="2"/>
  <c r="M773" i="2"/>
  <c r="K773" i="2"/>
  <c r="I773" i="2"/>
  <c r="G773" i="2"/>
  <c r="E773" i="2"/>
  <c r="C773" i="2"/>
  <c r="BK772" i="2"/>
  <c r="BI772" i="2"/>
  <c r="BG772" i="2"/>
  <c r="BE772" i="2"/>
  <c r="BC772" i="2"/>
  <c r="BA772" i="2"/>
  <c r="AY772" i="2"/>
  <c r="AW772" i="2"/>
  <c r="AU772" i="2"/>
  <c r="AS772" i="2"/>
  <c r="AP772" i="2"/>
  <c r="AN772" i="2"/>
  <c r="AL772" i="2"/>
  <c r="AJ772" i="2"/>
  <c r="AH772" i="2"/>
  <c r="AF772" i="2"/>
  <c r="AD772" i="2"/>
  <c r="AB772" i="2"/>
  <c r="Z772" i="2"/>
  <c r="X772" i="2"/>
  <c r="U772" i="2"/>
  <c r="S772" i="2"/>
  <c r="Q772" i="2"/>
  <c r="O772" i="2"/>
  <c r="M772" i="2"/>
  <c r="K772" i="2"/>
  <c r="I772" i="2"/>
  <c r="G772" i="2"/>
  <c r="E772" i="2"/>
  <c r="C772" i="2"/>
  <c r="BK771" i="2"/>
  <c r="BI771" i="2"/>
  <c r="BG771" i="2"/>
  <c r="BE771" i="2"/>
  <c r="BC771" i="2"/>
  <c r="BA771" i="2"/>
  <c r="AY771" i="2"/>
  <c r="AW771" i="2"/>
  <c r="AU771" i="2"/>
  <c r="AS771" i="2"/>
  <c r="AP771" i="2"/>
  <c r="AN771" i="2"/>
  <c r="AL771" i="2"/>
  <c r="AJ771" i="2"/>
  <c r="AH771" i="2"/>
  <c r="AF771" i="2"/>
  <c r="AD771" i="2"/>
  <c r="AB771" i="2"/>
  <c r="Z771" i="2"/>
  <c r="X771" i="2"/>
  <c r="U771" i="2"/>
  <c r="S771" i="2"/>
  <c r="Q771" i="2"/>
  <c r="O771" i="2"/>
  <c r="M771" i="2"/>
  <c r="K771" i="2"/>
  <c r="I771" i="2"/>
  <c r="G771" i="2"/>
  <c r="E771" i="2"/>
  <c r="C771" i="2"/>
  <c r="BK770" i="2"/>
  <c r="BI770" i="2"/>
  <c r="BG770" i="2"/>
  <c r="BE770" i="2"/>
  <c r="BC770" i="2"/>
  <c r="BA770" i="2"/>
  <c r="AY770" i="2"/>
  <c r="AW770" i="2"/>
  <c r="AU770" i="2"/>
  <c r="AS770" i="2"/>
  <c r="AP770" i="2"/>
  <c r="AN770" i="2"/>
  <c r="AL770" i="2"/>
  <c r="AJ770" i="2"/>
  <c r="AH770" i="2"/>
  <c r="AF770" i="2"/>
  <c r="AD770" i="2"/>
  <c r="AB770" i="2"/>
  <c r="Z770" i="2"/>
  <c r="X770" i="2"/>
  <c r="U770" i="2"/>
  <c r="S770" i="2"/>
  <c r="Q770" i="2"/>
  <c r="O770" i="2"/>
  <c r="M770" i="2"/>
  <c r="K770" i="2"/>
  <c r="I770" i="2"/>
  <c r="G770" i="2"/>
  <c r="E770" i="2"/>
  <c r="C770" i="2"/>
  <c r="BK769" i="2"/>
  <c r="BI769" i="2"/>
  <c r="BG769" i="2"/>
  <c r="BE769" i="2"/>
  <c r="BC769" i="2"/>
  <c r="BA769" i="2"/>
  <c r="AY769" i="2"/>
  <c r="AW769" i="2"/>
  <c r="AU769" i="2"/>
  <c r="AS769" i="2"/>
  <c r="AP769" i="2"/>
  <c r="AN769" i="2"/>
  <c r="AL769" i="2"/>
  <c r="AJ769" i="2"/>
  <c r="AH769" i="2"/>
  <c r="AF769" i="2"/>
  <c r="AD769" i="2"/>
  <c r="AB769" i="2"/>
  <c r="Z769" i="2"/>
  <c r="X769" i="2"/>
  <c r="U769" i="2"/>
  <c r="S769" i="2"/>
  <c r="Q769" i="2"/>
  <c r="O769" i="2"/>
  <c r="M769" i="2"/>
  <c r="K769" i="2"/>
  <c r="I769" i="2"/>
  <c r="G769" i="2"/>
  <c r="E769" i="2"/>
  <c r="C769" i="2"/>
  <c r="BK768" i="2"/>
  <c r="BI768" i="2"/>
  <c r="BG768" i="2"/>
  <c r="BE768" i="2"/>
  <c r="BC768" i="2"/>
  <c r="BA768" i="2"/>
  <c r="AY768" i="2"/>
  <c r="AW768" i="2"/>
  <c r="AU768" i="2"/>
  <c r="AS768" i="2"/>
  <c r="AP768" i="2"/>
  <c r="AN768" i="2"/>
  <c r="AL768" i="2"/>
  <c r="AJ768" i="2"/>
  <c r="AH768" i="2"/>
  <c r="AF768" i="2"/>
  <c r="AD768" i="2"/>
  <c r="AB768" i="2"/>
  <c r="Z768" i="2"/>
  <c r="X768" i="2"/>
  <c r="U768" i="2"/>
  <c r="S768" i="2"/>
  <c r="Q768" i="2"/>
  <c r="O768" i="2"/>
  <c r="M768" i="2"/>
  <c r="K768" i="2"/>
  <c r="I768" i="2"/>
  <c r="G768" i="2"/>
  <c r="E768" i="2"/>
  <c r="C768" i="2"/>
  <c r="BK767" i="2"/>
  <c r="BI767" i="2"/>
  <c r="BG767" i="2"/>
  <c r="BE767" i="2"/>
  <c r="BC767" i="2"/>
  <c r="BA767" i="2"/>
  <c r="AY767" i="2"/>
  <c r="AW767" i="2"/>
  <c r="AU767" i="2"/>
  <c r="AS767" i="2"/>
  <c r="AP767" i="2"/>
  <c r="AN767" i="2"/>
  <c r="AL767" i="2"/>
  <c r="AJ767" i="2"/>
  <c r="AH767" i="2"/>
  <c r="AF767" i="2"/>
  <c r="AD767" i="2"/>
  <c r="AB767" i="2"/>
  <c r="Z767" i="2"/>
  <c r="X767" i="2"/>
  <c r="U767" i="2"/>
  <c r="S767" i="2"/>
  <c r="Q767" i="2"/>
  <c r="O767" i="2"/>
  <c r="M767" i="2"/>
  <c r="K767" i="2"/>
  <c r="I767" i="2"/>
  <c r="G767" i="2"/>
  <c r="E767" i="2"/>
  <c r="C767" i="2"/>
  <c r="BK766" i="2"/>
  <c r="BI766" i="2"/>
  <c r="BG766" i="2"/>
  <c r="BE766" i="2"/>
  <c r="BC766" i="2"/>
  <c r="BA766" i="2"/>
  <c r="AY766" i="2"/>
  <c r="AW766" i="2"/>
  <c r="AU766" i="2"/>
  <c r="AS766" i="2"/>
  <c r="AP766" i="2"/>
  <c r="AN766" i="2"/>
  <c r="AL766" i="2"/>
  <c r="AJ766" i="2"/>
  <c r="AH766" i="2"/>
  <c r="AF766" i="2"/>
  <c r="AD766" i="2"/>
  <c r="AB766" i="2"/>
  <c r="Z766" i="2"/>
  <c r="X766" i="2"/>
  <c r="U766" i="2"/>
  <c r="S766" i="2"/>
  <c r="Q766" i="2"/>
  <c r="O766" i="2"/>
  <c r="M766" i="2"/>
  <c r="K766" i="2"/>
  <c r="I766" i="2"/>
  <c r="G766" i="2"/>
  <c r="E766" i="2"/>
  <c r="C766" i="2"/>
  <c r="BK765" i="2"/>
  <c r="BI765" i="2"/>
  <c r="BG765" i="2"/>
  <c r="BE765" i="2"/>
  <c r="BC765" i="2"/>
  <c r="BA765" i="2"/>
  <c r="AY765" i="2"/>
  <c r="AW765" i="2"/>
  <c r="AU765" i="2"/>
  <c r="AS765" i="2"/>
  <c r="AP765" i="2"/>
  <c r="AN765" i="2"/>
  <c r="AL765" i="2"/>
  <c r="AJ765" i="2"/>
  <c r="AH765" i="2"/>
  <c r="AF765" i="2"/>
  <c r="AD765" i="2"/>
  <c r="AB765" i="2"/>
  <c r="Z765" i="2"/>
  <c r="X765" i="2"/>
  <c r="U765" i="2"/>
  <c r="S765" i="2"/>
  <c r="Q765" i="2"/>
  <c r="O765" i="2"/>
  <c r="M765" i="2"/>
  <c r="K765" i="2"/>
  <c r="I765" i="2"/>
  <c r="G765" i="2"/>
  <c r="E765" i="2"/>
  <c r="C765" i="2"/>
  <c r="BK764" i="2"/>
  <c r="BI764" i="2"/>
  <c r="BG764" i="2"/>
  <c r="BE764" i="2"/>
  <c r="BC764" i="2"/>
  <c r="BA764" i="2"/>
  <c r="AY764" i="2"/>
  <c r="AW764" i="2"/>
  <c r="AU764" i="2"/>
  <c r="AS764" i="2"/>
  <c r="AP764" i="2"/>
  <c r="AN764" i="2"/>
  <c r="AL764" i="2"/>
  <c r="AJ764" i="2"/>
  <c r="AH764" i="2"/>
  <c r="AF764" i="2"/>
  <c r="AD764" i="2"/>
  <c r="AB764" i="2"/>
  <c r="Z764" i="2"/>
  <c r="X764" i="2"/>
  <c r="U764" i="2"/>
  <c r="S764" i="2"/>
  <c r="Q764" i="2"/>
  <c r="O764" i="2"/>
  <c r="M764" i="2"/>
  <c r="K764" i="2"/>
  <c r="I764" i="2"/>
  <c r="G764" i="2"/>
  <c r="E764" i="2"/>
  <c r="C764" i="2"/>
  <c r="BK763" i="2"/>
  <c r="BI763" i="2"/>
  <c r="BG763" i="2"/>
  <c r="BE763" i="2"/>
  <c r="BC763" i="2"/>
  <c r="BA763" i="2"/>
  <c r="AY763" i="2"/>
  <c r="AW763" i="2"/>
  <c r="AU763" i="2"/>
  <c r="AS763" i="2"/>
  <c r="AP763" i="2"/>
  <c r="AN763" i="2"/>
  <c r="AL763" i="2"/>
  <c r="AJ763" i="2"/>
  <c r="AH763" i="2"/>
  <c r="AF763" i="2"/>
  <c r="AD763" i="2"/>
  <c r="AB763" i="2"/>
  <c r="Z763" i="2"/>
  <c r="X763" i="2"/>
  <c r="U763" i="2"/>
  <c r="S763" i="2"/>
  <c r="Q763" i="2"/>
  <c r="O763" i="2"/>
  <c r="M763" i="2"/>
  <c r="K763" i="2"/>
  <c r="I763" i="2"/>
  <c r="G763" i="2"/>
  <c r="E763" i="2"/>
  <c r="C763" i="2"/>
  <c r="BK762" i="2"/>
  <c r="BI762" i="2"/>
  <c r="BG762" i="2"/>
  <c r="BE762" i="2"/>
  <c r="BC762" i="2"/>
  <c r="BA762" i="2"/>
  <c r="AY762" i="2"/>
  <c r="AW762" i="2"/>
  <c r="AU762" i="2"/>
  <c r="AS762" i="2"/>
  <c r="AP762" i="2"/>
  <c r="AN762" i="2"/>
  <c r="AL762" i="2"/>
  <c r="AJ762" i="2"/>
  <c r="AH762" i="2"/>
  <c r="AF762" i="2"/>
  <c r="AD762" i="2"/>
  <c r="AB762" i="2"/>
  <c r="Z762" i="2"/>
  <c r="X762" i="2"/>
  <c r="U762" i="2"/>
  <c r="S762" i="2"/>
  <c r="Q762" i="2"/>
  <c r="O762" i="2"/>
  <c r="M762" i="2"/>
  <c r="K762" i="2"/>
  <c r="I762" i="2"/>
  <c r="G762" i="2"/>
  <c r="E762" i="2"/>
  <c r="C762" i="2"/>
  <c r="BK761" i="2"/>
  <c r="BI761" i="2"/>
  <c r="BG761" i="2"/>
  <c r="BE761" i="2"/>
  <c r="BC761" i="2"/>
  <c r="BA761" i="2"/>
  <c r="AY761" i="2"/>
  <c r="AW761" i="2"/>
  <c r="AU761" i="2"/>
  <c r="AS761" i="2"/>
  <c r="AP761" i="2"/>
  <c r="AN761" i="2"/>
  <c r="AL761" i="2"/>
  <c r="AJ761" i="2"/>
  <c r="AH761" i="2"/>
  <c r="AF761" i="2"/>
  <c r="AD761" i="2"/>
  <c r="AB761" i="2"/>
  <c r="Z761" i="2"/>
  <c r="X761" i="2"/>
  <c r="U761" i="2"/>
  <c r="S761" i="2"/>
  <c r="Q761" i="2"/>
  <c r="O761" i="2"/>
  <c r="M761" i="2"/>
  <c r="K761" i="2"/>
  <c r="I761" i="2"/>
  <c r="G761" i="2"/>
  <c r="E761" i="2"/>
  <c r="C761" i="2"/>
  <c r="BK760" i="2"/>
  <c r="BI760" i="2"/>
  <c r="BG760" i="2"/>
  <c r="BE760" i="2"/>
  <c r="BC760" i="2"/>
  <c r="BA760" i="2"/>
  <c r="AY760" i="2"/>
  <c r="AW760" i="2"/>
  <c r="AU760" i="2"/>
  <c r="AS760" i="2"/>
  <c r="AP760" i="2"/>
  <c r="AN760" i="2"/>
  <c r="AL760" i="2"/>
  <c r="AJ760" i="2"/>
  <c r="AH760" i="2"/>
  <c r="AF760" i="2"/>
  <c r="AD760" i="2"/>
  <c r="AB760" i="2"/>
  <c r="Z760" i="2"/>
  <c r="X760" i="2"/>
  <c r="U760" i="2"/>
  <c r="S760" i="2"/>
  <c r="Q760" i="2"/>
  <c r="O760" i="2"/>
  <c r="M760" i="2"/>
  <c r="K760" i="2"/>
  <c r="I760" i="2"/>
  <c r="G760" i="2"/>
  <c r="E760" i="2"/>
  <c r="C760" i="2"/>
  <c r="BI759" i="2"/>
  <c r="BG759" i="2"/>
  <c r="BE759" i="2"/>
  <c r="BC759" i="2"/>
  <c r="BA759" i="2"/>
  <c r="AY759" i="2"/>
  <c r="AW759" i="2"/>
  <c r="AU759" i="2"/>
  <c r="AS759" i="2"/>
  <c r="AN759" i="2"/>
  <c r="AL759" i="2"/>
  <c r="AJ759" i="2"/>
  <c r="AH759" i="2"/>
  <c r="AF759" i="2"/>
  <c r="AB759" i="2"/>
  <c r="Z759" i="2"/>
  <c r="X759" i="2"/>
  <c r="U759" i="2"/>
  <c r="S759" i="2"/>
  <c r="Q759" i="2"/>
  <c r="O759" i="2"/>
  <c r="M759" i="2"/>
  <c r="K759" i="2"/>
  <c r="G759" i="2"/>
  <c r="E759" i="2"/>
  <c r="C759" i="2"/>
  <c r="BJ758" i="2"/>
  <c r="BK759" i="2" s="1"/>
  <c r="BI758" i="2"/>
  <c r="BG758" i="2"/>
  <c r="BE758" i="2"/>
  <c r="BC758" i="2"/>
  <c r="BA758" i="2"/>
  <c r="AX758" i="2"/>
  <c r="AY758" i="2" s="1"/>
  <c r="AW758" i="2"/>
  <c r="AU758" i="2"/>
  <c r="AS758" i="2"/>
  <c r="AO758" i="2"/>
  <c r="AP759" i="2" s="1"/>
  <c r="AN758" i="2"/>
  <c r="AL758" i="2"/>
  <c r="AJ758" i="2"/>
  <c r="AH758" i="2"/>
  <c r="AF758" i="2"/>
  <c r="AC758" i="2"/>
  <c r="AD759" i="2" s="1"/>
  <c r="AB758" i="2"/>
  <c r="Z758" i="2"/>
  <c r="X758" i="2"/>
  <c r="T758" i="2"/>
  <c r="U758" i="2" s="1"/>
  <c r="S758" i="2"/>
  <c r="Q758" i="2"/>
  <c r="O758" i="2"/>
  <c r="M758" i="2"/>
  <c r="K758" i="2"/>
  <c r="H758" i="2"/>
  <c r="I759" i="2" s="1"/>
  <c r="G758" i="2"/>
  <c r="E758" i="2"/>
  <c r="C758" i="2"/>
  <c r="BK757" i="2"/>
  <c r="BI757" i="2"/>
  <c r="BG757" i="2"/>
  <c r="BE757" i="2"/>
  <c r="BC757" i="2"/>
  <c r="BA757" i="2"/>
  <c r="AY757" i="2"/>
  <c r="AW757" i="2"/>
  <c r="AU757" i="2"/>
  <c r="AS757" i="2"/>
  <c r="AP757" i="2"/>
  <c r="AN757" i="2"/>
  <c r="AL757" i="2"/>
  <c r="AJ757" i="2"/>
  <c r="AH757" i="2"/>
  <c r="AF757" i="2"/>
  <c r="AD757" i="2"/>
  <c r="AB757" i="2"/>
  <c r="Z757" i="2"/>
  <c r="X757" i="2"/>
  <c r="U757" i="2"/>
  <c r="S757" i="2"/>
  <c r="Q757" i="2"/>
  <c r="O757" i="2"/>
  <c r="M757" i="2"/>
  <c r="K757" i="2"/>
  <c r="I757" i="2"/>
  <c r="G757" i="2"/>
  <c r="E757" i="2"/>
  <c r="C757" i="2"/>
  <c r="BK756" i="2"/>
  <c r="BI756" i="2"/>
  <c r="BG756" i="2"/>
  <c r="BE756" i="2"/>
  <c r="BC756" i="2"/>
  <c r="BA756" i="2"/>
  <c r="AY756" i="2"/>
  <c r="AW756" i="2"/>
  <c r="AU756" i="2"/>
  <c r="AS756" i="2"/>
  <c r="AP756" i="2"/>
  <c r="AN756" i="2"/>
  <c r="AL756" i="2"/>
  <c r="AJ756" i="2"/>
  <c r="AH756" i="2"/>
  <c r="AF756" i="2"/>
  <c r="AD756" i="2"/>
  <c r="AB756" i="2"/>
  <c r="Z756" i="2"/>
  <c r="X756" i="2"/>
  <c r="U756" i="2"/>
  <c r="S756" i="2"/>
  <c r="Q756" i="2"/>
  <c r="O756" i="2"/>
  <c r="M756" i="2"/>
  <c r="K756" i="2"/>
  <c r="I756" i="2"/>
  <c r="G756" i="2"/>
  <c r="E756" i="2"/>
  <c r="C756" i="2"/>
  <c r="BK755" i="2"/>
  <c r="BI755" i="2"/>
  <c r="BG755" i="2"/>
  <c r="BE755" i="2"/>
  <c r="BC755" i="2"/>
  <c r="BA755" i="2"/>
  <c r="AY755" i="2"/>
  <c r="AW755" i="2"/>
  <c r="AU755" i="2"/>
  <c r="AS755" i="2"/>
  <c r="AP755" i="2"/>
  <c r="AN755" i="2"/>
  <c r="AL755" i="2"/>
  <c r="AJ755" i="2"/>
  <c r="AH755" i="2"/>
  <c r="AF755" i="2"/>
  <c r="AD755" i="2"/>
  <c r="AB755" i="2"/>
  <c r="Z755" i="2"/>
  <c r="X755" i="2"/>
  <c r="U755" i="2"/>
  <c r="S755" i="2"/>
  <c r="Q755" i="2"/>
  <c r="O755" i="2"/>
  <c r="M755" i="2"/>
  <c r="K755" i="2"/>
  <c r="I755" i="2"/>
  <c r="G755" i="2"/>
  <c r="E755" i="2"/>
  <c r="C755" i="2"/>
  <c r="BK754" i="2"/>
  <c r="BI754" i="2"/>
  <c r="BG754" i="2"/>
  <c r="BE754" i="2"/>
  <c r="BC754" i="2"/>
  <c r="BA754" i="2"/>
  <c r="AY754" i="2"/>
  <c r="AW754" i="2"/>
  <c r="AU754" i="2"/>
  <c r="AS754" i="2"/>
  <c r="AP754" i="2"/>
  <c r="AN754" i="2"/>
  <c r="AL754" i="2"/>
  <c r="AJ754" i="2"/>
  <c r="AH754" i="2"/>
  <c r="AF754" i="2"/>
  <c r="AD754" i="2"/>
  <c r="AB754" i="2"/>
  <c r="Z754" i="2"/>
  <c r="X754" i="2"/>
  <c r="U754" i="2"/>
  <c r="S754" i="2"/>
  <c r="Q754" i="2"/>
  <c r="O754" i="2"/>
  <c r="M754" i="2"/>
  <c r="K754" i="2"/>
  <c r="I754" i="2"/>
  <c r="G754" i="2"/>
  <c r="E754" i="2"/>
  <c r="C754" i="2"/>
  <c r="BK753" i="2"/>
  <c r="BI753" i="2"/>
  <c r="BG753" i="2"/>
  <c r="BE753" i="2"/>
  <c r="BC753" i="2"/>
  <c r="BA753" i="2"/>
  <c r="AY753" i="2"/>
  <c r="AW753" i="2"/>
  <c r="AU753" i="2"/>
  <c r="AS753" i="2"/>
  <c r="AP753" i="2"/>
  <c r="AN753" i="2"/>
  <c r="AL753" i="2"/>
  <c r="AJ753" i="2"/>
  <c r="AH753" i="2"/>
  <c r="AF753" i="2"/>
  <c r="AD753" i="2"/>
  <c r="AB753" i="2"/>
  <c r="Z753" i="2"/>
  <c r="X753" i="2"/>
  <c r="U753" i="2"/>
  <c r="S753" i="2"/>
  <c r="Q753" i="2"/>
  <c r="O753" i="2"/>
  <c r="M753" i="2"/>
  <c r="K753" i="2"/>
  <c r="I753" i="2"/>
  <c r="G753" i="2"/>
  <c r="E753" i="2"/>
  <c r="C753" i="2"/>
  <c r="BK752" i="2"/>
  <c r="BI752" i="2"/>
  <c r="BG752" i="2"/>
  <c r="BE752" i="2"/>
  <c r="BC752" i="2"/>
  <c r="BA752" i="2"/>
  <c r="AY752" i="2"/>
  <c r="AW752" i="2"/>
  <c r="AU752" i="2"/>
  <c r="AS752" i="2"/>
  <c r="AP752" i="2"/>
  <c r="AN752" i="2"/>
  <c r="AL752" i="2"/>
  <c r="AJ752" i="2"/>
  <c r="AH752" i="2"/>
  <c r="AF752" i="2"/>
  <c r="AD752" i="2"/>
  <c r="AB752" i="2"/>
  <c r="Z752" i="2"/>
  <c r="X752" i="2"/>
  <c r="U752" i="2"/>
  <c r="S752" i="2"/>
  <c r="Q752" i="2"/>
  <c r="O752" i="2"/>
  <c r="M752" i="2"/>
  <c r="K752" i="2"/>
  <c r="I752" i="2"/>
  <c r="G752" i="2"/>
  <c r="E752" i="2"/>
  <c r="C752" i="2"/>
  <c r="BK751" i="2"/>
  <c r="BI751" i="2"/>
  <c r="BG751" i="2"/>
  <c r="BE751" i="2"/>
  <c r="BC751" i="2"/>
  <c r="BA751" i="2"/>
  <c r="AY751" i="2"/>
  <c r="AW751" i="2"/>
  <c r="AU751" i="2"/>
  <c r="AS751" i="2"/>
  <c r="AP751" i="2"/>
  <c r="AN751" i="2"/>
  <c r="AL751" i="2"/>
  <c r="AJ751" i="2"/>
  <c r="AH751" i="2"/>
  <c r="AF751" i="2"/>
  <c r="AD751" i="2"/>
  <c r="AB751" i="2"/>
  <c r="Z751" i="2"/>
  <c r="X751" i="2"/>
  <c r="U751" i="2"/>
  <c r="S751" i="2"/>
  <c r="Q751" i="2"/>
  <c r="O751" i="2"/>
  <c r="M751" i="2"/>
  <c r="K751" i="2"/>
  <c r="I751" i="2"/>
  <c r="G751" i="2"/>
  <c r="E751" i="2"/>
  <c r="C751" i="2"/>
  <c r="BK750" i="2"/>
  <c r="BI750" i="2"/>
  <c r="BG750" i="2"/>
  <c r="BE750" i="2"/>
  <c r="BC750" i="2"/>
  <c r="BA750" i="2"/>
  <c r="AY750" i="2"/>
  <c r="AW750" i="2"/>
  <c r="AU750" i="2"/>
  <c r="AS750" i="2"/>
  <c r="AP750" i="2"/>
  <c r="AN750" i="2"/>
  <c r="AL750" i="2"/>
  <c r="AJ750" i="2"/>
  <c r="AH750" i="2"/>
  <c r="AF750" i="2"/>
  <c r="AD750" i="2"/>
  <c r="AB750" i="2"/>
  <c r="Z750" i="2"/>
  <c r="X750" i="2"/>
  <c r="U750" i="2"/>
  <c r="S750" i="2"/>
  <c r="Q750" i="2"/>
  <c r="O750" i="2"/>
  <c r="M750" i="2"/>
  <c r="K750" i="2"/>
  <c r="I750" i="2"/>
  <c r="G750" i="2"/>
  <c r="E750" i="2"/>
  <c r="C750" i="2"/>
  <c r="BK749" i="2"/>
  <c r="BI749" i="2"/>
  <c r="BG749" i="2"/>
  <c r="BE749" i="2"/>
  <c r="BC749" i="2"/>
  <c r="BA749" i="2"/>
  <c r="AY749" i="2"/>
  <c r="AW749" i="2"/>
  <c r="AU749" i="2"/>
  <c r="AS749" i="2"/>
  <c r="AP749" i="2"/>
  <c r="AN749" i="2"/>
  <c r="AL749" i="2"/>
  <c r="AJ749" i="2"/>
  <c r="AH749" i="2"/>
  <c r="AF749" i="2"/>
  <c r="AD749" i="2"/>
  <c r="AB749" i="2"/>
  <c r="Z749" i="2"/>
  <c r="X749" i="2"/>
  <c r="U749" i="2"/>
  <c r="S749" i="2"/>
  <c r="Q749" i="2"/>
  <c r="O749" i="2"/>
  <c r="M749" i="2"/>
  <c r="K749" i="2"/>
  <c r="I749" i="2"/>
  <c r="G749" i="2"/>
  <c r="E749" i="2"/>
  <c r="C749" i="2"/>
  <c r="BK748" i="2"/>
  <c r="BI748" i="2"/>
  <c r="BG748" i="2"/>
  <c r="BE748" i="2"/>
  <c r="BC748" i="2"/>
  <c r="BA748" i="2"/>
  <c r="AY748" i="2"/>
  <c r="AW748" i="2"/>
  <c r="AU748" i="2"/>
  <c r="AS748" i="2"/>
  <c r="AP748" i="2"/>
  <c r="AN748" i="2"/>
  <c r="AL748" i="2"/>
  <c r="AJ748" i="2"/>
  <c r="AH748" i="2"/>
  <c r="AF748" i="2"/>
  <c r="AD748" i="2"/>
  <c r="AB748" i="2"/>
  <c r="Z748" i="2"/>
  <c r="X748" i="2"/>
  <c r="U748" i="2"/>
  <c r="S748" i="2"/>
  <c r="Q748" i="2"/>
  <c r="O748" i="2"/>
  <c r="M748" i="2"/>
  <c r="K748" i="2"/>
  <c r="I748" i="2"/>
  <c r="G748" i="2"/>
  <c r="E748" i="2"/>
  <c r="C748" i="2"/>
  <c r="BK747" i="2"/>
  <c r="BI747" i="2"/>
  <c r="BG747" i="2"/>
  <c r="BE747" i="2"/>
  <c r="BC747" i="2"/>
  <c r="BA747" i="2"/>
  <c r="AY747" i="2"/>
  <c r="AW747" i="2"/>
  <c r="AU747" i="2"/>
  <c r="AS747" i="2"/>
  <c r="AP747" i="2"/>
  <c r="AN747" i="2"/>
  <c r="AL747" i="2"/>
  <c r="AJ747" i="2"/>
  <c r="AH747" i="2"/>
  <c r="AF747" i="2"/>
  <c r="AD747" i="2"/>
  <c r="AB747" i="2"/>
  <c r="Z747" i="2"/>
  <c r="X747" i="2"/>
  <c r="U747" i="2"/>
  <c r="S747" i="2"/>
  <c r="Q747" i="2"/>
  <c r="O747" i="2"/>
  <c r="M747" i="2"/>
  <c r="K747" i="2"/>
  <c r="I747" i="2"/>
  <c r="G747" i="2"/>
  <c r="E747" i="2"/>
  <c r="C747" i="2"/>
  <c r="BK746" i="2"/>
  <c r="BI746" i="2"/>
  <c r="BG746" i="2"/>
  <c r="BE746" i="2"/>
  <c r="BC746" i="2"/>
  <c r="BA746" i="2"/>
  <c r="AY746" i="2"/>
  <c r="AW746" i="2"/>
  <c r="AU746" i="2"/>
  <c r="AS746" i="2"/>
  <c r="AP746" i="2"/>
  <c r="AN746" i="2"/>
  <c r="AL746" i="2"/>
  <c r="AJ746" i="2"/>
  <c r="AH746" i="2"/>
  <c r="AF746" i="2"/>
  <c r="AD746" i="2"/>
  <c r="AB746" i="2"/>
  <c r="Z746" i="2"/>
  <c r="X746" i="2"/>
  <c r="U746" i="2"/>
  <c r="S746" i="2"/>
  <c r="Q746" i="2"/>
  <c r="O746" i="2"/>
  <c r="M746" i="2"/>
  <c r="K746" i="2"/>
  <c r="I746" i="2"/>
  <c r="G746" i="2"/>
  <c r="E746" i="2"/>
  <c r="C746" i="2"/>
  <c r="BK745" i="2"/>
  <c r="BI745" i="2"/>
  <c r="BG745" i="2"/>
  <c r="BE745" i="2"/>
  <c r="BC745" i="2"/>
  <c r="BA745" i="2"/>
  <c r="AY745" i="2"/>
  <c r="AW745" i="2"/>
  <c r="AU745" i="2"/>
  <c r="AS745" i="2"/>
  <c r="AP745" i="2"/>
  <c r="AN745" i="2"/>
  <c r="AL745" i="2"/>
  <c r="AJ745" i="2"/>
  <c r="AH745" i="2"/>
  <c r="AF745" i="2"/>
  <c r="AD745" i="2"/>
  <c r="AB745" i="2"/>
  <c r="Z745" i="2"/>
  <c r="X745" i="2"/>
  <c r="U745" i="2"/>
  <c r="S745" i="2"/>
  <c r="Q745" i="2"/>
  <c r="O745" i="2"/>
  <c r="M745" i="2"/>
  <c r="K745" i="2"/>
  <c r="I745" i="2"/>
  <c r="G745" i="2"/>
  <c r="E745" i="2"/>
  <c r="C745" i="2"/>
  <c r="BK744" i="2"/>
  <c r="BI744" i="2"/>
  <c r="BG744" i="2"/>
  <c r="BE744" i="2"/>
  <c r="BC744" i="2"/>
  <c r="BA744" i="2"/>
  <c r="AY744" i="2"/>
  <c r="AW744" i="2"/>
  <c r="AU744" i="2"/>
  <c r="AS744" i="2"/>
  <c r="AP744" i="2"/>
  <c r="AN744" i="2"/>
  <c r="AL744" i="2"/>
  <c r="AJ744" i="2"/>
  <c r="AH744" i="2"/>
  <c r="AF744" i="2"/>
  <c r="AD744" i="2"/>
  <c r="AB744" i="2"/>
  <c r="Z744" i="2"/>
  <c r="X744" i="2"/>
  <c r="U744" i="2"/>
  <c r="S744" i="2"/>
  <c r="Q744" i="2"/>
  <c r="O744" i="2"/>
  <c r="M744" i="2"/>
  <c r="K744" i="2"/>
  <c r="I744" i="2"/>
  <c r="G744" i="2"/>
  <c r="E744" i="2"/>
  <c r="C744" i="2"/>
  <c r="BK743" i="2"/>
  <c r="BI743" i="2"/>
  <c r="BG743" i="2"/>
  <c r="BE743" i="2"/>
  <c r="BC743" i="2"/>
  <c r="BA743" i="2"/>
  <c r="AY743" i="2"/>
  <c r="AW743" i="2"/>
  <c r="AU743" i="2"/>
  <c r="AS743" i="2"/>
  <c r="AP743" i="2"/>
  <c r="AN743" i="2"/>
  <c r="AL743" i="2"/>
  <c r="AJ743" i="2"/>
  <c r="AH743" i="2"/>
  <c r="AF743" i="2"/>
  <c r="AD743" i="2"/>
  <c r="AB743" i="2"/>
  <c r="Z743" i="2"/>
  <c r="X743" i="2"/>
  <c r="U743" i="2"/>
  <c r="S743" i="2"/>
  <c r="Q743" i="2"/>
  <c r="O743" i="2"/>
  <c r="M743" i="2"/>
  <c r="K743" i="2"/>
  <c r="I743" i="2"/>
  <c r="G743" i="2"/>
  <c r="E743" i="2"/>
  <c r="C743" i="2"/>
  <c r="BK742" i="2"/>
  <c r="BI742" i="2"/>
  <c r="BG742" i="2"/>
  <c r="BE742" i="2"/>
  <c r="BC742" i="2"/>
  <c r="BA742" i="2"/>
  <c r="AY742" i="2"/>
  <c r="AW742" i="2"/>
  <c r="AU742" i="2"/>
  <c r="AS742" i="2"/>
  <c r="AP742" i="2"/>
  <c r="AN742" i="2"/>
  <c r="AL742" i="2"/>
  <c r="AJ742" i="2"/>
  <c r="AH742" i="2"/>
  <c r="AF742" i="2"/>
  <c r="AD742" i="2"/>
  <c r="AB742" i="2"/>
  <c r="Z742" i="2"/>
  <c r="X742" i="2"/>
  <c r="U742" i="2"/>
  <c r="S742" i="2"/>
  <c r="Q742" i="2"/>
  <c r="O742" i="2"/>
  <c r="M742" i="2"/>
  <c r="K742" i="2"/>
  <c r="I742" i="2"/>
  <c r="G742" i="2"/>
  <c r="E742" i="2"/>
  <c r="C742" i="2"/>
  <c r="BK741" i="2"/>
  <c r="BI741" i="2"/>
  <c r="BG741" i="2"/>
  <c r="BE741" i="2"/>
  <c r="BC741" i="2"/>
  <c r="BA741" i="2"/>
  <c r="AY741" i="2"/>
  <c r="AW741" i="2"/>
  <c r="AU741" i="2"/>
  <c r="AS741" i="2"/>
  <c r="AP741" i="2"/>
  <c r="AN741" i="2"/>
  <c r="AL741" i="2"/>
  <c r="AJ741" i="2"/>
  <c r="AH741" i="2"/>
  <c r="AF741" i="2"/>
  <c r="AD741" i="2"/>
  <c r="AB741" i="2"/>
  <c r="Z741" i="2"/>
  <c r="X741" i="2"/>
  <c r="U741" i="2"/>
  <c r="S741" i="2"/>
  <c r="Q741" i="2"/>
  <c r="O741" i="2"/>
  <c r="M741" i="2"/>
  <c r="K741" i="2"/>
  <c r="I741" i="2"/>
  <c r="G741" i="2"/>
  <c r="E741" i="2"/>
  <c r="C741" i="2"/>
  <c r="BK740" i="2"/>
  <c r="BI740" i="2"/>
  <c r="BG740" i="2"/>
  <c r="BE740" i="2"/>
  <c r="BC740" i="2"/>
  <c r="BA740" i="2"/>
  <c r="AY740" i="2"/>
  <c r="AW740" i="2"/>
  <c r="AU740" i="2"/>
  <c r="AS740" i="2"/>
  <c r="AP740" i="2"/>
  <c r="AN740" i="2"/>
  <c r="AL740" i="2"/>
  <c r="AJ740" i="2"/>
  <c r="AH740" i="2"/>
  <c r="AF740" i="2"/>
  <c r="AD740" i="2"/>
  <c r="AB740" i="2"/>
  <c r="Z740" i="2"/>
  <c r="X740" i="2"/>
  <c r="U740" i="2"/>
  <c r="S740" i="2"/>
  <c r="Q740" i="2"/>
  <c r="O740" i="2"/>
  <c r="M740" i="2"/>
  <c r="K740" i="2"/>
  <c r="I740" i="2"/>
  <c r="G740" i="2"/>
  <c r="E740" i="2"/>
  <c r="C740" i="2"/>
  <c r="BK739" i="2"/>
  <c r="BI739" i="2"/>
  <c r="BG739" i="2"/>
  <c r="BE739" i="2"/>
  <c r="BC739" i="2"/>
  <c r="BA739" i="2"/>
  <c r="AY739" i="2"/>
  <c r="AW739" i="2"/>
  <c r="AU739" i="2"/>
  <c r="AS739" i="2"/>
  <c r="AP739" i="2"/>
  <c r="AN739" i="2"/>
  <c r="AL739" i="2"/>
  <c r="AJ739" i="2"/>
  <c r="AH739" i="2"/>
  <c r="AF739" i="2"/>
  <c r="AD739" i="2"/>
  <c r="AB739" i="2"/>
  <c r="Z739" i="2"/>
  <c r="X739" i="2"/>
  <c r="U739" i="2"/>
  <c r="S739" i="2"/>
  <c r="Q739" i="2"/>
  <c r="O739" i="2"/>
  <c r="M739" i="2"/>
  <c r="K739" i="2"/>
  <c r="I739" i="2"/>
  <c r="G739" i="2"/>
  <c r="E739" i="2"/>
  <c r="C739" i="2"/>
  <c r="BK738" i="2"/>
  <c r="BI738" i="2"/>
  <c r="BG738" i="2"/>
  <c r="BE738" i="2"/>
  <c r="BC738" i="2"/>
  <c r="BA738" i="2"/>
  <c r="AY738" i="2"/>
  <c r="AW738" i="2"/>
  <c r="AU738" i="2"/>
  <c r="AS738" i="2"/>
  <c r="AP738" i="2"/>
  <c r="AN738" i="2"/>
  <c r="AL738" i="2"/>
  <c r="AJ738" i="2"/>
  <c r="AH738" i="2"/>
  <c r="AF738" i="2"/>
  <c r="AD738" i="2"/>
  <c r="AB738" i="2"/>
  <c r="Z738" i="2"/>
  <c r="X738" i="2"/>
  <c r="U738" i="2"/>
  <c r="S738" i="2"/>
  <c r="Q738" i="2"/>
  <c r="O738" i="2"/>
  <c r="M738" i="2"/>
  <c r="K738" i="2"/>
  <c r="I738" i="2"/>
  <c r="G738" i="2"/>
  <c r="E738" i="2"/>
  <c r="C738" i="2"/>
  <c r="BK737" i="2"/>
  <c r="BI737" i="2"/>
  <c r="BG737" i="2"/>
  <c r="BE737" i="2"/>
  <c r="BC737" i="2"/>
  <c r="BA737" i="2"/>
  <c r="AY737" i="2"/>
  <c r="AW737" i="2"/>
  <c r="AU737" i="2"/>
  <c r="AS737" i="2"/>
  <c r="AP737" i="2"/>
  <c r="AN737" i="2"/>
  <c r="AL737" i="2"/>
  <c r="AJ737" i="2"/>
  <c r="AH737" i="2"/>
  <c r="AF737" i="2"/>
  <c r="AD737" i="2"/>
  <c r="AB737" i="2"/>
  <c r="Z737" i="2"/>
  <c r="X737" i="2"/>
  <c r="U737" i="2"/>
  <c r="S737" i="2"/>
  <c r="Q737" i="2"/>
  <c r="O737" i="2"/>
  <c r="M737" i="2"/>
  <c r="K737" i="2"/>
  <c r="I737" i="2"/>
  <c r="G737" i="2"/>
  <c r="E737" i="2"/>
  <c r="C737" i="2"/>
  <c r="BK736" i="2"/>
  <c r="BI736" i="2"/>
  <c r="BG736" i="2"/>
  <c r="BE736" i="2"/>
  <c r="BC736" i="2"/>
  <c r="BA736" i="2"/>
  <c r="AY736" i="2"/>
  <c r="AW736" i="2"/>
  <c r="AU736" i="2"/>
  <c r="AS736" i="2"/>
  <c r="AP736" i="2"/>
  <c r="AN736" i="2"/>
  <c r="AL736" i="2"/>
  <c r="AJ736" i="2"/>
  <c r="AH736" i="2"/>
  <c r="AF736" i="2"/>
  <c r="AD736" i="2"/>
  <c r="AB736" i="2"/>
  <c r="Z736" i="2"/>
  <c r="X736" i="2"/>
  <c r="U736" i="2"/>
  <c r="S736" i="2"/>
  <c r="Q736" i="2"/>
  <c r="O736" i="2"/>
  <c r="M736" i="2"/>
  <c r="K736" i="2"/>
  <c r="I736" i="2"/>
  <c r="G736" i="2"/>
  <c r="E736" i="2"/>
  <c r="C736" i="2"/>
  <c r="BK735" i="2"/>
  <c r="BI735" i="2"/>
  <c r="BG735" i="2"/>
  <c r="BE735" i="2"/>
  <c r="BC735" i="2"/>
  <c r="BA735" i="2"/>
  <c r="AY735" i="2"/>
  <c r="AW735" i="2"/>
  <c r="AU735" i="2"/>
  <c r="AS735" i="2"/>
  <c r="AP735" i="2"/>
  <c r="AN735" i="2"/>
  <c r="AL735" i="2"/>
  <c r="AJ735" i="2"/>
  <c r="AH735" i="2"/>
  <c r="AF735" i="2"/>
  <c r="AD735" i="2"/>
  <c r="AB735" i="2"/>
  <c r="Z735" i="2"/>
  <c r="X735" i="2"/>
  <c r="U735" i="2"/>
  <c r="S735" i="2"/>
  <c r="Q735" i="2"/>
  <c r="O735" i="2"/>
  <c r="M735" i="2"/>
  <c r="K735" i="2"/>
  <c r="I735" i="2"/>
  <c r="G735" i="2"/>
  <c r="E735" i="2"/>
  <c r="C735" i="2"/>
  <c r="BK734" i="2"/>
  <c r="BI734" i="2"/>
  <c r="BG734" i="2"/>
  <c r="BE734" i="2"/>
  <c r="BC734" i="2"/>
  <c r="BA734" i="2"/>
  <c r="AY734" i="2"/>
  <c r="AW734" i="2"/>
  <c r="AU734" i="2"/>
  <c r="AS734" i="2"/>
  <c r="AP734" i="2"/>
  <c r="AN734" i="2"/>
  <c r="AL734" i="2"/>
  <c r="AJ734" i="2"/>
  <c r="AH734" i="2"/>
  <c r="AF734" i="2"/>
  <c r="AD734" i="2"/>
  <c r="AB734" i="2"/>
  <c r="Z734" i="2"/>
  <c r="X734" i="2"/>
  <c r="U734" i="2"/>
  <c r="S734" i="2"/>
  <c r="Q734" i="2"/>
  <c r="O734" i="2"/>
  <c r="M734" i="2"/>
  <c r="K734" i="2"/>
  <c r="I734" i="2"/>
  <c r="G734" i="2"/>
  <c r="E734" i="2"/>
  <c r="C734" i="2"/>
  <c r="BK733" i="2"/>
  <c r="BI733" i="2"/>
  <c r="BG733" i="2"/>
  <c r="BE733" i="2"/>
  <c r="BC733" i="2"/>
  <c r="BA733" i="2"/>
  <c r="AY733" i="2"/>
  <c r="AW733" i="2"/>
  <c r="AU733" i="2"/>
  <c r="AS733" i="2"/>
  <c r="AP733" i="2"/>
  <c r="AN733" i="2"/>
  <c r="AL733" i="2"/>
  <c r="AJ733" i="2"/>
  <c r="AH733" i="2"/>
  <c r="AF733" i="2"/>
  <c r="AD733" i="2"/>
  <c r="AB733" i="2"/>
  <c r="Z733" i="2"/>
  <c r="X733" i="2"/>
  <c r="U733" i="2"/>
  <c r="S733" i="2"/>
  <c r="Q733" i="2"/>
  <c r="O733" i="2"/>
  <c r="M733" i="2"/>
  <c r="K733" i="2"/>
  <c r="I733" i="2"/>
  <c r="G733" i="2"/>
  <c r="E733" i="2"/>
  <c r="C733" i="2"/>
  <c r="BK732" i="2"/>
  <c r="BI732" i="2"/>
  <c r="BG732" i="2"/>
  <c r="BE732" i="2"/>
  <c r="BC732" i="2"/>
  <c r="BA732" i="2"/>
  <c r="AY732" i="2"/>
  <c r="AW732" i="2"/>
  <c r="AU732" i="2"/>
  <c r="AS732" i="2"/>
  <c r="AP732" i="2"/>
  <c r="AN732" i="2"/>
  <c r="AL732" i="2"/>
  <c r="AJ732" i="2"/>
  <c r="AH732" i="2"/>
  <c r="AF732" i="2"/>
  <c r="AD732" i="2"/>
  <c r="AB732" i="2"/>
  <c r="Z732" i="2"/>
  <c r="X732" i="2"/>
  <c r="U732" i="2"/>
  <c r="S732" i="2"/>
  <c r="Q732" i="2"/>
  <c r="O732" i="2"/>
  <c r="M732" i="2"/>
  <c r="K732" i="2"/>
  <c r="I732" i="2"/>
  <c r="G732" i="2"/>
  <c r="E732" i="2"/>
  <c r="C732" i="2"/>
  <c r="BK731" i="2"/>
  <c r="BI731" i="2"/>
  <c r="BG731" i="2"/>
  <c r="BE731" i="2"/>
  <c r="BC731" i="2"/>
  <c r="BA731" i="2"/>
  <c r="AY731" i="2"/>
  <c r="AW731" i="2"/>
  <c r="AU731" i="2"/>
  <c r="AS731" i="2"/>
  <c r="AP731" i="2"/>
  <c r="AN731" i="2"/>
  <c r="AL731" i="2"/>
  <c r="AJ731" i="2"/>
  <c r="AH731" i="2"/>
  <c r="AF731" i="2"/>
  <c r="AD731" i="2"/>
  <c r="AB731" i="2"/>
  <c r="Z731" i="2"/>
  <c r="X731" i="2"/>
  <c r="U731" i="2"/>
  <c r="S731" i="2"/>
  <c r="Q731" i="2"/>
  <c r="O731" i="2"/>
  <c r="M731" i="2"/>
  <c r="K731" i="2"/>
  <c r="I731" i="2"/>
  <c r="G731" i="2"/>
  <c r="E731" i="2"/>
  <c r="C731" i="2"/>
  <c r="BK730" i="2"/>
  <c r="BI730" i="2"/>
  <c r="BG730" i="2"/>
  <c r="BE730" i="2"/>
  <c r="BC730" i="2"/>
  <c r="BA730" i="2"/>
  <c r="AY730" i="2"/>
  <c r="AW730" i="2"/>
  <c r="AU730" i="2"/>
  <c r="AS730" i="2"/>
  <c r="AP730" i="2"/>
  <c r="AN730" i="2"/>
  <c r="AL730" i="2"/>
  <c r="AJ730" i="2"/>
  <c r="AH730" i="2"/>
  <c r="AF730" i="2"/>
  <c r="AD730" i="2"/>
  <c r="AB730" i="2"/>
  <c r="Z730" i="2"/>
  <c r="X730" i="2"/>
  <c r="U730" i="2"/>
  <c r="S730" i="2"/>
  <c r="Q730" i="2"/>
  <c r="O730" i="2"/>
  <c r="M730" i="2"/>
  <c r="K730" i="2"/>
  <c r="I730" i="2"/>
  <c r="G730" i="2"/>
  <c r="E730" i="2"/>
  <c r="C730" i="2"/>
  <c r="BK729" i="2"/>
  <c r="BI729" i="2"/>
  <c r="BG729" i="2"/>
  <c r="BE729" i="2"/>
  <c r="BC729" i="2"/>
  <c r="BA729" i="2"/>
  <c r="AY729" i="2"/>
  <c r="AW729" i="2"/>
  <c r="AU729" i="2"/>
  <c r="AS729" i="2"/>
  <c r="AP729" i="2"/>
  <c r="AN729" i="2"/>
  <c r="AL729" i="2"/>
  <c r="AJ729" i="2"/>
  <c r="AH729" i="2"/>
  <c r="AF729" i="2"/>
  <c r="AD729" i="2"/>
  <c r="AB729" i="2"/>
  <c r="Z729" i="2"/>
  <c r="X729" i="2"/>
  <c r="U729" i="2"/>
  <c r="S729" i="2"/>
  <c r="Q729" i="2"/>
  <c r="O729" i="2"/>
  <c r="M729" i="2"/>
  <c r="K729" i="2"/>
  <c r="I729" i="2"/>
  <c r="G729" i="2"/>
  <c r="E729" i="2"/>
  <c r="C729" i="2"/>
  <c r="BK728" i="2"/>
  <c r="BI728" i="2"/>
  <c r="BG728" i="2"/>
  <c r="BE728" i="2"/>
  <c r="BC728" i="2"/>
  <c r="BA728" i="2"/>
  <c r="AY728" i="2"/>
  <c r="AW728" i="2"/>
  <c r="AU728" i="2"/>
  <c r="AS728" i="2"/>
  <c r="AP728" i="2"/>
  <c r="AN728" i="2"/>
  <c r="AL728" i="2"/>
  <c r="AJ728" i="2"/>
  <c r="AH728" i="2"/>
  <c r="AF728" i="2"/>
  <c r="AD728" i="2"/>
  <c r="AB728" i="2"/>
  <c r="Z728" i="2"/>
  <c r="X728" i="2"/>
  <c r="U728" i="2"/>
  <c r="S728" i="2"/>
  <c r="Q728" i="2"/>
  <c r="O728" i="2"/>
  <c r="M728" i="2"/>
  <c r="K728" i="2"/>
  <c r="I728" i="2"/>
  <c r="G728" i="2"/>
  <c r="E728" i="2"/>
  <c r="C728" i="2"/>
  <c r="BK727" i="2"/>
  <c r="BI727" i="2"/>
  <c r="BG727" i="2"/>
  <c r="BE727" i="2"/>
  <c r="BC727" i="2"/>
  <c r="BA727" i="2"/>
  <c r="AY727" i="2"/>
  <c r="AW727" i="2"/>
  <c r="AU727" i="2"/>
  <c r="AS727" i="2"/>
  <c r="AP727" i="2"/>
  <c r="AN727" i="2"/>
  <c r="AL727" i="2"/>
  <c r="AJ727" i="2"/>
  <c r="AH727" i="2"/>
  <c r="AF727" i="2"/>
  <c r="AD727" i="2"/>
  <c r="AB727" i="2"/>
  <c r="Z727" i="2"/>
  <c r="X727" i="2"/>
  <c r="U727" i="2"/>
  <c r="S727" i="2"/>
  <c r="Q727" i="2"/>
  <c r="O727" i="2"/>
  <c r="M727" i="2"/>
  <c r="K727" i="2"/>
  <c r="I727" i="2"/>
  <c r="G727" i="2"/>
  <c r="E727" i="2"/>
  <c r="C727" i="2"/>
  <c r="BK726" i="2"/>
  <c r="BI726" i="2"/>
  <c r="BG726" i="2"/>
  <c r="BE726" i="2"/>
  <c r="BC726" i="2"/>
  <c r="BA726" i="2"/>
  <c r="AY726" i="2"/>
  <c r="AW726" i="2"/>
  <c r="AU726" i="2"/>
  <c r="AS726" i="2"/>
  <c r="AP726" i="2"/>
  <c r="AN726" i="2"/>
  <c r="AL726" i="2"/>
  <c r="AJ726" i="2"/>
  <c r="AH726" i="2"/>
  <c r="AF726" i="2"/>
  <c r="AD726" i="2"/>
  <c r="AB726" i="2"/>
  <c r="Z726" i="2"/>
  <c r="X726" i="2"/>
  <c r="U726" i="2"/>
  <c r="S726" i="2"/>
  <c r="Q726" i="2"/>
  <c r="O726" i="2"/>
  <c r="M726" i="2"/>
  <c r="K726" i="2"/>
  <c r="I726" i="2"/>
  <c r="G726" i="2"/>
  <c r="E726" i="2"/>
  <c r="C726" i="2"/>
  <c r="BK725" i="2"/>
  <c r="BI725" i="2"/>
  <c r="BG725" i="2"/>
  <c r="BE725" i="2"/>
  <c r="BC725" i="2"/>
  <c r="BA725" i="2"/>
  <c r="AY725" i="2"/>
  <c r="AW725" i="2"/>
  <c r="AU725" i="2"/>
  <c r="AS725" i="2"/>
  <c r="AP725" i="2"/>
  <c r="AN725" i="2"/>
  <c r="AL725" i="2"/>
  <c r="AJ725" i="2"/>
  <c r="AH725" i="2"/>
  <c r="AF725" i="2"/>
  <c r="AD725" i="2"/>
  <c r="AB725" i="2"/>
  <c r="Z725" i="2"/>
  <c r="X725" i="2"/>
  <c r="U725" i="2"/>
  <c r="S725" i="2"/>
  <c r="Q725" i="2"/>
  <c r="O725" i="2"/>
  <c r="M725" i="2"/>
  <c r="K725" i="2"/>
  <c r="I725" i="2"/>
  <c r="G725" i="2"/>
  <c r="E725" i="2"/>
  <c r="C725" i="2"/>
  <c r="BK724" i="2"/>
  <c r="BI724" i="2"/>
  <c r="BG724" i="2"/>
  <c r="BE724" i="2"/>
  <c r="BC724" i="2"/>
  <c r="BA724" i="2"/>
  <c r="AY724" i="2"/>
  <c r="AW724" i="2"/>
  <c r="AU724" i="2"/>
  <c r="AS724" i="2"/>
  <c r="AP724" i="2"/>
  <c r="AN724" i="2"/>
  <c r="AL724" i="2"/>
  <c r="AJ724" i="2"/>
  <c r="AH724" i="2"/>
  <c r="AF724" i="2"/>
  <c r="AD724" i="2"/>
  <c r="AB724" i="2"/>
  <c r="Z724" i="2"/>
  <c r="X724" i="2"/>
  <c r="U724" i="2"/>
  <c r="S724" i="2"/>
  <c r="Q724" i="2"/>
  <c r="O724" i="2"/>
  <c r="M724" i="2"/>
  <c r="K724" i="2"/>
  <c r="I724" i="2"/>
  <c r="G724" i="2"/>
  <c r="E724" i="2"/>
  <c r="C724" i="2"/>
  <c r="BK723" i="2"/>
  <c r="BI723" i="2"/>
  <c r="BG723" i="2"/>
  <c r="BE723" i="2"/>
  <c r="BC723" i="2"/>
  <c r="BA723" i="2"/>
  <c r="AY723" i="2"/>
  <c r="AW723" i="2"/>
  <c r="AU723" i="2"/>
  <c r="AS723" i="2"/>
  <c r="AP723" i="2"/>
  <c r="AN723" i="2"/>
  <c r="AL723" i="2"/>
  <c r="AJ723" i="2"/>
  <c r="AH723" i="2"/>
  <c r="AF723" i="2"/>
  <c r="AD723" i="2"/>
  <c r="AB723" i="2"/>
  <c r="Z723" i="2"/>
  <c r="X723" i="2"/>
  <c r="U723" i="2"/>
  <c r="S723" i="2"/>
  <c r="Q723" i="2"/>
  <c r="O723" i="2"/>
  <c r="M723" i="2"/>
  <c r="K723" i="2"/>
  <c r="I723" i="2"/>
  <c r="G723" i="2"/>
  <c r="E723" i="2"/>
  <c r="C723" i="2"/>
  <c r="BK722" i="2"/>
  <c r="BI722" i="2"/>
  <c r="BG722" i="2"/>
  <c r="BE722" i="2"/>
  <c r="BC722" i="2"/>
  <c r="BA722" i="2"/>
  <c r="AY722" i="2"/>
  <c r="AW722" i="2"/>
  <c r="AU722" i="2"/>
  <c r="AS722" i="2"/>
  <c r="AP722" i="2"/>
  <c r="AN722" i="2"/>
  <c r="AL722" i="2"/>
  <c r="AJ722" i="2"/>
  <c r="AH722" i="2"/>
  <c r="AF722" i="2"/>
  <c r="AD722" i="2"/>
  <c r="AB722" i="2"/>
  <c r="Z722" i="2"/>
  <c r="X722" i="2"/>
  <c r="U722" i="2"/>
  <c r="S722" i="2"/>
  <c r="Q722" i="2"/>
  <c r="O722" i="2"/>
  <c r="M722" i="2"/>
  <c r="K722" i="2"/>
  <c r="I722" i="2"/>
  <c r="G722" i="2"/>
  <c r="E722" i="2"/>
  <c r="C722" i="2"/>
  <c r="BK721" i="2"/>
  <c r="BI721" i="2"/>
  <c r="BG721" i="2"/>
  <c r="BE721" i="2"/>
  <c r="BC721" i="2"/>
  <c r="BA721" i="2"/>
  <c r="AY721" i="2"/>
  <c r="AW721" i="2"/>
  <c r="AU721" i="2"/>
  <c r="AS721" i="2"/>
  <c r="AP721" i="2"/>
  <c r="AN721" i="2"/>
  <c r="AL721" i="2"/>
  <c r="AJ721" i="2"/>
  <c r="AH721" i="2"/>
  <c r="AF721" i="2"/>
  <c r="AD721" i="2"/>
  <c r="AB721" i="2"/>
  <c r="Z721" i="2"/>
  <c r="X721" i="2"/>
  <c r="U721" i="2"/>
  <c r="S721" i="2"/>
  <c r="Q721" i="2"/>
  <c r="O721" i="2"/>
  <c r="M721" i="2"/>
  <c r="K721" i="2"/>
  <c r="I721" i="2"/>
  <c r="G721" i="2"/>
  <c r="E721" i="2"/>
  <c r="C721" i="2"/>
  <c r="BK720" i="2"/>
  <c r="BI720" i="2"/>
  <c r="BG720" i="2"/>
  <c r="BE720" i="2"/>
  <c r="BC720" i="2"/>
  <c r="BA720" i="2"/>
  <c r="AY720" i="2"/>
  <c r="AW720" i="2"/>
  <c r="AU720" i="2"/>
  <c r="AS720" i="2"/>
  <c r="AP720" i="2"/>
  <c r="AN720" i="2"/>
  <c r="AL720" i="2"/>
  <c r="AJ720" i="2"/>
  <c r="AH720" i="2"/>
  <c r="AF720" i="2"/>
  <c r="AD720" i="2"/>
  <c r="AB720" i="2"/>
  <c r="Z720" i="2"/>
  <c r="X720" i="2"/>
  <c r="U720" i="2"/>
  <c r="S720" i="2"/>
  <c r="Q720" i="2"/>
  <c r="O720" i="2"/>
  <c r="M720" i="2"/>
  <c r="K720" i="2"/>
  <c r="I720" i="2"/>
  <c r="G720" i="2"/>
  <c r="E720" i="2"/>
  <c r="C720" i="2"/>
  <c r="BK719" i="2"/>
  <c r="BI719" i="2"/>
  <c r="BG719" i="2"/>
  <c r="BE719" i="2"/>
  <c r="BC719" i="2"/>
  <c r="BA719" i="2"/>
  <c r="AY719" i="2"/>
  <c r="AW719" i="2"/>
  <c r="AU719" i="2"/>
  <c r="AS719" i="2"/>
  <c r="AP719" i="2"/>
  <c r="AN719" i="2"/>
  <c r="AL719" i="2"/>
  <c r="AJ719" i="2"/>
  <c r="AH719" i="2"/>
  <c r="AF719" i="2"/>
  <c r="AD719" i="2"/>
  <c r="AB719" i="2"/>
  <c r="Z719" i="2"/>
  <c r="X719" i="2"/>
  <c r="U719" i="2"/>
  <c r="S719" i="2"/>
  <c r="Q719" i="2"/>
  <c r="O719" i="2"/>
  <c r="M719" i="2"/>
  <c r="K719" i="2"/>
  <c r="I719" i="2"/>
  <c r="G719" i="2"/>
  <c r="E719" i="2"/>
  <c r="C719" i="2"/>
  <c r="BK718" i="2"/>
  <c r="BI718" i="2"/>
  <c r="BG718" i="2"/>
  <c r="BE718" i="2"/>
  <c r="BC718" i="2"/>
  <c r="BA718" i="2"/>
  <c r="AY718" i="2"/>
  <c r="AW718" i="2"/>
  <c r="AU718" i="2"/>
  <c r="AS718" i="2"/>
  <c r="AP718" i="2"/>
  <c r="AN718" i="2"/>
  <c r="AL718" i="2"/>
  <c r="AJ718" i="2"/>
  <c r="AH718" i="2"/>
  <c r="AF718" i="2"/>
  <c r="AD718" i="2"/>
  <c r="AB718" i="2"/>
  <c r="Z718" i="2"/>
  <c r="X718" i="2"/>
  <c r="U718" i="2"/>
  <c r="S718" i="2"/>
  <c r="Q718" i="2"/>
  <c r="O718" i="2"/>
  <c r="M718" i="2"/>
  <c r="K718" i="2"/>
  <c r="I718" i="2"/>
  <c r="G718" i="2"/>
  <c r="E718" i="2"/>
  <c r="C718" i="2"/>
  <c r="BK717" i="2"/>
  <c r="BI717" i="2"/>
  <c r="BG717" i="2"/>
  <c r="BE717" i="2"/>
  <c r="BC717" i="2"/>
  <c r="BA717" i="2"/>
  <c r="AY717" i="2"/>
  <c r="AW717" i="2"/>
  <c r="AU717" i="2"/>
  <c r="AS717" i="2"/>
  <c r="AP717" i="2"/>
  <c r="AN717" i="2"/>
  <c r="AL717" i="2"/>
  <c r="AJ717" i="2"/>
  <c r="AH717" i="2"/>
  <c r="AF717" i="2"/>
  <c r="AD717" i="2"/>
  <c r="AB717" i="2"/>
  <c r="Z717" i="2"/>
  <c r="X717" i="2"/>
  <c r="U717" i="2"/>
  <c r="S717" i="2"/>
  <c r="Q717" i="2"/>
  <c r="O717" i="2"/>
  <c r="M717" i="2"/>
  <c r="K717" i="2"/>
  <c r="I717" i="2"/>
  <c r="G717" i="2"/>
  <c r="E717" i="2"/>
  <c r="C717" i="2"/>
  <c r="BK716" i="2"/>
  <c r="BI716" i="2"/>
  <c r="BG716" i="2"/>
  <c r="BE716" i="2"/>
  <c r="BC716" i="2"/>
  <c r="BA716" i="2"/>
  <c r="AY716" i="2"/>
  <c r="AW716" i="2"/>
  <c r="AU716" i="2"/>
  <c r="AS716" i="2"/>
  <c r="AP716" i="2"/>
  <c r="AN716" i="2"/>
  <c r="AL716" i="2"/>
  <c r="AJ716" i="2"/>
  <c r="AH716" i="2"/>
  <c r="AF716" i="2"/>
  <c r="AD716" i="2"/>
  <c r="AB716" i="2"/>
  <c r="Z716" i="2"/>
  <c r="X716" i="2"/>
  <c r="U716" i="2"/>
  <c r="S716" i="2"/>
  <c r="Q716" i="2"/>
  <c r="O716" i="2"/>
  <c r="M716" i="2"/>
  <c r="K716" i="2"/>
  <c r="I716" i="2"/>
  <c r="G716" i="2"/>
  <c r="E716" i="2"/>
  <c r="C716" i="2"/>
  <c r="BK715" i="2"/>
  <c r="BI715" i="2"/>
  <c r="BG715" i="2"/>
  <c r="BE715" i="2"/>
  <c r="BC715" i="2"/>
  <c r="BA715" i="2"/>
  <c r="AY715" i="2"/>
  <c r="AW715" i="2"/>
  <c r="AU715" i="2"/>
  <c r="AS715" i="2"/>
  <c r="AP715" i="2"/>
  <c r="AN715" i="2"/>
  <c r="AL715" i="2"/>
  <c r="AJ715" i="2"/>
  <c r="AH715" i="2"/>
  <c r="AF715" i="2"/>
  <c r="AD715" i="2"/>
  <c r="AB715" i="2"/>
  <c r="Z715" i="2"/>
  <c r="X715" i="2"/>
  <c r="U715" i="2"/>
  <c r="S715" i="2"/>
  <c r="Q715" i="2"/>
  <c r="O715" i="2"/>
  <c r="M715" i="2"/>
  <c r="K715" i="2"/>
  <c r="I715" i="2"/>
  <c r="G715" i="2"/>
  <c r="E715" i="2"/>
  <c r="C715" i="2"/>
  <c r="BK714" i="2"/>
  <c r="BI714" i="2"/>
  <c r="BG714" i="2"/>
  <c r="BE714" i="2"/>
  <c r="BC714" i="2"/>
  <c r="BA714" i="2"/>
  <c r="AY714" i="2"/>
  <c r="AW714" i="2"/>
  <c r="AU714" i="2"/>
  <c r="AS714" i="2"/>
  <c r="AP714" i="2"/>
  <c r="AN714" i="2"/>
  <c r="AL714" i="2"/>
  <c r="AJ714" i="2"/>
  <c r="AH714" i="2"/>
  <c r="AF714" i="2"/>
  <c r="AD714" i="2"/>
  <c r="AB714" i="2"/>
  <c r="Z714" i="2"/>
  <c r="X714" i="2"/>
  <c r="U714" i="2"/>
  <c r="S714" i="2"/>
  <c r="Q714" i="2"/>
  <c r="O714" i="2"/>
  <c r="M714" i="2"/>
  <c r="K714" i="2"/>
  <c r="I714" i="2"/>
  <c r="G714" i="2"/>
  <c r="E714" i="2"/>
  <c r="C714" i="2"/>
  <c r="BK713" i="2"/>
  <c r="BI713" i="2"/>
  <c r="BG713" i="2"/>
  <c r="BE713" i="2"/>
  <c r="BC713" i="2"/>
  <c r="BA713" i="2"/>
  <c r="AY713" i="2"/>
  <c r="AW713" i="2"/>
  <c r="AU713" i="2"/>
  <c r="AS713" i="2"/>
  <c r="AP713" i="2"/>
  <c r="AN713" i="2"/>
  <c r="AL713" i="2"/>
  <c r="AJ713" i="2"/>
  <c r="AH713" i="2"/>
  <c r="AF713" i="2"/>
  <c r="AD713" i="2"/>
  <c r="AB713" i="2"/>
  <c r="Z713" i="2"/>
  <c r="X713" i="2"/>
  <c r="U713" i="2"/>
  <c r="S713" i="2"/>
  <c r="Q713" i="2"/>
  <c r="O713" i="2"/>
  <c r="M713" i="2"/>
  <c r="K713" i="2"/>
  <c r="I713" i="2"/>
  <c r="G713" i="2"/>
  <c r="E713" i="2"/>
  <c r="C713" i="2"/>
  <c r="BK712" i="2"/>
  <c r="BI712" i="2"/>
  <c r="BG712" i="2"/>
  <c r="BE712" i="2"/>
  <c r="BC712" i="2"/>
  <c r="BA712" i="2"/>
  <c r="AY712" i="2"/>
  <c r="AW712" i="2"/>
  <c r="AU712" i="2"/>
  <c r="AS712" i="2"/>
  <c r="AP712" i="2"/>
  <c r="AN712" i="2"/>
  <c r="AL712" i="2"/>
  <c r="AJ712" i="2"/>
  <c r="AH712" i="2"/>
  <c r="AF712" i="2"/>
  <c r="AD712" i="2"/>
  <c r="AB712" i="2"/>
  <c r="Z712" i="2"/>
  <c r="X712" i="2"/>
  <c r="U712" i="2"/>
  <c r="S712" i="2"/>
  <c r="Q712" i="2"/>
  <c r="O712" i="2"/>
  <c r="M712" i="2"/>
  <c r="K712" i="2"/>
  <c r="I712" i="2"/>
  <c r="G712" i="2"/>
  <c r="E712" i="2"/>
  <c r="C712" i="2"/>
  <c r="BK711" i="2"/>
  <c r="BI711" i="2"/>
  <c r="BG711" i="2"/>
  <c r="BE711" i="2"/>
  <c r="BC711" i="2"/>
  <c r="BA711" i="2"/>
  <c r="AY711" i="2"/>
  <c r="AW711" i="2"/>
  <c r="AU711" i="2"/>
  <c r="AS711" i="2"/>
  <c r="AP711" i="2"/>
  <c r="AN711" i="2"/>
  <c r="AL711" i="2"/>
  <c r="AJ711" i="2"/>
  <c r="AH711" i="2"/>
  <c r="AF711" i="2"/>
  <c r="AD711" i="2"/>
  <c r="AB711" i="2"/>
  <c r="Z711" i="2"/>
  <c r="X711" i="2"/>
  <c r="U711" i="2"/>
  <c r="S711" i="2"/>
  <c r="Q711" i="2"/>
  <c r="O711" i="2"/>
  <c r="M711" i="2"/>
  <c r="K711" i="2"/>
  <c r="I711" i="2"/>
  <c r="G711" i="2"/>
  <c r="E711" i="2"/>
  <c r="C711" i="2"/>
  <c r="BK710" i="2"/>
  <c r="BI710" i="2"/>
  <c r="BG710" i="2"/>
  <c r="BE710" i="2"/>
  <c r="BC710" i="2"/>
  <c r="BA710" i="2"/>
  <c r="AY710" i="2"/>
  <c r="AW710" i="2"/>
  <c r="AU710" i="2"/>
  <c r="AS710" i="2"/>
  <c r="AP710" i="2"/>
  <c r="AN710" i="2"/>
  <c r="AL710" i="2"/>
  <c r="AJ710" i="2"/>
  <c r="AH710" i="2"/>
  <c r="AF710" i="2"/>
  <c r="AD710" i="2"/>
  <c r="AB710" i="2"/>
  <c r="Z710" i="2"/>
  <c r="X710" i="2"/>
  <c r="U710" i="2"/>
  <c r="S710" i="2"/>
  <c r="Q710" i="2"/>
  <c r="O710" i="2"/>
  <c r="M710" i="2"/>
  <c r="K710" i="2"/>
  <c r="I710" i="2"/>
  <c r="G710" i="2"/>
  <c r="E710" i="2"/>
  <c r="C710" i="2"/>
  <c r="BK709" i="2"/>
  <c r="BI709" i="2"/>
  <c r="BG709" i="2"/>
  <c r="BE709" i="2"/>
  <c r="BC709" i="2"/>
  <c r="BA709" i="2"/>
  <c r="AY709" i="2"/>
  <c r="AW709" i="2"/>
  <c r="AU709" i="2"/>
  <c r="AS709" i="2"/>
  <c r="AP709" i="2"/>
  <c r="AN709" i="2"/>
  <c r="AL709" i="2"/>
  <c r="AJ709" i="2"/>
  <c r="AH709" i="2"/>
  <c r="AF709" i="2"/>
  <c r="AD709" i="2"/>
  <c r="AB709" i="2"/>
  <c r="Z709" i="2"/>
  <c r="X709" i="2"/>
  <c r="U709" i="2"/>
  <c r="S709" i="2"/>
  <c r="Q709" i="2"/>
  <c r="O709" i="2"/>
  <c r="M709" i="2"/>
  <c r="K709" i="2"/>
  <c r="I709" i="2"/>
  <c r="G709" i="2"/>
  <c r="E709" i="2"/>
  <c r="C709" i="2"/>
  <c r="BK708" i="2"/>
  <c r="BI708" i="2"/>
  <c r="BG708" i="2"/>
  <c r="BE708" i="2"/>
  <c r="BC708" i="2"/>
  <c r="BA708" i="2"/>
  <c r="AY708" i="2"/>
  <c r="AW708" i="2"/>
  <c r="AU708" i="2"/>
  <c r="AS708" i="2"/>
  <c r="AP708" i="2"/>
  <c r="AN708" i="2"/>
  <c r="AL708" i="2"/>
  <c r="AJ708" i="2"/>
  <c r="AH708" i="2"/>
  <c r="AF708" i="2"/>
  <c r="AD708" i="2"/>
  <c r="AB708" i="2"/>
  <c r="Z708" i="2"/>
  <c r="X708" i="2"/>
  <c r="U708" i="2"/>
  <c r="S708" i="2"/>
  <c r="Q708" i="2"/>
  <c r="O708" i="2"/>
  <c r="M708" i="2"/>
  <c r="K708" i="2"/>
  <c r="I708" i="2"/>
  <c r="G708" i="2"/>
  <c r="E708" i="2"/>
  <c r="C708" i="2"/>
  <c r="BK707" i="2"/>
  <c r="BI707" i="2"/>
  <c r="BG707" i="2"/>
  <c r="BE707" i="2"/>
  <c r="BC707" i="2"/>
  <c r="BA707" i="2"/>
  <c r="AY707" i="2"/>
  <c r="AW707" i="2"/>
  <c r="AU707" i="2"/>
  <c r="AS707" i="2"/>
  <c r="AP707" i="2"/>
  <c r="AN707" i="2"/>
  <c r="AL707" i="2"/>
  <c r="AJ707" i="2"/>
  <c r="AH707" i="2"/>
  <c r="AF707" i="2"/>
  <c r="AD707" i="2"/>
  <c r="AB707" i="2"/>
  <c r="Z707" i="2"/>
  <c r="X707" i="2"/>
  <c r="U707" i="2"/>
  <c r="S707" i="2"/>
  <c r="Q707" i="2"/>
  <c r="O707" i="2"/>
  <c r="M707" i="2"/>
  <c r="K707" i="2"/>
  <c r="I707" i="2"/>
  <c r="G707" i="2"/>
  <c r="E707" i="2"/>
  <c r="C707" i="2"/>
  <c r="BK706" i="2"/>
  <c r="BI706" i="2"/>
  <c r="BG706" i="2"/>
  <c r="BE706" i="2"/>
  <c r="BC706" i="2"/>
  <c r="BA706" i="2"/>
  <c r="AY706" i="2"/>
  <c r="AW706" i="2"/>
  <c r="AU706" i="2"/>
  <c r="AS706" i="2"/>
  <c r="AP706" i="2"/>
  <c r="AN706" i="2"/>
  <c r="AL706" i="2"/>
  <c r="AJ706" i="2"/>
  <c r="AH706" i="2"/>
  <c r="AF706" i="2"/>
  <c r="AD706" i="2"/>
  <c r="AB706" i="2"/>
  <c r="Z706" i="2"/>
  <c r="X706" i="2"/>
  <c r="U706" i="2"/>
  <c r="S706" i="2"/>
  <c r="Q706" i="2"/>
  <c r="O706" i="2"/>
  <c r="M706" i="2"/>
  <c r="K706" i="2"/>
  <c r="I706" i="2"/>
  <c r="G706" i="2"/>
  <c r="E706" i="2"/>
  <c r="C706" i="2"/>
  <c r="BK705" i="2"/>
  <c r="BI705" i="2"/>
  <c r="BG705" i="2"/>
  <c r="BE705" i="2"/>
  <c r="BC705" i="2"/>
  <c r="BA705" i="2"/>
  <c r="AY705" i="2"/>
  <c r="AW705" i="2"/>
  <c r="AU705" i="2"/>
  <c r="AS705" i="2"/>
  <c r="AP705" i="2"/>
  <c r="AN705" i="2"/>
  <c r="AL705" i="2"/>
  <c r="AJ705" i="2"/>
  <c r="AH705" i="2"/>
  <c r="AF705" i="2"/>
  <c r="AD705" i="2"/>
  <c r="AB705" i="2"/>
  <c r="Z705" i="2"/>
  <c r="X705" i="2"/>
  <c r="U705" i="2"/>
  <c r="S705" i="2"/>
  <c r="Q705" i="2"/>
  <c r="O705" i="2"/>
  <c r="M705" i="2"/>
  <c r="K705" i="2"/>
  <c r="I705" i="2"/>
  <c r="G705" i="2"/>
  <c r="E705" i="2"/>
  <c r="C705" i="2"/>
  <c r="BK704" i="2"/>
  <c r="BI704" i="2"/>
  <c r="BG704" i="2"/>
  <c r="BE704" i="2"/>
  <c r="BC704" i="2"/>
  <c r="BA704" i="2"/>
  <c r="AY704" i="2"/>
  <c r="AW704" i="2"/>
  <c r="AU704" i="2"/>
  <c r="AS704" i="2"/>
  <c r="AP704" i="2"/>
  <c r="AN704" i="2"/>
  <c r="AL704" i="2"/>
  <c r="AJ704" i="2"/>
  <c r="AH704" i="2"/>
  <c r="AF704" i="2"/>
  <c r="AD704" i="2"/>
  <c r="AB704" i="2"/>
  <c r="Z704" i="2"/>
  <c r="X704" i="2"/>
  <c r="U704" i="2"/>
  <c r="S704" i="2"/>
  <c r="Q704" i="2"/>
  <c r="O704" i="2"/>
  <c r="M704" i="2"/>
  <c r="K704" i="2"/>
  <c r="I704" i="2"/>
  <c r="G704" i="2"/>
  <c r="E704" i="2"/>
  <c r="C704" i="2"/>
  <c r="BK703" i="2"/>
  <c r="BI703" i="2"/>
  <c r="BG703" i="2"/>
  <c r="BE703" i="2"/>
  <c r="BC703" i="2"/>
  <c r="BA703" i="2"/>
  <c r="AY703" i="2"/>
  <c r="AW703" i="2"/>
  <c r="AU703" i="2"/>
  <c r="AS703" i="2"/>
  <c r="AP703" i="2"/>
  <c r="AN703" i="2"/>
  <c r="AL703" i="2"/>
  <c r="AJ703" i="2"/>
  <c r="AH703" i="2"/>
  <c r="AF703" i="2"/>
  <c r="AD703" i="2"/>
  <c r="AB703" i="2"/>
  <c r="Z703" i="2"/>
  <c r="X703" i="2"/>
  <c r="U703" i="2"/>
  <c r="S703" i="2"/>
  <c r="Q703" i="2"/>
  <c r="O703" i="2"/>
  <c r="M703" i="2"/>
  <c r="K703" i="2"/>
  <c r="I703" i="2"/>
  <c r="G703" i="2"/>
  <c r="E703" i="2"/>
  <c r="C703" i="2"/>
  <c r="BK702" i="2"/>
  <c r="BI702" i="2"/>
  <c r="BG702" i="2"/>
  <c r="BE702" i="2"/>
  <c r="BC702" i="2"/>
  <c r="BA702" i="2"/>
  <c r="AY702" i="2"/>
  <c r="AW702" i="2"/>
  <c r="AU702" i="2"/>
  <c r="AS702" i="2"/>
  <c r="AP702" i="2"/>
  <c r="AN702" i="2"/>
  <c r="AL702" i="2"/>
  <c r="AJ702" i="2"/>
  <c r="AH702" i="2"/>
  <c r="AF702" i="2"/>
  <c r="AD702" i="2"/>
  <c r="AB702" i="2"/>
  <c r="Z702" i="2"/>
  <c r="X702" i="2"/>
  <c r="U702" i="2"/>
  <c r="S702" i="2"/>
  <c r="Q702" i="2"/>
  <c r="O702" i="2"/>
  <c r="M702" i="2"/>
  <c r="K702" i="2"/>
  <c r="I702" i="2"/>
  <c r="G702" i="2"/>
  <c r="E702" i="2"/>
  <c r="C702" i="2"/>
  <c r="BK701" i="2"/>
  <c r="BI701" i="2"/>
  <c r="BG701" i="2"/>
  <c r="BE701" i="2"/>
  <c r="BC701" i="2"/>
  <c r="BA701" i="2"/>
  <c r="AY701" i="2"/>
  <c r="AW701" i="2"/>
  <c r="AU701" i="2"/>
  <c r="AS701" i="2"/>
  <c r="AP701" i="2"/>
  <c r="AN701" i="2"/>
  <c r="AL701" i="2"/>
  <c r="AJ701" i="2"/>
  <c r="AH701" i="2"/>
  <c r="AF701" i="2"/>
  <c r="AD701" i="2"/>
  <c r="AB701" i="2"/>
  <c r="Z701" i="2"/>
  <c r="X701" i="2"/>
  <c r="U701" i="2"/>
  <c r="S701" i="2"/>
  <c r="Q701" i="2"/>
  <c r="O701" i="2"/>
  <c r="M701" i="2"/>
  <c r="K701" i="2"/>
  <c r="I701" i="2"/>
  <c r="G701" i="2"/>
  <c r="E701" i="2"/>
  <c r="C701" i="2"/>
  <c r="BK700" i="2"/>
  <c r="BI700" i="2"/>
  <c r="BG700" i="2"/>
  <c r="BE700" i="2"/>
  <c r="BC700" i="2"/>
  <c r="BA700" i="2"/>
  <c r="AY700" i="2"/>
  <c r="AW700" i="2"/>
  <c r="AU700" i="2"/>
  <c r="AS700" i="2"/>
  <c r="AP700" i="2"/>
  <c r="AN700" i="2"/>
  <c r="AL700" i="2"/>
  <c r="AJ700" i="2"/>
  <c r="AH700" i="2"/>
  <c r="AF700" i="2"/>
  <c r="AD700" i="2"/>
  <c r="AB700" i="2"/>
  <c r="Z700" i="2"/>
  <c r="X700" i="2"/>
  <c r="U700" i="2"/>
  <c r="S700" i="2"/>
  <c r="Q700" i="2"/>
  <c r="O700" i="2"/>
  <c r="M700" i="2"/>
  <c r="K700" i="2"/>
  <c r="I700" i="2"/>
  <c r="G700" i="2"/>
  <c r="E700" i="2"/>
  <c r="C700" i="2"/>
  <c r="BK699" i="2"/>
  <c r="BI699" i="2"/>
  <c r="BG699" i="2"/>
  <c r="BE699" i="2"/>
  <c r="BC699" i="2"/>
  <c r="BA699" i="2"/>
  <c r="AY699" i="2"/>
  <c r="AW699" i="2"/>
  <c r="AU699" i="2"/>
  <c r="AS699" i="2"/>
  <c r="AP699" i="2"/>
  <c r="AN699" i="2"/>
  <c r="AL699" i="2"/>
  <c r="AJ699" i="2"/>
  <c r="AH699" i="2"/>
  <c r="AF699" i="2"/>
  <c r="AD699" i="2"/>
  <c r="AB699" i="2"/>
  <c r="Z699" i="2"/>
  <c r="X699" i="2"/>
  <c r="U699" i="2"/>
  <c r="S699" i="2"/>
  <c r="Q699" i="2"/>
  <c r="O699" i="2"/>
  <c r="M699" i="2"/>
  <c r="K699" i="2"/>
  <c r="I699" i="2"/>
  <c r="G699" i="2"/>
  <c r="E699" i="2"/>
  <c r="C699" i="2"/>
  <c r="BK698" i="2"/>
  <c r="BI698" i="2"/>
  <c r="BG698" i="2"/>
  <c r="BE698" i="2"/>
  <c r="BC698" i="2"/>
  <c r="BA698" i="2"/>
  <c r="AY698" i="2"/>
  <c r="AW698" i="2"/>
  <c r="AU698" i="2"/>
  <c r="AS698" i="2"/>
  <c r="AP698" i="2"/>
  <c r="AN698" i="2"/>
  <c r="AL698" i="2"/>
  <c r="AJ698" i="2"/>
  <c r="AH698" i="2"/>
  <c r="AF698" i="2"/>
  <c r="AD698" i="2"/>
  <c r="AB698" i="2"/>
  <c r="Z698" i="2"/>
  <c r="X698" i="2"/>
  <c r="U698" i="2"/>
  <c r="S698" i="2"/>
  <c r="Q698" i="2"/>
  <c r="O698" i="2"/>
  <c r="M698" i="2"/>
  <c r="K698" i="2"/>
  <c r="I698" i="2"/>
  <c r="G698" i="2"/>
  <c r="E698" i="2"/>
  <c r="C698" i="2"/>
  <c r="A698" i="2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BK697" i="2"/>
  <c r="BI697" i="2"/>
  <c r="BG697" i="2"/>
  <c r="BE697" i="2"/>
  <c r="BC697" i="2"/>
  <c r="BA697" i="2"/>
  <c r="AY697" i="2"/>
  <c r="AW697" i="2"/>
  <c r="AU697" i="2"/>
  <c r="AS697" i="2"/>
  <c r="AP697" i="2"/>
  <c r="AN697" i="2"/>
  <c r="AL697" i="2"/>
  <c r="AJ697" i="2"/>
  <c r="AH697" i="2"/>
  <c r="AF697" i="2"/>
  <c r="AD697" i="2"/>
  <c r="AB697" i="2"/>
  <c r="Z697" i="2"/>
  <c r="X697" i="2"/>
  <c r="U697" i="2"/>
  <c r="S697" i="2"/>
  <c r="Q697" i="2"/>
  <c r="O697" i="2"/>
  <c r="M697" i="2"/>
  <c r="K697" i="2"/>
  <c r="I697" i="2"/>
  <c r="G697" i="2"/>
  <c r="E697" i="2"/>
  <c r="C697" i="2"/>
  <c r="A697" i="2"/>
  <c r="BK696" i="2"/>
  <c r="BI696" i="2"/>
  <c r="BG696" i="2"/>
  <c r="BE696" i="2"/>
  <c r="BC696" i="2"/>
  <c r="BA696" i="2"/>
  <c r="AY696" i="2"/>
  <c r="AW696" i="2"/>
  <c r="AU696" i="2"/>
  <c r="AS696" i="2"/>
  <c r="AP696" i="2"/>
  <c r="AN696" i="2"/>
  <c r="AL696" i="2"/>
  <c r="AJ696" i="2"/>
  <c r="AH696" i="2"/>
  <c r="AF696" i="2"/>
  <c r="AD696" i="2"/>
  <c r="AB696" i="2"/>
  <c r="Z696" i="2"/>
  <c r="X696" i="2"/>
  <c r="U696" i="2"/>
  <c r="S696" i="2"/>
  <c r="Q696" i="2"/>
  <c r="O696" i="2"/>
  <c r="M696" i="2"/>
  <c r="K696" i="2"/>
  <c r="I696" i="2"/>
  <c r="G696" i="2"/>
  <c r="E696" i="2"/>
  <c r="C696" i="2"/>
  <c r="BK695" i="2"/>
  <c r="BI695" i="2"/>
  <c r="BG695" i="2"/>
  <c r="BE695" i="2"/>
  <c r="BC695" i="2"/>
  <c r="BA695" i="2"/>
  <c r="AY695" i="2"/>
  <c r="AW695" i="2"/>
  <c r="AU695" i="2"/>
  <c r="AS695" i="2"/>
  <c r="AP695" i="2"/>
  <c r="AN695" i="2"/>
  <c r="AL695" i="2"/>
  <c r="AJ695" i="2"/>
  <c r="AH695" i="2"/>
  <c r="AF695" i="2"/>
  <c r="AD695" i="2"/>
  <c r="AB695" i="2"/>
  <c r="Z695" i="2"/>
  <c r="X695" i="2"/>
  <c r="U695" i="2"/>
  <c r="S695" i="2"/>
  <c r="Q695" i="2"/>
  <c r="O695" i="2"/>
  <c r="M695" i="2"/>
  <c r="K695" i="2"/>
  <c r="I695" i="2"/>
  <c r="G695" i="2"/>
  <c r="E695" i="2"/>
  <c r="C695" i="2"/>
  <c r="BK694" i="2"/>
  <c r="BI694" i="2"/>
  <c r="BG694" i="2"/>
  <c r="BE694" i="2"/>
  <c r="BC694" i="2"/>
  <c r="BA694" i="2"/>
  <c r="AY694" i="2"/>
  <c r="AW694" i="2"/>
  <c r="AU694" i="2"/>
  <c r="AS694" i="2"/>
  <c r="AP694" i="2"/>
  <c r="AN694" i="2"/>
  <c r="AL694" i="2"/>
  <c r="AJ694" i="2"/>
  <c r="AH694" i="2"/>
  <c r="AF694" i="2"/>
  <c r="AD694" i="2"/>
  <c r="AB694" i="2"/>
  <c r="Z694" i="2"/>
  <c r="X694" i="2"/>
  <c r="U694" i="2"/>
  <c r="S694" i="2"/>
  <c r="Q694" i="2"/>
  <c r="O694" i="2"/>
  <c r="M694" i="2"/>
  <c r="K694" i="2"/>
  <c r="I694" i="2"/>
  <c r="G694" i="2"/>
  <c r="E694" i="2"/>
  <c r="C694" i="2"/>
  <c r="BK693" i="2"/>
  <c r="BI693" i="2"/>
  <c r="BG693" i="2"/>
  <c r="BE693" i="2"/>
  <c r="BC693" i="2"/>
  <c r="BA693" i="2"/>
  <c r="AY693" i="2"/>
  <c r="AW693" i="2"/>
  <c r="AU693" i="2"/>
  <c r="AS693" i="2"/>
  <c r="AP693" i="2"/>
  <c r="AN693" i="2"/>
  <c r="AL693" i="2"/>
  <c r="AJ693" i="2"/>
  <c r="AH693" i="2"/>
  <c r="AF693" i="2"/>
  <c r="AD693" i="2"/>
  <c r="AB693" i="2"/>
  <c r="Z693" i="2"/>
  <c r="X693" i="2"/>
  <c r="U693" i="2"/>
  <c r="S693" i="2"/>
  <c r="Q693" i="2"/>
  <c r="O693" i="2"/>
  <c r="M693" i="2"/>
  <c r="K693" i="2"/>
  <c r="I693" i="2"/>
  <c r="G693" i="2"/>
  <c r="E693" i="2"/>
  <c r="C693" i="2"/>
  <c r="BK692" i="2"/>
  <c r="BI692" i="2"/>
  <c r="BG692" i="2"/>
  <c r="BE692" i="2"/>
  <c r="BC692" i="2"/>
  <c r="BA692" i="2"/>
  <c r="AY692" i="2"/>
  <c r="AW692" i="2"/>
  <c r="AU692" i="2"/>
  <c r="AS692" i="2"/>
  <c r="AP692" i="2"/>
  <c r="AN692" i="2"/>
  <c r="AL692" i="2"/>
  <c r="AJ692" i="2"/>
  <c r="AH692" i="2"/>
  <c r="AF692" i="2"/>
  <c r="AD692" i="2"/>
  <c r="AB692" i="2"/>
  <c r="Z692" i="2"/>
  <c r="X692" i="2"/>
  <c r="U692" i="2"/>
  <c r="S692" i="2"/>
  <c r="Q692" i="2"/>
  <c r="O692" i="2"/>
  <c r="M692" i="2"/>
  <c r="K692" i="2"/>
  <c r="I692" i="2"/>
  <c r="G692" i="2"/>
  <c r="E692" i="2"/>
  <c r="C692" i="2"/>
  <c r="BK691" i="2"/>
  <c r="BI691" i="2"/>
  <c r="BG691" i="2"/>
  <c r="BE691" i="2"/>
  <c r="BC691" i="2"/>
  <c r="BA691" i="2"/>
  <c r="AY691" i="2"/>
  <c r="AW691" i="2"/>
  <c r="AU691" i="2"/>
  <c r="AS691" i="2"/>
  <c r="AP691" i="2"/>
  <c r="AN691" i="2"/>
  <c r="AL691" i="2"/>
  <c r="AJ691" i="2"/>
  <c r="AH691" i="2"/>
  <c r="AF691" i="2"/>
  <c r="AD691" i="2"/>
  <c r="AB691" i="2"/>
  <c r="Z691" i="2"/>
  <c r="X691" i="2"/>
  <c r="U691" i="2"/>
  <c r="S691" i="2"/>
  <c r="Q691" i="2"/>
  <c r="O691" i="2"/>
  <c r="M691" i="2"/>
  <c r="K691" i="2"/>
  <c r="I691" i="2"/>
  <c r="G691" i="2"/>
  <c r="E691" i="2"/>
  <c r="C691" i="2"/>
  <c r="BK690" i="2"/>
  <c r="BI690" i="2"/>
  <c r="BG690" i="2"/>
  <c r="BE690" i="2"/>
  <c r="BC690" i="2"/>
  <c r="BA690" i="2"/>
  <c r="AY690" i="2"/>
  <c r="AW690" i="2"/>
  <c r="AU690" i="2"/>
  <c r="AS690" i="2"/>
  <c r="AP690" i="2"/>
  <c r="AN690" i="2"/>
  <c r="AL690" i="2"/>
  <c r="AJ690" i="2"/>
  <c r="AH690" i="2"/>
  <c r="AF690" i="2"/>
  <c r="AD690" i="2"/>
  <c r="AB690" i="2"/>
  <c r="Z690" i="2"/>
  <c r="X690" i="2"/>
  <c r="U690" i="2"/>
  <c r="S690" i="2"/>
  <c r="Q690" i="2"/>
  <c r="O690" i="2"/>
  <c r="M690" i="2"/>
  <c r="K690" i="2"/>
  <c r="I690" i="2"/>
  <c r="G690" i="2"/>
  <c r="E690" i="2"/>
  <c r="C690" i="2"/>
  <c r="BK689" i="2"/>
  <c r="BI689" i="2"/>
  <c r="BG689" i="2"/>
  <c r="BE689" i="2"/>
  <c r="BC689" i="2"/>
  <c r="BA689" i="2"/>
  <c r="AY689" i="2"/>
  <c r="AW689" i="2"/>
  <c r="AU689" i="2"/>
  <c r="AS689" i="2"/>
  <c r="AP689" i="2"/>
  <c r="AN689" i="2"/>
  <c r="AL689" i="2"/>
  <c r="AJ689" i="2"/>
  <c r="AH689" i="2"/>
  <c r="AF689" i="2"/>
  <c r="AD689" i="2"/>
  <c r="AB689" i="2"/>
  <c r="Z689" i="2"/>
  <c r="X689" i="2"/>
  <c r="U689" i="2"/>
  <c r="S689" i="2"/>
  <c r="Q689" i="2"/>
  <c r="O689" i="2"/>
  <c r="M689" i="2"/>
  <c r="K689" i="2"/>
  <c r="I689" i="2"/>
  <c r="G689" i="2"/>
  <c r="E689" i="2"/>
  <c r="C689" i="2"/>
  <c r="BK688" i="2"/>
  <c r="BI688" i="2"/>
  <c r="BG688" i="2"/>
  <c r="BE688" i="2"/>
  <c r="BC688" i="2"/>
  <c r="BA688" i="2"/>
  <c r="AY688" i="2"/>
  <c r="AW688" i="2"/>
  <c r="AU688" i="2"/>
  <c r="AS688" i="2"/>
  <c r="AP688" i="2"/>
  <c r="AN688" i="2"/>
  <c r="AL688" i="2"/>
  <c r="AJ688" i="2"/>
  <c r="AH688" i="2"/>
  <c r="AF688" i="2"/>
  <c r="AD688" i="2"/>
  <c r="AB688" i="2"/>
  <c r="Z688" i="2"/>
  <c r="X688" i="2"/>
  <c r="U688" i="2"/>
  <c r="S688" i="2"/>
  <c r="Q688" i="2"/>
  <c r="O688" i="2"/>
  <c r="M688" i="2"/>
  <c r="K688" i="2"/>
  <c r="I688" i="2"/>
  <c r="G688" i="2"/>
  <c r="E688" i="2"/>
  <c r="C688" i="2"/>
  <c r="BK687" i="2"/>
  <c r="BI687" i="2"/>
  <c r="BG687" i="2"/>
  <c r="BE687" i="2"/>
  <c r="BC687" i="2"/>
  <c r="BA687" i="2"/>
  <c r="AY687" i="2"/>
  <c r="AW687" i="2"/>
  <c r="AU687" i="2"/>
  <c r="AS687" i="2"/>
  <c r="AP687" i="2"/>
  <c r="AN687" i="2"/>
  <c r="AL687" i="2"/>
  <c r="AJ687" i="2"/>
  <c r="AH687" i="2"/>
  <c r="AF687" i="2"/>
  <c r="AD687" i="2"/>
  <c r="AB687" i="2"/>
  <c r="Z687" i="2"/>
  <c r="X687" i="2"/>
  <c r="U687" i="2"/>
  <c r="S687" i="2"/>
  <c r="Q687" i="2"/>
  <c r="O687" i="2"/>
  <c r="M687" i="2"/>
  <c r="K687" i="2"/>
  <c r="I687" i="2"/>
  <c r="G687" i="2"/>
  <c r="E687" i="2"/>
  <c r="C687" i="2"/>
  <c r="A687" i="2"/>
  <c r="A688" i="2" s="1"/>
  <c r="A689" i="2" s="1"/>
  <c r="A690" i="2" s="1"/>
  <c r="A691" i="2" s="1"/>
  <c r="A692" i="2" s="1"/>
  <c r="A693" i="2" s="1"/>
  <c r="A694" i="2" s="1"/>
  <c r="A695" i="2" s="1"/>
  <c r="BK686" i="2"/>
  <c r="BI686" i="2"/>
  <c r="BG686" i="2"/>
  <c r="BE686" i="2"/>
  <c r="BC686" i="2"/>
  <c r="BA686" i="2"/>
  <c r="AY686" i="2"/>
  <c r="AW686" i="2"/>
  <c r="AU686" i="2"/>
  <c r="AS686" i="2"/>
  <c r="AP686" i="2"/>
  <c r="AN686" i="2"/>
  <c r="AL686" i="2"/>
  <c r="AJ686" i="2"/>
  <c r="AH686" i="2"/>
  <c r="AF686" i="2"/>
  <c r="AD686" i="2"/>
  <c r="AB686" i="2"/>
  <c r="Z686" i="2"/>
  <c r="X686" i="2"/>
  <c r="U686" i="2"/>
  <c r="S686" i="2"/>
  <c r="Q686" i="2"/>
  <c r="O686" i="2"/>
  <c r="M686" i="2"/>
  <c r="K686" i="2"/>
  <c r="I686" i="2"/>
  <c r="G686" i="2"/>
  <c r="E686" i="2"/>
  <c r="C686" i="2"/>
  <c r="BK685" i="2"/>
  <c r="BI685" i="2"/>
  <c r="BG685" i="2"/>
  <c r="BE685" i="2"/>
  <c r="BC685" i="2"/>
  <c r="BA685" i="2"/>
  <c r="AY685" i="2"/>
  <c r="AW685" i="2"/>
  <c r="AU685" i="2"/>
  <c r="AS685" i="2"/>
  <c r="AP685" i="2"/>
  <c r="AN685" i="2"/>
  <c r="AL685" i="2"/>
  <c r="AJ685" i="2"/>
  <c r="AH685" i="2"/>
  <c r="AF685" i="2"/>
  <c r="AD685" i="2"/>
  <c r="AB685" i="2"/>
  <c r="Z685" i="2"/>
  <c r="X685" i="2"/>
  <c r="U685" i="2"/>
  <c r="S685" i="2"/>
  <c r="Q685" i="2"/>
  <c r="O685" i="2"/>
  <c r="M685" i="2"/>
  <c r="K685" i="2"/>
  <c r="I685" i="2"/>
  <c r="G685" i="2"/>
  <c r="E685" i="2"/>
  <c r="C685" i="2"/>
  <c r="BK684" i="2"/>
  <c r="BI684" i="2"/>
  <c r="BG684" i="2"/>
  <c r="BE684" i="2"/>
  <c r="BC684" i="2"/>
  <c r="BA684" i="2"/>
  <c r="AY684" i="2"/>
  <c r="AW684" i="2"/>
  <c r="AU684" i="2"/>
  <c r="AS684" i="2"/>
  <c r="AP684" i="2"/>
  <c r="AN684" i="2"/>
  <c r="AL684" i="2"/>
  <c r="AJ684" i="2"/>
  <c r="AH684" i="2"/>
  <c r="AF684" i="2"/>
  <c r="AD684" i="2"/>
  <c r="AB684" i="2"/>
  <c r="Z684" i="2"/>
  <c r="X684" i="2"/>
  <c r="U684" i="2"/>
  <c r="S684" i="2"/>
  <c r="Q684" i="2"/>
  <c r="O684" i="2"/>
  <c r="M684" i="2"/>
  <c r="K684" i="2"/>
  <c r="I684" i="2"/>
  <c r="G684" i="2"/>
  <c r="E684" i="2"/>
  <c r="C684" i="2"/>
  <c r="BK683" i="2"/>
  <c r="BI683" i="2"/>
  <c r="BG683" i="2"/>
  <c r="BE683" i="2"/>
  <c r="BC683" i="2"/>
  <c r="BA683" i="2"/>
  <c r="AY683" i="2"/>
  <c r="AW683" i="2"/>
  <c r="AU683" i="2"/>
  <c r="AS683" i="2"/>
  <c r="AP683" i="2"/>
  <c r="AN683" i="2"/>
  <c r="AL683" i="2"/>
  <c r="AJ683" i="2"/>
  <c r="AH683" i="2"/>
  <c r="AF683" i="2"/>
  <c r="AD683" i="2"/>
  <c r="AB683" i="2"/>
  <c r="Z683" i="2"/>
  <c r="X683" i="2"/>
  <c r="U683" i="2"/>
  <c r="S683" i="2"/>
  <c r="Q683" i="2"/>
  <c r="O683" i="2"/>
  <c r="M683" i="2"/>
  <c r="K683" i="2"/>
  <c r="I683" i="2"/>
  <c r="G683" i="2"/>
  <c r="E683" i="2"/>
  <c r="C683" i="2"/>
  <c r="BK682" i="2"/>
  <c r="BI682" i="2"/>
  <c r="BG682" i="2"/>
  <c r="BE682" i="2"/>
  <c r="BC682" i="2"/>
  <c r="BA682" i="2"/>
  <c r="AY682" i="2"/>
  <c r="AW682" i="2"/>
  <c r="AU682" i="2"/>
  <c r="AS682" i="2"/>
  <c r="AP682" i="2"/>
  <c r="AN682" i="2"/>
  <c r="AL682" i="2"/>
  <c r="AJ682" i="2"/>
  <c r="AH682" i="2"/>
  <c r="AF682" i="2"/>
  <c r="AD682" i="2"/>
  <c r="AB682" i="2"/>
  <c r="Z682" i="2"/>
  <c r="X682" i="2"/>
  <c r="U682" i="2"/>
  <c r="S682" i="2"/>
  <c r="Q682" i="2"/>
  <c r="O682" i="2"/>
  <c r="M682" i="2"/>
  <c r="K682" i="2"/>
  <c r="I682" i="2"/>
  <c r="G682" i="2"/>
  <c r="E682" i="2"/>
  <c r="C682" i="2"/>
  <c r="BK681" i="2"/>
  <c r="BI681" i="2"/>
  <c r="BG681" i="2"/>
  <c r="BE681" i="2"/>
  <c r="BC681" i="2"/>
  <c r="BA681" i="2"/>
  <c r="AY681" i="2"/>
  <c r="AW681" i="2"/>
  <c r="AU681" i="2"/>
  <c r="AS681" i="2"/>
  <c r="AP681" i="2"/>
  <c r="AN681" i="2"/>
  <c r="AL681" i="2"/>
  <c r="AJ681" i="2"/>
  <c r="AH681" i="2"/>
  <c r="AF681" i="2"/>
  <c r="AD681" i="2"/>
  <c r="AB681" i="2"/>
  <c r="Z681" i="2"/>
  <c r="X681" i="2"/>
  <c r="U681" i="2"/>
  <c r="S681" i="2"/>
  <c r="Q681" i="2"/>
  <c r="O681" i="2"/>
  <c r="M681" i="2"/>
  <c r="K681" i="2"/>
  <c r="I681" i="2"/>
  <c r="G681" i="2"/>
  <c r="E681" i="2"/>
  <c r="C681" i="2"/>
  <c r="BK680" i="2"/>
  <c r="BI680" i="2"/>
  <c r="BG680" i="2"/>
  <c r="BE680" i="2"/>
  <c r="BC680" i="2"/>
  <c r="BA680" i="2"/>
  <c r="AY680" i="2"/>
  <c r="AW680" i="2"/>
  <c r="AU680" i="2"/>
  <c r="AS680" i="2"/>
  <c r="AP680" i="2"/>
  <c r="AN680" i="2"/>
  <c r="AL680" i="2"/>
  <c r="AJ680" i="2"/>
  <c r="AH680" i="2"/>
  <c r="AF680" i="2"/>
  <c r="AD680" i="2"/>
  <c r="AB680" i="2"/>
  <c r="Z680" i="2"/>
  <c r="X680" i="2"/>
  <c r="U680" i="2"/>
  <c r="S680" i="2"/>
  <c r="Q680" i="2"/>
  <c r="O680" i="2"/>
  <c r="M680" i="2"/>
  <c r="K680" i="2"/>
  <c r="I680" i="2"/>
  <c r="G680" i="2"/>
  <c r="E680" i="2"/>
  <c r="C680" i="2"/>
  <c r="BK679" i="2"/>
  <c r="BI679" i="2"/>
  <c r="BG679" i="2"/>
  <c r="BE679" i="2"/>
  <c r="BC679" i="2"/>
  <c r="BA679" i="2"/>
  <c r="AY679" i="2"/>
  <c r="AW679" i="2"/>
  <c r="AU679" i="2"/>
  <c r="AS679" i="2"/>
  <c r="AP679" i="2"/>
  <c r="AN679" i="2"/>
  <c r="AL679" i="2"/>
  <c r="AJ679" i="2"/>
  <c r="AH679" i="2"/>
  <c r="AF679" i="2"/>
  <c r="AD679" i="2"/>
  <c r="AB679" i="2"/>
  <c r="Z679" i="2"/>
  <c r="X679" i="2"/>
  <c r="U679" i="2"/>
  <c r="S679" i="2"/>
  <c r="Q679" i="2"/>
  <c r="O679" i="2"/>
  <c r="M679" i="2"/>
  <c r="K679" i="2"/>
  <c r="I679" i="2"/>
  <c r="G679" i="2"/>
  <c r="E679" i="2"/>
  <c r="C679" i="2"/>
  <c r="BI678" i="2"/>
  <c r="BG678" i="2"/>
  <c r="BC678" i="2"/>
  <c r="BA678" i="2"/>
  <c r="AW678" i="2"/>
  <c r="AU678" i="2"/>
  <c r="AS678" i="2"/>
  <c r="AP678" i="2"/>
  <c r="AN678" i="2"/>
  <c r="AL678" i="2"/>
  <c r="AJ678" i="2"/>
  <c r="AH678" i="2"/>
  <c r="AF678" i="2"/>
  <c r="AD678" i="2"/>
  <c r="AB678" i="2"/>
  <c r="Z678" i="2"/>
  <c r="X678" i="2"/>
  <c r="U678" i="2"/>
  <c r="S678" i="2"/>
  <c r="Q678" i="2"/>
  <c r="O678" i="2"/>
  <c r="M678" i="2"/>
  <c r="K678" i="2"/>
  <c r="I678" i="2"/>
  <c r="G678" i="2"/>
  <c r="E678" i="2"/>
  <c r="C678" i="2"/>
  <c r="BJ677" i="2"/>
  <c r="BK678" i="2" s="1"/>
  <c r="BI677" i="2"/>
  <c r="BG677" i="2"/>
  <c r="BD677" i="2"/>
  <c r="BC677" i="2"/>
  <c r="BA677" i="2"/>
  <c r="AX677" i="2"/>
  <c r="AW677" i="2"/>
  <c r="AU677" i="2"/>
  <c r="AS677" i="2"/>
  <c r="AP677" i="2"/>
  <c r="AN677" i="2"/>
  <c r="AL677" i="2"/>
  <c r="AJ677" i="2"/>
  <c r="AH677" i="2"/>
  <c r="AF677" i="2"/>
  <c r="AD677" i="2"/>
  <c r="AB677" i="2"/>
  <c r="Z677" i="2"/>
  <c r="X677" i="2"/>
  <c r="U677" i="2"/>
  <c r="S677" i="2"/>
  <c r="Q677" i="2"/>
  <c r="O677" i="2"/>
  <c r="M677" i="2"/>
  <c r="K677" i="2"/>
  <c r="I677" i="2"/>
  <c r="G677" i="2"/>
  <c r="E677" i="2"/>
  <c r="C677" i="2"/>
  <c r="BJ676" i="2"/>
  <c r="BI676" i="2"/>
  <c r="BG676" i="2"/>
  <c r="BD676" i="2"/>
  <c r="BE676" i="2" s="1"/>
  <c r="BC676" i="2"/>
  <c r="BA676" i="2"/>
  <c r="AX676" i="2"/>
  <c r="AW676" i="2"/>
  <c r="AU676" i="2"/>
  <c r="AS676" i="2"/>
  <c r="AP676" i="2"/>
  <c r="AN676" i="2"/>
  <c r="AL676" i="2"/>
  <c r="AJ676" i="2"/>
  <c r="AH676" i="2"/>
  <c r="AF676" i="2"/>
  <c r="AD676" i="2"/>
  <c r="AB676" i="2"/>
  <c r="Z676" i="2"/>
  <c r="X676" i="2"/>
  <c r="U676" i="2"/>
  <c r="S676" i="2"/>
  <c r="Q676" i="2"/>
  <c r="O676" i="2"/>
  <c r="M676" i="2"/>
  <c r="K676" i="2"/>
  <c r="I676" i="2"/>
  <c r="G676" i="2"/>
  <c r="E676" i="2"/>
  <c r="C676" i="2"/>
  <c r="BJ675" i="2"/>
  <c r="BI675" i="2"/>
  <c r="BG675" i="2"/>
  <c r="BD675" i="2"/>
  <c r="BC675" i="2"/>
  <c r="BA675" i="2"/>
  <c r="AX675" i="2"/>
  <c r="AW675" i="2"/>
  <c r="AU675" i="2"/>
  <c r="AS675" i="2"/>
  <c r="AP675" i="2"/>
  <c r="AN675" i="2"/>
  <c r="AL675" i="2"/>
  <c r="AJ675" i="2"/>
  <c r="AH675" i="2"/>
  <c r="AF675" i="2"/>
  <c r="AD675" i="2"/>
  <c r="AB675" i="2"/>
  <c r="Z675" i="2"/>
  <c r="X675" i="2"/>
  <c r="U675" i="2"/>
  <c r="S675" i="2"/>
  <c r="Q675" i="2"/>
  <c r="O675" i="2"/>
  <c r="M675" i="2"/>
  <c r="K675" i="2"/>
  <c r="I675" i="2"/>
  <c r="G675" i="2"/>
  <c r="E675" i="2"/>
  <c r="C675" i="2"/>
  <c r="BJ674" i="2"/>
  <c r="BK675" i="2" s="1"/>
  <c r="BI674" i="2"/>
  <c r="BG674" i="2"/>
  <c r="BD674" i="2"/>
  <c r="BC674" i="2"/>
  <c r="BA674" i="2"/>
  <c r="AX674" i="2"/>
  <c r="AW674" i="2"/>
  <c r="AU674" i="2"/>
  <c r="AS674" i="2"/>
  <c r="AP674" i="2"/>
  <c r="AN674" i="2"/>
  <c r="AL674" i="2"/>
  <c r="AJ674" i="2"/>
  <c r="AH674" i="2"/>
  <c r="AF674" i="2"/>
  <c r="AD674" i="2"/>
  <c r="AB674" i="2"/>
  <c r="Z674" i="2"/>
  <c r="X674" i="2"/>
  <c r="U674" i="2"/>
  <c r="S674" i="2"/>
  <c r="Q674" i="2"/>
  <c r="O674" i="2"/>
  <c r="M674" i="2"/>
  <c r="K674" i="2"/>
  <c r="I674" i="2"/>
  <c r="G674" i="2"/>
  <c r="E674" i="2"/>
  <c r="C674" i="2"/>
  <c r="BJ673" i="2"/>
  <c r="BK673" i="2" s="1"/>
  <c r="BI673" i="2"/>
  <c r="BG673" i="2"/>
  <c r="BD673" i="2"/>
  <c r="BC673" i="2"/>
  <c r="BA673" i="2"/>
  <c r="AX673" i="2"/>
  <c r="AY673" i="2" s="1"/>
  <c r="AW673" i="2"/>
  <c r="AU673" i="2"/>
  <c r="AS673" i="2"/>
  <c r="AP673" i="2"/>
  <c r="AN673" i="2"/>
  <c r="AL673" i="2"/>
  <c r="AJ673" i="2"/>
  <c r="AH673" i="2"/>
  <c r="AF673" i="2"/>
  <c r="AD673" i="2"/>
  <c r="AB673" i="2"/>
  <c r="Z673" i="2"/>
  <c r="X673" i="2"/>
  <c r="U673" i="2"/>
  <c r="S673" i="2"/>
  <c r="Q673" i="2"/>
  <c r="O673" i="2"/>
  <c r="M673" i="2"/>
  <c r="K673" i="2"/>
  <c r="I673" i="2"/>
  <c r="G673" i="2"/>
  <c r="E673" i="2"/>
  <c r="C673" i="2"/>
  <c r="BK672" i="2"/>
  <c r="BJ672" i="2"/>
  <c r="BI672" i="2"/>
  <c r="BG672" i="2"/>
  <c r="BD672" i="2"/>
  <c r="BE672" i="2" s="1"/>
  <c r="BC672" i="2"/>
  <c r="BA672" i="2"/>
  <c r="AX672" i="2"/>
  <c r="AW672" i="2"/>
  <c r="AU672" i="2"/>
  <c r="AS672" i="2"/>
  <c r="AP672" i="2"/>
  <c r="AN672" i="2"/>
  <c r="AL672" i="2"/>
  <c r="AJ672" i="2"/>
  <c r="AH672" i="2"/>
  <c r="AF672" i="2"/>
  <c r="AD672" i="2"/>
  <c r="AB672" i="2"/>
  <c r="Z672" i="2"/>
  <c r="X672" i="2"/>
  <c r="U672" i="2"/>
  <c r="S672" i="2"/>
  <c r="Q672" i="2"/>
  <c r="O672" i="2"/>
  <c r="M672" i="2"/>
  <c r="K672" i="2"/>
  <c r="I672" i="2"/>
  <c r="G672" i="2"/>
  <c r="E672" i="2"/>
  <c r="C672" i="2"/>
  <c r="BJ671" i="2"/>
  <c r="BI671" i="2"/>
  <c r="BG671" i="2"/>
  <c r="BD671" i="2"/>
  <c r="BE671" i="2" s="1"/>
  <c r="BC671" i="2"/>
  <c r="BA671" i="2"/>
  <c r="AX671" i="2"/>
  <c r="AW671" i="2"/>
  <c r="AU671" i="2"/>
  <c r="AS671" i="2"/>
  <c r="AP671" i="2"/>
  <c r="AN671" i="2"/>
  <c r="AL671" i="2"/>
  <c r="AJ671" i="2"/>
  <c r="AH671" i="2"/>
  <c r="AF671" i="2"/>
  <c r="AD671" i="2"/>
  <c r="AB671" i="2"/>
  <c r="Z671" i="2"/>
  <c r="X671" i="2"/>
  <c r="U671" i="2"/>
  <c r="S671" i="2"/>
  <c r="Q671" i="2"/>
  <c r="O671" i="2"/>
  <c r="M671" i="2"/>
  <c r="K671" i="2"/>
  <c r="I671" i="2"/>
  <c r="G671" i="2"/>
  <c r="E671" i="2"/>
  <c r="C671" i="2"/>
  <c r="BJ670" i="2"/>
  <c r="BI670" i="2"/>
  <c r="BG670" i="2"/>
  <c r="BD670" i="2"/>
  <c r="BE670" i="2" s="1"/>
  <c r="BC670" i="2"/>
  <c r="BA670" i="2"/>
  <c r="AX670" i="2"/>
  <c r="AW670" i="2"/>
  <c r="AU670" i="2"/>
  <c r="AS670" i="2"/>
  <c r="AP670" i="2"/>
  <c r="AN670" i="2"/>
  <c r="AL670" i="2"/>
  <c r="AJ670" i="2"/>
  <c r="AH670" i="2"/>
  <c r="AF670" i="2"/>
  <c r="AD670" i="2"/>
  <c r="AB670" i="2"/>
  <c r="Z670" i="2"/>
  <c r="X670" i="2"/>
  <c r="U670" i="2"/>
  <c r="S670" i="2"/>
  <c r="Q670" i="2"/>
  <c r="O670" i="2"/>
  <c r="M670" i="2"/>
  <c r="K670" i="2"/>
  <c r="I670" i="2"/>
  <c r="G670" i="2"/>
  <c r="E670" i="2"/>
  <c r="C670" i="2"/>
  <c r="BJ669" i="2"/>
  <c r="BK669" i="2" s="1"/>
  <c r="BI669" i="2"/>
  <c r="BG669" i="2"/>
  <c r="BD669" i="2"/>
  <c r="BC669" i="2"/>
  <c r="BA669" i="2"/>
  <c r="AX669" i="2"/>
  <c r="AW669" i="2"/>
  <c r="AU669" i="2"/>
  <c r="AS669" i="2"/>
  <c r="AP669" i="2"/>
  <c r="AN669" i="2"/>
  <c r="AL669" i="2"/>
  <c r="AJ669" i="2"/>
  <c r="AH669" i="2"/>
  <c r="AF669" i="2"/>
  <c r="AD669" i="2"/>
  <c r="AB669" i="2"/>
  <c r="Z669" i="2"/>
  <c r="X669" i="2"/>
  <c r="U669" i="2"/>
  <c r="S669" i="2"/>
  <c r="Q669" i="2"/>
  <c r="O669" i="2"/>
  <c r="M669" i="2"/>
  <c r="K669" i="2"/>
  <c r="I669" i="2"/>
  <c r="G669" i="2"/>
  <c r="E669" i="2"/>
  <c r="C669" i="2"/>
  <c r="BJ668" i="2"/>
  <c r="BI668" i="2"/>
  <c r="BG668" i="2"/>
  <c r="BD668" i="2"/>
  <c r="BC668" i="2"/>
  <c r="BA668" i="2"/>
  <c r="AX668" i="2"/>
  <c r="AW668" i="2"/>
  <c r="AU668" i="2"/>
  <c r="AS668" i="2"/>
  <c r="AP668" i="2"/>
  <c r="AN668" i="2"/>
  <c r="AL668" i="2"/>
  <c r="AJ668" i="2"/>
  <c r="AH668" i="2"/>
  <c r="AF668" i="2"/>
  <c r="AD668" i="2"/>
  <c r="AB668" i="2"/>
  <c r="Z668" i="2"/>
  <c r="X668" i="2"/>
  <c r="U668" i="2"/>
  <c r="S668" i="2"/>
  <c r="Q668" i="2"/>
  <c r="O668" i="2"/>
  <c r="M668" i="2"/>
  <c r="K668" i="2"/>
  <c r="I668" i="2"/>
  <c r="G668" i="2"/>
  <c r="E668" i="2"/>
  <c r="C668" i="2"/>
  <c r="BJ667" i="2"/>
  <c r="BK667" i="2" s="1"/>
  <c r="BI667" i="2"/>
  <c r="BG667" i="2"/>
  <c r="BD667" i="2"/>
  <c r="BC667" i="2"/>
  <c r="BA667" i="2"/>
  <c r="AX667" i="2"/>
  <c r="AW667" i="2"/>
  <c r="AU667" i="2"/>
  <c r="AS667" i="2"/>
  <c r="AP667" i="2"/>
  <c r="AN667" i="2"/>
  <c r="AL667" i="2"/>
  <c r="AJ667" i="2"/>
  <c r="AH667" i="2"/>
  <c r="AF667" i="2"/>
  <c r="AD667" i="2"/>
  <c r="AB667" i="2"/>
  <c r="Z667" i="2"/>
  <c r="X667" i="2"/>
  <c r="U667" i="2"/>
  <c r="S667" i="2"/>
  <c r="Q667" i="2"/>
  <c r="O667" i="2"/>
  <c r="M667" i="2"/>
  <c r="K667" i="2"/>
  <c r="I667" i="2"/>
  <c r="G667" i="2"/>
  <c r="E667" i="2"/>
  <c r="C667" i="2"/>
  <c r="BJ666" i="2"/>
  <c r="BI666" i="2"/>
  <c r="BG666" i="2"/>
  <c r="BD666" i="2"/>
  <c r="BE666" i="2" s="1"/>
  <c r="BC666" i="2"/>
  <c r="BA666" i="2"/>
  <c r="AX666" i="2"/>
  <c r="AW666" i="2"/>
  <c r="AU666" i="2"/>
  <c r="AS666" i="2"/>
  <c r="AP666" i="2"/>
  <c r="AN666" i="2"/>
  <c r="AL666" i="2"/>
  <c r="AJ666" i="2"/>
  <c r="AH666" i="2"/>
  <c r="AF666" i="2"/>
  <c r="AD666" i="2"/>
  <c r="AB666" i="2"/>
  <c r="Z666" i="2"/>
  <c r="X666" i="2"/>
  <c r="U666" i="2"/>
  <c r="S666" i="2"/>
  <c r="Q666" i="2"/>
  <c r="O666" i="2"/>
  <c r="M666" i="2"/>
  <c r="K666" i="2"/>
  <c r="I666" i="2"/>
  <c r="G666" i="2"/>
  <c r="E666" i="2"/>
  <c r="C666" i="2"/>
  <c r="BJ665" i="2"/>
  <c r="BK665" i="2" s="1"/>
  <c r="BI665" i="2"/>
  <c r="BG665" i="2"/>
  <c r="BE665" i="2"/>
  <c r="BD665" i="2"/>
  <c r="BC665" i="2"/>
  <c r="BA665" i="2"/>
  <c r="AX665" i="2"/>
  <c r="AW665" i="2"/>
  <c r="AU665" i="2"/>
  <c r="AS665" i="2"/>
  <c r="AP665" i="2"/>
  <c r="AN665" i="2"/>
  <c r="AL665" i="2"/>
  <c r="AJ665" i="2"/>
  <c r="AH665" i="2"/>
  <c r="AF665" i="2"/>
  <c r="AD665" i="2"/>
  <c r="AB665" i="2"/>
  <c r="Z665" i="2"/>
  <c r="X665" i="2"/>
  <c r="U665" i="2"/>
  <c r="S665" i="2"/>
  <c r="Q665" i="2"/>
  <c r="O665" i="2"/>
  <c r="M665" i="2"/>
  <c r="K665" i="2"/>
  <c r="I665" i="2"/>
  <c r="G665" i="2"/>
  <c r="E665" i="2"/>
  <c r="C665" i="2"/>
  <c r="BJ664" i="2"/>
  <c r="BI664" i="2"/>
  <c r="BG664" i="2"/>
  <c r="BD664" i="2"/>
  <c r="BC664" i="2"/>
  <c r="BA664" i="2"/>
  <c r="AX664" i="2"/>
  <c r="AW664" i="2"/>
  <c r="AU664" i="2"/>
  <c r="AS664" i="2"/>
  <c r="AP664" i="2"/>
  <c r="AN664" i="2"/>
  <c r="AL664" i="2"/>
  <c r="AJ664" i="2"/>
  <c r="AH664" i="2"/>
  <c r="AF664" i="2"/>
  <c r="AD664" i="2"/>
  <c r="AB664" i="2"/>
  <c r="Z664" i="2"/>
  <c r="X664" i="2"/>
  <c r="U664" i="2"/>
  <c r="S664" i="2"/>
  <c r="Q664" i="2"/>
  <c r="O664" i="2"/>
  <c r="M664" i="2"/>
  <c r="K664" i="2"/>
  <c r="I664" i="2"/>
  <c r="G664" i="2"/>
  <c r="E664" i="2"/>
  <c r="C664" i="2"/>
  <c r="BJ663" i="2"/>
  <c r="BK664" i="2" s="1"/>
  <c r="BI663" i="2"/>
  <c r="BG663" i="2"/>
  <c r="BD663" i="2"/>
  <c r="BC663" i="2"/>
  <c r="BA663" i="2"/>
  <c r="AX663" i="2"/>
  <c r="AW663" i="2"/>
  <c r="AU663" i="2"/>
  <c r="AS663" i="2"/>
  <c r="AP663" i="2"/>
  <c r="AN663" i="2"/>
  <c r="AL663" i="2"/>
  <c r="AJ663" i="2"/>
  <c r="AH663" i="2"/>
  <c r="AF663" i="2"/>
  <c r="AD663" i="2"/>
  <c r="AB663" i="2"/>
  <c r="Z663" i="2"/>
  <c r="X663" i="2"/>
  <c r="U663" i="2"/>
  <c r="S663" i="2"/>
  <c r="Q663" i="2"/>
  <c r="O663" i="2"/>
  <c r="M663" i="2"/>
  <c r="K663" i="2"/>
  <c r="I663" i="2"/>
  <c r="G663" i="2"/>
  <c r="E663" i="2"/>
  <c r="C663" i="2"/>
  <c r="BJ662" i="2"/>
  <c r="BI662" i="2"/>
  <c r="BG662" i="2"/>
  <c r="BD662" i="2"/>
  <c r="BE662" i="2" s="1"/>
  <c r="BC662" i="2"/>
  <c r="BA662" i="2"/>
  <c r="AX662" i="2"/>
  <c r="AY662" i="2" s="1"/>
  <c r="AW662" i="2"/>
  <c r="AU662" i="2"/>
  <c r="AS662" i="2"/>
  <c r="AP662" i="2"/>
  <c r="AN662" i="2"/>
  <c r="AL662" i="2"/>
  <c r="AJ662" i="2"/>
  <c r="AH662" i="2"/>
  <c r="AF662" i="2"/>
  <c r="AD662" i="2"/>
  <c r="AB662" i="2"/>
  <c r="Z662" i="2"/>
  <c r="X662" i="2"/>
  <c r="U662" i="2"/>
  <c r="S662" i="2"/>
  <c r="Q662" i="2"/>
  <c r="O662" i="2"/>
  <c r="M662" i="2"/>
  <c r="K662" i="2"/>
  <c r="I662" i="2"/>
  <c r="G662" i="2"/>
  <c r="E662" i="2"/>
  <c r="C662" i="2"/>
  <c r="BJ661" i="2"/>
  <c r="BK661" i="2" s="1"/>
  <c r="BI661" i="2"/>
  <c r="BG661" i="2"/>
  <c r="BD661" i="2"/>
  <c r="BE661" i="2" s="1"/>
  <c r="BC661" i="2"/>
  <c r="BA661" i="2"/>
  <c r="AX661" i="2"/>
  <c r="AW661" i="2"/>
  <c r="AU661" i="2"/>
  <c r="AS661" i="2"/>
  <c r="AP661" i="2"/>
  <c r="AN661" i="2"/>
  <c r="AL661" i="2"/>
  <c r="AJ661" i="2"/>
  <c r="AH661" i="2"/>
  <c r="AF661" i="2"/>
  <c r="AD661" i="2"/>
  <c r="AB661" i="2"/>
  <c r="Z661" i="2"/>
  <c r="X661" i="2"/>
  <c r="U661" i="2"/>
  <c r="S661" i="2"/>
  <c r="Q661" i="2"/>
  <c r="O661" i="2"/>
  <c r="M661" i="2"/>
  <c r="K661" i="2"/>
  <c r="I661" i="2"/>
  <c r="G661" i="2"/>
  <c r="E661" i="2"/>
  <c r="C661" i="2"/>
  <c r="BJ660" i="2"/>
  <c r="BK660" i="2" s="1"/>
  <c r="BI660" i="2"/>
  <c r="BG660" i="2"/>
  <c r="BE660" i="2"/>
  <c r="BD660" i="2"/>
  <c r="BC660" i="2"/>
  <c r="BA660" i="2"/>
  <c r="AX660" i="2"/>
  <c r="AY661" i="2" s="1"/>
  <c r="AW660" i="2"/>
  <c r="AU660" i="2"/>
  <c r="AS660" i="2"/>
  <c r="AP660" i="2"/>
  <c r="AN660" i="2"/>
  <c r="AL660" i="2"/>
  <c r="AJ660" i="2"/>
  <c r="AH660" i="2"/>
  <c r="AF660" i="2"/>
  <c r="AD660" i="2"/>
  <c r="AB660" i="2"/>
  <c r="Z660" i="2"/>
  <c r="X660" i="2"/>
  <c r="U660" i="2"/>
  <c r="S660" i="2"/>
  <c r="Q660" i="2"/>
  <c r="O660" i="2"/>
  <c r="M660" i="2"/>
  <c r="K660" i="2"/>
  <c r="I660" i="2"/>
  <c r="G660" i="2"/>
  <c r="E660" i="2"/>
  <c r="C660" i="2"/>
  <c r="BJ659" i="2"/>
  <c r="BI659" i="2"/>
  <c r="BG659" i="2"/>
  <c r="BD659" i="2"/>
  <c r="BC659" i="2"/>
  <c r="BA659" i="2"/>
  <c r="AX659" i="2"/>
  <c r="AW659" i="2"/>
  <c r="AU659" i="2"/>
  <c r="AS659" i="2"/>
  <c r="AP659" i="2"/>
  <c r="AN659" i="2"/>
  <c r="AL659" i="2"/>
  <c r="AJ659" i="2"/>
  <c r="AH659" i="2"/>
  <c r="AF659" i="2"/>
  <c r="AD659" i="2"/>
  <c r="AB659" i="2"/>
  <c r="Z659" i="2"/>
  <c r="X659" i="2"/>
  <c r="U659" i="2"/>
  <c r="S659" i="2"/>
  <c r="Q659" i="2"/>
  <c r="O659" i="2"/>
  <c r="M659" i="2"/>
  <c r="K659" i="2"/>
  <c r="I659" i="2"/>
  <c r="G659" i="2"/>
  <c r="E659" i="2"/>
  <c r="C659" i="2"/>
  <c r="BJ658" i="2"/>
  <c r="BI658" i="2"/>
  <c r="BG658" i="2"/>
  <c r="BD658" i="2"/>
  <c r="BE659" i="2" s="1"/>
  <c r="BC658" i="2"/>
  <c r="BA658" i="2"/>
  <c r="AX658" i="2"/>
  <c r="AW658" i="2"/>
  <c r="AU658" i="2"/>
  <c r="AS658" i="2"/>
  <c r="AP658" i="2"/>
  <c r="AN658" i="2"/>
  <c r="AL658" i="2"/>
  <c r="AJ658" i="2"/>
  <c r="AH658" i="2"/>
  <c r="AF658" i="2"/>
  <c r="AD658" i="2"/>
  <c r="AB658" i="2"/>
  <c r="Z658" i="2"/>
  <c r="X658" i="2"/>
  <c r="U658" i="2"/>
  <c r="S658" i="2"/>
  <c r="Q658" i="2"/>
  <c r="O658" i="2"/>
  <c r="M658" i="2"/>
  <c r="K658" i="2"/>
  <c r="I658" i="2"/>
  <c r="G658" i="2"/>
  <c r="E658" i="2"/>
  <c r="C658" i="2"/>
  <c r="BJ657" i="2"/>
  <c r="BI657" i="2"/>
  <c r="BG657" i="2"/>
  <c r="BD657" i="2"/>
  <c r="BC657" i="2"/>
  <c r="BA657" i="2"/>
  <c r="AX657" i="2"/>
  <c r="AY657" i="2" s="1"/>
  <c r="AW657" i="2"/>
  <c r="AU657" i="2"/>
  <c r="AS657" i="2"/>
  <c r="AP657" i="2"/>
  <c r="AN657" i="2"/>
  <c r="AL657" i="2"/>
  <c r="AJ657" i="2"/>
  <c r="AH657" i="2"/>
  <c r="AF657" i="2"/>
  <c r="AD657" i="2"/>
  <c r="AB657" i="2"/>
  <c r="Z657" i="2"/>
  <c r="X657" i="2"/>
  <c r="U657" i="2"/>
  <c r="S657" i="2"/>
  <c r="Q657" i="2"/>
  <c r="O657" i="2"/>
  <c r="M657" i="2"/>
  <c r="K657" i="2"/>
  <c r="I657" i="2"/>
  <c r="G657" i="2"/>
  <c r="E657" i="2"/>
  <c r="C657" i="2"/>
  <c r="BJ656" i="2"/>
  <c r="BK656" i="2" s="1"/>
  <c r="BI656" i="2"/>
  <c r="BG656" i="2"/>
  <c r="BD656" i="2"/>
  <c r="BE657" i="2" s="1"/>
  <c r="BC656" i="2"/>
  <c r="BA656" i="2"/>
  <c r="AX656" i="2"/>
  <c r="AW656" i="2"/>
  <c r="AU656" i="2"/>
  <c r="AS656" i="2"/>
  <c r="AP656" i="2"/>
  <c r="AN656" i="2"/>
  <c r="AL656" i="2"/>
  <c r="AJ656" i="2"/>
  <c r="AH656" i="2"/>
  <c r="AF656" i="2"/>
  <c r="AD656" i="2"/>
  <c r="AB656" i="2"/>
  <c r="Z656" i="2"/>
  <c r="X656" i="2"/>
  <c r="U656" i="2"/>
  <c r="S656" i="2"/>
  <c r="Q656" i="2"/>
  <c r="O656" i="2"/>
  <c r="M656" i="2"/>
  <c r="K656" i="2"/>
  <c r="I656" i="2"/>
  <c r="G656" i="2"/>
  <c r="E656" i="2"/>
  <c r="C656" i="2"/>
  <c r="BJ655" i="2"/>
  <c r="BI655" i="2"/>
  <c r="BG655" i="2"/>
  <c r="BD655" i="2"/>
  <c r="BE655" i="2" s="1"/>
  <c r="BC655" i="2"/>
  <c r="BA655" i="2"/>
  <c r="AX655" i="2"/>
  <c r="AY655" i="2" s="1"/>
  <c r="AW655" i="2"/>
  <c r="AU655" i="2"/>
  <c r="AS655" i="2"/>
  <c r="AP655" i="2"/>
  <c r="AN655" i="2"/>
  <c r="AL655" i="2"/>
  <c r="AJ655" i="2"/>
  <c r="AH655" i="2"/>
  <c r="AF655" i="2"/>
  <c r="AD655" i="2"/>
  <c r="AB655" i="2"/>
  <c r="Z655" i="2"/>
  <c r="X655" i="2"/>
  <c r="U655" i="2"/>
  <c r="S655" i="2"/>
  <c r="Q655" i="2"/>
  <c r="O655" i="2"/>
  <c r="M655" i="2"/>
  <c r="K655" i="2"/>
  <c r="I655" i="2"/>
  <c r="G655" i="2"/>
  <c r="E655" i="2"/>
  <c r="C655" i="2"/>
  <c r="BJ654" i="2"/>
  <c r="BI654" i="2"/>
  <c r="BG654" i="2"/>
  <c r="BD654" i="2"/>
  <c r="BE654" i="2" s="1"/>
  <c r="BC654" i="2"/>
  <c r="BA654" i="2"/>
  <c r="AX654" i="2"/>
  <c r="AW654" i="2"/>
  <c r="AU654" i="2"/>
  <c r="AS654" i="2"/>
  <c r="AP654" i="2"/>
  <c r="AN654" i="2"/>
  <c r="AL654" i="2"/>
  <c r="AJ654" i="2"/>
  <c r="AH654" i="2"/>
  <c r="AF654" i="2"/>
  <c r="AD654" i="2"/>
  <c r="AB654" i="2"/>
  <c r="Z654" i="2"/>
  <c r="X654" i="2"/>
  <c r="U654" i="2"/>
  <c r="S654" i="2"/>
  <c r="Q654" i="2"/>
  <c r="O654" i="2"/>
  <c r="M654" i="2"/>
  <c r="K654" i="2"/>
  <c r="I654" i="2"/>
  <c r="G654" i="2"/>
  <c r="E654" i="2"/>
  <c r="C654" i="2"/>
  <c r="BJ653" i="2"/>
  <c r="BI653" i="2"/>
  <c r="BG653" i="2"/>
  <c r="BD653" i="2"/>
  <c r="BE653" i="2" s="1"/>
  <c r="BC653" i="2"/>
  <c r="BA653" i="2"/>
  <c r="AX653" i="2"/>
  <c r="AW653" i="2"/>
  <c r="AU653" i="2"/>
  <c r="AS653" i="2"/>
  <c r="AP653" i="2"/>
  <c r="AN653" i="2"/>
  <c r="AL653" i="2"/>
  <c r="AJ653" i="2"/>
  <c r="AH653" i="2"/>
  <c r="AF653" i="2"/>
  <c r="AD653" i="2"/>
  <c r="AB653" i="2"/>
  <c r="Z653" i="2"/>
  <c r="X653" i="2"/>
  <c r="U653" i="2"/>
  <c r="S653" i="2"/>
  <c r="Q653" i="2"/>
  <c r="O653" i="2"/>
  <c r="M653" i="2"/>
  <c r="K653" i="2"/>
  <c r="I653" i="2"/>
  <c r="G653" i="2"/>
  <c r="E653" i="2"/>
  <c r="C653" i="2"/>
  <c r="BJ652" i="2"/>
  <c r="BI652" i="2"/>
  <c r="BG652" i="2"/>
  <c r="BD652" i="2"/>
  <c r="BC652" i="2"/>
  <c r="BA652" i="2"/>
  <c r="AX652" i="2"/>
  <c r="AY653" i="2" s="1"/>
  <c r="AW652" i="2"/>
  <c r="AU652" i="2"/>
  <c r="AS652" i="2"/>
  <c r="AP652" i="2"/>
  <c r="AN652" i="2"/>
  <c r="AL652" i="2"/>
  <c r="AJ652" i="2"/>
  <c r="AH652" i="2"/>
  <c r="AF652" i="2"/>
  <c r="AD652" i="2"/>
  <c r="AB652" i="2"/>
  <c r="Z652" i="2"/>
  <c r="X652" i="2"/>
  <c r="U652" i="2"/>
  <c r="S652" i="2"/>
  <c r="Q652" i="2"/>
  <c r="O652" i="2"/>
  <c r="M652" i="2"/>
  <c r="K652" i="2"/>
  <c r="I652" i="2"/>
  <c r="G652" i="2"/>
  <c r="E652" i="2"/>
  <c r="C652" i="2"/>
  <c r="BJ651" i="2"/>
  <c r="BI651" i="2"/>
  <c r="BG651" i="2"/>
  <c r="BD651" i="2"/>
  <c r="BE651" i="2" s="1"/>
  <c r="BC651" i="2"/>
  <c r="BA651" i="2"/>
  <c r="AX651" i="2"/>
  <c r="AW651" i="2"/>
  <c r="AU651" i="2"/>
  <c r="AS651" i="2"/>
  <c r="AP651" i="2"/>
  <c r="AN651" i="2"/>
  <c r="AL651" i="2"/>
  <c r="AJ651" i="2"/>
  <c r="AH651" i="2"/>
  <c r="AF651" i="2"/>
  <c r="AD651" i="2"/>
  <c r="AB651" i="2"/>
  <c r="Z651" i="2"/>
  <c r="X651" i="2"/>
  <c r="U651" i="2"/>
  <c r="S651" i="2"/>
  <c r="Q651" i="2"/>
  <c r="O651" i="2"/>
  <c r="M651" i="2"/>
  <c r="K651" i="2"/>
  <c r="I651" i="2"/>
  <c r="G651" i="2"/>
  <c r="E651" i="2"/>
  <c r="C651" i="2"/>
  <c r="BJ650" i="2"/>
  <c r="BK650" i="2" s="1"/>
  <c r="BI650" i="2"/>
  <c r="BG650" i="2"/>
  <c r="BD650" i="2"/>
  <c r="BE650" i="2" s="1"/>
  <c r="BC650" i="2"/>
  <c r="BA650" i="2"/>
  <c r="AX650" i="2"/>
  <c r="AW650" i="2"/>
  <c r="AU650" i="2"/>
  <c r="AS650" i="2"/>
  <c r="AP650" i="2"/>
  <c r="AN650" i="2"/>
  <c r="AL650" i="2"/>
  <c r="AJ650" i="2"/>
  <c r="AH650" i="2"/>
  <c r="AF650" i="2"/>
  <c r="AD650" i="2"/>
  <c r="AB650" i="2"/>
  <c r="Z650" i="2"/>
  <c r="X650" i="2"/>
  <c r="U650" i="2"/>
  <c r="S650" i="2"/>
  <c r="Q650" i="2"/>
  <c r="O650" i="2"/>
  <c r="M650" i="2"/>
  <c r="K650" i="2"/>
  <c r="I650" i="2"/>
  <c r="G650" i="2"/>
  <c r="E650" i="2"/>
  <c r="C650" i="2"/>
  <c r="BJ649" i="2"/>
  <c r="BI649" i="2"/>
  <c r="BG649" i="2"/>
  <c r="BD649" i="2"/>
  <c r="BC649" i="2"/>
  <c r="BA649" i="2"/>
  <c r="AX649" i="2"/>
  <c r="AW649" i="2"/>
  <c r="AU649" i="2"/>
  <c r="AS649" i="2"/>
  <c r="AP649" i="2"/>
  <c r="AN649" i="2"/>
  <c r="AL649" i="2"/>
  <c r="AJ649" i="2"/>
  <c r="AH649" i="2"/>
  <c r="AF649" i="2"/>
  <c r="AD649" i="2"/>
  <c r="AB649" i="2"/>
  <c r="Z649" i="2"/>
  <c r="X649" i="2"/>
  <c r="U649" i="2"/>
  <c r="S649" i="2"/>
  <c r="Q649" i="2"/>
  <c r="O649" i="2"/>
  <c r="M649" i="2"/>
  <c r="K649" i="2"/>
  <c r="I649" i="2"/>
  <c r="G649" i="2"/>
  <c r="E649" i="2"/>
  <c r="C649" i="2"/>
  <c r="BJ648" i="2"/>
  <c r="BI648" i="2"/>
  <c r="BG648" i="2"/>
  <c r="BD648" i="2"/>
  <c r="BC648" i="2"/>
  <c r="BA648" i="2"/>
  <c r="AX648" i="2"/>
  <c r="AW648" i="2"/>
  <c r="AU648" i="2"/>
  <c r="AS648" i="2"/>
  <c r="AP648" i="2"/>
  <c r="AN648" i="2"/>
  <c r="AL648" i="2"/>
  <c r="AJ648" i="2"/>
  <c r="AH648" i="2"/>
  <c r="AF648" i="2"/>
  <c r="AD648" i="2"/>
  <c r="AB648" i="2"/>
  <c r="Z648" i="2"/>
  <c r="X648" i="2"/>
  <c r="U648" i="2"/>
  <c r="S648" i="2"/>
  <c r="Q648" i="2"/>
  <c r="O648" i="2"/>
  <c r="M648" i="2"/>
  <c r="K648" i="2"/>
  <c r="I648" i="2"/>
  <c r="G648" i="2"/>
  <c r="E648" i="2"/>
  <c r="C648" i="2"/>
  <c r="BJ647" i="2"/>
  <c r="BK647" i="2" s="1"/>
  <c r="BI647" i="2"/>
  <c r="BG647" i="2"/>
  <c r="BD647" i="2"/>
  <c r="BC647" i="2"/>
  <c r="BA647" i="2"/>
  <c r="AX647" i="2"/>
  <c r="AY647" i="2" s="1"/>
  <c r="AW647" i="2"/>
  <c r="AU647" i="2"/>
  <c r="AS647" i="2"/>
  <c r="AP647" i="2"/>
  <c r="AN647" i="2"/>
  <c r="AL647" i="2"/>
  <c r="AJ647" i="2"/>
  <c r="AH647" i="2"/>
  <c r="AF647" i="2"/>
  <c r="AD647" i="2"/>
  <c r="AB647" i="2"/>
  <c r="Z647" i="2"/>
  <c r="X647" i="2"/>
  <c r="U647" i="2"/>
  <c r="S647" i="2"/>
  <c r="Q647" i="2"/>
  <c r="O647" i="2"/>
  <c r="M647" i="2"/>
  <c r="K647" i="2"/>
  <c r="I647" i="2"/>
  <c r="G647" i="2"/>
  <c r="E647" i="2"/>
  <c r="C647" i="2"/>
  <c r="BJ646" i="2"/>
  <c r="BI646" i="2"/>
  <c r="BG646" i="2"/>
  <c r="BD646" i="2"/>
  <c r="BC646" i="2"/>
  <c r="BA646" i="2"/>
  <c r="AX646" i="2"/>
  <c r="AY646" i="2" s="1"/>
  <c r="AW646" i="2"/>
  <c r="AU646" i="2"/>
  <c r="AS646" i="2"/>
  <c r="AP646" i="2"/>
  <c r="AN646" i="2"/>
  <c r="AL646" i="2"/>
  <c r="AJ646" i="2"/>
  <c r="AH646" i="2"/>
  <c r="AF646" i="2"/>
  <c r="AD646" i="2"/>
  <c r="AB646" i="2"/>
  <c r="Z646" i="2"/>
  <c r="X646" i="2"/>
  <c r="U646" i="2"/>
  <c r="S646" i="2"/>
  <c r="Q646" i="2"/>
  <c r="O646" i="2"/>
  <c r="M646" i="2"/>
  <c r="K646" i="2"/>
  <c r="I646" i="2"/>
  <c r="G646" i="2"/>
  <c r="E646" i="2"/>
  <c r="C646" i="2"/>
  <c r="BJ645" i="2"/>
  <c r="BK645" i="2" s="1"/>
  <c r="BI645" i="2"/>
  <c r="BG645" i="2"/>
  <c r="BD645" i="2"/>
  <c r="BE646" i="2" s="1"/>
  <c r="BC645" i="2"/>
  <c r="BA645" i="2"/>
  <c r="AX645" i="2"/>
  <c r="AW645" i="2"/>
  <c r="AU645" i="2"/>
  <c r="AS645" i="2"/>
  <c r="AP645" i="2"/>
  <c r="AN645" i="2"/>
  <c r="AL645" i="2"/>
  <c r="AJ645" i="2"/>
  <c r="AH645" i="2"/>
  <c r="AF645" i="2"/>
  <c r="AD645" i="2"/>
  <c r="AB645" i="2"/>
  <c r="Z645" i="2"/>
  <c r="X645" i="2"/>
  <c r="U645" i="2"/>
  <c r="S645" i="2"/>
  <c r="Q645" i="2"/>
  <c r="O645" i="2"/>
  <c r="M645" i="2"/>
  <c r="K645" i="2"/>
  <c r="I645" i="2"/>
  <c r="G645" i="2"/>
  <c r="E645" i="2"/>
  <c r="C645" i="2"/>
  <c r="BJ644" i="2"/>
  <c r="BI644" i="2"/>
  <c r="BG644" i="2"/>
  <c r="BD644" i="2"/>
  <c r="BC644" i="2"/>
  <c r="BA644" i="2"/>
  <c r="AX644" i="2"/>
  <c r="AY644" i="2" s="1"/>
  <c r="AW644" i="2"/>
  <c r="AU644" i="2"/>
  <c r="AS644" i="2"/>
  <c r="AP644" i="2"/>
  <c r="AN644" i="2"/>
  <c r="AL644" i="2"/>
  <c r="AJ644" i="2"/>
  <c r="AH644" i="2"/>
  <c r="AF644" i="2"/>
  <c r="AD644" i="2"/>
  <c r="AB644" i="2"/>
  <c r="Z644" i="2"/>
  <c r="X644" i="2"/>
  <c r="U644" i="2"/>
  <c r="S644" i="2"/>
  <c r="Q644" i="2"/>
  <c r="O644" i="2"/>
  <c r="M644" i="2"/>
  <c r="K644" i="2"/>
  <c r="I644" i="2"/>
  <c r="G644" i="2"/>
  <c r="E644" i="2"/>
  <c r="C644" i="2"/>
  <c r="BJ643" i="2"/>
  <c r="BK644" i="2" s="1"/>
  <c r="BI643" i="2"/>
  <c r="BG643" i="2"/>
  <c r="BD643" i="2"/>
  <c r="BE643" i="2" s="1"/>
  <c r="BC643" i="2"/>
  <c r="BA643" i="2"/>
  <c r="AX643" i="2"/>
  <c r="AW643" i="2"/>
  <c r="AU643" i="2"/>
  <c r="AS643" i="2"/>
  <c r="AP643" i="2"/>
  <c r="AN643" i="2"/>
  <c r="AL643" i="2"/>
  <c r="AJ643" i="2"/>
  <c r="AH643" i="2"/>
  <c r="AF643" i="2"/>
  <c r="AD643" i="2"/>
  <c r="AB643" i="2"/>
  <c r="Z643" i="2"/>
  <c r="X643" i="2"/>
  <c r="U643" i="2"/>
  <c r="S643" i="2"/>
  <c r="Q643" i="2"/>
  <c r="O643" i="2"/>
  <c r="M643" i="2"/>
  <c r="K643" i="2"/>
  <c r="I643" i="2"/>
  <c r="G643" i="2"/>
  <c r="E643" i="2"/>
  <c r="C643" i="2"/>
  <c r="BJ642" i="2"/>
  <c r="BI642" i="2"/>
  <c r="BG642" i="2"/>
  <c r="BD642" i="2"/>
  <c r="BC642" i="2"/>
  <c r="BA642" i="2"/>
  <c r="AX642" i="2"/>
  <c r="AW642" i="2"/>
  <c r="AU642" i="2"/>
  <c r="AS642" i="2"/>
  <c r="AP642" i="2"/>
  <c r="AN642" i="2"/>
  <c r="AL642" i="2"/>
  <c r="AJ642" i="2"/>
  <c r="AH642" i="2"/>
  <c r="AF642" i="2"/>
  <c r="AD642" i="2"/>
  <c r="AB642" i="2"/>
  <c r="Z642" i="2"/>
  <c r="X642" i="2"/>
  <c r="U642" i="2"/>
  <c r="S642" i="2"/>
  <c r="Q642" i="2"/>
  <c r="O642" i="2"/>
  <c r="M642" i="2"/>
  <c r="K642" i="2"/>
  <c r="I642" i="2"/>
  <c r="G642" i="2"/>
  <c r="E642" i="2"/>
  <c r="C642" i="2"/>
  <c r="BJ641" i="2"/>
  <c r="BI641" i="2"/>
  <c r="BG641" i="2"/>
  <c r="BD641" i="2"/>
  <c r="BE641" i="2" s="1"/>
  <c r="BC641" i="2"/>
  <c r="BA641" i="2"/>
  <c r="AX641" i="2"/>
  <c r="AY642" i="2" s="1"/>
  <c r="AW641" i="2"/>
  <c r="AU641" i="2"/>
  <c r="AS641" i="2"/>
  <c r="AP641" i="2"/>
  <c r="AN641" i="2"/>
  <c r="AL641" i="2"/>
  <c r="AJ641" i="2"/>
  <c r="AH641" i="2"/>
  <c r="AF641" i="2"/>
  <c r="AD641" i="2"/>
  <c r="AB641" i="2"/>
  <c r="Z641" i="2"/>
  <c r="X641" i="2"/>
  <c r="U641" i="2"/>
  <c r="S641" i="2"/>
  <c r="Q641" i="2"/>
  <c r="O641" i="2"/>
  <c r="M641" i="2"/>
  <c r="K641" i="2"/>
  <c r="I641" i="2"/>
  <c r="G641" i="2"/>
  <c r="E641" i="2"/>
  <c r="C641" i="2"/>
  <c r="BJ640" i="2"/>
  <c r="BK640" i="2" s="1"/>
  <c r="BI640" i="2"/>
  <c r="BG640" i="2"/>
  <c r="BE640" i="2"/>
  <c r="BD640" i="2"/>
  <c r="BC640" i="2"/>
  <c r="BA640" i="2"/>
  <c r="AX640" i="2"/>
  <c r="AW640" i="2"/>
  <c r="AU640" i="2"/>
  <c r="AS640" i="2"/>
  <c r="AP640" i="2"/>
  <c r="AN640" i="2"/>
  <c r="AL640" i="2"/>
  <c r="AJ640" i="2"/>
  <c r="AH640" i="2"/>
  <c r="AF640" i="2"/>
  <c r="AD640" i="2"/>
  <c r="AB640" i="2"/>
  <c r="Z640" i="2"/>
  <c r="X640" i="2"/>
  <c r="U640" i="2"/>
  <c r="S640" i="2"/>
  <c r="Q640" i="2"/>
  <c r="O640" i="2"/>
  <c r="M640" i="2"/>
  <c r="K640" i="2"/>
  <c r="I640" i="2"/>
  <c r="G640" i="2"/>
  <c r="E640" i="2"/>
  <c r="C640" i="2"/>
  <c r="BJ639" i="2"/>
  <c r="BK639" i="2" s="1"/>
  <c r="BI639" i="2"/>
  <c r="BG639" i="2"/>
  <c r="BD639" i="2"/>
  <c r="BC639" i="2"/>
  <c r="BA639" i="2"/>
  <c r="AX639" i="2"/>
  <c r="AW639" i="2"/>
  <c r="AU639" i="2"/>
  <c r="AS639" i="2"/>
  <c r="AP639" i="2"/>
  <c r="AN639" i="2"/>
  <c r="AL639" i="2"/>
  <c r="AJ639" i="2"/>
  <c r="AH639" i="2"/>
  <c r="AF639" i="2"/>
  <c r="AD639" i="2"/>
  <c r="AB639" i="2"/>
  <c r="Z639" i="2"/>
  <c r="X639" i="2"/>
  <c r="U639" i="2"/>
  <c r="S639" i="2"/>
  <c r="Q639" i="2"/>
  <c r="O639" i="2"/>
  <c r="M639" i="2"/>
  <c r="K639" i="2"/>
  <c r="I639" i="2"/>
  <c r="G639" i="2"/>
  <c r="E639" i="2"/>
  <c r="C639" i="2"/>
  <c r="BJ638" i="2"/>
  <c r="BI638" i="2"/>
  <c r="BG638" i="2"/>
  <c r="BD638" i="2"/>
  <c r="BE638" i="2" s="1"/>
  <c r="BC638" i="2"/>
  <c r="BA638" i="2"/>
  <c r="AX638" i="2"/>
  <c r="AY639" i="2" s="1"/>
  <c r="AW638" i="2"/>
  <c r="AU638" i="2"/>
  <c r="AS638" i="2"/>
  <c r="AP638" i="2"/>
  <c r="AN638" i="2"/>
  <c r="AL638" i="2"/>
  <c r="AJ638" i="2"/>
  <c r="AH638" i="2"/>
  <c r="AF638" i="2"/>
  <c r="AD638" i="2"/>
  <c r="AB638" i="2"/>
  <c r="Z638" i="2"/>
  <c r="X638" i="2"/>
  <c r="U638" i="2"/>
  <c r="S638" i="2"/>
  <c r="Q638" i="2"/>
  <c r="O638" i="2"/>
  <c r="M638" i="2"/>
  <c r="K638" i="2"/>
  <c r="I638" i="2"/>
  <c r="G638" i="2"/>
  <c r="E638" i="2"/>
  <c r="C638" i="2"/>
  <c r="BJ637" i="2"/>
  <c r="BI637" i="2"/>
  <c r="BG637" i="2"/>
  <c r="BD637" i="2"/>
  <c r="BC637" i="2"/>
  <c r="BA637" i="2"/>
  <c r="AX637" i="2"/>
  <c r="AW637" i="2"/>
  <c r="AU637" i="2"/>
  <c r="AS637" i="2"/>
  <c r="AP637" i="2"/>
  <c r="AN637" i="2"/>
  <c r="AL637" i="2"/>
  <c r="AJ637" i="2"/>
  <c r="AH637" i="2"/>
  <c r="AF637" i="2"/>
  <c r="AD637" i="2"/>
  <c r="AB637" i="2"/>
  <c r="Z637" i="2"/>
  <c r="X637" i="2"/>
  <c r="U637" i="2"/>
  <c r="S637" i="2"/>
  <c r="Q637" i="2"/>
  <c r="O637" i="2"/>
  <c r="M637" i="2"/>
  <c r="K637" i="2"/>
  <c r="I637" i="2"/>
  <c r="G637" i="2"/>
  <c r="E637" i="2"/>
  <c r="C637" i="2"/>
  <c r="BJ636" i="2"/>
  <c r="BI636" i="2"/>
  <c r="BG636" i="2"/>
  <c r="BD636" i="2"/>
  <c r="BC636" i="2"/>
  <c r="BA636" i="2"/>
  <c r="AX636" i="2"/>
  <c r="AW636" i="2"/>
  <c r="AU636" i="2"/>
  <c r="AS636" i="2"/>
  <c r="AP636" i="2"/>
  <c r="AN636" i="2"/>
  <c r="AL636" i="2"/>
  <c r="AJ636" i="2"/>
  <c r="AH636" i="2"/>
  <c r="AF636" i="2"/>
  <c r="AD636" i="2"/>
  <c r="AB636" i="2"/>
  <c r="Z636" i="2"/>
  <c r="X636" i="2"/>
  <c r="U636" i="2"/>
  <c r="S636" i="2"/>
  <c r="Q636" i="2"/>
  <c r="O636" i="2"/>
  <c r="M636" i="2"/>
  <c r="K636" i="2"/>
  <c r="I636" i="2"/>
  <c r="G636" i="2"/>
  <c r="E636" i="2"/>
  <c r="C636" i="2"/>
  <c r="BJ635" i="2"/>
  <c r="BI635" i="2"/>
  <c r="BG635" i="2"/>
  <c r="BD635" i="2"/>
  <c r="BC635" i="2"/>
  <c r="BA635" i="2"/>
  <c r="AX635" i="2"/>
  <c r="AW635" i="2"/>
  <c r="AU635" i="2"/>
  <c r="AS635" i="2"/>
  <c r="AP635" i="2"/>
  <c r="AN635" i="2"/>
  <c r="AL635" i="2"/>
  <c r="AJ635" i="2"/>
  <c r="AH635" i="2"/>
  <c r="AF635" i="2"/>
  <c r="AD635" i="2"/>
  <c r="AB635" i="2"/>
  <c r="Z635" i="2"/>
  <c r="X635" i="2"/>
  <c r="U635" i="2"/>
  <c r="S635" i="2"/>
  <c r="Q635" i="2"/>
  <c r="O635" i="2"/>
  <c r="M635" i="2"/>
  <c r="K635" i="2"/>
  <c r="I635" i="2"/>
  <c r="G635" i="2"/>
  <c r="E635" i="2"/>
  <c r="C635" i="2"/>
  <c r="BJ634" i="2"/>
  <c r="BK634" i="2" s="1"/>
  <c r="BI634" i="2"/>
  <c r="BG634" i="2"/>
  <c r="BD634" i="2"/>
  <c r="BC634" i="2"/>
  <c r="BA634" i="2"/>
  <c r="AX634" i="2"/>
  <c r="AW634" i="2"/>
  <c r="AU634" i="2"/>
  <c r="AS634" i="2"/>
  <c r="AP634" i="2"/>
  <c r="AN634" i="2"/>
  <c r="AL634" i="2"/>
  <c r="AJ634" i="2"/>
  <c r="AH634" i="2"/>
  <c r="AF634" i="2"/>
  <c r="AD634" i="2"/>
  <c r="AB634" i="2"/>
  <c r="Z634" i="2"/>
  <c r="X634" i="2"/>
  <c r="U634" i="2"/>
  <c r="S634" i="2"/>
  <c r="Q634" i="2"/>
  <c r="O634" i="2"/>
  <c r="M634" i="2"/>
  <c r="K634" i="2"/>
  <c r="I634" i="2"/>
  <c r="G634" i="2"/>
  <c r="E634" i="2"/>
  <c r="C634" i="2"/>
  <c r="BJ633" i="2"/>
  <c r="BI633" i="2"/>
  <c r="BG633" i="2"/>
  <c r="BD633" i="2"/>
  <c r="BE633" i="2" s="1"/>
  <c r="BC633" i="2"/>
  <c r="BA633" i="2"/>
  <c r="AX633" i="2"/>
  <c r="AY633" i="2" s="1"/>
  <c r="AW633" i="2"/>
  <c r="AU633" i="2"/>
  <c r="AS633" i="2"/>
  <c r="AP633" i="2"/>
  <c r="AN633" i="2"/>
  <c r="AL633" i="2"/>
  <c r="AJ633" i="2"/>
  <c r="AH633" i="2"/>
  <c r="AF633" i="2"/>
  <c r="AD633" i="2"/>
  <c r="AB633" i="2"/>
  <c r="Z633" i="2"/>
  <c r="X633" i="2"/>
  <c r="U633" i="2"/>
  <c r="S633" i="2"/>
  <c r="Q633" i="2"/>
  <c r="O633" i="2"/>
  <c r="M633" i="2"/>
  <c r="K633" i="2"/>
  <c r="I633" i="2"/>
  <c r="G633" i="2"/>
  <c r="E633" i="2"/>
  <c r="C633" i="2"/>
  <c r="BJ632" i="2"/>
  <c r="BK633" i="2" s="1"/>
  <c r="BI632" i="2"/>
  <c r="BG632" i="2"/>
  <c r="BE632" i="2"/>
  <c r="BD632" i="2"/>
  <c r="BC632" i="2"/>
  <c r="BA632" i="2"/>
  <c r="AX632" i="2"/>
  <c r="AY632" i="2" s="1"/>
  <c r="AW632" i="2"/>
  <c r="AU632" i="2"/>
  <c r="AS632" i="2"/>
  <c r="AP632" i="2"/>
  <c r="AN632" i="2"/>
  <c r="AL632" i="2"/>
  <c r="AJ632" i="2"/>
  <c r="AH632" i="2"/>
  <c r="AF632" i="2"/>
  <c r="AD632" i="2"/>
  <c r="AB632" i="2"/>
  <c r="Z632" i="2"/>
  <c r="X632" i="2"/>
  <c r="U632" i="2"/>
  <c r="S632" i="2"/>
  <c r="Q632" i="2"/>
  <c r="O632" i="2"/>
  <c r="M632" i="2"/>
  <c r="K632" i="2"/>
  <c r="I632" i="2"/>
  <c r="G632" i="2"/>
  <c r="E632" i="2"/>
  <c r="C632" i="2"/>
  <c r="BJ631" i="2"/>
  <c r="BI631" i="2"/>
  <c r="BG631" i="2"/>
  <c r="BD631" i="2"/>
  <c r="BC631" i="2"/>
  <c r="BA631" i="2"/>
  <c r="AX631" i="2"/>
  <c r="AW631" i="2"/>
  <c r="AU631" i="2"/>
  <c r="AS631" i="2"/>
  <c r="AP631" i="2"/>
  <c r="AN631" i="2"/>
  <c r="AL631" i="2"/>
  <c r="AJ631" i="2"/>
  <c r="AH631" i="2"/>
  <c r="AF631" i="2"/>
  <c r="AD631" i="2"/>
  <c r="AB631" i="2"/>
  <c r="Z631" i="2"/>
  <c r="X631" i="2"/>
  <c r="U631" i="2"/>
  <c r="S631" i="2"/>
  <c r="Q631" i="2"/>
  <c r="O631" i="2"/>
  <c r="M631" i="2"/>
  <c r="K631" i="2"/>
  <c r="I631" i="2"/>
  <c r="G631" i="2"/>
  <c r="E631" i="2"/>
  <c r="C631" i="2"/>
  <c r="BJ630" i="2"/>
  <c r="BK631" i="2" s="1"/>
  <c r="BI630" i="2"/>
  <c r="BG630" i="2"/>
  <c r="BD630" i="2"/>
  <c r="BE630" i="2" s="1"/>
  <c r="BC630" i="2"/>
  <c r="BA630" i="2"/>
  <c r="AX630" i="2"/>
  <c r="AW630" i="2"/>
  <c r="AU630" i="2"/>
  <c r="AS630" i="2"/>
  <c r="AP630" i="2"/>
  <c r="AN630" i="2"/>
  <c r="AL630" i="2"/>
  <c r="AJ630" i="2"/>
  <c r="AH630" i="2"/>
  <c r="AF630" i="2"/>
  <c r="AD630" i="2"/>
  <c r="AB630" i="2"/>
  <c r="Z630" i="2"/>
  <c r="X630" i="2"/>
  <c r="U630" i="2"/>
  <c r="S630" i="2"/>
  <c r="Q630" i="2"/>
  <c r="O630" i="2"/>
  <c r="M630" i="2"/>
  <c r="K630" i="2"/>
  <c r="I630" i="2"/>
  <c r="G630" i="2"/>
  <c r="E630" i="2"/>
  <c r="C630" i="2"/>
  <c r="BJ629" i="2"/>
  <c r="BI629" i="2"/>
  <c r="BG629" i="2"/>
  <c r="BD629" i="2"/>
  <c r="BC629" i="2"/>
  <c r="BA629" i="2"/>
  <c r="AX629" i="2"/>
  <c r="AW629" i="2"/>
  <c r="AU629" i="2"/>
  <c r="AS629" i="2"/>
  <c r="AP629" i="2"/>
  <c r="AN629" i="2"/>
  <c r="AL629" i="2"/>
  <c r="AJ629" i="2"/>
  <c r="AH629" i="2"/>
  <c r="AF629" i="2"/>
  <c r="AD629" i="2"/>
  <c r="AB629" i="2"/>
  <c r="Z629" i="2"/>
  <c r="X629" i="2"/>
  <c r="U629" i="2"/>
  <c r="S629" i="2"/>
  <c r="Q629" i="2"/>
  <c r="O629" i="2"/>
  <c r="M629" i="2"/>
  <c r="K629" i="2"/>
  <c r="I629" i="2"/>
  <c r="G629" i="2"/>
  <c r="E629" i="2"/>
  <c r="C629" i="2"/>
  <c r="BJ628" i="2"/>
  <c r="BI628" i="2"/>
  <c r="BG628" i="2"/>
  <c r="BD628" i="2"/>
  <c r="BC628" i="2"/>
  <c r="BA628" i="2"/>
  <c r="AX628" i="2"/>
  <c r="AW628" i="2"/>
  <c r="AU628" i="2"/>
  <c r="AS628" i="2"/>
  <c r="AP628" i="2"/>
  <c r="AN628" i="2"/>
  <c r="AL628" i="2"/>
  <c r="AJ628" i="2"/>
  <c r="AH628" i="2"/>
  <c r="AF628" i="2"/>
  <c r="AD628" i="2"/>
  <c r="AB628" i="2"/>
  <c r="Z628" i="2"/>
  <c r="X628" i="2"/>
  <c r="U628" i="2"/>
  <c r="S628" i="2"/>
  <c r="Q628" i="2"/>
  <c r="O628" i="2"/>
  <c r="M628" i="2"/>
  <c r="K628" i="2"/>
  <c r="I628" i="2"/>
  <c r="G628" i="2"/>
  <c r="E628" i="2"/>
  <c r="C628" i="2"/>
  <c r="BJ627" i="2"/>
  <c r="BK627" i="2" s="1"/>
  <c r="BI627" i="2"/>
  <c r="BG627" i="2"/>
  <c r="BD627" i="2"/>
  <c r="BE627" i="2" s="1"/>
  <c r="BC627" i="2"/>
  <c r="BA627" i="2"/>
  <c r="AX627" i="2"/>
  <c r="AW627" i="2"/>
  <c r="AU627" i="2"/>
  <c r="AS627" i="2"/>
  <c r="AP627" i="2"/>
  <c r="AN627" i="2"/>
  <c r="AL627" i="2"/>
  <c r="AJ627" i="2"/>
  <c r="AH627" i="2"/>
  <c r="AF627" i="2"/>
  <c r="AD627" i="2"/>
  <c r="AB627" i="2"/>
  <c r="Z627" i="2"/>
  <c r="X627" i="2"/>
  <c r="U627" i="2"/>
  <c r="S627" i="2"/>
  <c r="Q627" i="2"/>
  <c r="O627" i="2"/>
  <c r="M627" i="2"/>
  <c r="K627" i="2"/>
  <c r="I627" i="2"/>
  <c r="G627" i="2"/>
  <c r="E627" i="2"/>
  <c r="C627" i="2"/>
  <c r="BJ626" i="2"/>
  <c r="BI626" i="2"/>
  <c r="BG626" i="2"/>
  <c r="BD626" i="2"/>
  <c r="BC626" i="2"/>
  <c r="BA626" i="2"/>
  <c r="AX626" i="2"/>
  <c r="AW626" i="2"/>
  <c r="AU626" i="2"/>
  <c r="AS626" i="2"/>
  <c r="AP626" i="2"/>
  <c r="AN626" i="2"/>
  <c r="AL626" i="2"/>
  <c r="AJ626" i="2"/>
  <c r="AH626" i="2"/>
  <c r="AF626" i="2"/>
  <c r="AD626" i="2"/>
  <c r="AB626" i="2"/>
  <c r="Z626" i="2"/>
  <c r="X626" i="2"/>
  <c r="U626" i="2"/>
  <c r="S626" i="2"/>
  <c r="Q626" i="2"/>
  <c r="O626" i="2"/>
  <c r="M626" i="2"/>
  <c r="K626" i="2"/>
  <c r="I626" i="2"/>
  <c r="G626" i="2"/>
  <c r="E626" i="2"/>
  <c r="C626" i="2"/>
  <c r="BJ625" i="2"/>
  <c r="BI625" i="2"/>
  <c r="BG625" i="2"/>
  <c r="BD625" i="2"/>
  <c r="BE626" i="2" s="1"/>
  <c r="BC625" i="2"/>
  <c r="BA625" i="2"/>
  <c r="AX625" i="2"/>
  <c r="AY625" i="2" s="1"/>
  <c r="AW625" i="2"/>
  <c r="AU625" i="2"/>
  <c r="AS625" i="2"/>
  <c r="AP625" i="2"/>
  <c r="AN625" i="2"/>
  <c r="AL625" i="2"/>
  <c r="AJ625" i="2"/>
  <c r="AH625" i="2"/>
  <c r="AF625" i="2"/>
  <c r="AD625" i="2"/>
  <c r="AB625" i="2"/>
  <c r="Z625" i="2"/>
  <c r="X625" i="2"/>
  <c r="U625" i="2"/>
  <c r="S625" i="2"/>
  <c r="Q625" i="2"/>
  <c r="O625" i="2"/>
  <c r="M625" i="2"/>
  <c r="K625" i="2"/>
  <c r="I625" i="2"/>
  <c r="G625" i="2"/>
  <c r="E625" i="2"/>
  <c r="C625" i="2"/>
  <c r="BJ624" i="2"/>
  <c r="BK625" i="2" s="1"/>
  <c r="BI624" i="2"/>
  <c r="BG624" i="2"/>
  <c r="BD624" i="2"/>
  <c r="BC624" i="2"/>
  <c r="BA624" i="2"/>
  <c r="AX624" i="2"/>
  <c r="AW624" i="2"/>
  <c r="AU624" i="2"/>
  <c r="AS624" i="2"/>
  <c r="AP624" i="2"/>
  <c r="AN624" i="2"/>
  <c r="AL624" i="2"/>
  <c r="AJ624" i="2"/>
  <c r="AH624" i="2"/>
  <c r="AF624" i="2"/>
  <c r="AD624" i="2"/>
  <c r="AB624" i="2"/>
  <c r="Z624" i="2"/>
  <c r="X624" i="2"/>
  <c r="U624" i="2"/>
  <c r="S624" i="2"/>
  <c r="Q624" i="2"/>
  <c r="O624" i="2"/>
  <c r="M624" i="2"/>
  <c r="K624" i="2"/>
  <c r="I624" i="2"/>
  <c r="G624" i="2"/>
  <c r="E624" i="2"/>
  <c r="C624" i="2"/>
  <c r="BJ623" i="2"/>
  <c r="BI623" i="2"/>
  <c r="BG623" i="2"/>
  <c r="BD623" i="2"/>
  <c r="BC623" i="2"/>
  <c r="BA623" i="2"/>
  <c r="AX623" i="2"/>
  <c r="AW623" i="2"/>
  <c r="AU623" i="2"/>
  <c r="AS623" i="2"/>
  <c r="AP623" i="2"/>
  <c r="AN623" i="2"/>
  <c r="AL623" i="2"/>
  <c r="AJ623" i="2"/>
  <c r="AH623" i="2"/>
  <c r="AF623" i="2"/>
  <c r="AD623" i="2"/>
  <c r="AB623" i="2"/>
  <c r="Z623" i="2"/>
  <c r="X623" i="2"/>
  <c r="U623" i="2"/>
  <c r="S623" i="2"/>
  <c r="Q623" i="2"/>
  <c r="O623" i="2"/>
  <c r="M623" i="2"/>
  <c r="K623" i="2"/>
  <c r="I623" i="2"/>
  <c r="G623" i="2"/>
  <c r="E623" i="2"/>
  <c r="C623" i="2"/>
  <c r="BJ622" i="2"/>
  <c r="BI622" i="2"/>
  <c r="BG622" i="2"/>
  <c r="BD622" i="2"/>
  <c r="BE622" i="2" s="1"/>
  <c r="BC622" i="2"/>
  <c r="BA622" i="2"/>
  <c r="AY622" i="2"/>
  <c r="AX622" i="2"/>
  <c r="AW622" i="2"/>
  <c r="AU622" i="2"/>
  <c r="AS622" i="2"/>
  <c r="AP622" i="2"/>
  <c r="AN622" i="2"/>
  <c r="AL622" i="2"/>
  <c r="AJ622" i="2"/>
  <c r="AH622" i="2"/>
  <c r="AF622" i="2"/>
  <c r="AD622" i="2"/>
  <c r="AB622" i="2"/>
  <c r="Z622" i="2"/>
  <c r="X622" i="2"/>
  <c r="U622" i="2"/>
  <c r="S622" i="2"/>
  <c r="Q622" i="2"/>
  <c r="O622" i="2"/>
  <c r="M622" i="2"/>
  <c r="K622" i="2"/>
  <c r="I622" i="2"/>
  <c r="G622" i="2"/>
  <c r="E622" i="2"/>
  <c r="C622" i="2"/>
  <c r="BJ621" i="2"/>
  <c r="BI621" i="2"/>
  <c r="BG621" i="2"/>
  <c r="BD621" i="2"/>
  <c r="BE621" i="2" s="1"/>
  <c r="BC621" i="2"/>
  <c r="BA621" i="2"/>
  <c r="AX621" i="2"/>
  <c r="AW621" i="2"/>
  <c r="AU621" i="2"/>
  <c r="AS621" i="2"/>
  <c r="AP621" i="2"/>
  <c r="AN621" i="2"/>
  <c r="AL621" i="2"/>
  <c r="AJ621" i="2"/>
  <c r="AH621" i="2"/>
  <c r="AF621" i="2"/>
  <c r="AD621" i="2"/>
  <c r="AB621" i="2"/>
  <c r="Z621" i="2"/>
  <c r="X621" i="2"/>
  <c r="U621" i="2"/>
  <c r="S621" i="2"/>
  <c r="Q621" i="2"/>
  <c r="O621" i="2"/>
  <c r="M621" i="2"/>
  <c r="K621" i="2"/>
  <c r="I621" i="2"/>
  <c r="G621" i="2"/>
  <c r="E621" i="2"/>
  <c r="C621" i="2"/>
  <c r="BJ620" i="2"/>
  <c r="BI620" i="2"/>
  <c r="BG620" i="2"/>
  <c r="BD620" i="2"/>
  <c r="BC620" i="2"/>
  <c r="BA620" i="2"/>
  <c r="AX620" i="2"/>
  <c r="AY620" i="2" s="1"/>
  <c r="AW620" i="2"/>
  <c r="AU620" i="2"/>
  <c r="AS620" i="2"/>
  <c r="AP620" i="2"/>
  <c r="AN620" i="2"/>
  <c r="AL620" i="2"/>
  <c r="AJ620" i="2"/>
  <c r="AH620" i="2"/>
  <c r="AF620" i="2"/>
  <c r="AD620" i="2"/>
  <c r="AB620" i="2"/>
  <c r="Z620" i="2"/>
  <c r="X620" i="2"/>
  <c r="U620" i="2"/>
  <c r="S620" i="2"/>
  <c r="Q620" i="2"/>
  <c r="O620" i="2"/>
  <c r="M620" i="2"/>
  <c r="K620" i="2"/>
  <c r="I620" i="2"/>
  <c r="G620" i="2"/>
  <c r="E620" i="2"/>
  <c r="C620" i="2"/>
  <c r="BJ619" i="2"/>
  <c r="BI619" i="2"/>
  <c r="BG619" i="2"/>
  <c r="BD619" i="2"/>
  <c r="BC619" i="2"/>
  <c r="BA619" i="2"/>
  <c r="AX619" i="2"/>
  <c r="AW619" i="2"/>
  <c r="AU619" i="2"/>
  <c r="AS619" i="2"/>
  <c r="AP619" i="2"/>
  <c r="AN619" i="2"/>
  <c r="AL619" i="2"/>
  <c r="AJ619" i="2"/>
  <c r="AH619" i="2"/>
  <c r="AF619" i="2"/>
  <c r="AD619" i="2"/>
  <c r="AB619" i="2"/>
  <c r="Z619" i="2"/>
  <c r="X619" i="2"/>
  <c r="U619" i="2"/>
  <c r="S619" i="2"/>
  <c r="Q619" i="2"/>
  <c r="O619" i="2"/>
  <c r="M619" i="2"/>
  <c r="K619" i="2"/>
  <c r="I619" i="2"/>
  <c r="G619" i="2"/>
  <c r="E619" i="2"/>
  <c r="C619" i="2"/>
  <c r="BJ618" i="2"/>
  <c r="BI618" i="2"/>
  <c r="BG618" i="2"/>
  <c r="BD618" i="2"/>
  <c r="BC618" i="2"/>
  <c r="BA618" i="2"/>
  <c r="AX618" i="2"/>
  <c r="AY619" i="2" s="1"/>
  <c r="AW618" i="2"/>
  <c r="AU618" i="2"/>
  <c r="AS618" i="2"/>
  <c r="AP618" i="2"/>
  <c r="AN618" i="2"/>
  <c r="AL618" i="2"/>
  <c r="AJ618" i="2"/>
  <c r="AH618" i="2"/>
  <c r="AF618" i="2"/>
  <c r="AD618" i="2"/>
  <c r="AB618" i="2"/>
  <c r="Z618" i="2"/>
  <c r="X618" i="2"/>
  <c r="U618" i="2"/>
  <c r="S618" i="2"/>
  <c r="Q618" i="2"/>
  <c r="O618" i="2"/>
  <c r="M618" i="2"/>
  <c r="K618" i="2"/>
  <c r="I618" i="2"/>
  <c r="G618" i="2"/>
  <c r="E618" i="2"/>
  <c r="C618" i="2"/>
  <c r="BJ617" i="2"/>
  <c r="BI617" i="2"/>
  <c r="BG617" i="2"/>
  <c r="BD617" i="2"/>
  <c r="BE617" i="2" s="1"/>
  <c r="BC617" i="2"/>
  <c r="BA617" i="2"/>
  <c r="AX617" i="2"/>
  <c r="AY617" i="2" s="1"/>
  <c r="AW617" i="2"/>
  <c r="AU617" i="2"/>
  <c r="AS617" i="2"/>
  <c r="AP617" i="2"/>
  <c r="AN617" i="2"/>
  <c r="AL617" i="2"/>
  <c r="AJ617" i="2"/>
  <c r="AH617" i="2"/>
  <c r="AF617" i="2"/>
  <c r="AD617" i="2"/>
  <c r="AB617" i="2"/>
  <c r="Z617" i="2"/>
  <c r="X617" i="2"/>
  <c r="U617" i="2"/>
  <c r="S617" i="2"/>
  <c r="Q617" i="2"/>
  <c r="O617" i="2"/>
  <c r="M617" i="2"/>
  <c r="K617" i="2"/>
  <c r="I617" i="2"/>
  <c r="G617" i="2"/>
  <c r="E617" i="2"/>
  <c r="C617" i="2"/>
  <c r="BJ616" i="2"/>
  <c r="BI616" i="2"/>
  <c r="BG616" i="2"/>
  <c r="BD616" i="2"/>
  <c r="BC616" i="2"/>
  <c r="BA616" i="2"/>
  <c r="AX616" i="2"/>
  <c r="AW616" i="2"/>
  <c r="AU616" i="2"/>
  <c r="AS616" i="2"/>
  <c r="AP616" i="2"/>
  <c r="AN616" i="2"/>
  <c r="AL616" i="2"/>
  <c r="AJ616" i="2"/>
  <c r="AH616" i="2"/>
  <c r="AF616" i="2"/>
  <c r="AD616" i="2"/>
  <c r="AB616" i="2"/>
  <c r="Z616" i="2"/>
  <c r="X616" i="2"/>
  <c r="U616" i="2"/>
  <c r="S616" i="2"/>
  <c r="Q616" i="2"/>
  <c r="O616" i="2"/>
  <c r="M616" i="2"/>
  <c r="K616" i="2"/>
  <c r="I616" i="2"/>
  <c r="G616" i="2"/>
  <c r="E616" i="2"/>
  <c r="C616" i="2"/>
  <c r="BJ615" i="2"/>
  <c r="BI615" i="2"/>
  <c r="BG615" i="2"/>
  <c r="BD615" i="2"/>
  <c r="BE616" i="2" s="1"/>
  <c r="BC615" i="2"/>
  <c r="BA615" i="2"/>
  <c r="AX615" i="2"/>
  <c r="AY615" i="2" s="1"/>
  <c r="AW615" i="2"/>
  <c r="AU615" i="2"/>
  <c r="AS615" i="2"/>
  <c r="AP615" i="2"/>
  <c r="AN615" i="2"/>
  <c r="AL615" i="2"/>
  <c r="AJ615" i="2"/>
  <c r="AH615" i="2"/>
  <c r="AF615" i="2"/>
  <c r="AD615" i="2"/>
  <c r="AB615" i="2"/>
  <c r="Z615" i="2"/>
  <c r="X615" i="2"/>
  <c r="U615" i="2"/>
  <c r="S615" i="2"/>
  <c r="Q615" i="2"/>
  <c r="O615" i="2"/>
  <c r="M615" i="2"/>
  <c r="K615" i="2"/>
  <c r="I615" i="2"/>
  <c r="G615" i="2"/>
  <c r="E615" i="2"/>
  <c r="C615" i="2"/>
  <c r="A615" i="2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BJ614" i="2"/>
  <c r="BK614" i="2" s="1"/>
  <c r="BI614" i="2"/>
  <c r="BG614" i="2"/>
  <c r="BD614" i="2"/>
  <c r="BC614" i="2"/>
  <c r="BA614" i="2"/>
  <c r="AX614" i="2"/>
  <c r="AW614" i="2"/>
  <c r="AU614" i="2"/>
  <c r="AS614" i="2"/>
  <c r="AP614" i="2"/>
  <c r="AN614" i="2"/>
  <c r="AL614" i="2"/>
  <c r="AJ614" i="2"/>
  <c r="AH614" i="2"/>
  <c r="AF614" i="2"/>
  <c r="AD614" i="2"/>
  <c r="AB614" i="2"/>
  <c r="Z614" i="2"/>
  <c r="X614" i="2"/>
  <c r="U614" i="2"/>
  <c r="S614" i="2"/>
  <c r="Q614" i="2"/>
  <c r="O614" i="2"/>
  <c r="M614" i="2"/>
  <c r="K614" i="2"/>
  <c r="I614" i="2"/>
  <c r="G614" i="2"/>
  <c r="E614" i="2"/>
  <c r="C614" i="2"/>
  <c r="BJ613" i="2"/>
  <c r="BI613" i="2"/>
  <c r="BG613" i="2"/>
  <c r="BD613" i="2"/>
  <c r="BC613" i="2"/>
  <c r="BA613" i="2"/>
  <c r="AX613" i="2"/>
  <c r="AY614" i="2" s="1"/>
  <c r="AW613" i="2"/>
  <c r="AU613" i="2"/>
  <c r="AS613" i="2"/>
  <c r="AP613" i="2"/>
  <c r="AN613" i="2"/>
  <c r="AL613" i="2"/>
  <c r="AJ613" i="2"/>
  <c r="AH613" i="2"/>
  <c r="AF613" i="2"/>
  <c r="AD613" i="2"/>
  <c r="AB613" i="2"/>
  <c r="Z613" i="2"/>
  <c r="X613" i="2"/>
  <c r="U613" i="2"/>
  <c r="S613" i="2"/>
  <c r="Q613" i="2"/>
  <c r="O613" i="2"/>
  <c r="M613" i="2"/>
  <c r="K613" i="2"/>
  <c r="I613" i="2"/>
  <c r="G613" i="2"/>
  <c r="E613" i="2"/>
  <c r="C613" i="2"/>
  <c r="BJ612" i="2"/>
  <c r="BK613" i="2" s="1"/>
  <c r="BI612" i="2"/>
  <c r="BG612" i="2"/>
  <c r="BD612" i="2"/>
  <c r="BC612" i="2"/>
  <c r="BA612" i="2"/>
  <c r="AX612" i="2"/>
  <c r="AW612" i="2"/>
  <c r="AU612" i="2"/>
  <c r="AS612" i="2"/>
  <c r="AP612" i="2"/>
  <c r="AN612" i="2"/>
  <c r="AL612" i="2"/>
  <c r="AJ612" i="2"/>
  <c r="AH612" i="2"/>
  <c r="AF612" i="2"/>
  <c r="AD612" i="2"/>
  <c r="AB612" i="2"/>
  <c r="Z612" i="2"/>
  <c r="X612" i="2"/>
  <c r="U612" i="2"/>
  <c r="S612" i="2"/>
  <c r="Q612" i="2"/>
  <c r="O612" i="2"/>
  <c r="M612" i="2"/>
  <c r="K612" i="2"/>
  <c r="I612" i="2"/>
  <c r="G612" i="2"/>
  <c r="E612" i="2"/>
  <c r="C612" i="2"/>
  <c r="BJ611" i="2"/>
  <c r="BI611" i="2"/>
  <c r="BG611" i="2"/>
  <c r="BD611" i="2"/>
  <c r="BE612" i="2" s="1"/>
  <c r="BC611" i="2"/>
  <c r="BA611" i="2"/>
  <c r="AX611" i="2"/>
  <c r="AY611" i="2" s="1"/>
  <c r="AW611" i="2"/>
  <c r="AU611" i="2"/>
  <c r="AS611" i="2"/>
  <c r="AP611" i="2"/>
  <c r="AN611" i="2"/>
  <c r="AL611" i="2"/>
  <c r="AJ611" i="2"/>
  <c r="AH611" i="2"/>
  <c r="AF611" i="2"/>
  <c r="AD611" i="2"/>
  <c r="AB611" i="2"/>
  <c r="Z611" i="2"/>
  <c r="X611" i="2"/>
  <c r="U611" i="2"/>
  <c r="S611" i="2"/>
  <c r="Q611" i="2"/>
  <c r="O611" i="2"/>
  <c r="M611" i="2"/>
  <c r="K611" i="2"/>
  <c r="I611" i="2"/>
  <c r="G611" i="2"/>
  <c r="E611" i="2"/>
  <c r="C611" i="2"/>
  <c r="BJ610" i="2"/>
  <c r="BK611" i="2" s="1"/>
  <c r="BI610" i="2"/>
  <c r="BG610" i="2"/>
  <c r="BD610" i="2"/>
  <c r="BC610" i="2"/>
  <c r="BA610" i="2"/>
  <c r="AX610" i="2"/>
  <c r="AW610" i="2"/>
  <c r="AU610" i="2"/>
  <c r="AS610" i="2"/>
  <c r="AP610" i="2"/>
  <c r="AN610" i="2"/>
  <c r="AL610" i="2"/>
  <c r="AJ610" i="2"/>
  <c r="AH610" i="2"/>
  <c r="AF610" i="2"/>
  <c r="AD610" i="2"/>
  <c r="AB610" i="2"/>
  <c r="Z610" i="2"/>
  <c r="X610" i="2"/>
  <c r="U610" i="2"/>
  <c r="S610" i="2"/>
  <c r="Q610" i="2"/>
  <c r="O610" i="2"/>
  <c r="M610" i="2"/>
  <c r="K610" i="2"/>
  <c r="I610" i="2"/>
  <c r="G610" i="2"/>
  <c r="E610" i="2"/>
  <c r="C610" i="2"/>
  <c r="BJ609" i="2"/>
  <c r="BI609" i="2"/>
  <c r="BG609" i="2"/>
  <c r="BD609" i="2"/>
  <c r="BC609" i="2"/>
  <c r="BA609" i="2"/>
  <c r="AX609" i="2"/>
  <c r="AY610" i="2" s="1"/>
  <c r="AW609" i="2"/>
  <c r="AU609" i="2"/>
  <c r="AS609" i="2"/>
  <c r="AP609" i="2"/>
  <c r="AN609" i="2"/>
  <c r="AL609" i="2"/>
  <c r="AJ609" i="2"/>
  <c r="AH609" i="2"/>
  <c r="AF609" i="2"/>
  <c r="AD609" i="2"/>
  <c r="AB609" i="2"/>
  <c r="Z609" i="2"/>
  <c r="X609" i="2"/>
  <c r="U609" i="2"/>
  <c r="S609" i="2"/>
  <c r="Q609" i="2"/>
  <c r="O609" i="2"/>
  <c r="M609" i="2"/>
  <c r="K609" i="2"/>
  <c r="I609" i="2"/>
  <c r="G609" i="2"/>
  <c r="E609" i="2"/>
  <c r="C609" i="2"/>
  <c r="BJ608" i="2"/>
  <c r="BK609" i="2" s="1"/>
  <c r="BI608" i="2"/>
  <c r="BG608" i="2"/>
  <c r="BD608" i="2"/>
  <c r="BC608" i="2"/>
  <c r="BA608" i="2"/>
  <c r="AX608" i="2"/>
  <c r="AY609" i="2" s="1"/>
  <c r="AW608" i="2"/>
  <c r="AU608" i="2"/>
  <c r="AS608" i="2"/>
  <c r="AP608" i="2"/>
  <c r="AN608" i="2"/>
  <c r="AL608" i="2"/>
  <c r="AJ608" i="2"/>
  <c r="AH608" i="2"/>
  <c r="AF608" i="2"/>
  <c r="AD608" i="2"/>
  <c r="AB608" i="2"/>
  <c r="Z608" i="2"/>
  <c r="X608" i="2"/>
  <c r="U608" i="2"/>
  <c r="S608" i="2"/>
  <c r="Q608" i="2"/>
  <c r="O608" i="2"/>
  <c r="M608" i="2"/>
  <c r="K608" i="2"/>
  <c r="I608" i="2"/>
  <c r="G608" i="2"/>
  <c r="E608" i="2"/>
  <c r="C608" i="2"/>
  <c r="BJ607" i="2"/>
  <c r="BI607" i="2"/>
  <c r="BG607" i="2"/>
  <c r="BD607" i="2"/>
  <c r="BC607" i="2"/>
  <c r="BA607" i="2"/>
  <c r="AX607" i="2"/>
  <c r="AY607" i="2" s="1"/>
  <c r="AW607" i="2"/>
  <c r="AU607" i="2"/>
  <c r="AS607" i="2"/>
  <c r="AP607" i="2"/>
  <c r="AN607" i="2"/>
  <c r="AL607" i="2"/>
  <c r="AJ607" i="2"/>
  <c r="AH607" i="2"/>
  <c r="AF607" i="2"/>
  <c r="AD607" i="2"/>
  <c r="AB607" i="2"/>
  <c r="Z607" i="2"/>
  <c r="X607" i="2"/>
  <c r="U607" i="2"/>
  <c r="S607" i="2"/>
  <c r="Q607" i="2"/>
  <c r="O607" i="2"/>
  <c r="M607" i="2"/>
  <c r="K607" i="2"/>
  <c r="I607" i="2"/>
  <c r="G607" i="2"/>
  <c r="E607" i="2"/>
  <c r="C607" i="2"/>
  <c r="BJ606" i="2"/>
  <c r="BK607" i="2" s="1"/>
  <c r="BI606" i="2"/>
  <c r="BG606" i="2"/>
  <c r="BD606" i="2"/>
  <c r="BC606" i="2"/>
  <c r="BA606" i="2"/>
  <c r="AX606" i="2"/>
  <c r="AY606" i="2" s="1"/>
  <c r="AW606" i="2"/>
  <c r="AU606" i="2"/>
  <c r="AS606" i="2"/>
  <c r="AP606" i="2"/>
  <c r="AN606" i="2"/>
  <c r="AL606" i="2"/>
  <c r="AJ606" i="2"/>
  <c r="AH606" i="2"/>
  <c r="AF606" i="2"/>
  <c r="AD606" i="2"/>
  <c r="AB606" i="2"/>
  <c r="Z606" i="2"/>
  <c r="X606" i="2"/>
  <c r="U606" i="2"/>
  <c r="S606" i="2"/>
  <c r="Q606" i="2"/>
  <c r="O606" i="2"/>
  <c r="M606" i="2"/>
  <c r="K606" i="2"/>
  <c r="I606" i="2"/>
  <c r="G606" i="2"/>
  <c r="E606" i="2"/>
  <c r="C606" i="2"/>
  <c r="BJ605" i="2"/>
  <c r="BI605" i="2"/>
  <c r="BG605" i="2"/>
  <c r="BD605" i="2"/>
  <c r="BC605" i="2"/>
  <c r="BA605" i="2"/>
  <c r="AX605" i="2"/>
  <c r="AY605" i="2" s="1"/>
  <c r="AW605" i="2"/>
  <c r="AU605" i="2"/>
  <c r="AS605" i="2"/>
  <c r="AP605" i="2"/>
  <c r="AN605" i="2"/>
  <c r="AL605" i="2"/>
  <c r="AJ605" i="2"/>
  <c r="AH605" i="2"/>
  <c r="AF605" i="2"/>
  <c r="AD605" i="2"/>
  <c r="AB605" i="2"/>
  <c r="Z605" i="2"/>
  <c r="X605" i="2"/>
  <c r="U605" i="2"/>
  <c r="S605" i="2"/>
  <c r="Q605" i="2"/>
  <c r="O605" i="2"/>
  <c r="M605" i="2"/>
  <c r="K605" i="2"/>
  <c r="I605" i="2"/>
  <c r="G605" i="2"/>
  <c r="E605" i="2"/>
  <c r="C605" i="2"/>
  <c r="BJ604" i="2"/>
  <c r="BI604" i="2"/>
  <c r="BG604" i="2"/>
  <c r="BD604" i="2"/>
  <c r="BC604" i="2"/>
  <c r="BA604" i="2"/>
  <c r="AX604" i="2"/>
  <c r="AW604" i="2"/>
  <c r="AU604" i="2"/>
  <c r="AS604" i="2"/>
  <c r="AP604" i="2"/>
  <c r="AN604" i="2"/>
  <c r="AL604" i="2"/>
  <c r="AJ604" i="2"/>
  <c r="AH604" i="2"/>
  <c r="AF604" i="2"/>
  <c r="AD604" i="2"/>
  <c r="AB604" i="2"/>
  <c r="Z604" i="2"/>
  <c r="X604" i="2"/>
  <c r="U604" i="2"/>
  <c r="S604" i="2"/>
  <c r="Q604" i="2"/>
  <c r="O604" i="2"/>
  <c r="M604" i="2"/>
  <c r="K604" i="2"/>
  <c r="I604" i="2"/>
  <c r="G604" i="2"/>
  <c r="E604" i="2"/>
  <c r="C604" i="2"/>
  <c r="BJ603" i="2"/>
  <c r="BI603" i="2"/>
  <c r="BG603" i="2"/>
  <c r="BD603" i="2"/>
  <c r="BC603" i="2"/>
  <c r="BA603" i="2"/>
  <c r="AY603" i="2"/>
  <c r="AX603" i="2"/>
  <c r="AY604" i="2" s="1"/>
  <c r="AW603" i="2"/>
  <c r="AU603" i="2"/>
  <c r="AS603" i="2"/>
  <c r="AP603" i="2"/>
  <c r="AN603" i="2"/>
  <c r="AL603" i="2"/>
  <c r="AJ603" i="2"/>
  <c r="AH603" i="2"/>
  <c r="AF603" i="2"/>
  <c r="AD603" i="2"/>
  <c r="AB603" i="2"/>
  <c r="Z603" i="2"/>
  <c r="X603" i="2"/>
  <c r="U603" i="2"/>
  <c r="S603" i="2"/>
  <c r="Q603" i="2"/>
  <c r="O603" i="2"/>
  <c r="M603" i="2"/>
  <c r="K603" i="2"/>
  <c r="I603" i="2"/>
  <c r="G603" i="2"/>
  <c r="E603" i="2"/>
  <c r="C603" i="2"/>
  <c r="BJ602" i="2"/>
  <c r="BI602" i="2"/>
  <c r="BG602" i="2"/>
  <c r="BD602" i="2"/>
  <c r="BC602" i="2"/>
  <c r="BA602" i="2"/>
  <c r="AY602" i="2"/>
  <c r="AX602" i="2"/>
  <c r="AW602" i="2"/>
  <c r="AU602" i="2"/>
  <c r="AS602" i="2"/>
  <c r="AP602" i="2"/>
  <c r="AN602" i="2"/>
  <c r="AL602" i="2"/>
  <c r="AJ602" i="2"/>
  <c r="AH602" i="2"/>
  <c r="AF602" i="2"/>
  <c r="AD602" i="2"/>
  <c r="AB602" i="2"/>
  <c r="Z602" i="2"/>
  <c r="X602" i="2"/>
  <c r="U602" i="2"/>
  <c r="S602" i="2"/>
  <c r="Q602" i="2"/>
  <c r="O602" i="2"/>
  <c r="M602" i="2"/>
  <c r="K602" i="2"/>
  <c r="I602" i="2"/>
  <c r="G602" i="2"/>
  <c r="E602" i="2"/>
  <c r="C602" i="2"/>
  <c r="BJ601" i="2"/>
  <c r="BI601" i="2"/>
  <c r="BG601" i="2"/>
  <c r="BD601" i="2"/>
  <c r="BC601" i="2"/>
  <c r="BA601" i="2"/>
  <c r="AX601" i="2"/>
  <c r="AY601" i="2" s="1"/>
  <c r="AW601" i="2"/>
  <c r="AU601" i="2"/>
  <c r="AS601" i="2"/>
  <c r="AP601" i="2"/>
  <c r="AN601" i="2"/>
  <c r="AL601" i="2"/>
  <c r="AJ601" i="2"/>
  <c r="AH601" i="2"/>
  <c r="AF601" i="2"/>
  <c r="AD601" i="2"/>
  <c r="AB601" i="2"/>
  <c r="Z601" i="2"/>
  <c r="X601" i="2"/>
  <c r="U601" i="2"/>
  <c r="S601" i="2"/>
  <c r="Q601" i="2"/>
  <c r="O601" i="2"/>
  <c r="M601" i="2"/>
  <c r="K601" i="2"/>
  <c r="I601" i="2"/>
  <c r="G601" i="2"/>
  <c r="E601" i="2"/>
  <c r="C601" i="2"/>
  <c r="BJ600" i="2"/>
  <c r="BI600" i="2"/>
  <c r="BG600" i="2"/>
  <c r="BD600" i="2"/>
  <c r="BC600" i="2"/>
  <c r="BA600" i="2"/>
  <c r="AX600" i="2"/>
  <c r="AY600" i="2" s="1"/>
  <c r="AW600" i="2"/>
  <c r="AU600" i="2"/>
  <c r="AS600" i="2"/>
  <c r="AP600" i="2"/>
  <c r="AN600" i="2"/>
  <c r="AL600" i="2"/>
  <c r="AJ600" i="2"/>
  <c r="AH600" i="2"/>
  <c r="AF600" i="2"/>
  <c r="AD600" i="2"/>
  <c r="AB600" i="2"/>
  <c r="Z600" i="2"/>
  <c r="X600" i="2"/>
  <c r="U600" i="2"/>
  <c r="S600" i="2"/>
  <c r="Q600" i="2"/>
  <c r="O600" i="2"/>
  <c r="M600" i="2"/>
  <c r="K600" i="2"/>
  <c r="I600" i="2"/>
  <c r="G600" i="2"/>
  <c r="E600" i="2"/>
  <c r="C600" i="2"/>
  <c r="BJ599" i="2"/>
  <c r="BI599" i="2"/>
  <c r="BG599" i="2"/>
  <c r="BD599" i="2"/>
  <c r="BC599" i="2"/>
  <c r="BA599" i="2"/>
  <c r="AX599" i="2"/>
  <c r="AY599" i="2" s="1"/>
  <c r="AW599" i="2"/>
  <c r="AU599" i="2"/>
  <c r="AS599" i="2"/>
  <c r="AP599" i="2"/>
  <c r="AN599" i="2"/>
  <c r="AL599" i="2"/>
  <c r="AJ599" i="2"/>
  <c r="AH599" i="2"/>
  <c r="AF599" i="2"/>
  <c r="AD599" i="2"/>
  <c r="AB599" i="2"/>
  <c r="Z599" i="2"/>
  <c r="X599" i="2"/>
  <c r="U599" i="2"/>
  <c r="S599" i="2"/>
  <c r="Q599" i="2"/>
  <c r="O599" i="2"/>
  <c r="M599" i="2"/>
  <c r="K599" i="2"/>
  <c r="I599" i="2"/>
  <c r="G599" i="2"/>
  <c r="E599" i="2"/>
  <c r="C599" i="2"/>
  <c r="BJ598" i="2"/>
  <c r="BI598" i="2"/>
  <c r="BG598" i="2"/>
  <c r="BD598" i="2"/>
  <c r="BE598" i="2" s="1"/>
  <c r="BC598" i="2"/>
  <c r="BA598" i="2"/>
  <c r="AX598" i="2"/>
  <c r="AW598" i="2"/>
  <c r="AU598" i="2"/>
  <c r="AS598" i="2"/>
  <c r="AP598" i="2"/>
  <c r="AN598" i="2"/>
  <c r="AL598" i="2"/>
  <c r="AJ598" i="2"/>
  <c r="AH598" i="2"/>
  <c r="AF598" i="2"/>
  <c r="AD598" i="2"/>
  <c r="AB598" i="2"/>
  <c r="Z598" i="2"/>
  <c r="X598" i="2"/>
  <c r="U598" i="2"/>
  <c r="S598" i="2"/>
  <c r="Q598" i="2"/>
  <c r="O598" i="2"/>
  <c r="M598" i="2"/>
  <c r="K598" i="2"/>
  <c r="I598" i="2"/>
  <c r="G598" i="2"/>
  <c r="E598" i="2"/>
  <c r="C598" i="2"/>
  <c r="BJ597" i="2"/>
  <c r="BK597" i="2" s="1"/>
  <c r="BI597" i="2"/>
  <c r="BG597" i="2"/>
  <c r="BD597" i="2"/>
  <c r="BC597" i="2"/>
  <c r="BA597" i="2"/>
  <c r="AX597" i="2"/>
  <c r="AY598" i="2" s="1"/>
  <c r="AW597" i="2"/>
  <c r="AU597" i="2"/>
  <c r="AS597" i="2"/>
  <c r="AP597" i="2"/>
  <c r="AN597" i="2"/>
  <c r="AL597" i="2"/>
  <c r="AJ597" i="2"/>
  <c r="AH597" i="2"/>
  <c r="AF597" i="2"/>
  <c r="AD597" i="2"/>
  <c r="AB597" i="2"/>
  <c r="Z597" i="2"/>
  <c r="X597" i="2"/>
  <c r="U597" i="2"/>
  <c r="S597" i="2"/>
  <c r="Q597" i="2"/>
  <c r="O597" i="2"/>
  <c r="M597" i="2"/>
  <c r="K597" i="2"/>
  <c r="I597" i="2"/>
  <c r="G597" i="2"/>
  <c r="E597" i="2"/>
  <c r="C597" i="2"/>
  <c r="BJ596" i="2"/>
  <c r="BK596" i="2" s="1"/>
  <c r="BI596" i="2"/>
  <c r="BG596" i="2"/>
  <c r="BD596" i="2"/>
  <c r="BE596" i="2" s="1"/>
  <c r="BC596" i="2"/>
  <c r="BA596" i="2"/>
  <c r="AX596" i="2"/>
  <c r="AY597" i="2" s="1"/>
  <c r="AW596" i="2"/>
  <c r="AU596" i="2"/>
  <c r="AS596" i="2"/>
  <c r="AP596" i="2"/>
  <c r="AN596" i="2"/>
  <c r="AL596" i="2"/>
  <c r="AJ596" i="2"/>
  <c r="AH596" i="2"/>
  <c r="AF596" i="2"/>
  <c r="AD596" i="2"/>
  <c r="AB596" i="2"/>
  <c r="Z596" i="2"/>
  <c r="X596" i="2"/>
  <c r="U596" i="2"/>
  <c r="S596" i="2"/>
  <c r="Q596" i="2"/>
  <c r="O596" i="2"/>
  <c r="M596" i="2"/>
  <c r="K596" i="2"/>
  <c r="I596" i="2"/>
  <c r="G596" i="2"/>
  <c r="E596" i="2"/>
  <c r="C596" i="2"/>
  <c r="BJ595" i="2"/>
  <c r="BI595" i="2"/>
  <c r="BG595" i="2"/>
  <c r="BD595" i="2"/>
  <c r="BC595" i="2"/>
  <c r="BA595" i="2"/>
  <c r="AX595" i="2"/>
  <c r="AY595" i="2" s="1"/>
  <c r="AW595" i="2"/>
  <c r="AU595" i="2"/>
  <c r="AS595" i="2"/>
  <c r="AP595" i="2"/>
  <c r="AN595" i="2"/>
  <c r="AL595" i="2"/>
  <c r="AJ595" i="2"/>
  <c r="AH595" i="2"/>
  <c r="AF595" i="2"/>
  <c r="AD595" i="2"/>
  <c r="AB595" i="2"/>
  <c r="Z595" i="2"/>
  <c r="X595" i="2"/>
  <c r="U595" i="2"/>
  <c r="S595" i="2"/>
  <c r="Q595" i="2"/>
  <c r="O595" i="2"/>
  <c r="M595" i="2"/>
  <c r="K595" i="2"/>
  <c r="I595" i="2"/>
  <c r="G595" i="2"/>
  <c r="E595" i="2"/>
  <c r="C595" i="2"/>
  <c r="BK594" i="2"/>
  <c r="BJ594" i="2"/>
  <c r="BK595" i="2" s="1"/>
  <c r="BI594" i="2"/>
  <c r="BG594" i="2"/>
  <c r="BD594" i="2"/>
  <c r="BE594" i="2" s="1"/>
  <c r="BC594" i="2"/>
  <c r="BA594" i="2"/>
  <c r="AY594" i="2"/>
  <c r="AX594" i="2"/>
  <c r="AW594" i="2"/>
  <c r="AU594" i="2"/>
  <c r="AS594" i="2"/>
  <c r="AP594" i="2"/>
  <c r="AN594" i="2"/>
  <c r="AL594" i="2"/>
  <c r="AJ594" i="2"/>
  <c r="AH594" i="2"/>
  <c r="AF594" i="2"/>
  <c r="AD594" i="2"/>
  <c r="AB594" i="2"/>
  <c r="Z594" i="2"/>
  <c r="X594" i="2"/>
  <c r="U594" i="2"/>
  <c r="S594" i="2"/>
  <c r="Q594" i="2"/>
  <c r="O594" i="2"/>
  <c r="M594" i="2"/>
  <c r="K594" i="2"/>
  <c r="I594" i="2"/>
  <c r="G594" i="2"/>
  <c r="E594" i="2"/>
  <c r="C594" i="2"/>
  <c r="BJ593" i="2"/>
  <c r="BI593" i="2"/>
  <c r="BG593" i="2"/>
  <c r="BD593" i="2"/>
  <c r="BC593" i="2"/>
  <c r="BA593" i="2"/>
  <c r="AX593" i="2"/>
  <c r="AW593" i="2"/>
  <c r="AU593" i="2"/>
  <c r="AS593" i="2"/>
  <c r="AP593" i="2"/>
  <c r="AN593" i="2"/>
  <c r="AL593" i="2"/>
  <c r="AJ593" i="2"/>
  <c r="AH593" i="2"/>
  <c r="AF593" i="2"/>
  <c r="AD593" i="2"/>
  <c r="AB593" i="2"/>
  <c r="Z593" i="2"/>
  <c r="X593" i="2"/>
  <c r="U593" i="2"/>
  <c r="S593" i="2"/>
  <c r="Q593" i="2"/>
  <c r="O593" i="2"/>
  <c r="M593" i="2"/>
  <c r="K593" i="2"/>
  <c r="I593" i="2"/>
  <c r="G593" i="2"/>
  <c r="E593" i="2"/>
  <c r="C593" i="2"/>
  <c r="BJ592" i="2"/>
  <c r="BK592" i="2" s="1"/>
  <c r="BI592" i="2"/>
  <c r="BG592" i="2"/>
  <c r="BD592" i="2"/>
  <c r="BC592" i="2"/>
  <c r="BA592" i="2"/>
  <c r="AX592" i="2"/>
  <c r="AY593" i="2" s="1"/>
  <c r="AW592" i="2"/>
  <c r="AU592" i="2"/>
  <c r="AS592" i="2"/>
  <c r="AP592" i="2"/>
  <c r="AN592" i="2"/>
  <c r="AL592" i="2"/>
  <c r="AJ592" i="2"/>
  <c r="AH592" i="2"/>
  <c r="AF592" i="2"/>
  <c r="AD592" i="2"/>
  <c r="AB592" i="2"/>
  <c r="Z592" i="2"/>
  <c r="X592" i="2"/>
  <c r="U592" i="2"/>
  <c r="S592" i="2"/>
  <c r="Q592" i="2"/>
  <c r="O592" i="2"/>
  <c r="M592" i="2"/>
  <c r="K592" i="2"/>
  <c r="I592" i="2"/>
  <c r="G592" i="2"/>
  <c r="E592" i="2"/>
  <c r="C592" i="2"/>
  <c r="BJ591" i="2"/>
  <c r="BK591" i="2" s="1"/>
  <c r="BI591" i="2"/>
  <c r="BG591" i="2"/>
  <c r="BD591" i="2"/>
  <c r="BC591" i="2"/>
  <c r="BA591" i="2"/>
  <c r="AX591" i="2"/>
  <c r="AY591" i="2" s="1"/>
  <c r="AW591" i="2"/>
  <c r="AU591" i="2"/>
  <c r="AS591" i="2"/>
  <c r="AP591" i="2"/>
  <c r="AN591" i="2"/>
  <c r="AL591" i="2"/>
  <c r="AJ591" i="2"/>
  <c r="AH591" i="2"/>
  <c r="AF591" i="2"/>
  <c r="AD591" i="2"/>
  <c r="AB591" i="2"/>
  <c r="Z591" i="2"/>
  <c r="X591" i="2"/>
  <c r="U591" i="2"/>
  <c r="S591" i="2"/>
  <c r="Q591" i="2"/>
  <c r="O591" i="2"/>
  <c r="M591" i="2"/>
  <c r="K591" i="2"/>
  <c r="I591" i="2"/>
  <c r="G591" i="2"/>
  <c r="E591" i="2"/>
  <c r="C591" i="2"/>
  <c r="BJ590" i="2"/>
  <c r="BI590" i="2"/>
  <c r="BG590" i="2"/>
  <c r="BD590" i="2"/>
  <c r="BC590" i="2"/>
  <c r="BA590" i="2"/>
  <c r="AX590" i="2"/>
  <c r="AY590" i="2" s="1"/>
  <c r="AW590" i="2"/>
  <c r="AU590" i="2"/>
  <c r="AS590" i="2"/>
  <c r="AP590" i="2"/>
  <c r="AN590" i="2"/>
  <c r="AL590" i="2"/>
  <c r="AJ590" i="2"/>
  <c r="AH590" i="2"/>
  <c r="AF590" i="2"/>
  <c r="AD590" i="2"/>
  <c r="AB590" i="2"/>
  <c r="Z590" i="2"/>
  <c r="X590" i="2"/>
  <c r="U590" i="2"/>
  <c r="S590" i="2"/>
  <c r="Q590" i="2"/>
  <c r="O590" i="2"/>
  <c r="M590" i="2"/>
  <c r="K590" i="2"/>
  <c r="I590" i="2"/>
  <c r="G590" i="2"/>
  <c r="E590" i="2"/>
  <c r="C590" i="2"/>
  <c r="BJ589" i="2"/>
  <c r="BK589" i="2" s="1"/>
  <c r="BI589" i="2"/>
  <c r="BG589" i="2"/>
  <c r="BD589" i="2"/>
  <c r="BC589" i="2"/>
  <c r="BA589" i="2"/>
  <c r="AX589" i="2"/>
  <c r="AW589" i="2"/>
  <c r="AU589" i="2"/>
  <c r="AS589" i="2"/>
  <c r="AP589" i="2"/>
  <c r="AN589" i="2"/>
  <c r="AL589" i="2"/>
  <c r="AJ589" i="2"/>
  <c r="AH589" i="2"/>
  <c r="AF589" i="2"/>
  <c r="AD589" i="2"/>
  <c r="AB589" i="2"/>
  <c r="Z589" i="2"/>
  <c r="X589" i="2"/>
  <c r="U589" i="2"/>
  <c r="S589" i="2"/>
  <c r="Q589" i="2"/>
  <c r="O589" i="2"/>
  <c r="M589" i="2"/>
  <c r="K589" i="2"/>
  <c r="I589" i="2"/>
  <c r="G589" i="2"/>
  <c r="E589" i="2"/>
  <c r="C589" i="2"/>
  <c r="BJ588" i="2"/>
  <c r="BI588" i="2"/>
  <c r="BG588" i="2"/>
  <c r="BD588" i="2"/>
  <c r="BC588" i="2"/>
  <c r="BA588" i="2"/>
  <c r="AY588" i="2"/>
  <c r="AX588" i="2"/>
  <c r="AY589" i="2" s="1"/>
  <c r="AW588" i="2"/>
  <c r="AU588" i="2"/>
  <c r="AS588" i="2"/>
  <c r="AP588" i="2"/>
  <c r="AN588" i="2"/>
  <c r="AL588" i="2"/>
  <c r="AJ588" i="2"/>
  <c r="AH588" i="2"/>
  <c r="AF588" i="2"/>
  <c r="AD588" i="2"/>
  <c r="AB588" i="2"/>
  <c r="Z588" i="2"/>
  <c r="X588" i="2"/>
  <c r="U588" i="2"/>
  <c r="S588" i="2"/>
  <c r="Q588" i="2"/>
  <c r="O588" i="2"/>
  <c r="M588" i="2"/>
  <c r="K588" i="2"/>
  <c r="I588" i="2"/>
  <c r="G588" i="2"/>
  <c r="E588" i="2"/>
  <c r="C588" i="2"/>
  <c r="BJ587" i="2"/>
  <c r="BK587" i="2" s="1"/>
  <c r="BI587" i="2"/>
  <c r="BG587" i="2"/>
  <c r="BD587" i="2"/>
  <c r="BE587" i="2" s="1"/>
  <c r="BC587" i="2"/>
  <c r="BA587" i="2"/>
  <c r="AY587" i="2"/>
  <c r="AX587" i="2"/>
  <c r="AW587" i="2"/>
  <c r="AU587" i="2"/>
  <c r="AS587" i="2"/>
  <c r="AP587" i="2"/>
  <c r="AN587" i="2"/>
  <c r="AL587" i="2"/>
  <c r="AJ587" i="2"/>
  <c r="AH587" i="2"/>
  <c r="AF587" i="2"/>
  <c r="AD587" i="2"/>
  <c r="AB587" i="2"/>
  <c r="Z587" i="2"/>
  <c r="X587" i="2"/>
  <c r="U587" i="2"/>
  <c r="S587" i="2"/>
  <c r="Q587" i="2"/>
  <c r="O587" i="2"/>
  <c r="M587" i="2"/>
  <c r="K587" i="2"/>
  <c r="I587" i="2"/>
  <c r="G587" i="2"/>
  <c r="E587" i="2"/>
  <c r="C587" i="2"/>
  <c r="BJ586" i="2"/>
  <c r="BI586" i="2"/>
  <c r="BG586" i="2"/>
  <c r="BD586" i="2"/>
  <c r="BC586" i="2"/>
  <c r="BA586" i="2"/>
  <c r="AX586" i="2"/>
  <c r="AW586" i="2"/>
  <c r="AU586" i="2"/>
  <c r="AS586" i="2"/>
  <c r="AP586" i="2"/>
  <c r="AN586" i="2"/>
  <c r="AL586" i="2"/>
  <c r="AJ586" i="2"/>
  <c r="AH586" i="2"/>
  <c r="AF586" i="2"/>
  <c r="AD586" i="2"/>
  <c r="AB586" i="2"/>
  <c r="Z586" i="2"/>
  <c r="X586" i="2"/>
  <c r="U586" i="2"/>
  <c r="S586" i="2"/>
  <c r="Q586" i="2"/>
  <c r="O586" i="2"/>
  <c r="M586" i="2"/>
  <c r="K586" i="2"/>
  <c r="I586" i="2"/>
  <c r="G586" i="2"/>
  <c r="E586" i="2"/>
  <c r="C586" i="2"/>
  <c r="BJ585" i="2"/>
  <c r="BI585" i="2"/>
  <c r="BG585" i="2"/>
  <c r="BD585" i="2"/>
  <c r="BC585" i="2"/>
  <c r="BA585" i="2"/>
  <c r="AX585" i="2"/>
  <c r="AY585" i="2" s="1"/>
  <c r="AW585" i="2"/>
  <c r="AU585" i="2"/>
  <c r="AS585" i="2"/>
  <c r="AP585" i="2"/>
  <c r="AN585" i="2"/>
  <c r="AL585" i="2"/>
  <c r="AJ585" i="2"/>
  <c r="AH585" i="2"/>
  <c r="AF585" i="2"/>
  <c r="AD585" i="2"/>
  <c r="AB585" i="2"/>
  <c r="Z585" i="2"/>
  <c r="X585" i="2"/>
  <c r="U585" i="2"/>
  <c r="S585" i="2"/>
  <c r="Q585" i="2"/>
  <c r="O585" i="2"/>
  <c r="M585" i="2"/>
  <c r="K585" i="2"/>
  <c r="I585" i="2"/>
  <c r="G585" i="2"/>
  <c r="E585" i="2"/>
  <c r="C585" i="2"/>
  <c r="BJ584" i="2"/>
  <c r="BI584" i="2"/>
  <c r="BG584" i="2"/>
  <c r="BD584" i="2"/>
  <c r="BC584" i="2"/>
  <c r="BA584" i="2"/>
  <c r="AX584" i="2"/>
  <c r="AY584" i="2" s="1"/>
  <c r="AW584" i="2"/>
  <c r="AU584" i="2"/>
  <c r="AS584" i="2"/>
  <c r="AP584" i="2"/>
  <c r="AN584" i="2"/>
  <c r="AL584" i="2"/>
  <c r="AJ584" i="2"/>
  <c r="AH584" i="2"/>
  <c r="AF584" i="2"/>
  <c r="AD584" i="2"/>
  <c r="AB584" i="2"/>
  <c r="Z584" i="2"/>
  <c r="X584" i="2"/>
  <c r="U584" i="2"/>
  <c r="S584" i="2"/>
  <c r="Q584" i="2"/>
  <c r="O584" i="2"/>
  <c r="M584" i="2"/>
  <c r="K584" i="2"/>
  <c r="I584" i="2"/>
  <c r="G584" i="2"/>
  <c r="E584" i="2"/>
  <c r="C584" i="2"/>
  <c r="BJ583" i="2"/>
  <c r="BI583" i="2"/>
  <c r="BG583" i="2"/>
  <c r="BD583" i="2"/>
  <c r="BE583" i="2" s="1"/>
  <c r="BC583" i="2"/>
  <c r="BA583" i="2"/>
  <c r="AY583" i="2"/>
  <c r="AX583" i="2"/>
  <c r="AW583" i="2"/>
  <c r="AU583" i="2"/>
  <c r="AS583" i="2"/>
  <c r="AP583" i="2"/>
  <c r="AN583" i="2"/>
  <c r="AL583" i="2"/>
  <c r="AJ583" i="2"/>
  <c r="AH583" i="2"/>
  <c r="AF583" i="2"/>
  <c r="AD583" i="2"/>
  <c r="AB583" i="2"/>
  <c r="Z583" i="2"/>
  <c r="X583" i="2"/>
  <c r="U583" i="2"/>
  <c r="S583" i="2"/>
  <c r="Q583" i="2"/>
  <c r="O583" i="2"/>
  <c r="M583" i="2"/>
  <c r="K583" i="2"/>
  <c r="I583" i="2"/>
  <c r="G583" i="2"/>
  <c r="E583" i="2"/>
  <c r="C583" i="2"/>
  <c r="BJ582" i="2"/>
  <c r="BK583" i="2" s="1"/>
  <c r="BI582" i="2"/>
  <c r="BG582" i="2"/>
  <c r="BD582" i="2"/>
  <c r="BC582" i="2"/>
  <c r="BA582" i="2"/>
  <c r="AY582" i="2"/>
  <c r="AX582" i="2"/>
  <c r="AW582" i="2"/>
  <c r="AU582" i="2"/>
  <c r="AS582" i="2"/>
  <c r="AP582" i="2"/>
  <c r="AN582" i="2"/>
  <c r="AL582" i="2"/>
  <c r="AJ582" i="2"/>
  <c r="AH582" i="2"/>
  <c r="AF582" i="2"/>
  <c r="AD582" i="2"/>
  <c r="AB582" i="2"/>
  <c r="Z582" i="2"/>
  <c r="X582" i="2"/>
  <c r="U582" i="2"/>
  <c r="S582" i="2"/>
  <c r="Q582" i="2"/>
  <c r="O582" i="2"/>
  <c r="M582" i="2"/>
  <c r="K582" i="2"/>
  <c r="I582" i="2"/>
  <c r="G582" i="2"/>
  <c r="E582" i="2"/>
  <c r="C582" i="2"/>
  <c r="BJ581" i="2"/>
  <c r="BK581" i="2" s="1"/>
  <c r="BI581" i="2"/>
  <c r="BG581" i="2"/>
  <c r="BD581" i="2"/>
  <c r="BC581" i="2"/>
  <c r="BA581" i="2"/>
  <c r="AX581" i="2"/>
  <c r="AY581" i="2" s="1"/>
  <c r="AW581" i="2"/>
  <c r="AU581" i="2"/>
  <c r="AS581" i="2"/>
  <c r="AP581" i="2"/>
  <c r="AN581" i="2"/>
  <c r="AL581" i="2"/>
  <c r="AJ581" i="2"/>
  <c r="AH581" i="2"/>
  <c r="AF581" i="2"/>
  <c r="AD581" i="2"/>
  <c r="AB581" i="2"/>
  <c r="Z581" i="2"/>
  <c r="X581" i="2"/>
  <c r="U581" i="2"/>
  <c r="S581" i="2"/>
  <c r="Q581" i="2"/>
  <c r="O581" i="2"/>
  <c r="M581" i="2"/>
  <c r="K581" i="2"/>
  <c r="I581" i="2"/>
  <c r="G581" i="2"/>
  <c r="E581" i="2"/>
  <c r="C581" i="2"/>
  <c r="BK580" i="2"/>
  <c r="BJ580" i="2"/>
  <c r="BI580" i="2"/>
  <c r="BG580" i="2"/>
  <c r="BD580" i="2"/>
  <c r="BC580" i="2"/>
  <c r="BA580" i="2"/>
  <c r="AX580" i="2"/>
  <c r="AW580" i="2"/>
  <c r="AU580" i="2"/>
  <c r="AS580" i="2"/>
  <c r="AP580" i="2"/>
  <c r="AN580" i="2"/>
  <c r="AL580" i="2"/>
  <c r="AJ580" i="2"/>
  <c r="AH580" i="2"/>
  <c r="AF580" i="2"/>
  <c r="AD580" i="2"/>
  <c r="AB580" i="2"/>
  <c r="Z580" i="2"/>
  <c r="X580" i="2"/>
  <c r="U580" i="2"/>
  <c r="S580" i="2"/>
  <c r="Q580" i="2"/>
  <c r="O580" i="2"/>
  <c r="M580" i="2"/>
  <c r="K580" i="2"/>
  <c r="I580" i="2"/>
  <c r="G580" i="2"/>
  <c r="E580" i="2"/>
  <c r="C580" i="2"/>
  <c r="BJ579" i="2"/>
  <c r="BI579" i="2"/>
  <c r="BG579" i="2"/>
  <c r="BD579" i="2"/>
  <c r="BC579" i="2"/>
  <c r="BA579" i="2"/>
  <c r="AX579" i="2"/>
  <c r="AY580" i="2" s="1"/>
  <c r="AW579" i="2"/>
  <c r="AU579" i="2"/>
  <c r="AS579" i="2"/>
  <c r="AP579" i="2"/>
  <c r="AN579" i="2"/>
  <c r="AL579" i="2"/>
  <c r="AJ579" i="2"/>
  <c r="AH579" i="2"/>
  <c r="AF579" i="2"/>
  <c r="AD579" i="2"/>
  <c r="AB579" i="2"/>
  <c r="Z579" i="2"/>
  <c r="X579" i="2"/>
  <c r="U579" i="2"/>
  <c r="S579" i="2"/>
  <c r="Q579" i="2"/>
  <c r="O579" i="2"/>
  <c r="M579" i="2"/>
  <c r="K579" i="2"/>
  <c r="I579" i="2"/>
  <c r="G579" i="2"/>
  <c r="E579" i="2"/>
  <c r="C579" i="2"/>
  <c r="BJ578" i="2"/>
  <c r="BK578" i="2" s="1"/>
  <c r="BI578" i="2"/>
  <c r="BG578" i="2"/>
  <c r="BD578" i="2"/>
  <c r="BE578" i="2" s="1"/>
  <c r="BC578" i="2"/>
  <c r="BA578" i="2"/>
  <c r="AY578" i="2"/>
  <c r="AX578" i="2"/>
  <c r="AY579" i="2" s="1"/>
  <c r="AW578" i="2"/>
  <c r="AU578" i="2"/>
  <c r="AS578" i="2"/>
  <c r="AP578" i="2"/>
  <c r="AN578" i="2"/>
  <c r="AL578" i="2"/>
  <c r="AJ578" i="2"/>
  <c r="AH578" i="2"/>
  <c r="AF578" i="2"/>
  <c r="AD578" i="2"/>
  <c r="AB578" i="2"/>
  <c r="Z578" i="2"/>
  <c r="X578" i="2"/>
  <c r="U578" i="2"/>
  <c r="S578" i="2"/>
  <c r="Q578" i="2"/>
  <c r="O578" i="2"/>
  <c r="M578" i="2"/>
  <c r="K578" i="2"/>
  <c r="I578" i="2"/>
  <c r="G578" i="2"/>
  <c r="E578" i="2"/>
  <c r="C578" i="2"/>
  <c r="BJ577" i="2"/>
  <c r="BI577" i="2"/>
  <c r="BG577" i="2"/>
  <c r="BD577" i="2"/>
  <c r="BC577" i="2"/>
  <c r="BA577" i="2"/>
  <c r="AX577" i="2"/>
  <c r="AY577" i="2" s="1"/>
  <c r="AW577" i="2"/>
  <c r="AU577" i="2"/>
  <c r="AS577" i="2"/>
  <c r="AP577" i="2"/>
  <c r="AN577" i="2"/>
  <c r="AL577" i="2"/>
  <c r="AJ577" i="2"/>
  <c r="AH577" i="2"/>
  <c r="AF577" i="2"/>
  <c r="AD577" i="2"/>
  <c r="AB577" i="2"/>
  <c r="Z577" i="2"/>
  <c r="X577" i="2"/>
  <c r="U577" i="2"/>
  <c r="S577" i="2"/>
  <c r="Q577" i="2"/>
  <c r="O577" i="2"/>
  <c r="M577" i="2"/>
  <c r="K577" i="2"/>
  <c r="I577" i="2"/>
  <c r="G577" i="2"/>
  <c r="E577" i="2"/>
  <c r="C577" i="2"/>
  <c r="BJ576" i="2"/>
  <c r="BK577" i="2" s="1"/>
  <c r="BI576" i="2"/>
  <c r="BG576" i="2"/>
  <c r="BD576" i="2"/>
  <c r="BE576" i="2" s="1"/>
  <c r="BC576" i="2"/>
  <c r="BA576" i="2"/>
  <c r="AX576" i="2"/>
  <c r="AW576" i="2"/>
  <c r="AU576" i="2"/>
  <c r="AS576" i="2"/>
  <c r="AP576" i="2"/>
  <c r="AN576" i="2"/>
  <c r="AL576" i="2"/>
  <c r="AJ576" i="2"/>
  <c r="AH576" i="2"/>
  <c r="AF576" i="2"/>
  <c r="AD576" i="2"/>
  <c r="AB576" i="2"/>
  <c r="Z576" i="2"/>
  <c r="X576" i="2"/>
  <c r="U576" i="2"/>
  <c r="S576" i="2"/>
  <c r="Q576" i="2"/>
  <c r="O576" i="2"/>
  <c r="M576" i="2"/>
  <c r="K576" i="2"/>
  <c r="I576" i="2"/>
  <c r="G576" i="2"/>
  <c r="E576" i="2"/>
  <c r="C576" i="2"/>
  <c r="BJ575" i="2"/>
  <c r="BK576" i="2" s="1"/>
  <c r="BI575" i="2"/>
  <c r="BG575" i="2"/>
  <c r="BD575" i="2"/>
  <c r="BC575" i="2"/>
  <c r="BA575" i="2"/>
  <c r="AX575" i="2"/>
  <c r="AY575" i="2" s="1"/>
  <c r="AW575" i="2"/>
  <c r="AU575" i="2"/>
  <c r="AS575" i="2"/>
  <c r="AP575" i="2"/>
  <c r="AN575" i="2"/>
  <c r="AL575" i="2"/>
  <c r="AJ575" i="2"/>
  <c r="AH575" i="2"/>
  <c r="AF575" i="2"/>
  <c r="AD575" i="2"/>
  <c r="AB575" i="2"/>
  <c r="Z575" i="2"/>
  <c r="X575" i="2"/>
  <c r="U575" i="2"/>
  <c r="S575" i="2"/>
  <c r="Q575" i="2"/>
  <c r="O575" i="2"/>
  <c r="M575" i="2"/>
  <c r="K575" i="2"/>
  <c r="I575" i="2"/>
  <c r="G575" i="2"/>
  <c r="E575" i="2"/>
  <c r="C575" i="2"/>
  <c r="BJ574" i="2"/>
  <c r="BI574" i="2"/>
  <c r="BG574" i="2"/>
  <c r="BD574" i="2"/>
  <c r="BC574" i="2"/>
  <c r="BA574" i="2"/>
  <c r="AX574" i="2"/>
  <c r="AY574" i="2" s="1"/>
  <c r="AW574" i="2"/>
  <c r="AU574" i="2"/>
  <c r="AS574" i="2"/>
  <c r="AP574" i="2"/>
  <c r="AN574" i="2"/>
  <c r="AL574" i="2"/>
  <c r="AJ574" i="2"/>
  <c r="AH574" i="2"/>
  <c r="AF574" i="2"/>
  <c r="AD574" i="2"/>
  <c r="AB574" i="2"/>
  <c r="Z574" i="2"/>
  <c r="X574" i="2"/>
  <c r="U574" i="2"/>
  <c r="S574" i="2"/>
  <c r="Q574" i="2"/>
  <c r="O574" i="2"/>
  <c r="M574" i="2"/>
  <c r="K574" i="2"/>
  <c r="I574" i="2"/>
  <c r="G574" i="2"/>
  <c r="E574" i="2"/>
  <c r="C574" i="2"/>
  <c r="BJ573" i="2"/>
  <c r="BI573" i="2"/>
  <c r="BG573" i="2"/>
  <c r="BD573" i="2"/>
  <c r="BC573" i="2"/>
  <c r="BA573" i="2"/>
  <c r="AX573" i="2"/>
  <c r="AY573" i="2" s="1"/>
  <c r="AW573" i="2"/>
  <c r="AU573" i="2"/>
  <c r="AS573" i="2"/>
  <c r="AP573" i="2"/>
  <c r="AN573" i="2"/>
  <c r="AL573" i="2"/>
  <c r="AJ573" i="2"/>
  <c r="AH573" i="2"/>
  <c r="AF573" i="2"/>
  <c r="AD573" i="2"/>
  <c r="AB573" i="2"/>
  <c r="Z573" i="2"/>
  <c r="X573" i="2"/>
  <c r="U573" i="2"/>
  <c r="S573" i="2"/>
  <c r="Q573" i="2"/>
  <c r="O573" i="2"/>
  <c r="M573" i="2"/>
  <c r="K573" i="2"/>
  <c r="I573" i="2"/>
  <c r="G573" i="2"/>
  <c r="E573" i="2"/>
  <c r="C573" i="2"/>
  <c r="BJ572" i="2"/>
  <c r="BI572" i="2"/>
  <c r="BG572" i="2"/>
  <c r="BD572" i="2"/>
  <c r="BC572" i="2"/>
  <c r="BA572" i="2"/>
  <c r="AX572" i="2"/>
  <c r="AW572" i="2"/>
  <c r="AU572" i="2"/>
  <c r="AS572" i="2"/>
  <c r="AP572" i="2"/>
  <c r="AN572" i="2"/>
  <c r="AL572" i="2"/>
  <c r="AJ572" i="2"/>
  <c r="AH572" i="2"/>
  <c r="AF572" i="2"/>
  <c r="AD572" i="2"/>
  <c r="AB572" i="2"/>
  <c r="Z572" i="2"/>
  <c r="X572" i="2"/>
  <c r="U572" i="2"/>
  <c r="S572" i="2"/>
  <c r="Q572" i="2"/>
  <c r="O572" i="2"/>
  <c r="M572" i="2"/>
  <c r="K572" i="2"/>
  <c r="I572" i="2"/>
  <c r="G572" i="2"/>
  <c r="E572" i="2"/>
  <c r="C572" i="2"/>
  <c r="BJ571" i="2"/>
  <c r="BI571" i="2"/>
  <c r="BG571" i="2"/>
  <c r="BD571" i="2"/>
  <c r="BC571" i="2"/>
  <c r="BA571" i="2"/>
  <c r="AX571" i="2"/>
  <c r="AY572" i="2" s="1"/>
  <c r="AW571" i="2"/>
  <c r="AU571" i="2"/>
  <c r="AS571" i="2"/>
  <c r="AP571" i="2"/>
  <c r="AN571" i="2"/>
  <c r="AL571" i="2"/>
  <c r="AJ571" i="2"/>
  <c r="AH571" i="2"/>
  <c r="AF571" i="2"/>
  <c r="AD571" i="2"/>
  <c r="AB571" i="2"/>
  <c r="Z571" i="2"/>
  <c r="X571" i="2"/>
  <c r="U571" i="2"/>
  <c r="S571" i="2"/>
  <c r="Q571" i="2"/>
  <c r="O571" i="2"/>
  <c r="M571" i="2"/>
  <c r="K571" i="2"/>
  <c r="I571" i="2"/>
  <c r="G571" i="2"/>
  <c r="E571" i="2"/>
  <c r="C571" i="2"/>
  <c r="BJ570" i="2"/>
  <c r="BI570" i="2"/>
  <c r="BG570" i="2"/>
  <c r="BD570" i="2"/>
  <c r="BC570" i="2"/>
  <c r="BA570" i="2"/>
  <c r="AX570" i="2"/>
  <c r="AW570" i="2"/>
  <c r="AU570" i="2"/>
  <c r="AS570" i="2"/>
  <c r="AP570" i="2"/>
  <c r="AN570" i="2"/>
  <c r="AL570" i="2"/>
  <c r="AJ570" i="2"/>
  <c r="AH570" i="2"/>
  <c r="AF570" i="2"/>
  <c r="AD570" i="2"/>
  <c r="AB570" i="2"/>
  <c r="Z570" i="2"/>
  <c r="X570" i="2"/>
  <c r="U570" i="2"/>
  <c r="S570" i="2"/>
  <c r="Q570" i="2"/>
  <c r="O570" i="2"/>
  <c r="M570" i="2"/>
  <c r="K570" i="2"/>
  <c r="I570" i="2"/>
  <c r="G570" i="2"/>
  <c r="E570" i="2"/>
  <c r="C570" i="2"/>
  <c r="BJ569" i="2"/>
  <c r="BI569" i="2"/>
  <c r="BG569" i="2"/>
  <c r="BD569" i="2"/>
  <c r="BE569" i="2" s="1"/>
  <c r="BC569" i="2"/>
  <c r="BA569" i="2"/>
  <c r="AX569" i="2"/>
  <c r="AY569" i="2" s="1"/>
  <c r="AW569" i="2"/>
  <c r="AU569" i="2"/>
  <c r="AS569" i="2"/>
  <c r="AP569" i="2"/>
  <c r="AN569" i="2"/>
  <c r="AL569" i="2"/>
  <c r="AJ569" i="2"/>
  <c r="AH569" i="2"/>
  <c r="AF569" i="2"/>
  <c r="AD569" i="2"/>
  <c r="AB569" i="2"/>
  <c r="Z569" i="2"/>
  <c r="X569" i="2"/>
  <c r="U569" i="2"/>
  <c r="S569" i="2"/>
  <c r="Q569" i="2"/>
  <c r="O569" i="2"/>
  <c r="M569" i="2"/>
  <c r="K569" i="2"/>
  <c r="I569" i="2"/>
  <c r="G569" i="2"/>
  <c r="E569" i="2"/>
  <c r="C569" i="2"/>
  <c r="BJ568" i="2"/>
  <c r="BK569" i="2" s="1"/>
  <c r="BI568" i="2"/>
  <c r="BG568" i="2"/>
  <c r="BD568" i="2"/>
  <c r="BE568" i="2" s="1"/>
  <c r="BC568" i="2"/>
  <c r="BA568" i="2"/>
  <c r="AX568" i="2"/>
  <c r="AW568" i="2"/>
  <c r="AU568" i="2"/>
  <c r="AS568" i="2"/>
  <c r="AP568" i="2"/>
  <c r="AN568" i="2"/>
  <c r="AL568" i="2"/>
  <c r="AJ568" i="2"/>
  <c r="AH568" i="2"/>
  <c r="AF568" i="2"/>
  <c r="AD568" i="2"/>
  <c r="AB568" i="2"/>
  <c r="Z568" i="2"/>
  <c r="X568" i="2"/>
  <c r="U568" i="2"/>
  <c r="S568" i="2"/>
  <c r="Q568" i="2"/>
  <c r="O568" i="2"/>
  <c r="M568" i="2"/>
  <c r="K568" i="2"/>
  <c r="I568" i="2"/>
  <c r="G568" i="2"/>
  <c r="E568" i="2"/>
  <c r="C568" i="2"/>
  <c r="BJ567" i="2"/>
  <c r="BI567" i="2"/>
  <c r="BG567" i="2"/>
  <c r="BD567" i="2"/>
  <c r="BC567" i="2"/>
  <c r="BA567" i="2"/>
  <c r="AX567" i="2"/>
  <c r="AY567" i="2" s="1"/>
  <c r="AW567" i="2"/>
  <c r="AU567" i="2"/>
  <c r="AS567" i="2"/>
  <c r="AP567" i="2"/>
  <c r="AN567" i="2"/>
  <c r="AL567" i="2"/>
  <c r="AJ567" i="2"/>
  <c r="AH567" i="2"/>
  <c r="AF567" i="2"/>
  <c r="AD567" i="2"/>
  <c r="AB567" i="2"/>
  <c r="Z567" i="2"/>
  <c r="X567" i="2"/>
  <c r="U567" i="2"/>
  <c r="S567" i="2"/>
  <c r="Q567" i="2"/>
  <c r="O567" i="2"/>
  <c r="M567" i="2"/>
  <c r="K567" i="2"/>
  <c r="I567" i="2"/>
  <c r="G567" i="2"/>
  <c r="E567" i="2"/>
  <c r="C567" i="2"/>
  <c r="BJ566" i="2"/>
  <c r="BI566" i="2"/>
  <c r="BG566" i="2"/>
  <c r="BD566" i="2"/>
  <c r="BE566" i="2" s="1"/>
  <c r="BC566" i="2"/>
  <c r="BA566" i="2"/>
  <c r="AX566" i="2"/>
  <c r="AY566" i="2" s="1"/>
  <c r="AW566" i="2"/>
  <c r="AU566" i="2"/>
  <c r="AS566" i="2"/>
  <c r="AP566" i="2"/>
  <c r="AN566" i="2"/>
  <c r="AL566" i="2"/>
  <c r="AJ566" i="2"/>
  <c r="AH566" i="2"/>
  <c r="AF566" i="2"/>
  <c r="AD566" i="2"/>
  <c r="AB566" i="2"/>
  <c r="Z566" i="2"/>
  <c r="X566" i="2"/>
  <c r="U566" i="2"/>
  <c r="S566" i="2"/>
  <c r="Q566" i="2"/>
  <c r="O566" i="2"/>
  <c r="M566" i="2"/>
  <c r="K566" i="2"/>
  <c r="I566" i="2"/>
  <c r="G566" i="2"/>
  <c r="E566" i="2"/>
  <c r="C566" i="2"/>
  <c r="BJ565" i="2"/>
  <c r="BI565" i="2"/>
  <c r="BG565" i="2"/>
  <c r="BD565" i="2"/>
  <c r="BC565" i="2"/>
  <c r="BA565" i="2"/>
  <c r="AX565" i="2"/>
  <c r="AW565" i="2"/>
  <c r="AU565" i="2"/>
  <c r="AS565" i="2"/>
  <c r="AP565" i="2"/>
  <c r="AN565" i="2"/>
  <c r="AL565" i="2"/>
  <c r="AJ565" i="2"/>
  <c r="AH565" i="2"/>
  <c r="AF565" i="2"/>
  <c r="AD565" i="2"/>
  <c r="AB565" i="2"/>
  <c r="Z565" i="2"/>
  <c r="X565" i="2"/>
  <c r="U565" i="2"/>
  <c r="S565" i="2"/>
  <c r="Q565" i="2"/>
  <c r="O565" i="2"/>
  <c r="M565" i="2"/>
  <c r="K565" i="2"/>
  <c r="I565" i="2"/>
  <c r="G565" i="2"/>
  <c r="E565" i="2"/>
  <c r="C565" i="2"/>
  <c r="BJ564" i="2"/>
  <c r="BI564" i="2"/>
  <c r="BG564" i="2"/>
  <c r="BD564" i="2"/>
  <c r="BE564" i="2" s="1"/>
  <c r="BC564" i="2"/>
  <c r="BA564" i="2"/>
  <c r="AX564" i="2"/>
  <c r="AY564" i="2" s="1"/>
  <c r="AW564" i="2"/>
  <c r="AU564" i="2"/>
  <c r="AS564" i="2"/>
  <c r="AP564" i="2"/>
  <c r="AN564" i="2"/>
  <c r="AL564" i="2"/>
  <c r="AJ564" i="2"/>
  <c r="AH564" i="2"/>
  <c r="AF564" i="2"/>
  <c r="AD564" i="2"/>
  <c r="AB564" i="2"/>
  <c r="Z564" i="2"/>
  <c r="X564" i="2"/>
  <c r="U564" i="2"/>
  <c r="S564" i="2"/>
  <c r="Q564" i="2"/>
  <c r="O564" i="2"/>
  <c r="M564" i="2"/>
  <c r="K564" i="2"/>
  <c r="I564" i="2"/>
  <c r="G564" i="2"/>
  <c r="E564" i="2"/>
  <c r="C564" i="2"/>
  <c r="BJ563" i="2"/>
  <c r="BI563" i="2"/>
  <c r="BG563" i="2"/>
  <c r="BD563" i="2"/>
  <c r="BC563" i="2"/>
  <c r="BA563" i="2"/>
  <c r="AX563" i="2"/>
  <c r="AW563" i="2"/>
  <c r="AU563" i="2"/>
  <c r="AS563" i="2"/>
  <c r="AP563" i="2"/>
  <c r="AN563" i="2"/>
  <c r="AL563" i="2"/>
  <c r="AJ563" i="2"/>
  <c r="AH563" i="2"/>
  <c r="AF563" i="2"/>
  <c r="AD563" i="2"/>
  <c r="AB563" i="2"/>
  <c r="Z563" i="2"/>
  <c r="X563" i="2"/>
  <c r="U563" i="2"/>
  <c r="S563" i="2"/>
  <c r="Q563" i="2"/>
  <c r="O563" i="2"/>
  <c r="M563" i="2"/>
  <c r="K563" i="2"/>
  <c r="I563" i="2"/>
  <c r="G563" i="2"/>
  <c r="E563" i="2"/>
  <c r="C563" i="2"/>
  <c r="BJ562" i="2"/>
  <c r="BK563" i="2" s="1"/>
  <c r="BI562" i="2"/>
  <c r="BG562" i="2"/>
  <c r="BD562" i="2"/>
  <c r="BC562" i="2"/>
  <c r="BA562" i="2"/>
  <c r="AX562" i="2"/>
  <c r="AY562" i="2" s="1"/>
  <c r="AW562" i="2"/>
  <c r="AU562" i="2"/>
  <c r="AS562" i="2"/>
  <c r="AP562" i="2"/>
  <c r="AN562" i="2"/>
  <c r="AL562" i="2"/>
  <c r="AJ562" i="2"/>
  <c r="AH562" i="2"/>
  <c r="AF562" i="2"/>
  <c r="AD562" i="2"/>
  <c r="AB562" i="2"/>
  <c r="Z562" i="2"/>
  <c r="X562" i="2"/>
  <c r="U562" i="2"/>
  <c r="S562" i="2"/>
  <c r="Q562" i="2"/>
  <c r="O562" i="2"/>
  <c r="M562" i="2"/>
  <c r="K562" i="2"/>
  <c r="I562" i="2"/>
  <c r="G562" i="2"/>
  <c r="E562" i="2"/>
  <c r="C562" i="2"/>
  <c r="BJ561" i="2"/>
  <c r="BI561" i="2"/>
  <c r="BG561" i="2"/>
  <c r="BD561" i="2"/>
  <c r="BE562" i="2" s="1"/>
  <c r="BC561" i="2"/>
  <c r="BA561" i="2"/>
  <c r="AY561" i="2"/>
  <c r="AX561" i="2"/>
  <c r="AW561" i="2"/>
  <c r="AU561" i="2"/>
  <c r="AS561" i="2"/>
  <c r="AP561" i="2"/>
  <c r="AN561" i="2"/>
  <c r="AL561" i="2"/>
  <c r="AJ561" i="2"/>
  <c r="AH561" i="2"/>
  <c r="AF561" i="2"/>
  <c r="AD561" i="2"/>
  <c r="AB561" i="2"/>
  <c r="Z561" i="2"/>
  <c r="X561" i="2"/>
  <c r="U561" i="2"/>
  <c r="S561" i="2"/>
  <c r="Q561" i="2"/>
  <c r="O561" i="2"/>
  <c r="M561" i="2"/>
  <c r="K561" i="2"/>
  <c r="I561" i="2"/>
  <c r="G561" i="2"/>
  <c r="E561" i="2"/>
  <c r="C561" i="2"/>
  <c r="BJ560" i="2"/>
  <c r="BI560" i="2"/>
  <c r="BG560" i="2"/>
  <c r="BD560" i="2"/>
  <c r="BC560" i="2"/>
  <c r="BA560" i="2"/>
  <c r="AX560" i="2"/>
  <c r="AW560" i="2"/>
  <c r="AU560" i="2"/>
  <c r="AS560" i="2"/>
  <c r="AP560" i="2"/>
  <c r="AN560" i="2"/>
  <c r="AL560" i="2"/>
  <c r="AJ560" i="2"/>
  <c r="AH560" i="2"/>
  <c r="AF560" i="2"/>
  <c r="AD560" i="2"/>
  <c r="AB560" i="2"/>
  <c r="Z560" i="2"/>
  <c r="X560" i="2"/>
  <c r="U560" i="2"/>
  <c r="S560" i="2"/>
  <c r="Q560" i="2"/>
  <c r="O560" i="2"/>
  <c r="M560" i="2"/>
  <c r="K560" i="2"/>
  <c r="I560" i="2"/>
  <c r="G560" i="2"/>
  <c r="E560" i="2"/>
  <c r="C560" i="2"/>
  <c r="BJ559" i="2"/>
  <c r="BI559" i="2"/>
  <c r="BG559" i="2"/>
  <c r="BD559" i="2"/>
  <c r="BC559" i="2"/>
  <c r="BA559" i="2"/>
  <c r="AY559" i="2"/>
  <c r="AX559" i="2"/>
  <c r="AY560" i="2" s="1"/>
  <c r="AW559" i="2"/>
  <c r="AU559" i="2"/>
  <c r="AS559" i="2"/>
  <c r="AP559" i="2"/>
  <c r="AN559" i="2"/>
  <c r="AL559" i="2"/>
  <c r="AJ559" i="2"/>
  <c r="AH559" i="2"/>
  <c r="AF559" i="2"/>
  <c r="AD559" i="2"/>
  <c r="AB559" i="2"/>
  <c r="Z559" i="2"/>
  <c r="X559" i="2"/>
  <c r="U559" i="2"/>
  <c r="S559" i="2"/>
  <c r="Q559" i="2"/>
  <c r="O559" i="2"/>
  <c r="M559" i="2"/>
  <c r="K559" i="2"/>
  <c r="I559" i="2"/>
  <c r="G559" i="2"/>
  <c r="E559" i="2"/>
  <c r="C559" i="2"/>
  <c r="BJ558" i="2"/>
  <c r="BI558" i="2"/>
  <c r="BG558" i="2"/>
  <c r="BD558" i="2"/>
  <c r="BE558" i="2" s="1"/>
  <c r="BC558" i="2"/>
  <c r="BA558" i="2"/>
  <c r="AX558" i="2"/>
  <c r="AW558" i="2"/>
  <c r="AU558" i="2"/>
  <c r="AS558" i="2"/>
  <c r="AP558" i="2"/>
  <c r="AN558" i="2"/>
  <c r="AL558" i="2"/>
  <c r="AJ558" i="2"/>
  <c r="AH558" i="2"/>
  <c r="AF558" i="2"/>
  <c r="AD558" i="2"/>
  <c r="AB558" i="2"/>
  <c r="Z558" i="2"/>
  <c r="X558" i="2"/>
  <c r="U558" i="2"/>
  <c r="S558" i="2"/>
  <c r="Q558" i="2"/>
  <c r="O558" i="2"/>
  <c r="M558" i="2"/>
  <c r="K558" i="2"/>
  <c r="I558" i="2"/>
  <c r="G558" i="2"/>
  <c r="E558" i="2"/>
  <c r="C558" i="2"/>
  <c r="BJ557" i="2"/>
  <c r="BI557" i="2"/>
  <c r="BG557" i="2"/>
  <c r="BD557" i="2"/>
  <c r="BC557" i="2"/>
  <c r="BA557" i="2"/>
  <c r="AX557" i="2"/>
  <c r="AY557" i="2" s="1"/>
  <c r="AW557" i="2"/>
  <c r="AU557" i="2"/>
  <c r="AS557" i="2"/>
  <c r="AP557" i="2"/>
  <c r="AN557" i="2"/>
  <c r="AL557" i="2"/>
  <c r="AJ557" i="2"/>
  <c r="AH557" i="2"/>
  <c r="AF557" i="2"/>
  <c r="AD557" i="2"/>
  <c r="AB557" i="2"/>
  <c r="Z557" i="2"/>
  <c r="X557" i="2"/>
  <c r="U557" i="2"/>
  <c r="S557" i="2"/>
  <c r="Q557" i="2"/>
  <c r="O557" i="2"/>
  <c r="M557" i="2"/>
  <c r="K557" i="2"/>
  <c r="I557" i="2"/>
  <c r="G557" i="2"/>
  <c r="E557" i="2"/>
  <c r="C557" i="2"/>
  <c r="BJ556" i="2"/>
  <c r="BI556" i="2"/>
  <c r="BG556" i="2"/>
  <c r="BD556" i="2"/>
  <c r="BE556" i="2" s="1"/>
  <c r="BC556" i="2"/>
  <c r="BA556" i="2"/>
  <c r="AX556" i="2"/>
  <c r="AY556" i="2" s="1"/>
  <c r="AW556" i="2"/>
  <c r="AU556" i="2"/>
  <c r="AS556" i="2"/>
  <c r="AP556" i="2"/>
  <c r="AN556" i="2"/>
  <c r="AL556" i="2"/>
  <c r="AJ556" i="2"/>
  <c r="AH556" i="2"/>
  <c r="AF556" i="2"/>
  <c r="AD556" i="2"/>
  <c r="AB556" i="2"/>
  <c r="Z556" i="2"/>
  <c r="X556" i="2"/>
  <c r="U556" i="2"/>
  <c r="S556" i="2"/>
  <c r="Q556" i="2"/>
  <c r="O556" i="2"/>
  <c r="M556" i="2"/>
  <c r="K556" i="2"/>
  <c r="I556" i="2"/>
  <c r="G556" i="2"/>
  <c r="E556" i="2"/>
  <c r="C556" i="2"/>
  <c r="BJ555" i="2"/>
  <c r="BI555" i="2"/>
  <c r="BG555" i="2"/>
  <c r="BD555" i="2"/>
  <c r="BC555" i="2"/>
  <c r="BA555" i="2"/>
  <c r="AY555" i="2"/>
  <c r="AX555" i="2"/>
  <c r="AW555" i="2"/>
  <c r="AU555" i="2"/>
  <c r="AS555" i="2"/>
  <c r="AP555" i="2"/>
  <c r="AN555" i="2"/>
  <c r="AL555" i="2"/>
  <c r="AJ555" i="2"/>
  <c r="AH555" i="2"/>
  <c r="AF555" i="2"/>
  <c r="AD555" i="2"/>
  <c r="AB555" i="2"/>
  <c r="Z555" i="2"/>
  <c r="X555" i="2"/>
  <c r="U555" i="2"/>
  <c r="S555" i="2"/>
  <c r="Q555" i="2"/>
  <c r="O555" i="2"/>
  <c r="M555" i="2"/>
  <c r="K555" i="2"/>
  <c r="I555" i="2"/>
  <c r="G555" i="2"/>
  <c r="E555" i="2"/>
  <c r="C555" i="2"/>
  <c r="BJ554" i="2"/>
  <c r="BK555" i="2" s="1"/>
  <c r="BI554" i="2"/>
  <c r="BG554" i="2"/>
  <c r="BD554" i="2"/>
  <c r="BE554" i="2" s="1"/>
  <c r="BC554" i="2"/>
  <c r="BA554" i="2"/>
  <c r="AX554" i="2"/>
  <c r="AW554" i="2"/>
  <c r="AU554" i="2"/>
  <c r="AS554" i="2"/>
  <c r="AP554" i="2"/>
  <c r="AN554" i="2"/>
  <c r="AL554" i="2"/>
  <c r="AJ554" i="2"/>
  <c r="AH554" i="2"/>
  <c r="AF554" i="2"/>
  <c r="AD554" i="2"/>
  <c r="AB554" i="2"/>
  <c r="Z554" i="2"/>
  <c r="X554" i="2"/>
  <c r="U554" i="2"/>
  <c r="S554" i="2"/>
  <c r="Q554" i="2"/>
  <c r="O554" i="2"/>
  <c r="M554" i="2"/>
  <c r="K554" i="2"/>
  <c r="I554" i="2"/>
  <c r="G554" i="2"/>
  <c r="E554" i="2"/>
  <c r="C554" i="2"/>
  <c r="BK553" i="2"/>
  <c r="BJ553" i="2"/>
  <c r="BI553" i="2"/>
  <c r="BG553" i="2"/>
  <c r="BD553" i="2"/>
  <c r="BC553" i="2"/>
  <c r="BA553" i="2"/>
  <c r="AX553" i="2"/>
  <c r="AW553" i="2"/>
  <c r="AU553" i="2"/>
  <c r="AS553" i="2"/>
  <c r="AP553" i="2"/>
  <c r="AN553" i="2"/>
  <c r="AL553" i="2"/>
  <c r="AJ553" i="2"/>
  <c r="AH553" i="2"/>
  <c r="AF553" i="2"/>
  <c r="AD553" i="2"/>
  <c r="AB553" i="2"/>
  <c r="Z553" i="2"/>
  <c r="X553" i="2"/>
  <c r="U553" i="2"/>
  <c r="S553" i="2"/>
  <c r="Q553" i="2"/>
  <c r="O553" i="2"/>
  <c r="M553" i="2"/>
  <c r="K553" i="2"/>
  <c r="I553" i="2"/>
  <c r="G553" i="2"/>
  <c r="E553" i="2"/>
  <c r="C553" i="2"/>
  <c r="BJ552" i="2"/>
  <c r="BI552" i="2"/>
  <c r="BG552" i="2"/>
  <c r="BD552" i="2"/>
  <c r="BE552" i="2" s="1"/>
  <c r="BC552" i="2"/>
  <c r="BA552" i="2"/>
  <c r="AX552" i="2"/>
  <c r="AY552" i="2" s="1"/>
  <c r="AW552" i="2"/>
  <c r="AU552" i="2"/>
  <c r="AS552" i="2"/>
  <c r="AP552" i="2"/>
  <c r="AN552" i="2"/>
  <c r="AL552" i="2"/>
  <c r="AJ552" i="2"/>
  <c r="AH552" i="2"/>
  <c r="AF552" i="2"/>
  <c r="AD552" i="2"/>
  <c r="AB552" i="2"/>
  <c r="Z552" i="2"/>
  <c r="X552" i="2"/>
  <c r="U552" i="2"/>
  <c r="S552" i="2"/>
  <c r="Q552" i="2"/>
  <c r="O552" i="2"/>
  <c r="M552" i="2"/>
  <c r="K552" i="2"/>
  <c r="I552" i="2"/>
  <c r="G552" i="2"/>
  <c r="E552" i="2"/>
  <c r="C552" i="2"/>
  <c r="BJ551" i="2"/>
  <c r="BK551" i="2" s="1"/>
  <c r="BI551" i="2"/>
  <c r="BG551" i="2"/>
  <c r="BD551" i="2"/>
  <c r="BC551" i="2"/>
  <c r="BA551" i="2"/>
  <c r="AX551" i="2"/>
  <c r="AW551" i="2"/>
  <c r="AU551" i="2"/>
  <c r="AS551" i="2"/>
  <c r="AP551" i="2"/>
  <c r="AN551" i="2"/>
  <c r="AL551" i="2"/>
  <c r="AJ551" i="2"/>
  <c r="AH551" i="2"/>
  <c r="AF551" i="2"/>
  <c r="AD551" i="2"/>
  <c r="AB551" i="2"/>
  <c r="Z551" i="2"/>
  <c r="X551" i="2"/>
  <c r="U551" i="2"/>
  <c r="S551" i="2"/>
  <c r="Q551" i="2"/>
  <c r="O551" i="2"/>
  <c r="M551" i="2"/>
  <c r="K551" i="2"/>
  <c r="I551" i="2"/>
  <c r="G551" i="2"/>
  <c r="E551" i="2"/>
  <c r="C551" i="2"/>
  <c r="BJ550" i="2"/>
  <c r="BK550" i="2" s="1"/>
  <c r="BI550" i="2"/>
  <c r="BG550" i="2"/>
  <c r="BD550" i="2"/>
  <c r="BC550" i="2"/>
  <c r="BA550" i="2"/>
  <c r="AX550" i="2"/>
  <c r="AY550" i="2" s="1"/>
  <c r="AW550" i="2"/>
  <c r="AU550" i="2"/>
  <c r="AS550" i="2"/>
  <c r="AP550" i="2"/>
  <c r="AN550" i="2"/>
  <c r="AL550" i="2"/>
  <c r="AJ550" i="2"/>
  <c r="AH550" i="2"/>
  <c r="AF550" i="2"/>
  <c r="AD550" i="2"/>
  <c r="AB550" i="2"/>
  <c r="Z550" i="2"/>
  <c r="X550" i="2"/>
  <c r="U550" i="2"/>
  <c r="S550" i="2"/>
  <c r="Q550" i="2"/>
  <c r="O550" i="2"/>
  <c r="M550" i="2"/>
  <c r="K550" i="2"/>
  <c r="I550" i="2"/>
  <c r="G550" i="2"/>
  <c r="E550" i="2"/>
  <c r="C550" i="2"/>
  <c r="BK549" i="2"/>
  <c r="BJ549" i="2"/>
  <c r="BI549" i="2"/>
  <c r="BG549" i="2"/>
  <c r="BD549" i="2"/>
  <c r="BC549" i="2"/>
  <c r="BA549" i="2"/>
  <c r="AY549" i="2"/>
  <c r="AX549" i="2"/>
  <c r="AW549" i="2"/>
  <c r="AU549" i="2"/>
  <c r="AS549" i="2"/>
  <c r="AP549" i="2"/>
  <c r="AN549" i="2"/>
  <c r="AL549" i="2"/>
  <c r="AJ549" i="2"/>
  <c r="AH549" i="2"/>
  <c r="AF549" i="2"/>
  <c r="AD549" i="2"/>
  <c r="AB549" i="2"/>
  <c r="Z549" i="2"/>
  <c r="X549" i="2"/>
  <c r="U549" i="2"/>
  <c r="S549" i="2"/>
  <c r="Q549" i="2"/>
  <c r="O549" i="2"/>
  <c r="M549" i="2"/>
  <c r="K549" i="2"/>
  <c r="I549" i="2"/>
  <c r="G549" i="2"/>
  <c r="E549" i="2"/>
  <c r="C549" i="2"/>
  <c r="BJ548" i="2"/>
  <c r="BI548" i="2"/>
  <c r="BG548" i="2"/>
  <c r="BD548" i="2"/>
  <c r="BE548" i="2" s="1"/>
  <c r="BC548" i="2"/>
  <c r="BA548" i="2"/>
  <c r="AX548" i="2"/>
  <c r="AY548" i="2" s="1"/>
  <c r="AW548" i="2"/>
  <c r="AU548" i="2"/>
  <c r="AS548" i="2"/>
  <c r="AP548" i="2"/>
  <c r="AN548" i="2"/>
  <c r="AL548" i="2"/>
  <c r="AJ548" i="2"/>
  <c r="AH548" i="2"/>
  <c r="AF548" i="2"/>
  <c r="AD548" i="2"/>
  <c r="AB548" i="2"/>
  <c r="Z548" i="2"/>
  <c r="X548" i="2"/>
  <c r="U548" i="2"/>
  <c r="S548" i="2"/>
  <c r="Q548" i="2"/>
  <c r="O548" i="2"/>
  <c r="M548" i="2"/>
  <c r="K548" i="2"/>
  <c r="I548" i="2"/>
  <c r="G548" i="2"/>
  <c r="E548" i="2"/>
  <c r="C548" i="2"/>
  <c r="BJ547" i="2"/>
  <c r="BI547" i="2"/>
  <c r="BG547" i="2"/>
  <c r="BD547" i="2"/>
  <c r="BC547" i="2"/>
  <c r="BA547" i="2"/>
  <c r="AY547" i="2"/>
  <c r="AX547" i="2"/>
  <c r="AW547" i="2"/>
  <c r="AU547" i="2"/>
  <c r="AS547" i="2"/>
  <c r="AP547" i="2"/>
  <c r="AN547" i="2"/>
  <c r="AL547" i="2"/>
  <c r="AJ547" i="2"/>
  <c r="AH547" i="2"/>
  <c r="AF547" i="2"/>
  <c r="AD547" i="2"/>
  <c r="AB547" i="2"/>
  <c r="Z547" i="2"/>
  <c r="X547" i="2"/>
  <c r="U547" i="2"/>
  <c r="S547" i="2"/>
  <c r="Q547" i="2"/>
  <c r="O547" i="2"/>
  <c r="M547" i="2"/>
  <c r="K547" i="2"/>
  <c r="I547" i="2"/>
  <c r="G547" i="2"/>
  <c r="E547" i="2"/>
  <c r="C547" i="2"/>
  <c r="BJ546" i="2"/>
  <c r="BK546" i="2" s="1"/>
  <c r="BI546" i="2"/>
  <c r="BG546" i="2"/>
  <c r="BD546" i="2"/>
  <c r="BC546" i="2"/>
  <c r="BA546" i="2"/>
  <c r="AY546" i="2"/>
  <c r="AX546" i="2"/>
  <c r="AW546" i="2"/>
  <c r="AU546" i="2"/>
  <c r="AS546" i="2"/>
  <c r="AP546" i="2"/>
  <c r="AN546" i="2"/>
  <c r="AL546" i="2"/>
  <c r="AJ546" i="2"/>
  <c r="AH546" i="2"/>
  <c r="AF546" i="2"/>
  <c r="AD546" i="2"/>
  <c r="AB546" i="2"/>
  <c r="Z546" i="2"/>
  <c r="X546" i="2"/>
  <c r="U546" i="2"/>
  <c r="S546" i="2"/>
  <c r="Q546" i="2"/>
  <c r="O546" i="2"/>
  <c r="M546" i="2"/>
  <c r="K546" i="2"/>
  <c r="I546" i="2"/>
  <c r="G546" i="2"/>
  <c r="E546" i="2"/>
  <c r="C546" i="2"/>
  <c r="BK545" i="2"/>
  <c r="BJ545" i="2"/>
  <c r="BI545" i="2"/>
  <c r="BG545" i="2"/>
  <c r="BD545" i="2"/>
  <c r="BC545" i="2"/>
  <c r="BA545" i="2"/>
  <c r="AX545" i="2"/>
  <c r="AW545" i="2"/>
  <c r="AU545" i="2"/>
  <c r="AS545" i="2"/>
  <c r="AP545" i="2"/>
  <c r="AN545" i="2"/>
  <c r="AL545" i="2"/>
  <c r="AJ545" i="2"/>
  <c r="AH545" i="2"/>
  <c r="AF545" i="2"/>
  <c r="AD545" i="2"/>
  <c r="AB545" i="2"/>
  <c r="Z545" i="2"/>
  <c r="X545" i="2"/>
  <c r="U545" i="2"/>
  <c r="S545" i="2"/>
  <c r="Q545" i="2"/>
  <c r="O545" i="2"/>
  <c r="M545" i="2"/>
  <c r="K545" i="2"/>
  <c r="I545" i="2"/>
  <c r="G545" i="2"/>
  <c r="E545" i="2"/>
  <c r="C545" i="2"/>
  <c r="BK544" i="2"/>
  <c r="BJ544" i="2"/>
  <c r="BI544" i="2"/>
  <c r="BG544" i="2"/>
  <c r="BD544" i="2"/>
  <c r="BC544" i="2"/>
  <c r="BA544" i="2"/>
  <c r="AX544" i="2"/>
  <c r="AW544" i="2"/>
  <c r="AU544" i="2"/>
  <c r="AS544" i="2"/>
  <c r="AP544" i="2"/>
  <c r="AN544" i="2"/>
  <c r="AL544" i="2"/>
  <c r="AJ544" i="2"/>
  <c r="AH544" i="2"/>
  <c r="AF544" i="2"/>
  <c r="AD544" i="2"/>
  <c r="AB544" i="2"/>
  <c r="Z544" i="2"/>
  <c r="X544" i="2"/>
  <c r="U544" i="2"/>
  <c r="S544" i="2"/>
  <c r="Q544" i="2"/>
  <c r="O544" i="2"/>
  <c r="M544" i="2"/>
  <c r="K544" i="2"/>
  <c r="I544" i="2"/>
  <c r="G544" i="2"/>
  <c r="E544" i="2"/>
  <c r="C544" i="2"/>
  <c r="BK543" i="2"/>
  <c r="BJ543" i="2"/>
  <c r="BI543" i="2"/>
  <c r="BG543" i="2"/>
  <c r="BD543" i="2"/>
  <c r="BE543" i="2" s="1"/>
  <c r="BC543" i="2"/>
  <c r="BA543" i="2"/>
  <c r="AX543" i="2"/>
  <c r="AY543" i="2" s="1"/>
  <c r="AW543" i="2"/>
  <c r="AU543" i="2"/>
  <c r="AS543" i="2"/>
  <c r="AP543" i="2"/>
  <c r="AN543" i="2"/>
  <c r="AL543" i="2"/>
  <c r="AJ543" i="2"/>
  <c r="AH543" i="2"/>
  <c r="AF543" i="2"/>
  <c r="AD543" i="2"/>
  <c r="AB543" i="2"/>
  <c r="Z543" i="2"/>
  <c r="X543" i="2"/>
  <c r="U543" i="2"/>
  <c r="S543" i="2"/>
  <c r="Q543" i="2"/>
  <c r="O543" i="2"/>
  <c r="M543" i="2"/>
  <c r="K543" i="2"/>
  <c r="I543" i="2"/>
  <c r="G543" i="2"/>
  <c r="E543" i="2"/>
  <c r="C543" i="2"/>
  <c r="BJ542" i="2"/>
  <c r="BI542" i="2"/>
  <c r="BG542" i="2"/>
  <c r="BD542" i="2"/>
  <c r="BC542" i="2"/>
  <c r="BA542" i="2"/>
  <c r="AY542" i="2"/>
  <c r="AX542" i="2"/>
  <c r="AW542" i="2"/>
  <c r="AU542" i="2"/>
  <c r="AS542" i="2"/>
  <c r="AP542" i="2"/>
  <c r="AN542" i="2"/>
  <c r="AL542" i="2"/>
  <c r="AJ542" i="2"/>
  <c r="AH542" i="2"/>
  <c r="AF542" i="2"/>
  <c r="AD542" i="2"/>
  <c r="AB542" i="2"/>
  <c r="Z542" i="2"/>
  <c r="X542" i="2"/>
  <c r="U542" i="2"/>
  <c r="S542" i="2"/>
  <c r="Q542" i="2"/>
  <c r="O542" i="2"/>
  <c r="M542" i="2"/>
  <c r="K542" i="2"/>
  <c r="I542" i="2"/>
  <c r="G542" i="2"/>
  <c r="E542" i="2"/>
  <c r="C542" i="2"/>
  <c r="BJ541" i="2"/>
  <c r="BK541" i="2" s="1"/>
  <c r="BI541" i="2"/>
  <c r="BG541" i="2"/>
  <c r="BD541" i="2"/>
  <c r="BC541" i="2"/>
  <c r="BA541" i="2"/>
  <c r="AY541" i="2"/>
  <c r="AX541" i="2"/>
  <c r="AW541" i="2"/>
  <c r="AU541" i="2"/>
  <c r="AS541" i="2"/>
  <c r="AP541" i="2"/>
  <c r="AN541" i="2"/>
  <c r="AL541" i="2"/>
  <c r="AJ541" i="2"/>
  <c r="AH541" i="2"/>
  <c r="AF541" i="2"/>
  <c r="AD541" i="2"/>
  <c r="AB541" i="2"/>
  <c r="Z541" i="2"/>
  <c r="X541" i="2"/>
  <c r="U541" i="2"/>
  <c r="S541" i="2"/>
  <c r="Q541" i="2"/>
  <c r="O541" i="2"/>
  <c r="M541" i="2"/>
  <c r="K541" i="2"/>
  <c r="I541" i="2"/>
  <c r="G541" i="2"/>
  <c r="E541" i="2"/>
  <c r="C541" i="2"/>
  <c r="BJ540" i="2"/>
  <c r="BI540" i="2"/>
  <c r="BG540" i="2"/>
  <c r="BD540" i="2"/>
  <c r="BC540" i="2"/>
  <c r="BA540" i="2"/>
  <c r="AX540" i="2"/>
  <c r="AY540" i="2" s="1"/>
  <c r="AW540" i="2"/>
  <c r="AU540" i="2"/>
  <c r="AS540" i="2"/>
  <c r="AP540" i="2"/>
  <c r="AN540" i="2"/>
  <c r="AL540" i="2"/>
  <c r="AJ540" i="2"/>
  <c r="AH540" i="2"/>
  <c r="AF540" i="2"/>
  <c r="AD540" i="2"/>
  <c r="AB540" i="2"/>
  <c r="Z540" i="2"/>
  <c r="X540" i="2"/>
  <c r="U540" i="2"/>
  <c r="S540" i="2"/>
  <c r="Q540" i="2"/>
  <c r="O540" i="2"/>
  <c r="M540" i="2"/>
  <c r="K540" i="2"/>
  <c r="I540" i="2"/>
  <c r="G540" i="2"/>
  <c r="E540" i="2"/>
  <c r="C540" i="2"/>
  <c r="BK539" i="2"/>
  <c r="BJ539" i="2"/>
  <c r="BI539" i="2"/>
  <c r="BG539" i="2"/>
  <c r="BD539" i="2"/>
  <c r="BE539" i="2" s="1"/>
  <c r="BC539" i="2"/>
  <c r="BA539" i="2"/>
  <c r="AY539" i="2"/>
  <c r="AX539" i="2"/>
  <c r="AW539" i="2"/>
  <c r="AU539" i="2"/>
  <c r="AS539" i="2"/>
  <c r="AP539" i="2"/>
  <c r="AN539" i="2"/>
  <c r="AL539" i="2"/>
  <c r="AJ539" i="2"/>
  <c r="AH539" i="2"/>
  <c r="AF539" i="2"/>
  <c r="AD539" i="2"/>
  <c r="AB539" i="2"/>
  <c r="Z539" i="2"/>
  <c r="X539" i="2"/>
  <c r="U539" i="2"/>
  <c r="S539" i="2"/>
  <c r="Q539" i="2"/>
  <c r="O539" i="2"/>
  <c r="M539" i="2"/>
  <c r="K539" i="2"/>
  <c r="I539" i="2"/>
  <c r="G539" i="2"/>
  <c r="E539" i="2"/>
  <c r="C539" i="2"/>
  <c r="BJ538" i="2"/>
  <c r="BI538" i="2"/>
  <c r="BG538" i="2"/>
  <c r="BD538" i="2"/>
  <c r="BE538" i="2" s="1"/>
  <c r="BC538" i="2"/>
  <c r="BA538" i="2"/>
  <c r="AX538" i="2"/>
  <c r="AW538" i="2"/>
  <c r="AU538" i="2"/>
  <c r="AS538" i="2"/>
  <c r="AP538" i="2"/>
  <c r="AN538" i="2"/>
  <c r="AL538" i="2"/>
  <c r="AJ538" i="2"/>
  <c r="AH538" i="2"/>
  <c r="AF538" i="2"/>
  <c r="AD538" i="2"/>
  <c r="AB538" i="2"/>
  <c r="Z538" i="2"/>
  <c r="X538" i="2"/>
  <c r="U538" i="2"/>
  <c r="S538" i="2"/>
  <c r="Q538" i="2"/>
  <c r="O538" i="2"/>
  <c r="M538" i="2"/>
  <c r="K538" i="2"/>
  <c r="I538" i="2"/>
  <c r="G538" i="2"/>
  <c r="E538" i="2"/>
  <c r="C538" i="2"/>
  <c r="BJ537" i="2"/>
  <c r="BK537" i="2" s="1"/>
  <c r="BI537" i="2"/>
  <c r="BG537" i="2"/>
  <c r="BD537" i="2"/>
  <c r="BC537" i="2"/>
  <c r="BA537" i="2"/>
  <c r="AX537" i="2"/>
  <c r="AY537" i="2" s="1"/>
  <c r="AW537" i="2"/>
  <c r="AU537" i="2"/>
  <c r="AS537" i="2"/>
  <c r="AP537" i="2"/>
  <c r="AN537" i="2"/>
  <c r="AL537" i="2"/>
  <c r="AJ537" i="2"/>
  <c r="AH537" i="2"/>
  <c r="AF537" i="2"/>
  <c r="AD537" i="2"/>
  <c r="AB537" i="2"/>
  <c r="Z537" i="2"/>
  <c r="X537" i="2"/>
  <c r="U537" i="2"/>
  <c r="S537" i="2"/>
  <c r="Q537" i="2"/>
  <c r="O537" i="2"/>
  <c r="M537" i="2"/>
  <c r="K537" i="2"/>
  <c r="I537" i="2"/>
  <c r="G537" i="2"/>
  <c r="E537" i="2"/>
  <c r="C537" i="2"/>
  <c r="BK536" i="2"/>
  <c r="BJ536" i="2"/>
  <c r="BI536" i="2"/>
  <c r="BG536" i="2"/>
  <c r="BD536" i="2"/>
  <c r="BC536" i="2"/>
  <c r="BA536" i="2"/>
  <c r="AX536" i="2"/>
  <c r="AW536" i="2"/>
  <c r="AU536" i="2"/>
  <c r="AS536" i="2"/>
  <c r="AP536" i="2"/>
  <c r="AN536" i="2"/>
  <c r="AL536" i="2"/>
  <c r="AJ536" i="2"/>
  <c r="AH536" i="2"/>
  <c r="AF536" i="2"/>
  <c r="AD536" i="2"/>
  <c r="AB536" i="2"/>
  <c r="Z536" i="2"/>
  <c r="X536" i="2"/>
  <c r="U536" i="2"/>
  <c r="S536" i="2"/>
  <c r="Q536" i="2"/>
  <c r="O536" i="2"/>
  <c r="M536" i="2"/>
  <c r="K536" i="2"/>
  <c r="I536" i="2"/>
  <c r="G536" i="2"/>
  <c r="E536" i="2"/>
  <c r="C536" i="2"/>
  <c r="BJ535" i="2"/>
  <c r="BI535" i="2"/>
  <c r="BG535" i="2"/>
  <c r="BD535" i="2"/>
  <c r="BC535" i="2"/>
  <c r="BA535" i="2"/>
  <c r="AX535" i="2"/>
  <c r="AW535" i="2"/>
  <c r="AU535" i="2"/>
  <c r="AS535" i="2"/>
  <c r="AP535" i="2"/>
  <c r="AN535" i="2"/>
  <c r="AL535" i="2"/>
  <c r="AJ535" i="2"/>
  <c r="AH535" i="2"/>
  <c r="AF535" i="2"/>
  <c r="AD535" i="2"/>
  <c r="AB535" i="2"/>
  <c r="Z535" i="2"/>
  <c r="X535" i="2"/>
  <c r="U535" i="2"/>
  <c r="S535" i="2"/>
  <c r="Q535" i="2"/>
  <c r="O535" i="2"/>
  <c r="M535" i="2"/>
  <c r="K535" i="2"/>
  <c r="I535" i="2"/>
  <c r="G535" i="2"/>
  <c r="E535" i="2"/>
  <c r="C535" i="2"/>
  <c r="BJ534" i="2"/>
  <c r="BK534" i="2" s="1"/>
  <c r="BI534" i="2"/>
  <c r="BG534" i="2"/>
  <c r="BD534" i="2"/>
  <c r="BC534" i="2"/>
  <c r="BA534" i="2"/>
  <c r="AX534" i="2"/>
  <c r="AY534" i="2" s="1"/>
  <c r="AW534" i="2"/>
  <c r="AU534" i="2"/>
  <c r="AS534" i="2"/>
  <c r="AP534" i="2"/>
  <c r="AN534" i="2"/>
  <c r="AL534" i="2"/>
  <c r="AJ534" i="2"/>
  <c r="AH534" i="2"/>
  <c r="AF534" i="2"/>
  <c r="AD534" i="2"/>
  <c r="AB534" i="2"/>
  <c r="Z534" i="2"/>
  <c r="X534" i="2"/>
  <c r="U534" i="2"/>
  <c r="S534" i="2"/>
  <c r="Q534" i="2"/>
  <c r="O534" i="2"/>
  <c r="M534" i="2"/>
  <c r="K534" i="2"/>
  <c r="I534" i="2"/>
  <c r="G534" i="2"/>
  <c r="E534" i="2"/>
  <c r="C534" i="2"/>
  <c r="BJ533" i="2"/>
  <c r="BI533" i="2"/>
  <c r="BG533" i="2"/>
  <c r="BD533" i="2"/>
  <c r="BC533" i="2"/>
  <c r="BA533" i="2"/>
  <c r="AY533" i="2"/>
  <c r="AX533" i="2"/>
  <c r="AW533" i="2"/>
  <c r="AU533" i="2"/>
  <c r="AS533" i="2"/>
  <c r="AP533" i="2"/>
  <c r="AN533" i="2"/>
  <c r="AL533" i="2"/>
  <c r="AJ533" i="2"/>
  <c r="AH533" i="2"/>
  <c r="AF533" i="2"/>
  <c r="AD533" i="2"/>
  <c r="AB533" i="2"/>
  <c r="Z533" i="2"/>
  <c r="X533" i="2"/>
  <c r="U533" i="2"/>
  <c r="S533" i="2"/>
  <c r="Q533" i="2"/>
  <c r="O533" i="2"/>
  <c r="M533" i="2"/>
  <c r="K533" i="2"/>
  <c r="I533" i="2"/>
  <c r="G533" i="2"/>
  <c r="E533" i="2"/>
  <c r="C533" i="2"/>
  <c r="BJ532" i="2"/>
  <c r="BI532" i="2"/>
  <c r="BG532" i="2"/>
  <c r="BD532" i="2"/>
  <c r="BE532" i="2" s="1"/>
  <c r="BC532" i="2"/>
  <c r="BA532" i="2"/>
  <c r="AY532" i="2"/>
  <c r="AX532" i="2"/>
  <c r="AW532" i="2"/>
  <c r="AU532" i="2"/>
  <c r="AS532" i="2"/>
  <c r="AP532" i="2"/>
  <c r="AN532" i="2"/>
  <c r="AL532" i="2"/>
  <c r="AJ532" i="2"/>
  <c r="AH532" i="2"/>
  <c r="AF532" i="2"/>
  <c r="AD532" i="2"/>
  <c r="AB532" i="2"/>
  <c r="Z532" i="2"/>
  <c r="X532" i="2"/>
  <c r="U532" i="2"/>
  <c r="S532" i="2"/>
  <c r="Q532" i="2"/>
  <c r="O532" i="2"/>
  <c r="M532" i="2"/>
  <c r="K532" i="2"/>
  <c r="I532" i="2"/>
  <c r="G532" i="2"/>
  <c r="E532" i="2"/>
  <c r="C532" i="2"/>
  <c r="BJ531" i="2"/>
  <c r="BI531" i="2"/>
  <c r="BG531" i="2"/>
  <c r="BD531" i="2"/>
  <c r="BC531" i="2"/>
  <c r="BA531" i="2"/>
  <c r="AX531" i="2"/>
  <c r="AW531" i="2"/>
  <c r="AU531" i="2"/>
  <c r="AS531" i="2"/>
  <c r="AP531" i="2"/>
  <c r="AN531" i="2"/>
  <c r="AL531" i="2"/>
  <c r="AJ531" i="2"/>
  <c r="AH531" i="2"/>
  <c r="AF531" i="2"/>
  <c r="AD531" i="2"/>
  <c r="AB531" i="2"/>
  <c r="Z531" i="2"/>
  <c r="X531" i="2"/>
  <c r="U531" i="2"/>
  <c r="S531" i="2"/>
  <c r="Q531" i="2"/>
  <c r="O531" i="2"/>
  <c r="M531" i="2"/>
  <c r="K531" i="2"/>
  <c r="I531" i="2"/>
  <c r="G531" i="2"/>
  <c r="E531" i="2"/>
  <c r="C531" i="2"/>
  <c r="BJ530" i="2"/>
  <c r="BK531" i="2" s="1"/>
  <c r="BI530" i="2"/>
  <c r="BG530" i="2"/>
  <c r="BD530" i="2"/>
  <c r="BC530" i="2"/>
  <c r="BA530" i="2"/>
  <c r="AX530" i="2"/>
  <c r="AY531" i="2" s="1"/>
  <c r="AW530" i="2"/>
  <c r="AU530" i="2"/>
  <c r="AS530" i="2"/>
  <c r="AP530" i="2"/>
  <c r="AN530" i="2"/>
  <c r="AL530" i="2"/>
  <c r="AJ530" i="2"/>
  <c r="AH530" i="2"/>
  <c r="AF530" i="2"/>
  <c r="AD530" i="2"/>
  <c r="AB530" i="2"/>
  <c r="Z530" i="2"/>
  <c r="X530" i="2"/>
  <c r="U530" i="2"/>
  <c r="S530" i="2"/>
  <c r="Q530" i="2"/>
  <c r="O530" i="2"/>
  <c r="M530" i="2"/>
  <c r="K530" i="2"/>
  <c r="I530" i="2"/>
  <c r="G530" i="2"/>
  <c r="E530" i="2"/>
  <c r="C530" i="2"/>
  <c r="BJ529" i="2"/>
  <c r="BI529" i="2"/>
  <c r="BG529" i="2"/>
  <c r="BD529" i="2"/>
  <c r="BC529" i="2"/>
  <c r="BA529" i="2"/>
  <c r="AX529" i="2"/>
  <c r="AW529" i="2"/>
  <c r="AU529" i="2"/>
  <c r="AS529" i="2"/>
  <c r="AP529" i="2"/>
  <c r="AN529" i="2"/>
  <c r="AL529" i="2"/>
  <c r="AJ529" i="2"/>
  <c r="AH529" i="2"/>
  <c r="AF529" i="2"/>
  <c r="AD529" i="2"/>
  <c r="AB529" i="2"/>
  <c r="Z529" i="2"/>
  <c r="X529" i="2"/>
  <c r="U529" i="2"/>
  <c r="S529" i="2"/>
  <c r="Q529" i="2"/>
  <c r="O529" i="2"/>
  <c r="M529" i="2"/>
  <c r="K529" i="2"/>
  <c r="I529" i="2"/>
  <c r="G529" i="2"/>
  <c r="E529" i="2"/>
  <c r="C529" i="2"/>
  <c r="BJ528" i="2"/>
  <c r="BI528" i="2"/>
  <c r="BG528" i="2"/>
  <c r="BD528" i="2"/>
  <c r="BC528" i="2"/>
  <c r="BA528" i="2"/>
  <c r="AX528" i="2"/>
  <c r="AY529" i="2" s="1"/>
  <c r="AW528" i="2"/>
  <c r="AU528" i="2"/>
  <c r="AS528" i="2"/>
  <c r="AP528" i="2"/>
  <c r="AN528" i="2"/>
  <c r="AL528" i="2"/>
  <c r="AJ528" i="2"/>
  <c r="AH528" i="2"/>
  <c r="AF528" i="2"/>
  <c r="AD528" i="2"/>
  <c r="AB528" i="2"/>
  <c r="Z528" i="2"/>
  <c r="X528" i="2"/>
  <c r="U528" i="2"/>
  <c r="S528" i="2"/>
  <c r="Q528" i="2"/>
  <c r="O528" i="2"/>
  <c r="M528" i="2"/>
  <c r="K528" i="2"/>
  <c r="I528" i="2"/>
  <c r="G528" i="2"/>
  <c r="E528" i="2"/>
  <c r="C528" i="2"/>
  <c r="BJ527" i="2"/>
  <c r="BI527" i="2"/>
  <c r="BG527" i="2"/>
  <c r="BD527" i="2"/>
  <c r="BC527" i="2"/>
  <c r="BA527" i="2"/>
  <c r="AX527" i="2"/>
  <c r="AW527" i="2"/>
  <c r="AU527" i="2"/>
  <c r="AS527" i="2"/>
  <c r="AP527" i="2"/>
  <c r="AN527" i="2"/>
  <c r="AL527" i="2"/>
  <c r="AJ527" i="2"/>
  <c r="AH527" i="2"/>
  <c r="AF527" i="2"/>
  <c r="AD527" i="2"/>
  <c r="AB527" i="2"/>
  <c r="Z527" i="2"/>
  <c r="X527" i="2"/>
  <c r="U527" i="2"/>
  <c r="S527" i="2"/>
  <c r="Q527" i="2"/>
  <c r="O527" i="2"/>
  <c r="M527" i="2"/>
  <c r="K527" i="2"/>
  <c r="I527" i="2"/>
  <c r="G527" i="2"/>
  <c r="E527" i="2"/>
  <c r="C527" i="2"/>
  <c r="BK526" i="2"/>
  <c r="BJ526" i="2"/>
  <c r="BI526" i="2"/>
  <c r="BG526" i="2"/>
  <c r="BD526" i="2"/>
  <c r="BC526" i="2"/>
  <c r="BA526" i="2"/>
  <c r="AX526" i="2"/>
  <c r="AY527" i="2" s="1"/>
  <c r="AW526" i="2"/>
  <c r="AU526" i="2"/>
  <c r="AS526" i="2"/>
  <c r="AP526" i="2"/>
  <c r="AN526" i="2"/>
  <c r="AL526" i="2"/>
  <c r="AJ526" i="2"/>
  <c r="AH526" i="2"/>
  <c r="AF526" i="2"/>
  <c r="AD526" i="2"/>
  <c r="AB526" i="2"/>
  <c r="Z526" i="2"/>
  <c r="X526" i="2"/>
  <c r="U526" i="2"/>
  <c r="S526" i="2"/>
  <c r="Q526" i="2"/>
  <c r="O526" i="2"/>
  <c r="M526" i="2"/>
  <c r="K526" i="2"/>
  <c r="I526" i="2"/>
  <c r="G526" i="2"/>
  <c r="E526" i="2"/>
  <c r="C526" i="2"/>
  <c r="BJ525" i="2"/>
  <c r="BI525" i="2"/>
  <c r="BG525" i="2"/>
  <c r="BD525" i="2"/>
  <c r="BE525" i="2" s="1"/>
  <c r="BC525" i="2"/>
  <c r="BA525" i="2"/>
  <c r="AX525" i="2"/>
  <c r="AY526" i="2" s="1"/>
  <c r="AW525" i="2"/>
  <c r="AU525" i="2"/>
  <c r="AS525" i="2"/>
  <c r="AP525" i="2"/>
  <c r="AN525" i="2"/>
  <c r="AL525" i="2"/>
  <c r="AJ525" i="2"/>
  <c r="AH525" i="2"/>
  <c r="AF525" i="2"/>
  <c r="AD525" i="2"/>
  <c r="AB525" i="2"/>
  <c r="Z525" i="2"/>
  <c r="X525" i="2"/>
  <c r="U525" i="2"/>
  <c r="S525" i="2"/>
  <c r="Q525" i="2"/>
  <c r="O525" i="2"/>
  <c r="M525" i="2"/>
  <c r="K525" i="2"/>
  <c r="I525" i="2"/>
  <c r="G525" i="2"/>
  <c r="E525" i="2"/>
  <c r="C525" i="2"/>
  <c r="BJ524" i="2"/>
  <c r="BK525" i="2" s="1"/>
  <c r="BI524" i="2"/>
  <c r="BG524" i="2"/>
  <c r="BD524" i="2"/>
  <c r="BC524" i="2"/>
  <c r="BA524" i="2"/>
  <c r="AX524" i="2"/>
  <c r="AW524" i="2"/>
  <c r="AU524" i="2"/>
  <c r="AS524" i="2"/>
  <c r="AP524" i="2"/>
  <c r="AN524" i="2"/>
  <c r="AL524" i="2"/>
  <c r="AJ524" i="2"/>
  <c r="AH524" i="2"/>
  <c r="AF524" i="2"/>
  <c r="AD524" i="2"/>
  <c r="AB524" i="2"/>
  <c r="Z524" i="2"/>
  <c r="X524" i="2"/>
  <c r="U524" i="2"/>
  <c r="S524" i="2"/>
  <c r="Q524" i="2"/>
  <c r="O524" i="2"/>
  <c r="M524" i="2"/>
  <c r="K524" i="2"/>
  <c r="I524" i="2"/>
  <c r="G524" i="2"/>
  <c r="E524" i="2"/>
  <c r="C524" i="2"/>
  <c r="BJ523" i="2"/>
  <c r="BK524" i="2" s="1"/>
  <c r="BI523" i="2"/>
  <c r="BG523" i="2"/>
  <c r="BD523" i="2"/>
  <c r="BE524" i="2" s="1"/>
  <c r="BC523" i="2"/>
  <c r="BA523" i="2"/>
  <c r="AX523" i="2"/>
  <c r="AY524" i="2" s="1"/>
  <c r="AW523" i="2"/>
  <c r="AU523" i="2"/>
  <c r="AS523" i="2"/>
  <c r="AP523" i="2"/>
  <c r="AN523" i="2"/>
  <c r="AL523" i="2"/>
  <c r="AJ523" i="2"/>
  <c r="AH523" i="2"/>
  <c r="AF523" i="2"/>
  <c r="AD523" i="2"/>
  <c r="AB523" i="2"/>
  <c r="Z523" i="2"/>
  <c r="X523" i="2"/>
  <c r="U523" i="2"/>
  <c r="S523" i="2"/>
  <c r="Q523" i="2"/>
  <c r="O523" i="2"/>
  <c r="M523" i="2"/>
  <c r="K523" i="2"/>
  <c r="I523" i="2"/>
  <c r="G523" i="2"/>
  <c r="E523" i="2"/>
  <c r="C523" i="2"/>
  <c r="BJ522" i="2"/>
  <c r="BI522" i="2"/>
  <c r="BG522" i="2"/>
  <c r="BD522" i="2"/>
  <c r="BE522" i="2" s="1"/>
  <c r="BC522" i="2"/>
  <c r="BA522" i="2"/>
  <c r="AX522" i="2"/>
  <c r="AY522" i="2" s="1"/>
  <c r="AW522" i="2"/>
  <c r="AU522" i="2"/>
  <c r="AS522" i="2"/>
  <c r="AP522" i="2"/>
  <c r="AN522" i="2"/>
  <c r="AL522" i="2"/>
  <c r="AJ522" i="2"/>
  <c r="AH522" i="2"/>
  <c r="AF522" i="2"/>
  <c r="AD522" i="2"/>
  <c r="AB522" i="2"/>
  <c r="Z522" i="2"/>
  <c r="X522" i="2"/>
  <c r="U522" i="2"/>
  <c r="S522" i="2"/>
  <c r="Q522" i="2"/>
  <c r="O522" i="2"/>
  <c r="M522" i="2"/>
  <c r="K522" i="2"/>
  <c r="I522" i="2"/>
  <c r="G522" i="2"/>
  <c r="E522" i="2"/>
  <c r="C522" i="2"/>
  <c r="BJ521" i="2"/>
  <c r="BI521" i="2"/>
  <c r="BG521" i="2"/>
  <c r="BD521" i="2"/>
  <c r="BC521" i="2"/>
  <c r="BA521" i="2"/>
  <c r="AX521" i="2"/>
  <c r="AY521" i="2" s="1"/>
  <c r="AW521" i="2"/>
  <c r="AU521" i="2"/>
  <c r="AS521" i="2"/>
  <c r="AP521" i="2"/>
  <c r="AN521" i="2"/>
  <c r="AL521" i="2"/>
  <c r="AJ521" i="2"/>
  <c r="AH521" i="2"/>
  <c r="AF521" i="2"/>
  <c r="AD521" i="2"/>
  <c r="AB521" i="2"/>
  <c r="Z521" i="2"/>
  <c r="X521" i="2"/>
  <c r="U521" i="2"/>
  <c r="S521" i="2"/>
  <c r="Q521" i="2"/>
  <c r="O521" i="2"/>
  <c r="M521" i="2"/>
  <c r="K521" i="2"/>
  <c r="I521" i="2"/>
  <c r="G521" i="2"/>
  <c r="E521" i="2"/>
  <c r="C521" i="2"/>
  <c r="BJ520" i="2"/>
  <c r="BK521" i="2" s="1"/>
  <c r="BI520" i="2"/>
  <c r="BG520" i="2"/>
  <c r="BD520" i="2"/>
  <c r="BC520" i="2"/>
  <c r="BA520" i="2"/>
  <c r="AX520" i="2"/>
  <c r="AW520" i="2"/>
  <c r="AU520" i="2"/>
  <c r="AS520" i="2"/>
  <c r="AP520" i="2"/>
  <c r="AN520" i="2"/>
  <c r="AL520" i="2"/>
  <c r="AJ520" i="2"/>
  <c r="AH520" i="2"/>
  <c r="AF520" i="2"/>
  <c r="AD520" i="2"/>
  <c r="AB520" i="2"/>
  <c r="Z520" i="2"/>
  <c r="X520" i="2"/>
  <c r="U520" i="2"/>
  <c r="S520" i="2"/>
  <c r="Q520" i="2"/>
  <c r="O520" i="2"/>
  <c r="M520" i="2"/>
  <c r="K520" i="2"/>
  <c r="I520" i="2"/>
  <c r="G520" i="2"/>
  <c r="E520" i="2"/>
  <c r="C520" i="2"/>
  <c r="BJ519" i="2"/>
  <c r="BI519" i="2"/>
  <c r="BG519" i="2"/>
  <c r="BD519" i="2"/>
  <c r="BC519" i="2"/>
  <c r="BA519" i="2"/>
  <c r="AY519" i="2"/>
  <c r="AX519" i="2"/>
  <c r="AY520" i="2" s="1"/>
  <c r="AW519" i="2"/>
  <c r="AU519" i="2"/>
  <c r="AS519" i="2"/>
  <c r="AP519" i="2"/>
  <c r="AN519" i="2"/>
  <c r="AL519" i="2"/>
  <c r="AJ519" i="2"/>
  <c r="AH519" i="2"/>
  <c r="AF519" i="2"/>
  <c r="AD519" i="2"/>
  <c r="AB519" i="2"/>
  <c r="Z519" i="2"/>
  <c r="X519" i="2"/>
  <c r="U519" i="2"/>
  <c r="S519" i="2"/>
  <c r="Q519" i="2"/>
  <c r="O519" i="2"/>
  <c r="M519" i="2"/>
  <c r="K519" i="2"/>
  <c r="I519" i="2"/>
  <c r="G519" i="2"/>
  <c r="E519" i="2"/>
  <c r="C519" i="2"/>
  <c r="BJ518" i="2"/>
  <c r="BK519" i="2" s="1"/>
  <c r="BI518" i="2"/>
  <c r="BG518" i="2"/>
  <c r="BD518" i="2"/>
  <c r="BE518" i="2" s="1"/>
  <c r="BC518" i="2"/>
  <c r="BA518" i="2"/>
  <c r="AY518" i="2"/>
  <c r="AX518" i="2"/>
  <c r="AW518" i="2"/>
  <c r="AU518" i="2"/>
  <c r="AS518" i="2"/>
  <c r="AP518" i="2"/>
  <c r="AN518" i="2"/>
  <c r="AL518" i="2"/>
  <c r="AJ518" i="2"/>
  <c r="AH518" i="2"/>
  <c r="AF518" i="2"/>
  <c r="AD518" i="2"/>
  <c r="AB518" i="2"/>
  <c r="Z518" i="2"/>
  <c r="X518" i="2"/>
  <c r="U518" i="2"/>
  <c r="S518" i="2"/>
  <c r="Q518" i="2"/>
  <c r="O518" i="2"/>
  <c r="M518" i="2"/>
  <c r="K518" i="2"/>
  <c r="I518" i="2"/>
  <c r="G518" i="2"/>
  <c r="E518" i="2"/>
  <c r="C518" i="2"/>
  <c r="BJ517" i="2"/>
  <c r="BI517" i="2"/>
  <c r="BG517" i="2"/>
  <c r="BD517" i="2"/>
  <c r="BC517" i="2"/>
  <c r="BA517" i="2"/>
  <c r="AY517" i="2"/>
  <c r="AX517" i="2"/>
  <c r="AW517" i="2"/>
  <c r="AU517" i="2"/>
  <c r="AS517" i="2"/>
  <c r="AP517" i="2"/>
  <c r="AN517" i="2"/>
  <c r="AL517" i="2"/>
  <c r="AJ517" i="2"/>
  <c r="AH517" i="2"/>
  <c r="AF517" i="2"/>
  <c r="AD517" i="2"/>
  <c r="AB517" i="2"/>
  <c r="Z517" i="2"/>
  <c r="X517" i="2"/>
  <c r="U517" i="2"/>
  <c r="S517" i="2"/>
  <c r="Q517" i="2"/>
  <c r="O517" i="2"/>
  <c r="M517" i="2"/>
  <c r="K517" i="2"/>
  <c r="I517" i="2"/>
  <c r="G517" i="2"/>
  <c r="E517" i="2"/>
  <c r="C517" i="2"/>
  <c r="BJ516" i="2"/>
  <c r="BK517" i="2" s="1"/>
  <c r="BI516" i="2"/>
  <c r="BG516" i="2"/>
  <c r="BD516" i="2"/>
  <c r="BC516" i="2"/>
  <c r="BA516" i="2"/>
  <c r="AY516" i="2"/>
  <c r="AX516" i="2"/>
  <c r="AW516" i="2"/>
  <c r="AU516" i="2"/>
  <c r="AS516" i="2"/>
  <c r="AP516" i="2"/>
  <c r="AN516" i="2"/>
  <c r="AL516" i="2"/>
  <c r="AJ516" i="2"/>
  <c r="AH516" i="2"/>
  <c r="AF516" i="2"/>
  <c r="AD516" i="2"/>
  <c r="AB516" i="2"/>
  <c r="Z516" i="2"/>
  <c r="X516" i="2"/>
  <c r="U516" i="2"/>
  <c r="S516" i="2"/>
  <c r="Q516" i="2"/>
  <c r="O516" i="2"/>
  <c r="M516" i="2"/>
  <c r="K516" i="2"/>
  <c r="I516" i="2"/>
  <c r="G516" i="2"/>
  <c r="E516" i="2"/>
  <c r="C516" i="2"/>
  <c r="BJ515" i="2"/>
  <c r="BI515" i="2"/>
  <c r="BG515" i="2"/>
  <c r="BD515" i="2"/>
  <c r="BC515" i="2"/>
  <c r="BA515" i="2"/>
  <c r="AY515" i="2"/>
  <c r="AX515" i="2"/>
  <c r="AW515" i="2"/>
  <c r="AU515" i="2"/>
  <c r="AS515" i="2"/>
  <c r="AP515" i="2"/>
  <c r="AN515" i="2"/>
  <c r="AL515" i="2"/>
  <c r="AJ515" i="2"/>
  <c r="AH515" i="2"/>
  <c r="AF515" i="2"/>
  <c r="AD515" i="2"/>
  <c r="AB515" i="2"/>
  <c r="Z515" i="2"/>
  <c r="X515" i="2"/>
  <c r="U515" i="2"/>
  <c r="S515" i="2"/>
  <c r="Q515" i="2"/>
  <c r="O515" i="2"/>
  <c r="M515" i="2"/>
  <c r="K515" i="2"/>
  <c r="I515" i="2"/>
  <c r="G515" i="2"/>
  <c r="E515" i="2"/>
  <c r="C515" i="2"/>
  <c r="BJ514" i="2"/>
  <c r="BK515" i="2" s="1"/>
  <c r="BI514" i="2"/>
  <c r="BG514" i="2"/>
  <c r="BD514" i="2"/>
  <c r="BE514" i="2" s="1"/>
  <c r="BC514" i="2"/>
  <c r="BA514" i="2"/>
  <c r="AX514" i="2"/>
  <c r="AY514" i="2" s="1"/>
  <c r="AW514" i="2"/>
  <c r="AU514" i="2"/>
  <c r="AS514" i="2"/>
  <c r="AP514" i="2"/>
  <c r="AN514" i="2"/>
  <c r="AL514" i="2"/>
  <c r="AJ514" i="2"/>
  <c r="AH514" i="2"/>
  <c r="AF514" i="2"/>
  <c r="AD514" i="2"/>
  <c r="AB514" i="2"/>
  <c r="Z514" i="2"/>
  <c r="X514" i="2"/>
  <c r="U514" i="2"/>
  <c r="S514" i="2"/>
  <c r="Q514" i="2"/>
  <c r="O514" i="2"/>
  <c r="M514" i="2"/>
  <c r="K514" i="2"/>
  <c r="I514" i="2"/>
  <c r="G514" i="2"/>
  <c r="E514" i="2"/>
  <c r="C514" i="2"/>
  <c r="BJ513" i="2"/>
  <c r="BI513" i="2"/>
  <c r="BG513" i="2"/>
  <c r="BD513" i="2"/>
  <c r="BC513" i="2"/>
  <c r="BA513" i="2"/>
  <c r="AX513" i="2"/>
  <c r="AW513" i="2"/>
  <c r="AU513" i="2"/>
  <c r="AS513" i="2"/>
  <c r="AP513" i="2"/>
  <c r="AN513" i="2"/>
  <c r="AL513" i="2"/>
  <c r="AJ513" i="2"/>
  <c r="AH513" i="2"/>
  <c r="AF513" i="2"/>
  <c r="AD513" i="2"/>
  <c r="AB513" i="2"/>
  <c r="Z513" i="2"/>
  <c r="X513" i="2"/>
  <c r="U513" i="2"/>
  <c r="S513" i="2"/>
  <c r="Q513" i="2"/>
  <c r="O513" i="2"/>
  <c r="M513" i="2"/>
  <c r="K513" i="2"/>
  <c r="I513" i="2"/>
  <c r="G513" i="2"/>
  <c r="E513" i="2"/>
  <c r="C513" i="2"/>
  <c r="BJ512" i="2"/>
  <c r="BI512" i="2"/>
  <c r="BG512" i="2"/>
  <c r="BD512" i="2"/>
  <c r="BC512" i="2"/>
  <c r="BA512" i="2"/>
  <c r="AX512" i="2"/>
  <c r="AY512" i="2" s="1"/>
  <c r="AW512" i="2"/>
  <c r="AU512" i="2"/>
  <c r="AS512" i="2"/>
  <c r="AP512" i="2"/>
  <c r="AN512" i="2"/>
  <c r="AL512" i="2"/>
  <c r="AJ512" i="2"/>
  <c r="AH512" i="2"/>
  <c r="AF512" i="2"/>
  <c r="AD512" i="2"/>
  <c r="AB512" i="2"/>
  <c r="Z512" i="2"/>
  <c r="X512" i="2"/>
  <c r="U512" i="2"/>
  <c r="S512" i="2"/>
  <c r="Q512" i="2"/>
  <c r="O512" i="2"/>
  <c r="M512" i="2"/>
  <c r="K512" i="2"/>
  <c r="I512" i="2"/>
  <c r="G512" i="2"/>
  <c r="E512" i="2"/>
  <c r="C512" i="2"/>
  <c r="BJ511" i="2"/>
  <c r="BI511" i="2"/>
  <c r="BG511" i="2"/>
  <c r="BD511" i="2"/>
  <c r="BC511" i="2"/>
  <c r="BA511" i="2"/>
  <c r="AX511" i="2"/>
  <c r="AY511" i="2" s="1"/>
  <c r="AW511" i="2"/>
  <c r="AU511" i="2"/>
  <c r="AS511" i="2"/>
  <c r="AP511" i="2"/>
  <c r="AN511" i="2"/>
  <c r="AL511" i="2"/>
  <c r="AJ511" i="2"/>
  <c r="AH511" i="2"/>
  <c r="AF511" i="2"/>
  <c r="AD511" i="2"/>
  <c r="AB511" i="2"/>
  <c r="Z511" i="2"/>
  <c r="X511" i="2"/>
  <c r="U511" i="2"/>
  <c r="S511" i="2"/>
  <c r="Q511" i="2"/>
  <c r="O511" i="2"/>
  <c r="M511" i="2"/>
  <c r="K511" i="2"/>
  <c r="I511" i="2"/>
  <c r="G511" i="2"/>
  <c r="E511" i="2"/>
  <c r="C511" i="2"/>
  <c r="BK510" i="2"/>
  <c r="BJ510" i="2"/>
  <c r="BK511" i="2" s="1"/>
  <c r="BI510" i="2"/>
  <c r="BG510" i="2"/>
  <c r="BE510" i="2"/>
  <c r="BD510" i="2"/>
  <c r="BC510" i="2"/>
  <c r="BA510" i="2"/>
  <c r="AY510" i="2"/>
  <c r="AX510" i="2"/>
  <c r="AW510" i="2"/>
  <c r="AU510" i="2"/>
  <c r="AS510" i="2"/>
  <c r="AP510" i="2"/>
  <c r="AN510" i="2"/>
  <c r="AL510" i="2"/>
  <c r="AJ510" i="2"/>
  <c r="AH510" i="2"/>
  <c r="AF510" i="2"/>
  <c r="AD510" i="2"/>
  <c r="AB510" i="2"/>
  <c r="Z510" i="2"/>
  <c r="X510" i="2"/>
  <c r="U510" i="2"/>
  <c r="S510" i="2"/>
  <c r="Q510" i="2"/>
  <c r="O510" i="2"/>
  <c r="M510" i="2"/>
  <c r="K510" i="2"/>
  <c r="I510" i="2"/>
  <c r="G510" i="2"/>
  <c r="E510" i="2"/>
  <c r="C510" i="2"/>
  <c r="BK509" i="2"/>
  <c r="BJ509" i="2"/>
  <c r="BI509" i="2"/>
  <c r="BG509" i="2"/>
  <c r="BD509" i="2"/>
  <c r="BC509" i="2"/>
  <c r="BA509" i="2"/>
  <c r="AY509" i="2"/>
  <c r="AX509" i="2"/>
  <c r="AW509" i="2"/>
  <c r="AU509" i="2"/>
  <c r="AS509" i="2"/>
  <c r="AP509" i="2"/>
  <c r="AN509" i="2"/>
  <c r="AL509" i="2"/>
  <c r="AJ509" i="2"/>
  <c r="AH509" i="2"/>
  <c r="AF509" i="2"/>
  <c r="AD509" i="2"/>
  <c r="AB509" i="2"/>
  <c r="Z509" i="2"/>
  <c r="X509" i="2"/>
  <c r="U509" i="2"/>
  <c r="S509" i="2"/>
  <c r="Q509" i="2"/>
  <c r="O509" i="2"/>
  <c r="M509" i="2"/>
  <c r="K509" i="2"/>
  <c r="I509" i="2"/>
  <c r="G509" i="2"/>
  <c r="E509" i="2"/>
  <c r="C509" i="2"/>
  <c r="BJ508" i="2"/>
  <c r="BK508" i="2" s="1"/>
  <c r="BI508" i="2"/>
  <c r="BG508" i="2"/>
  <c r="BD508" i="2"/>
  <c r="BC508" i="2"/>
  <c r="BA508" i="2"/>
  <c r="AX508" i="2"/>
  <c r="AW508" i="2"/>
  <c r="AU508" i="2"/>
  <c r="AS508" i="2"/>
  <c r="AP508" i="2"/>
  <c r="AN508" i="2"/>
  <c r="AL508" i="2"/>
  <c r="AJ508" i="2"/>
  <c r="AH508" i="2"/>
  <c r="AF508" i="2"/>
  <c r="AD508" i="2"/>
  <c r="AB508" i="2"/>
  <c r="Z508" i="2"/>
  <c r="X508" i="2"/>
  <c r="U508" i="2"/>
  <c r="S508" i="2"/>
  <c r="Q508" i="2"/>
  <c r="O508" i="2"/>
  <c r="M508" i="2"/>
  <c r="K508" i="2"/>
  <c r="I508" i="2"/>
  <c r="G508" i="2"/>
  <c r="E508" i="2"/>
  <c r="C508" i="2"/>
  <c r="BJ507" i="2"/>
  <c r="BI507" i="2"/>
  <c r="BG507" i="2"/>
  <c r="BD507" i="2"/>
  <c r="BC507" i="2"/>
  <c r="BA507" i="2"/>
  <c r="AX507" i="2"/>
  <c r="AY507" i="2" s="1"/>
  <c r="AW507" i="2"/>
  <c r="AU507" i="2"/>
  <c r="AS507" i="2"/>
  <c r="AP507" i="2"/>
  <c r="AN507" i="2"/>
  <c r="AL507" i="2"/>
  <c r="AJ507" i="2"/>
  <c r="AH507" i="2"/>
  <c r="AF507" i="2"/>
  <c r="AD507" i="2"/>
  <c r="AB507" i="2"/>
  <c r="Z507" i="2"/>
  <c r="X507" i="2"/>
  <c r="U507" i="2"/>
  <c r="S507" i="2"/>
  <c r="Q507" i="2"/>
  <c r="O507" i="2"/>
  <c r="M507" i="2"/>
  <c r="K507" i="2"/>
  <c r="I507" i="2"/>
  <c r="G507" i="2"/>
  <c r="E507" i="2"/>
  <c r="C507" i="2"/>
  <c r="BJ506" i="2"/>
  <c r="BK506" i="2" s="1"/>
  <c r="BI506" i="2"/>
  <c r="BG506" i="2"/>
  <c r="BD506" i="2"/>
  <c r="BE506" i="2" s="1"/>
  <c r="BC506" i="2"/>
  <c r="BA506" i="2"/>
  <c r="AX506" i="2"/>
  <c r="AY506" i="2" s="1"/>
  <c r="AW506" i="2"/>
  <c r="AU506" i="2"/>
  <c r="AS506" i="2"/>
  <c r="AP506" i="2"/>
  <c r="AN506" i="2"/>
  <c r="AL506" i="2"/>
  <c r="AJ506" i="2"/>
  <c r="AH506" i="2"/>
  <c r="AF506" i="2"/>
  <c r="AD506" i="2"/>
  <c r="AB506" i="2"/>
  <c r="Z506" i="2"/>
  <c r="X506" i="2"/>
  <c r="U506" i="2"/>
  <c r="S506" i="2"/>
  <c r="Q506" i="2"/>
  <c r="O506" i="2"/>
  <c r="M506" i="2"/>
  <c r="K506" i="2"/>
  <c r="I506" i="2"/>
  <c r="G506" i="2"/>
  <c r="E506" i="2"/>
  <c r="C506" i="2"/>
  <c r="BJ505" i="2"/>
  <c r="BI505" i="2"/>
  <c r="BG505" i="2"/>
  <c r="BD505" i="2"/>
  <c r="BC505" i="2"/>
  <c r="BA505" i="2"/>
  <c r="AX505" i="2"/>
  <c r="AW505" i="2"/>
  <c r="AU505" i="2"/>
  <c r="AS505" i="2"/>
  <c r="AP505" i="2"/>
  <c r="AN505" i="2"/>
  <c r="AL505" i="2"/>
  <c r="AJ505" i="2"/>
  <c r="AH505" i="2"/>
  <c r="AF505" i="2"/>
  <c r="AD505" i="2"/>
  <c r="AB505" i="2"/>
  <c r="Z505" i="2"/>
  <c r="X505" i="2"/>
  <c r="U505" i="2"/>
  <c r="S505" i="2"/>
  <c r="Q505" i="2"/>
  <c r="O505" i="2"/>
  <c r="M505" i="2"/>
  <c r="K505" i="2"/>
  <c r="I505" i="2"/>
  <c r="G505" i="2"/>
  <c r="E505" i="2"/>
  <c r="C505" i="2"/>
  <c r="BJ504" i="2"/>
  <c r="BK504" i="2" s="1"/>
  <c r="BI504" i="2"/>
  <c r="BG504" i="2"/>
  <c r="BD504" i="2"/>
  <c r="BE504" i="2" s="1"/>
  <c r="BC504" i="2"/>
  <c r="BA504" i="2"/>
  <c r="AY504" i="2"/>
  <c r="AX504" i="2"/>
  <c r="AY505" i="2" s="1"/>
  <c r="AW504" i="2"/>
  <c r="AU504" i="2"/>
  <c r="AS504" i="2"/>
  <c r="AP504" i="2"/>
  <c r="AN504" i="2"/>
  <c r="AL504" i="2"/>
  <c r="AJ504" i="2"/>
  <c r="AH504" i="2"/>
  <c r="AF504" i="2"/>
  <c r="AD504" i="2"/>
  <c r="AB504" i="2"/>
  <c r="Z504" i="2"/>
  <c r="X504" i="2"/>
  <c r="U504" i="2"/>
  <c r="S504" i="2"/>
  <c r="Q504" i="2"/>
  <c r="O504" i="2"/>
  <c r="M504" i="2"/>
  <c r="K504" i="2"/>
  <c r="I504" i="2"/>
  <c r="G504" i="2"/>
  <c r="E504" i="2"/>
  <c r="C504" i="2"/>
  <c r="BJ503" i="2"/>
  <c r="BK503" i="2" s="1"/>
  <c r="BI503" i="2"/>
  <c r="BG503" i="2"/>
  <c r="BD503" i="2"/>
  <c r="BC503" i="2"/>
  <c r="BA503" i="2"/>
  <c r="AX503" i="2"/>
  <c r="AW503" i="2"/>
  <c r="AU503" i="2"/>
  <c r="AS503" i="2"/>
  <c r="AP503" i="2"/>
  <c r="AN503" i="2"/>
  <c r="AL503" i="2"/>
  <c r="AJ503" i="2"/>
  <c r="AH503" i="2"/>
  <c r="AF503" i="2"/>
  <c r="AD503" i="2"/>
  <c r="AB503" i="2"/>
  <c r="Z503" i="2"/>
  <c r="X503" i="2"/>
  <c r="U503" i="2"/>
  <c r="S503" i="2"/>
  <c r="Q503" i="2"/>
  <c r="O503" i="2"/>
  <c r="M503" i="2"/>
  <c r="K503" i="2"/>
  <c r="I503" i="2"/>
  <c r="G503" i="2"/>
  <c r="E503" i="2"/>
  <c r="C503" i="2"/>
  <c r="BJ502" i="2"/>
  <c r="BI502" i="2"/>
  <c r="BG502" i="2"/>
  <c r="BD502" i="2"/>
  <c r="BC502" i="2"/>
  <c r="BA502" i="2"/>
  <c r="AX502" i="2"/>
  <c r="AY502" i="2" s="1"/>
  <c r="AW502" i="2"/>
  <c r="AU502" i="2"/>
  <c r="AS502" i="2"/>
  <c r="AP502" i="2"/>
  <c r="AN502" i="2"/>
  <c r="AL502" i="2"/>
  <c r="AJ502" i="2"/>
  <c r="AH502" i="2"/>
  <c r="AF502" i="2"/>
  <c r="AD502" i="2"/>
  <c r="AB502" i="2"/>
  <c r="Z502" i="2"/>
  <c r="X502" i="2"/>
  <c r="U502" i="2"/>
  <c r="S502" i="2"/>
  <c r="Q502" i="2"/>
  <c r="O502" i="2"/>
  <c r="M502" i="2"/>
  <c r="K502" i="2"/>
  <c r="I502" i="2"/>
  <c r="G502" i="2"/>
  <c r="E502" i="2"/>
  <c r="C502" i="2"/>
  <c r="BK501" i="2"/>
  <c r="BJ501" i="2"/>
  <c r="BI501" i="2"/>
  <c r="BG501" i="2"/>
  <c r="BD501" i="2"/>
  <c r="BC501" i="2"/>
  <c r="BA501" i="2"/>
  <c r="AX501" i="2"/>
  <c r="AY501" i="2" s="1"/>
  <c r="AW501" i="2"/>
  <c r="AU501" i="2"/>
  <c r="AS501" i="2"/>
  <c r="AP501" i="2"/>
  <c r="AN501" i="2"/>
  <c r="AL501" i="2"/>
  <c r="AJ501" i="2"/>
  <c r="AH501" i="2"/>
  <c r="AF501" i="2"/>
  <c r="AD501" i="2"/>
  <c r="AB501" i="2"/>
  <c r="Z501" i="2"/>
  <c r="X501" i="2"/>
  <c r="U501" i="2"/>
  <c r="S501" i="2"/>
  <c r="Q501" i="2"/>
  <c r="O501" i="2"/>
  <c r="M501" i="2"/>
  <c r="K501" i="2"/>
  <c r="I501" i="2"/>
  <c r="G501" i="2"/>
  <c r="E501" i="2"/>
  <c r="C501" i="2"/>
  <c r="BJ500" i="2"/>
  <c r="BI500" i="2"/>
  <c r="BG500" i="2"/>
  <c r="BD500" i="2"/>
  <c r="BC500" i="2"/>
  <c r="BA500" i="2"/>
  <c r="AX500" i="2"/>
  <c r="AY500" i="2" s="1"/>
  <c r="AW500" i="2"/>
  <c r="AU500" i="2"/>
  <c r="AS500" i="2"/>
  <c r="AP500" i="2"/>
  <c r="AN500" i="2"/>
  <c r="AL500" i="2"/>
  <c r="AJ500" i="2"/>
  <c r="AH500" i="2"/>
  <c r="AF500" i="2"/>
  <c r="AD500" i="2"/>
  <c r="AB500" i="2"/>
  <c r="Z500" i="2"/>
  <c r="X500" i="2"/>
  <c r="U500" i="2"/>
  <c r="S500" i="2"/>
  <c r="Q500" i="2"/>
  <c r="O500" i="2"/>
  <c r="M500" i="2"/>
  <c r="K500" i="2"/>
  <c r="I500" i="2"/>
  <c r="G500" i="2"/>
  <c r="E500" i="2"/>
  <c r="C500" i="2"/>
  <c r="BJ499" i="2"/>
  <c r="BK499" i="2" s="1"/>
  <c r="BI499" i="2"/>
  <c r="BG499" i="2"/>
  <c r="BD499" i="2"/>
  <c r="BC499" i="2"/>
  <c r="BA499" i="2"/>
  <c r="AX499" i="2"/>
  <c r="AW499" i="2"/>
  <c r="AU499" i="2"/>
  <c r="AS499" i="2"/>
  <c r="AP499" i="2"/>
  <c r="AN499" i="2"/>
  <c r="AL499" i="2"/>
  <c r="AJ499" i="2"/>
  <c r="AH499" i="2"/>
  <c r="AF499" i="2"/>
  <c r="AD499" i="2"/>
  <c r="AB499" i="2"/>
  <c r="Z499" i="2"/>
  <c r="X499" i="2"/>
  <c r="U499" i="2"/>
  <c r="S499" i="2"/>
  <c r="Q499" i="2"/>
  <c r="O499" i="2"/>
  <c r="M499" i="2"/>
  <c r="K499" i="2"/>
  <c r="I499" i="2"/>
  <c r="G499" i="2"/>
  <c r="E499" i="2"/>
  <c r="C499" i="2"/>
  <c r="BJ498" i="2"/>
  <c r="BK498" i="2" s="1"/>
  <c r="BI498" i="2"/>
  <c r="BG498" i="2"/>
  <c r="BD498" i="2"/>
  <c r="BC498" i="2"/>
  <c r="BA498" i="2"/>
  <c r="AX498" i="2"/>
  <c r="AY499" i="2" s="1"/>
  <c r="AW498" i="2"/>
  <c r="AU498" i="2"/>
  <c r="AS498" i="2"/>
  <c r="AP498" i="2"/>
  <c r="AN498" i="2"/>
  <c r="AL498" i="2"/>
  <c r="AJ498" i="2"/>
  <c r="AH498" i="2"/>
  <c r="AF498" i="2"/>
  <c r="AD498" i="2"/>
  <c r="AB498" i="2"/>
  <c r="Z498" i="2"/>
  <c r="X498" i="2"/>
  <c r="U498" i="2"/>
  <c r="S498" i="2"/>
  <c r="Q498" i="2"/>
  <c r="O498" i="2"/>
  <c r="M498" i="2"/>
  <c r="K498" i="2"/>
  <c r="I498" i="2"/>
  <c r="G498" i="2"/>
  <c r="E498" i="2"/>
  <c r="C498" i="2"/>
  <c r="BK497" i="2"/>
  <c r="BJ497" i="2"/>
  <c r="BI497" i="2"/>
  <c r="BG497" i="2"/>
  <c r="BD497" i="2"/>
  <c r="BC497" i="2"/>
  <c r="BA497" i="2"/>
  <c r="AX497" i="2"/>
  <c r="AY497" i="2" s="1"/>
  <c r="AW497" i="2"/>
  <c r="AU497" i="2"/>
  <c r="AS497" i="2"/>
  <c r="AP497" i="2"/>
  <c r="AN497" i="2"/>
  <c r="AL497" i="2"/>
  <c r="AJ497" i="2"/>
  <c r="AH497" i="2"/>
  <c r="AF497" i="2"/>
  <c r="AD497" i="2"/>
  <c r="AB497" i="2"/>
  <c r="Z497" i="2"/>
  <c r="X497" i="2"/>
  <c r="U497" i="2"/>
  <c r="S497" i="2"/>
  <c r="Q497" i="2"/>
  <c r="O497" i="2"/>
  <c r="M497" i="2"/>
  <c r="K497" i="2"/>
  <c r="I497" i="2"/>
  <c r="G497" i="2"/>
  <c r="E497" i="2"/>
  <c r="C497" i="2"/>
  <c r="BJ496" i="2"/>
  <c r="BI496" i="2"/>
  <c r="BG496" i="2"/>
  <c r="BD496" i="2"/>
  <c r="BC496" i="2"/>
  <c r="BA496" i="2"/>
  <c r="AX496" i="2"/>
  <c r="AW496" i="2"/>
  <c r="AU496" i="2"/>
  <c r="AS496" i="2"/>
  <c r="AP496" i="2"/>
  <c r="AN496" i="2"/>
  <c r="AL496" i="2"/>
  <c r="AJ496" i="2"/>
  <c r="AH496" i="2"/>
  <c r="AF496" i="2"/>
  <c r="AD496" i="2"/>
  <c r="AB496" i="2"/>
  <c r="Z496" i="2"/>
  <c r="X496" i="2"/>
  <c r="U496" i="2"/>
  <c r="S496" i="2"/>
  <c r="Q496" i="2"/>
  <c r="O496" i="2"/>
  <c r="M496" i="2"/>
  <c r="K496" i="2"/>
  <c r="I496" i="2"/>
  <c r="G496" i="2"/>
  <c r="E496" i="2"/>
  <c r="C496" i="2"/>
  <c r="BJ495" i="2"/>
  <c r="BK495" i="2" s="1"/>
  <c r="BI495" i="2"/>
  <c r="BG495" i="2"/>
  <c r="BD495" i="2"/>
  <c r="BE495" i="2" s="1"/>
  <c r="BC495" i="2"/>
  <c r="BA495" i="2"/>
  <c r="AX495" i="2"/>
  <c r="AY496" i="2" s="1"/>
  <c r="AW495" i="2"/>
  <c r="AU495" i="2"/>
  <c r="AS495" i="2"/>
  <c r="AP495" i="2"/>
  <c r="AN495" i="2"/>
  <c r="AL495" i="2"/>
  <c r="AJ495" i="2"/>
  <c r="AH495" i="2"/>
  <c r="AF495" i="2"/>
  <c r="AD495" i="2"/>
  <c r="AB495" i="2"/>
  <c r="Z495" i="2"/>
  <c r="X495" i="2"/>
  <c r="U495" i="2"/>
  <c r="S495" i="2"/>
  <c r="Q495" i="2"/>
  <c r="O495" i="2"/>
  <c r="M495" i="2"/>
  <c r="K495" i="2"/>
  <c r="I495" i="2"/>
  <c r="G495" i="2"/>
  <c r="E495" i="2"/>
  <c r="C495" i="2"/>
  <c r="BJ494" i="2"/>
  <c r="BI494" i="2"/>
  <c r="BG494" i="2"/>
  <c r="BD494" i="2"/>
  <c r="BC494" i="2"/>
  <c r="BA494" i="2"/>
  <c r="AY494" i="2"/>
  <c r="AX494" i="2"/>
  <c r="AW494" i="2"/>
  <c r="AU494" i="2"/>
  <c r="AS494" i="2"/>
  <c r="AP494" i="2"/>
  <c r="AN494" i="2"/>
  <c r="AL494" i="2"/>
  <c r="AJ494" i="2"/>
  <c r="AH494" i="2"/>
  <c r="AF494" i="2"/>
  <c r="AD494" i="2"/>
  <c r="AB494" i="2"/>
  <c r="Z494" i="2"/>
  <c r="X494" i="2"/>
  <c r="U494" i="2"/>
  <c r="S494" i="2"/>
  <c r="Q494" i="2"/>
  <c r="O494" i="2"/>
  <c r="M494" i="2"/>
  <c r="K494" i="2"/>
  <c r="I494" i="2"/>
  <c r="G494" i="2"/>
  <c r="E494" i="2"/>
  <c r="C494" i="2"/>
  <c r="BJ493" i="2"/>
  <c r="BI493" i="2"/>
  <c r="BG493" i="2"/>
  <c r="BD493" i="2"/>
  <c r="BC493" i="2"/>
  <c r="BA493" i="2"/>
  <c r="AY493" i="2"/>
  <c r="AX493" i="2"/>
  <c r="AW493" i="2"/>
  <c r="AU493" i="2"/>
  <c r="AS493" i="2"/>
  <c r="AP493" i="2"/>
  <c r="AN493" i="2"/>
  <c r="AL493" i="2"/>
  <c r="AJ493" i="2"/>
  <c r="AH493" i="2"/>
  <c r="AF493" i="2"/>
  <c r="AD493" i="2"/>
  <c r="AB493" i="2"/>
  <c r="Z493" i="2"/>
  <c r="X493" i="2"/>
  <c r="U493" i="2"/>
  <c r="S493" i="2"/>
  <c r="Q493" i="2"/>
  <c r="O493" i="2"/>
  <c r="M493" i="2"/>
  <c r="K493" i="2"/>
  <c r="I493" i="2"/>
  <c r="G493" i="2"/>
  <c r="E493" i="2"/>
  <c r="C493" i="2"/>
  <c r="BJ492" i="2"/>
  <c r="BI492" i="2"/>
  <c r="BG492" i="2"/>
  <c r="BD492" i="2"/>
  <c r="BC492" i="2"/>
  <c r="BA492" i="2"/>
  <c r="AY492" i="2"/>
  <c r="AX492" i="2"/>
  <c r="AW492" i="2"/>
  <c r="AU492" i="2"/>
  <c r="AS492" i="2"/>
  <c r="AP492" i="2"/>
  <c r="AN492" i="2"/>
  <c r="AL492" i="2"/>
  <c r="AJ492" i="2"/>
  <c r="AH492" i="2"/>
  <c r="AF492" i="2"/>
  <c r="AD492" i="2"/>
  <c r="AB492" i="2"/>
  <c r="Z492" i="2"/>
  <c r="X492" i="2"/>
  <c r="U492" i="2"/>
  <c r="S492" i="2"/>
  <c r="Q492" i="2"/>
  <c r="O492" i="2"/>
  <c r="M492" i="2"/>
  <c r="K492" i="2"/>
  <c r="I492" i="2"/>
  <c r="G492" i="2"/>
  <c r="E492" i="2"/>
  <c r="C492" i="2"/>
  <c r="BJ491" i="2"/>
  <c r="BK492" i="2" s="1"/>
  <c r="BI491" i="2"/>
  <c r="BG491" i="2"/>
  <c r="BD491" i="2"/>
  <c r="BC491" i="2"/>
  <c r="BA491" i="2"/>
  <c r="AX491" i="2"/>
  <c r="AY491" i="2" s="1"/>
  <c r="AW491" i="2"/>
  <c r="AU491" i="2"/>
  <c r="AS491" i="2"/>
  <c r="AP491" i="2"/>
  <c r="AN491" i="2"/>
  <c r="AL491" i="2"/>
  <c r="AJ491" i="2"/>
  <c r="AH491" i="2"/>
  <c r="AF491" i="2"/>
  <c r="AD491" i="2"/>
  <c r="AB491" i="2"/>
  <c r="Z491" i="2"/>
  <c r="X491" i="2"/>
  <c r="U491" i="2"/>
  <c r="S491" i="2"/>
  <c r="Q491" i="2"/>
  <c r="O491" i="2"/>
  <c r="M491" i="2"/>
  <c r="K491" i="2"/>
  <c r="I491" i="2"/>
  <c r="G491" i="2"/>
  <c r="E491" i="2"/>
  <c r="C491" i="2"/>
  <c r="BJ490" i="2"/>
  <c r="BI490" i="2"/>
  <c r="BG490" i="2"/>
  <c r="BD490" i="2"/>
  <c r="BC490" i="2"/>
  <c r="BA490" i="2"/>
  <c r="AX490" i="2"/>
  <c r="AW490" i="2"/>
  <c r="AU490" i="2"/>
  <c r="AS490" i="2"/>
  <c r="AP490" i="2"/>
  <c r="AN490" i="2"/>
  <c r="AL490" i="2"/>
  <c r="AJ490" i="2"/>
  <c r="AH490" i="2"/>
  <c r="AF490" i="2"/>
  <c r="AD490" i="2"/>
  <c r="AB490" i="2"/>
  <c r="Z490" i="2"/>
  <c r="X490" i="2"/>
  <c r="U490" i="2"/>
  <c r="S490" i="2"/>
  <c r="Q490" i="2"/>
  <c r="O490" i="2"/>
  <c r="M490" i="2"/>
  <c r="K490" i="2"/>
  <c r="I490" i="2"/>
  <c r="G490" i="2"/>
  <c r="E490" i="2"/>
  <c r="C490" i="2"/>
  <c r="BJ489" i="2"/>
  <c r="BK489" i="2" s="1"/>
  <c r="BI489" i="2"/>
  <c r="BG489" i="2"/>
  <c r="BD489" i="2"/>
  <c r="BE489" i="2" s="1"/>
  <c r="BC489" i="2"/>
  <c r="BA489" i="2"/>
  <c r="AX489" i="2"/>
  <c r="AY489" i="2" s="1"/>
  <c r="AW489" i="2"/>
  <c r="AU489" i="2"/>
  <c r="AS489" i="2"/>
  <c r="AP489" i="2"/>
  <c r="AN489" i="2"/>
  <c r="AL489" i="2"/>
  <c r="AJ489" i="2"/>
  <c r="AH489" i="2"/>
  <c r="AF489" i="2"/>
  <c r="AD489" i="2"/>
  <c r="AB489" i="2"/>
  <c r="Z489" i="2"/>
  <c r="X489" i="2"/>
  <c r="U489" i="2"/>
  <c r="S489" i="2"/>
  <c r="Q489" i="2"/>
  <c r="O489" i="2"/>
  <c r="M489" i="2"/>
  <c r="K489" i="2"/>
  <c r="I489" i="2"/>
  <c r="G489" i="2"/>
  <c r="E489" i="2"/>
  <c r="C489" i="2"/>
  <c r="BJ488" i="2"/>
  <c r="BI488" i="2"/>
  <c r="BG488" i="2"/>
  <c r="BD488" i="2"/>
  <c r="BE488" i="2" s="1"/>
  <c r="BC488" i="2"/>
  <c r="BA488" i="2"/>
  <c r="AX488" i="2"/>
  <c r="AW488" i="2"/>
  <c r="AU488" i="2"/>
  <c r="AS488" i="2"/>
  <c r="AP488" i="2"/>
  <c r="AN488" i="2"/>
  <c r="AL488" i="2"/>
  <c r="AJ488" i="2"/>
  <c r="AH488" i="2"/>
  <c r="AF488" i="2"/>
  <c r="AD488" i="2"/>
  <c r="AB488" i="2"/>
  <c r="Z488" i="2"/>
  <c r="X488" i="2"/>
  <c r="U488" i="2"/>
  <c r="S488" i="2"/>
  <c r="Q488" i="2"/>
  <c r="O488" i="2"/>
  <c r="M488" i="2"/>
  <c r="K488" i="2"/>
  <c r="I488" i="2"/>
  <c r="G488" i="2"/>
  <c r="E488" i="2"/>
  <c r="C488" i="2"/>
  <c r="BJ487" i="2"/>
  <c r="BK488" i="2" s="1"/>
  <c r="BI487" i="2"/>
  <c r="BG487" i="2"/>
  <c r="BD487" i="2"/>
  <c r="BC487" i="2"/>
  <c r="BA487" i="2"/>
  <c r="AX487" i="2"/>
  <c r="AW487" i="2"/>
  <c r="AU487" i="2"/>
  <c r="AS487" i="2"/>
  <c r="AP487" i="2"/>
  <c r="AN487" i="2"/>
  <c r="AL487" i="2"/>
  <c r="AJ487" i="2"/>
  <c r="AH487" i="2"/>
  <c r="AF487" i="2"/>
  <c r="AD487" i="2"/>
  <c r="AB487" i="2"/>
  <c r="Z487" i="2"/>
  <c r="X487" i="2"/>
  <c r="U487" i="2"/>
  <c r="S487" i="2"/>
  <c r="Q487" i="2"/>
  <c r="O487" i="2"/>
  <c r="M487" i="2"/>
  <c r="K487" i="2"/>
  <c r="I487" i="2"/>
  <c r="G487" i="2"/>
  <c r="E487" i="2"/>
  <c r="C487" i="2"/>
  <c r="BK486" i="2"/>
  <c r="BJ486" i="2"/>
  <c r="BI486" i="2"/>
  <c r="BG486" i="2"/>
  <c r="BD486" i="2"/>
  <c r="BC486" i="2"/>
  <c r="BA486" i="2"/>
  <c r="AX486" i="2"/>
  <c r="AY486" i="2" s="1"/>
  <c r="AW486" i="2"/>
  <c r="AU486" i="2"/>
  <c r="AS486" i="2"/>
  <c r="AP486" i="2"/>
  <c r="AN486" i="2"/>
  <c r="AL486" i="2"/>
  <c r="AJ486" i="2"/>
  <c r="AH486" i="2"/>
  <c r="AF486" i="2"/>
  <c r="AD486" i="2"/>
  <c r="AB486" i="2"/>
  <c r="Z486" i="2"/>
  <c r="X486" i="2"/>
  <c r="U486" i="2"/>
  <c r="S486" i="2"/>
  <c r="Q486" i="2"/>
  <c r="O486" i="2"/>
  <c r="M486" i="2"/>
  <c r="K486" i="2"/>
  <c r="I486" i="2"/>
  <c r="G486" i="2"/>
  <c r="E486" i="2"/>
  <c r="C486" i="2"/>
  <c r="BJ485" i="2"/>
  <c r="BI485" i="2"/>
  <c r="BG485" i="2"/>
  <c r="BD485" i="2"/>
  <c r="BC485" i="2"/>
  <c r="BA485" i="2"/>
  <c r="AX485" i="2"/>
  <c r="AY485" i="2" s="1"/>
  <c r="AW485" i="2"/>
  <c r="AU485" i="2"/>
  <c r="AS485" i="2"/>
  <c r="AP485" i="2"/>
  <c r="AN485" i="2"/>
  <c r="AL485" i="2"/>
  <c r="AJ485" i="2"/>
  <c r="AH485" i="2"/>
  <c r="AF485" i="2"/>
  <c r="AD485" i="2"/>
  <c r="AB485" i="2"/>
  <c r="Z485" i="2"/>
  <c r="X485" i="2"/>
  <c r="U485" i="2"/>
  <c r="S485" i="2"/>
  <c r="Q485" i="2"/>
  <c r="O485" i="2"/>
  <c r="M485" i="2"/>
  <c r="K485" i="2"/>
  <c r="I485" i="2"/>
  <c r="G485" i="2"/>
  <c r="E485" i="2"/>
  <c r="C485" i="2"/>
  <c r="BJ484" i="2"/>
  <c r="BK484" i="2" s="1"/>
  <c r="BI484" i="2"/>
  <c r="BG484" i="2"/>
  <c r="BD484" i="2"/>
  <c r="BC484" i="2"/>
  <c r="BA484" i="2"/>
  <c r="AX484" i="2"/>
  <c r="AW484" i="2"/>
  <c r="AU484" i="2"/>
  <c r="AS484" i="2"/>
  <c r="AP484" i="2"/>
  <c r="AN484" i="2"/>
  <c r="AL484" i="2"/>
  <c r="AJ484" i="2"/>
  <c r="AH484" i="2"/>
  <c r="AF484" i="2"/>
  <c r="AD484" i="2"/>
  <c r="AB484" i="2"/>
  <c r="Z484" i="2"/>
  <c r="X484" i="2"/>
  <c r="U484" i="2"/>
  <c r="S484" i="2"/>
  <c r="Q484" i="2"/>
  <c r="O484" i="2"/>
  <c r="M484" i="2"/>
  <c r="K484" i="2"/>
  <c r="I484" i="2"/>
  <c r="G484" i="2"/>
  <c r="E484" i="2"/>
  <c r="C484" i="2"/>
  <c r="BJ483" i="2"/>
  <c r="BI483" i="2"/>
  <c r="BG483" i="2"/>
  <c r="BD483" i="2"/>
  <c r="BC483" i="2"/>
  <c r="BA483" i="2"/>
  <c r="AX483" i="2"/>
  <c r="AY484" i="2" s="1"/>
  <c r="AW483" i="2"/>
  <c r="AU483" i="2"/>
  <c r="AS483" i="2"/>
  <c r="AP483" i="2"/>
  <c r="AN483" i="2"/>
  <c r="AL483" i="2"/>
  <c r="AJ483" i="2"/>
  <c r="AH483" i="2"/>
  <c r="AF483" i="2"/>
  <c r="AD483" i="2"/>
  <c r="AB483" i="2"/>
  <c r="Z483" i="2"/>
  <c r="X483" i="2"/>
  <c r="U483" i="2"/>
  <c r="S483" i="2"/>
  <c r="Q483" i="2"/>
  <c r="O483" i="2"/>
  <c r="M483" i="2"/>
  <c r="K483" i="2"/>
  <c r="I483" i="2"/>
  <c r="G483" i="2"/>
  <c r="E483" i="2"/>
  <c r="C483" i="2"/>
  <c r="BJ482" i="2"/>
  <c r="BK483" i="2" s="1"/>
  <c r="BI482" i="2"/>
  <c r="BG482" i="2"/>
  <c r="BD482" i="2"/>
  <c r="BE482" i="2" s="1"/>
  <c r="BC482" i="2"/>
  <c r="BA482" i="2"/>
  <c r="AX482" i="2"/>
  <c r="AW482" i="2"/>
  <c r="AU482" i="2"/>
  <c r="AS482" i="2"/>
  <c r="AP482" i="2"/>
  <c r="AN482" i="2"/>
  <c r="AL482" i="2"/>
  <c r="AJ482" i="2"/>
  <c r="AH482" i="2"/>
  <c r="AF482" i="2"/>
  <c r="AD482" i="2"/>
  <c r="AB482" i="2"/>
  <c r="Z482" i="2"/>
  <c r="X482" i="2"/>
  <c r="U482" i="2"/>
  <c r="S482" i="2"/>
  <c r="Q482" i="2"/>
  <c r="O482" i="2"/>
  <c r="M482" i="2"/>
  <c r="K482" i="2"/>
  <c r="I482" i="2"/>
  <c r="G482" i="2"/>
  <c r="E482" i="2"/>
  <c r="C482" i="2"/>
  <c r="BJ481" i="2"/>
  <c r="BK481" i="2" s="1"/>
  <c r="BI481" i="2"/>
  <c r="BG481" i="2"/>
  <c r="BD481" i="2"/>
  <c r="BC481" i="2"/>
  <c r="BA481" i="2"/>
  <c r="AX481" i="2"/>
  <c r="AW481" i="2"/>
  <c r="AU481" i="2"/>
  <c r="AS481" i="2"/>
  <c r="AP481" i="2"/>
  <c r="AN481" i="2"/>
  <c r="AL481" i="2"/>
  <c r="AJ481" i="2"/>
  <c r="AH481" i="2"/>
  <c r="AF481" i="2"/>
  <c r="AD481" i="2"/>
  <c r="AB481" i="2"/>
  <c r="Z481" i="2"/>
  <c r="X481" i="2"/>
  <c r="U481" i="2"/>
  <c r="S481" i="2"/>
  <c r="Q481" i="2"/>
  <c r="O481" i="2"/>
  <c r="M481" i="2"/>
  <c r="K481" i="2"/>
  <c r="I481" i="2"/>
  <c r="G481" i="2"/>
  <c r="E481" i="2"/>
  <c r="C481" i="2"/>
  <c r="BK480" i="2"/>
  <c r="BJ480" i="2"/>
  <c r="BI480" i="2"/>
  <c r="BG480" i="2"/>
  <c r="BD480" i="2"/>
  <c r="BC480" i="2"/>
  <c r="BA480" i="2"/>
  <c r="AX480" i="2"/>
  <c r="AY481" i="2" s="1"/>
  <c r="AW480" i="2"/>
  <c r="AU480" i="2"/>
  <c r="AS480" i="2"/>
  <c r="AP480" i="2"/>
  <c r="AN480" i="2"/>
  <c r="AL480" i="2"/>
  <c r="AJ480" i="2"/>
  <c r="AH480" i="2"/>
  <c r="AF480" i="2"/>
  <c r="AD480" i="2"/>
  <c r="AB480" i="2"/>
  <c r="Z480" i="2"/>
  <c r="X480" i="2"/>
  <c r="U480" i="2"/>
  <c r="S480" i="2"/>
  <c r="Q480" i="2"/>
  <c r="O480" i="2"/>
  <c r="M480" i="2"/>
  <c r="K480" i="2"/>
  <c r="I480" i="2"/>
  <c r="G480" i="2"/>
  <c r="E480" i="2"/>
  <c r="C480" i="2"/>
  <c r="BJ479" i="2"/>
  <c r="BI479" i="2"/>
  <c r="BG479" i="2"/>
  <c r="BD479" i="2"/>
  <c r="BE480" i="2" s="1"/>
  <c r="BC479" i="2"/>
  <c r="BA479" i="2"/>
  <c r="AX479" i="2"/>
  <c r="AW479" i="2"/>
  <c r="AU479" i="2"/>
  <c r="AS479" i="2"/>
  <c r="AP479" i="2"/>
  <c r="AN479" i="2"/>
  <c r="AL479" i="2"/>
  <c r="AJ479" i="2"/>
  <c r="AH479" i="2"/>
  <c r="AF479" i="2"/>
  <c r="AD479" i="2"/>
  <c r="AB479" i="2"/>
  <c r="Z479" i="2"/>
  <c r="X479" i="2"/>
  <c r="U479" i="2"/>
  <c r="S479" i="2"/>
  <c r="Q479" i="2"/>
  <c r="O479" i="2"/>
  <c r="M479" i="2"/>
  <c r="K479" i="2"/>
  <c r="I479" i="2"/>
  <c r="G479" i="2"/>
  <c r="E479" i="2"/>
  <c r="C479" i="2"/>
  <c r="BJ478" i="2"/>
  <c r="BI478" i="2"/>
  <c r="BG478" i="2"/>
  <c r="BD478" i="2"/>
  <c r="BE478" i="2" s="1"/>
  <c r="BC478" i="2"/>
  <c r="BA478" i="2"/>
  <c r="AX478" i="2"/>
  <c r="AW478" i="2"/>
  <c r="AU478" i="2"/>
  <c r="AS478" i="2"/>
  <c r="AP478" i="2"/>
  <c r="AN478" i="2"/>
  <c r="AL478" i="2"/>
  <c r="AJ478" i="2"/>
  <c r="AH478" i="2"/>
  <c r="AF478" i="2"/>
  <c r="AD478" i="2"/>
  <c r="AB478" i="2"/>
  <c r="Z478" i="2"/>
  <c r="X478" i="2"/>
  <c r="U478" i="2"/>
  <c r="S478" i="2"/>
  <c r="Q478" i="2"/>
  <c r="O478" i="2"/>
  <c r="M478" i="2"/>
  <c r="K478" i="2"/>
  <c r="I478" i="2"/>
  <c r="G478" i="2"/>
  <c r="E478" i="2"/>
  <c r="C478" i="2"/>
  <c r="BJ477" i="2"/>
  <c r="BK478" i="2" s="1"/>
  <c r="BI477" i="2"/>
  <c r="BG477" i="2"/>
  <c r="BD477" i="2"/>
  <c r="BC477" i="2"/>
  <c r="BA477" i="2"/>
  <c r="AX477" i="2"/>
  <c r="AW477" i="2"/>
  <c r="AU477" i="2"/>
  <c r="AS477" i="2"/>
  <c r="AP477" i="2"/>
  <c r="AN477" i="2"/>
  <c r="AL477" i="2"/>
  <c r="AJ477" i="2"/>
  <c r="AH477" i="2"/>
  <c r="AF477" i="2"/>
  <c r="AD477" i="2"/>
  <c r="AB477" i="2"/>
  <c r="Z477" i="2"/>
  <c r="X477" i="2"/>
  <c r="U477" i="2"/>
  <c r="S477" i="2"/>
  <c r="Q477" i="2"/>
  <c r="O477" i="2"/>
  <c r="M477" i="2"/>
  <c r="K477" i="2"/>
  <c r="I477" i="2"/>
  <c r="G477" i="2"/>
  <c r="E477" i="2"/>
  <c r="C477" i="2"/>
  <c r="BJ476" i="2"/>
  <c r="BI476" i="2"/>
  <c r="BG476" i="2"/>
  <c r="BD476" i="2"/>
  <c r="BE476" i="2" s="1"/>
  <c r="BC476" i="2"/>
  <c r="BA476" i="2"/>
  <c r="AX476" i="2"/>
  <c r="AW476" i="2"/>
  <c r="AU476" i="2"/>
  <c r="AS476" i="2"/>
  <c r="AP476" i="2"/>
  <c r="AN476" i="2"/>
  <c r="AL476" i="2"/>
  <c r="AJ476" i="2"/>
  <c r="AH476" i="2"/>
  <c r="AF476" i="2"/>
  <c r="AD476" i="2"/>
  <c r="AB476" i="2"/>
  <c r="Z476" i="2"/>
  <c r="X476" i="2"/>
  <c r="U476" i="2"/>
  <c r="S476" i="2"/>
  <c r="Q476" i="2"/>
  <c r="O476" i="2"/>
  <c r="M476" i="2"/>
  <c r="K476" i="2"/>
  <c r="I476" i="2"/>
  <c r="G476" i="2"/>
  <c r="E476" i="2"/>
  <c r="C476" i="2"/>
  <c r="BJ475" i="2"/>
  <c r="BI475" i="2"/>
  <c r="BG475" i="2"/>
  <c r="BD475" i="2"/>
  <c r="BC475" i="2"/>
  <c r="BA475" i="2"/>
  <c r="AY475" i="2"/>
  <c r="AX475" i="2"/>
  <c r="AY476" i="2" s="1"/>
  <c r="AW475" i="2"/>
  <c r="AU475" i="2"/>
  <c r="AS475" i="2"/>
  <c r="AP475" i="2"/>
  <c r="AN475" i="2"/>
  <c r="AL475" i="2"/>
  <c r="AJ475" i="2"/>
  <c r="AH475" i="2"/>
  <c r="AF475" i="2"/>
  <c r="AD475" i="2"/>
  <c r="AB475" i="2"/>
  <c r="Z475" i="2"/>
  <c r="X475" i="2"/>
  <c r="U475" i="2"/>
  <c r="S475" i="2"/>
  <c r="Q475" i="2"/>
  <c r="O475" i="2"/>
  <c r="M475" i="2"/>
  <c r="K475" i="2"/>
  <c r="I475" i="2"/>
  <c r="G475" i="2"/>
  <c r="E475" i="2"/>
  <c r="C475" i="2"/>
  <c r="BJ474" i="2"/>
  <c r="BI474" i="2"/>
  <c r="BG474" i="2"/>
  <c r="BD474" i="2"/>
  <c r="BC474" i="2"/>
  <c r="BA474" i="2"/>
  <c r="AX474" i="2"/>
  <c r="AW474" i="2"/>
  <c r="AU474" i="2"/>
  <c r="AS474" i="2"/>
  <c r="AP474" i="2"/>
  <c r="AN474" i="2"/>
  <c r="AL474" i="2"/>
  <c r="AJ474" i="2"/>
  <c r="AH474" i="2"/>
  <c r="AF474" i="2"/>
  <c r="AD474" i="2"/>
  <c r="AB474" i="2"/>
  <c r="Z474" i="2"/>
  <c r="X474" i="2"/>
  <c r="U474" i="2"/>
  <c r="S474" i="2"/>
  <c r="Q474" i="2"/>
  <c r="O474" i="2"/>
  <c r="M474" i="2"/>
  <c r="K474" i="2"/>
  <c r="I474" i="2"/>
  <c r="G474" i="2"/>
  <c r="E474" i="2"/>
  <c r="C474" i="2"/>
  <c r="BJ473" i="2"/>
  <c r="BI473" i="2"/>
  <c r="BG473" i="2"/>
  <c r="BD473" i="2"/>
  <c r="BC473" i="2"/>
  <c r="BA473" i="2"/>
  <c r="AX473" i="2"/>
  <c r="AY474" i="2" s="1"/>
  <c r="AW473" i="2"/>
  <c r="AU473" i="2"/>
  <c r="AS473" i="2"/>
  <c r="AP473" i="2"/>
  <c r="AN473" i="2"/>
  <c r="AL473" i="2"/>
  <c r="AJ473" i="2"/>
  <c r="AH473" i="2"/>
  <c r="AF473" i="2"/>
  <c r="AD473" i="2"/>
  <c r="AB473" i="2"/>
  <c r="Z473" i="2"/>
  <c r="X473" i="2"/>
  <c r="U473" i="2"/>
  <c r="S473" i="2"/>
  <c r="Q473" i="2"/>
  <c r="O473" i="2"/>
  <c r="M473" i="2"/>
  <c r="K473" i="2"/>
  <c r="I473" i="2"/>
  <c r="G473" i="2"/>
  <c r="E473" i="2"/>
  <c r="C473" i="2"/>
  <c r="BJ472" i="2"/>
  <c r="BI472" i="2"/>
  <c r="BG472" i="2"/>
  <c r="BD472" i="2"/>
  <c r="BE473" i="2" s="1"/>
  <c r="BC472" i="2"/>
  <c r="BA472" i="2"/>
  <c r="AX472" i="2"/>
  <c r="AW472" i="2"/>
  <c r="AU472" i="2"/>
  <c r="AS472" i="2"/>
  <c r="AP472" i="2"/>
  <c r="AN472" i="2"/>
  <c r="AL472" i="2"/>
  <c r="AJ472" i="2"/>
  <c r="AH472" i="2"/>
  <c r="AF472" i="2"/>
  <c r="AD472" i="2"/>
  <c r="AB472" i="2"/>
  <c r="Z472" i="2"/>
  <c r="X472" i="2"/>
  <c r="U472" i="2"/>
  <c r="S472" i="2"/>
  <c r="Q472" i="2"/>
  <c r="O472" i="2"/>
  <c r="M472" i="2"/>
  <c r="K472" i="2"/>
  <c r="I472" i="2"/>
  <c r="G472" i="2"/>
  <c r="E472" i="2"/>
  <c r="C472" i="2"/>
  <c r="BJ471" i="2"/>
  <c r="BI471" i="2"/>
  <c r="BG471" i="2"/>
  <c r="BD471" i="2"/>
  <c r="BC471" i="2"/>
  <c r="BA471" i="2"/>
  <c r="AY471" i="2"/>
  <c r="AX471" i="2"/>
  <c r="AY472" i="2" s="1"/>
  <c r="AW471" i="2"/>
  <c r="AU471" i="2"/>
  <c r="AS471" i="2"/>
  <c r="AP471" i="2"/>
  <c r="AN471" i="2"/>
  <c r="AL471" i="2"/>
  <c r="AJ471" i="2"/>
  <c r="AH471" i="2"/>
  <c r="AF471" i="2"/>
  <c r="AD471" i="2"/>
  <c r="AB471" i="2"/>
  <c r="Z471" i="2"/>
  <c r="X471" i="2"/>
  <c r="U471" i="2"/>
  <c r="S471" i="2"/>
  <c r="Q471" i="2"/>
  <c r="O471" i="2"/>
  <c r="M471" i="2"/>
  <c r="K471" i="2"/>
  <c r="I471" i="2"/>
  <c r="G471" i="2"/>
  <c r="E471" i="2"/>
  <c r="C471" i="2"/>
  <c r="BJ470" i="2"/>
  <c r="BI470" i="2"/>
  <c r="BG470" i="2"/>
  <c r="BD470" i="2"/>
  <c r="BC470" i="2"/>
  <c r="BA470" i="2"/>
  <c r="AX470" i="2"/>
  <c r="AW470" i="2"/>
  <c r="AU470" i="2"/>
  <c r="AS470" i="2"/>
  <c r="AP470" i="2"/>
  <c r="AN470" i="2"/>
  <c r="AL470" i="2"/>
  <c r="AJ470" i="2"/>
  <c r="AH470" i="2"/>
  <c r="AF470" i="2"/>
  <c r="AD470" i="2"/>
  <c r="AB470" i="2"/>
  <c r="Z470" i="2"/>
  <c r="X470" i="2"/>
  <c r="U470" i="2"/>
  <c r="S470" i="2"/>
  <c r="Q470" i="2"/>
  <c r="O470" i="2"/>
  <c r="M470" i="2"/>
  <c r="K470" i="2"/>
  <c r="I470" i="2"/>
  <c r="G470" i="2"/>
  <c r="E470" i="2"/>
  <c r="C470" i="2"/>
  <c r="BJ469" i="2"/>
  <c r="BI469" i="2"/>
  <c r="BG469" i="2"/>
  <c r="BD469" i="2"/>
  <c r="BC469" i="2"/>
  <c r="BA469" i="2"/>
  <c r="AX469" i="2"/>
  <c r="AW469" i="2"/>
  <c r="AU469" i="2"/>
  <c r="AS469" i="2"/>
  <c r="AP469" i="2"/>
  <c r="AN469" i="2"/>
  <c r="AL469" i="2"/>
  <c r="AJ469" i="2"/>
  <c r="AH469" i="2"/>
  <c r="AF469" i="2"/>
  <c r="AD469" i="2"/>
  <c r="AB469" i="2"/>
  <c r="Z469" i="2"/>
  <c r="X469" i="2"/>
  <c r="U469" i="2"/>
  <c r="S469" i="2"/>
  <c r="Q469" i="2"/>
  <c r="O469" i="2"/>
  <c r="M469" i="2"/>
  <c r="K469" i="2"/>
  <c r="I469" i="2"/>
  <c r="G469" i="2"/>
  <c r="E469" i="2"/>
  <c r="C469" i="2"/>
  <c r="BJ468" i="2"/>
  <c r="BI468" i="2"/>
  <c r="BG468" i="2"/>
  <c r="BD468" i="2"/>
  <c r="BC468" i="2"/>
  <c r="BA468" i="2"/>
  <c r="AX468" i="2"/>
  <c r="AW468" i="2"/>
  <c r="AU468" i="2"/>
  <c r="AS468" i="2"/>
  <c r="AP468" i="2"/>
  <c r="AN468" i="2"/>
  <c r="AL468" i="2"/>
  <c r="AJ468" i="2"/>
  <c r="AH468" i="2"/>
  <c r="AF468" i="2"/>
  <c r="AD468" i="2"/>
  <c r="AB468" i="2"/>
  <c r="Z468" i="2"/>
  <c r="X468" i="2"/>
  <c r="U468" i="2"/>
  <c r="S468" i="2"/>
  <c r="Q468" i="2"/>
  <c r="O468" i="2"/>
  <c r="M468" i="2"/>
  <c r="K468" i="2"/>
  <c r="I468" i="2"/>
  <c r="G468" i="2"/>
  <c r="E468" i="2"/>
  <c r="C468" i="2"/>
  <c r="BJ467" i="2"/>
  <c r="BI467" i="2"/>
  <c r="BG467" i="2"/>
  <c r="BD467" i="2"/>
  <c r="BC467" i="2"/>
  <c r="BA467" i="2"/>
  <c r="AX467" i="2"/>
  <c r="AW467" i="2"/>
  <c r="AU467" i="2"/>
  <c r="AS467" i="2"/>
  <c r="AP467" i="2"/>
  <c r="AN467" i="2"/>
  <c r="AL467" i="2"/>
  <c r="AJ467" i="2"/>
  <c r="AH467" i="2"/>
  <c r="AF467" i="2"/>
  <c r="AD467" i="2"/>
  <c r="AB467" i="2"/>
  <c r="Z467" i="2"/>
  <c r="X467" i="2"/>
  <c r="U467" i="2"/>
  <c r="S467" i="2"/>
  <c r="Q467" i="2"/>
  <c r="O467" i="2"/>
  <c r="M467" i="2"/>
  <c r="K467" i="2"/>
  <c r="I467" i="2"/>
  <c r="G467" i="2"/>
  <c r="E467" i="2"/>
  <c r="C467" i="2"/>
  <c r="BJ466" i="2"/>
  <c r="BI466" i="2"/>
  <c r="BG466" i="2"/>
  <c r="BE466" i="2"/>
  <c r="BD466" i="2"/>
  <c r="BC466" i="2"/>
  <c r="BA466" i="2"/>
  <c r="AX466" i="2"/>
  <c r="AW466" i="2"/>
  <c r="AU466" i="2"/>
  <c r="AS466" i="2"/>
  <c r="AP466" i="2"/>
  <c r="AN466" i="2"/>
  <c r="AL466" i="2"/>
  <c r="AJ466" i="2"/>
  <c r="AH466" i="2"/>
  <c r="AF466" i="2"/>
  <c r="AD466" i="2"/>
  <c r="AB466" i="2"/>
  <c r="Z466" i="2"/>
  <c r="X466" i="2"/>
  <c r="U466" i="2"/>
  <c r="S466" i="2"/>
  <c r="Q466" i="2"/>
  <c r="O466" i="2"/>
  <c r="M466" i="2"/>
  <c r="K466" i="2"/>
  <c r="I466" i="2"/>
  <c r="G466" i="2"/>
  <c r="E466" i="2"/>
  <c r="C466" i="2"/>
  <c r="BJ465" i="2"/>
  <c r="BI465" i="2"/>
  <c r="BG465" i="2"/>
  <c r="BD465" i="2"/>
  <c r="BC465" i="2"/>
  <c r="BA465" i="2"/>
  <c r="AX465" i="2"/>
  <c r="AY466" i="2" s="1"/>
  <c r="AW465" i="2"/>
  <c r="AU465" i="2"/>
  <c r="AS465" i="2"/>
  <c r="AP465" i="2"/>
  <c r="AN465" i="2"/>
  <c r="AL465" i="2"/>
  <c r="AJ465" i="2"/>
  <c r="AH465" i="2"/>
  <c r="AF465" i="2"/>
  <c r="AD465" i="2"/>
  <c r="AB465" i="2"/>
  <c r="Z465" i="2"/>
  <c r="X465" i="2"/>
  <c r="U465" i="2"/>
  <c r="S465" i="2"/>
  <c r="Q465" i="2"/>
  <c r="O465" i="2"/>
  <c r="M465" i="2"/>
  <c r="K465" i="2"/>
  <c r="I465" i="2"/>
  <c r="G465" i="2"/>
  <c r="E465" i="2"/>
  <c r="C465" i="2"/>
  <c r="BJ464" i="2"/>
  <c r="BK464" i="2" s="1"/>
  <c r="BI464" i="2"/>
  <c r="BG464" i="2"/>
  <c r="BD464" i="2"/>
  <c r="BE465" i="2" s="1"/>
  <c r="BC464" i="2"/>
  <c r="BA464" i="2"/>
  <c r="AX464" i="2"/>
  <c r="AW464" i="2"/>
  <c r="AU464" i="2"/>
  <c r="AS464" i="2"/>
  <c r="AP464" i="2"/>
  <c r="AN464" i="2"/>
  <c r="AL464" i="2"/>
  <c r="AJ464" i="2"/>
  <c r="AH464" i="2"/>
  <c r="AF464" i="2"/>
  <c r="AD464" i="2"/>
  <c r="AB464" i="2"/>
  <c r="Z464" i="2"/>
  <c r="X464" i="2"/>
  <c r="U464" i="2"/>
  <c r="S464" i="2"/>
  <c r="Q464" i="2"/>
  <c r="O464" i="2"/>
  <c r="M464" i="2"/>
  <c r="K464" i="2"/>
  <c r="I464" i="2"/>
  <c r="G464" i="2"/>
  <c r="E464" i="2"/>
  <c r="C464" i="2"/>
  <c r="BJ463" i="2"/>
  <c r="BI463" i="2"/>
  <c r="BG463" i="2"/>
  <c r="BD463" i="2"/>
  <c r="BC463" i="2"/>
  <c r="BA463" i="2"/>
  <c r="AX463" i="2"/>
  <c r="AW463" i="2"/>
  <c r="AU463" i="2"/>
  <c r="AS463" i="2"/>
  <c r="AP463" i="2"/>
  <c r="AN463" i="2"/>
  <c r="AL463" i="2"/>
  <c r="AJ463" i="2"/>
  <c r="AH463" i="2"/>
  <c r="AF463" i="2"/>
  <c r="AD463" i="2"/>
  <c r="AB463" i="2"/>
  <c r="Z463" i="2"/>
  <c r="X463" i="2"/>
  <c r="U463" i="2"/>
  <c r="S463" i="2"/>
  <c r="Q463" i="2"/>
  <c r="O463" i="2"/>
  <c r="M463" i="2"/>
  <c r="K463" i="2"/>
  <c r="I463" i="2"/>
  <c r="G463" i="2"/>
  <c r="E463" i="2"/>
  <c r="C463" i="2"/>
  <c r="BJ462" i="2"/>
  <c r="BI462" i="2"/>
  <c r="BG462" i="2"/>
  <c r="BD462" i="2"/>
  <c r="BE463" i="2" s="1"/>
  <c r="BC462" i="2"/>
  <c r="BA462" i="2"/>
  <c r="AX462" i="2"/>
  <c r="AW462" i="2"/>
  <c r="AU462" i="2"/>
  <c r="AS462" i="2"/>
  <c r="AP462" i="2"/>
  <c r="AN462" i="2"/>
  <c r="AL462" i="2"/>
  <c r="AJ462" i="2"/>
  <c r="AH462" i="2"/>
  <c r="AF462" i="2"/>
  <c r="AD462" i="2"/>
  <c r="AB462" i="2"/>
  <c r="Z462" i="2"/>
  <c r="X462" i="2"/>
  <c r="U462" i="2"/>
  <c r="S462" i="2"/>
  <c r="Q462" i="2"/>
  <c r="O462" i="2"/>
  <c r="M462" i="2"/>
  <c r="K462" i="2"/>
  <c r="I462" i="2"/>
  <c r="G462" i="2"/>
  <c r="E462" i="2"/>
  <c r="C462" i="2"/>
  <c r="BJ461" i="2"/>
  <c r="BI461" i="2"/>
  <c r="BG461" i="2"/>
  <c r="BD461" i="2"/>
  <c r="BC461" i="2"/>
  <c r="BA461" i="2"/>
  <c r="AX461" i="2"/>
  <c r="AW461" i="2"/>
  <c r="AU461" i="2"/>
  <c r="AS461" i="2"/>
  <c r="AP461" i="2"/>
  <c r="AN461" i="2"/>
  <c r="AL461" i="2"/>
  <c r="AJ461" i="2"/>
  <c r="AH461" i="2"/>
  <c r="AF461" i="2"/>
  <c r="AD461" i="2"/>
  <c r="AB461" i="2"/>
  <c r="Z461" i="2"/>
  <c r="X461" i="2"/>
  <c r="U461" i="2"/>
  <c r="S461" i="2"/>
  <c r="Q461" i="2"/>
  <c r="O461" i="2"/>
  <c r="M461" i="2"/>
  <c r="K461" i="2"/>
  <c r="I461" i="2"/>
  <c r="G461" i="2"/>
  <c r="E461" i="2"/>
  <c r="C461" i="2"/>
  <c r="BJ460" i="2"/>
  <c r="BI460" i="2"/>
  <c r="BG460" i="2"/>
  <c r="BD460" i="2"/>
  <c r="BE461" i="2" s="1"/>
  <c r="BC460" i="2"/>
  <c r="BA460" i="2"/>
  <c r="AX460" i="2"/>
  <c r="AW460" i="2"/>
  <c r="AU460" i="2"/>
  <c r="AS460" i="2"/>
  <c r="AP460" i="2"/>
  <c r="AN460" i="2"/>
  <c r="AL460" i="2"/>
  <c r="AJ460" i="2"/>
  <c r="AH460" i="2"/>
  <c r="AF460" i="2"/>
  <c r="AD460" i="2"/>
  <c r="AB460" i="2"/>
  <c r="Z460" i="2"/>
  <c r="X460" i="2"/>
  <c r="U460" i="2"/>
  <c r="S460" i="2"/>
  <c r="Q460" i="2"/>
  <c r="O460" i="2"/>
  <c r="M460" i="2"/>
  <c r="K460" i="2"/>
  <c r="I460" i="2"/>
  <c r="G460" i="2"/>
  <c r="E460" i="2"/>
  <c r="C460" i="2"/>
  <c r="BJ459" i="2"/>
  <c r="BI459" i="2"/>
  <c r="BG459" i="2"/>
  <c r="BD459" i="2"/>
  <c r="BC459" i="2"/>
  <c r="BA459" i="2"/>
  <c r="AX459" i="2"/>
  <c r="AW459" i="2"/>
  <c r="AU459" i="2"/>
  <c r="AS459" i="2"/>
  <c r="AP459" i="2"/>
  <c r="AN459" i="2"/>
  <c r="AL459" i="2"/>
  <c r="AJ459" i="2"/>
  <c r="AH459" i="2"/>
  <c r="AF459" i="2"/>
  <c r="AD459" i="2"/>
  <c r="AB459" i="2"/>
  <c r="Z459" i="2"/>
  <c r="X459" i="2"/>
  <c r="U459" i="2"/>
  <c r="S459" i="2"/>
  <c r="Q459" i="2"/>
  <c r="O459" i="2"/>
  <c r="M459" i="2"/>
  <c r="K459" i="2"/>
  <c r="I459" i="2"/>
  <c r="G459" i="2"/>
  <c r="E459" i="2"/>
  <c r="C459" i="2"/>
  <c r="BJ458" i="2"/>
  <c r="BI458" i="2"/>
  <c r="BG458" i="2"/>
  <c r="BD458" i="2"/>
  <c r="BC458" i="2"/>
  <c r="BA458" i="2"/>
  <c r="AX458" i="2"/>
  <c r="AW458" i="2"/>
  <c r="AU458" i="2"/>
  <c r="AS458" i="2"/>
  <c r="AP458" i="2"/>
  <c r="AN458" i="2"/>
  <c r="AL458" i="2"/>
  <c r="AJ458" i="2"/>
  <c r="AH458" i="2"/>
  <c r="AF458" i="2"/>
  <c r="AD458" i="2"/>
  <c r="AB458" i="2"/>
  <c r="Z458" i="2"/>
  <c r="X458" i="2"/>
  <c r="U458" i="2"/>
  <c r="S458" i="2"/>
  <c r="Q458" i="2"/>
  <c r="O458" i="2"/>
  <c r="M458" i="2"/>
  <c r="K458" i="2"/>
  <c r="I458" i="2"/>
  <c r="G458" i="2"/>
  <c r="E458" i="2"/>
  <c r="C458" i="2"/>
  <c r="BJ457" i="2"/>
  <c r="BI457" i="2"/>
  <c r="BG457" i="2"/>
  <c r="BD457" i="2"/>
  <c r="BE458" i="2" s="1"/>
  <c r="BC457" i="2"/>
  <c r="BA457" i="2"/>
  <c r="AX457" i="2"/>
  <c r="AW457" i="2"/>
  <c r="AU457" i="2"/>
  <c r="AS457" i="2"/>
  <c r="AP457" i="2"/>
  <c r="AN457" i="2"/>
  <c r="AL457" i="2"/>
  <c r="AJ457" i="2"/>
  <c r="AH457" i="2"/>
  <c r="AF457" i="2"/>
  <c r="AD457" i="2"/>
  <c r="AB457" i="2"/>
  <c r="Z457" i="2"/>
  <c r="X457" i="2"/>
  <c r="U457" i="2"/>
  <c r="S457" i="2"/>
  <c r="Q457" i="2"/>
  <c r="O457" i="2"/>
  <c r="M457" i="2"/>
  <c r="K457" i="2"/>
  <c r="I457" i="2"/>
  <c r="G457" i="2"/>
  <c r="E457" i="2"/>
  <c r="C457" i="2"/>
  <c r="BK456" i="2"/>
  <c r="BJ456" i="2"/>
  <c r="BI456" i="2"/>
  <c r="BG456" i="2"/>
  <c r="BD456" i="2"/>
  <c r="BC456" i="2"/>
  <c r="BA456" i="2"/>
  <c r="AX456" i="2"/>
  <c r="AW456" i="2"/>
  <c r="AU456" i="2"/>
  <c r="AS456" i="2"/>
  <c r="AP456" i="2"/>
  <c r="AN456" i="2"/>
  <c r="AL456" i="2"/>
  <c r="AJ456" i="2"/>
  <c r="AH456" i="2"/>
  <c r="AF456" i="2"/>
  <c r="AD456" i="2"/>
  <c r="AB456" i="2"/>
  <c r="Z456" i="2"/>
  <c r="X456" i="2"/>
  <c r="U456" i="2"/>
  <c r="S456" i="2"/>
  <c r="Q456" i="2"/>
  <c r="O456" i="2"/>
  <c r="M456" i="2"/>
  <c r="K456" i="2"/>
  <c r="I456" i="2"/>
  <c r="G456" i="2"/>
  <c r="E456" i="2"/>
  <c r="C456" i="2"/>
  <c r="BJ455" i="2"/>
  <c r="BI455" i="2"/>
  <c r="BG455" i="2"/>
  <c r="BD455" i="2"/>
  <c r="BC455" i="2"/>
  <c r="BA455" i="2"/>
  <c r="AX455" i="2"/>
  <c r="AY456" i="2" s="1"/>
  <c r="AW455" i="2"/>
  <c r="AU455" i="2"/>
  <c r="AS455" i="2"/>
  <c r="AP455" i="2"/>
  <c r="AN455" i="2"/>
  <c r="AL455" i="2"/>
  <c r="AJ455" i="2"/>
  <c r="AH455" i="2"/>
  <c r="AF455" i="2"/>
  <c r="AD455" i="2"/>
  <c r="AB455" i="2"/>
  <c r="Z455" i="2"/>
  <c r="X455" i="2"/>
  <c r="U455" i="2"/>
  <c r="S455" i="2"/>
  <c r="Q455" i="2"/>
  <c r="O455" i="2"/>
  <c r="M455" i="2"/>
  <c r="K455" i="2"/>
  <c r="I455" i="2"/>
  <c r="G455" i="2"/>
  <c r="E455" i="2"/>
  <c r="C455" i="2"/>
  <c r="BJ454" i="2"/>
  <c r="BI454" i="2"/>
  <c r="BG454" i="2"/>
  <c r="BD454" i="2"/>
  <c r="BE455" i="2" s="1"/>
  <c r="BC454" i="2"/>
  <c r="BA454" i="2"/>
  <c r="AX454" i="2"/>
  <c r="AY454" i="2" s="1"/>
  <c r="AW454" i="2"/>
  <c r="AU454" i="2"/>
  <c r="AS454" i="2"/>
  <c r="AP454" i="2"/>
  <c r="AN454" i="2"/>
  <c r="AL454" i="2"/>
  <c r="AJ454" i="2"/>
  <c r="AH454" i="2"/>
  <c r="AF454" i="2"/>
  <c r="AD454" i="2"/>
  <c r="AB454" i="2"/>
  <c r="Z454" i="2"/>
  <c r="X454" i="2"/>
  <c r="U454" i="2"/>
  <c r="S454" i="2"/>
  <c r="Q454" i="2"/>
  <c r="O454" i="2"/>
  <c r="M454" i="2"/>
  <c r="K454" i="2"/>
  <c r="I454" i="2"/>
  <c r="G454" i="2"/>
  <c r="E454" i="2"/>
  <c r="C454" i="2"/>
  <c r="BJ453" i="2"/>
  <c r="BK453" i="2" s="1"/>
  <c r="BI453" i="2"/>
  <c r="BG453" i="2"/>
  <c r="BD453" i="2"/>
  <c r="BC453" i="2"/>
  <c r="BA453" i="2"/>
  <c r="AX453" i="2"/>
  <c r="AW453" i="2"/>
  <c r="AU453" i="2"/>
  <c r="AS453" i="2"/>
  <c r="AP453" i="2"/>
  <c r="AN453" i="2"/>
  <c r="AL453" i="2"/>
  <c r="AJ453" i="2"/>
  <c r="AH453" i="2"/>
  <c r="AF453" i="2"/>
  <c r="AD453" i="2"/>
  <c r="AB453" i="2"/>
  <c r="Z453" i="2"/>
  <c r="X453" i="2"/>
  <c r="U453" i="2"/>
  <c r="S453" i="2"/>
  <c r="Q453" i="2"/>
  <c r="O453" i="2"/>
  <c r="M453" i="2"/>
  <c r="K453" i="2"/>
  <c r="I453" i="2"/>
  <c r="G453" i="2"/>
  <c r="E453" i="2"/>
  <c r="C453" i="2"/>
  <c r="BJ452" i="2"/>
  <c r="BI452" i="2"/>
  <c r="BG452" i="2"/>
  <c r="BD452" i="2"/>
  <c r="BC452" i="2"/>
  <c r="BA452" i="2"/>
  <c r="AX452" i="2"/>
  <c r="AY452" i="2" s="1"/>
  <c r="AW452" i="2"/>
  <c r="AU452" i="2"/>
  <c r="AS452" i="2"/>
  <c r="AP452" i="2"/>
  <c r="AN452" i="2"/>
  <c r="AL452" i="2"/>
  <c r="AJ452" i="2"/>
  <c r="AH452" i="2"/>
  <c r="AF452" i="2"/>
  <c r="AD452" i="2"/>
  <c r="AB452" i="2"/>
  <c r="Z452" i="2"/>
  <c r="X452" i="2"/>
  <c r="U452" i="2"/>
  <c r="S452" i="2"/>
  <c r="Q452" i="2"/>
  <c r="O452" i="2"/>
  <c r="M452" i="2"/>
  <c r="K452" i="2"/>
  <c r="I452" i="2"/>
  <c r="G452" i="2"/>
  <c r="E452" i="2"/>
  <c r="C452" i="2"/>
  <c r="BJ451" i="2"/>
  <c r="BK451" i="2" s="1"/>
  <c r="BI451" i="2"/>
  <c r="BG451" i="2"/>
  <c r="BD451" i="2"/>
  <c r="BC451" i="2"/>
  <c r="BA451" i="2"/>
  <c r="AY451" i="2"/>
  <c r="AX451" i="2"/>
  <c r="AW451" i="2"/>
  <c r="AU451" i="2"/>
  <c r="AS451" i="2"/>
  <c r="AP451" i="2"/>
  <c r="AN451" i="2"/>
  <c r="AL451" i="2"/>
  <c r="AJ451" i="2"/>
  <c r="AH451" i="2"/>
  <c r="AF451" i="2"/>
  <c r="AD451" i="2"/>
  <c r="AB451" i="2"/>
  <c r="Z451" i="2"/>
  <c r="X451" i="2"/>
  <c r="U451" i="2"/>
  <c r="S451" i="2"/>
  <c r="Q451" i="2"/>
  <c r="O451" i="2"/>
  <c r="M451" i="2"/>
  <c r="K451" i="2"/>
  <c r="I451" i="2"/>
  <c r="G451" i="2"/>
  <c r="E451" i="2"/>
  <c r="C451" i="2"/>
  <c r="BJ450" i="2"/>
  <c r="BI450" i="2"/>
  <c r="BG450" i="2"/>
  <c r="BD450" i="2"/>
  <c r="BE451" i="2" s="1"/>
  <c r="BC450" i="2"/>
  <c r="BA450" i="2"/>
  <c r="AX450" i="2"/>
  <c r="AW450" i="2"/>
  <c r="AU450" i="2"/>
  <c r="AS450" i="2"/>
  <c r="AP450" i="2"/>
  <c r="AN450" i="2"/>
  <c r="AL450" i="2"/>
  <c r="AJ450" i="2"/>
  <c r="AH450" i="2"/>
  <c r="AF450" i="2"/>
  <c r="AD450" i="2"/>
  <c r="AB450" i="2"/>
  <c r="Z450" i="2"/>
  <c r="X450" i="2"/>
  <c r="U450" i="2"/>
  <c r="S450" i="2"/>
  <c r="Q450" i="2"/>
  <c r="O450" i="2"/>
  <c r="M450" i="2"/>
  <c r="K450" i="2"/>
  <c r="I450" i="2"/>
  <c r="G450" i="2"/>
  <c r="E450" i="2"/>
  <c r="C450" i="2"/>
  <c r="BJ449" i="2"/>
  <c r="BK449" i="2" s="1"/>
  <c r="BI449" i="2"/>
  <c r="BG449" i="2"/>
  <c r="BD449" i="2"/>
  <c r="BC449" i="2"/>
  <c r="BA449" i="2"/>
  <c r="AX449" i="2"/>
  <c r="AY450" i="2" s="1"/>
  <c r="AW449" i="2"/>
  <c r="AU449" i="2"/>
  <c r="AS449" i="2"/>
  <c r="AP449" i="2"/>
  <c r="AN449" i="2"/>
  <c r="AL449" i="2"/>
  <c r="AJ449" i="2"/>
  <c r="AH449" i="2"/>
  <c r="AF449" i="2"/>
  <c r="AD449" i="2"/>
  <c r="AB449" i="2"/>
  <c r="Z449" i="2"/>
  <c r="X449" i="2"/>
  <c r="U449" i="2"/>
  <c r="S449" i="2"/>
  <c r="Q449" i="2"/>
  <c r="O449" i="2"/>
  <c r="M449" i="2"/>
  <c r="K449" i="2"/>
  <c r="I449" i="2"/>
  <c r="G449" i="2"/>
  <c r="E449" i="2"/>
  <c r="C449" i="2"/>
  <c r="BJ448" i="2"/>
  <c r="BK448" i="2" s="1"/>
  <c r="BI448" i="2"/>
  <c r="BG448" i="2"/>
  <c r="BD448" i="2"/>
  <c r="BC448" i="2"/>
  <c r="BA448" i="2"/>
  <c r="AX448" i="2"/>
  <c r="AW448" i="2"/>
  <c r="AU448" i="2"/>
  <c r="AS448" i="2"/>
  <c r="AP448" i="2"/>
  <c r="AN448" i="2"/>
  <c r="AL448" i="2"/>
  <c r="AJ448" i="2"/>
  <c r="AH448" i="2"/>
  <c r="AF448" i="2"/>
  <c r="AD448" i="2"/>
  <c r="AB448" i="2"/>
  <c r="Z448" i="2"/>
  <c r="X448" i="2"/>
  <c r="U448" i="2"/>
  <c r="S448" i="2"/>
  <c r="Q448" i="2"/>
  <c r="O448" i="2"/>
  <c r="M448" i="2"/>
  <c r="K448" i="2"/>
  <c r="I448" i="2"/>
  <c r="G448" i="2"/>
  <c r="E448" i="2"/>
  <c r="C448" i="2"/>
  <c r="BJ447" i="2"/>
  <c r="BI447" i="2"/>
  <c r="BG447" i="2"/>
  <c r="BD447" i="2"/>
  <c r="BC447" i="2"/>
  <c r="BA447" i="2"/>
  <c r="AX447" i="2"/>
  <c r="AY448" i="2" s="1"/>
  <c r="AW447" i="2"/>
  <c r="AU447" i="2"/>
  <c r="AS447" i="2"/>
  <c r="AP447" i="2"/>
  <c r="AN447" i="2"/>
  <c r="AL447" i="2"/>
  <c r="AJ447" i="2"/>
  <c r="AH447" i="2"/>
  <c r="AF447" i="2"/>
  <c r="AD447" i="2"/>
  <c r="AB447" i="2"/>
  <c r="Z447" i="2"/>
  <c r="X447" i="2"/>
  <c r="U447" i="2"/>
  <c r="S447" i="2"/>
  <c r="Q447" i="2"/>
  <c r="O447" i="2"/>
  <c r="M447" i="2"/>
  <c r="K447" i="2"/>
  <c r="I447" i="2"/>
  <c r="G447" i="2"/>
  <c r="E447" i="2"/>
  <c r="C447" i="2"/>
  <c r="BJ446" i="2"/>
  <c r="BK446" i="2" s="1"/>
  <c r="BI446" i="2"/>
  <c r="BG446" i="2"/>
  <c r="BD446" i="2"/>
  <c r="BC446" i="2"/>
  <c r="BA446" i="2"/>
  <c r="AX446" i="2"/>
  <c r="AW446" i="2"/>
  <c r="AU446" i="2"/>
  <c r="AS446" i="2"/>
  <c r="AP446" i="2"/>
  <c r="AN446" i="2"/>
  <c r="AL446" i="2"/>
  <c r="AJ446" i="2"/>
  <c r="AH446" i="2"/>
  <c r="AF446" i="2"/>
  <c r="AD446" i="2"/>
  <c r="AB446" i="2"/>
  <c r="Z446" i="2"/>
  <c r="X446" i="2"/>
  <c r="U446" i="2"/>
  <c r="S446" i="2"/>
  <c r="Q446" i="2"/>
  <c r="O446" i="2"/>
  <c r="M446" i="2"/>
  <c r="K446" i="2"/>
  <c r="I446" i="2"/>
  <c r="G446" i="2"/>
  <c r="E446" i="2"/>
  <c r="C446" i="2"/>
  <c r="BJ445" i="2"/>
  <c r="BI445" i="2"/>
  <c r="BG445" i="2"/>
  <c r="BD445" i="2"/>
  <c r="BC445" i="2"/>
  <c r="BA445" i="2"/>
  <c r="AX445" i="2"/>
  <c r="AW445" i="2"/>
  <c r="AU445" i="2"/>
  <c r="AS445" i="2"/>
  <c r="AP445" i="2"/>
  <c r="AN445" i="2"/>
  <c r="AL445" i="2"/>
  <c r="AJ445" i="2"/>
  <c r="AH445" i="2"/>
  <c r="AF445" i="2"/>
  <c r="AD445" i="2"/>
  <c r="AB445" i="2"/>
  <c r="Z445" i="2"/>
  <c r="X445" i="2"/>
  <c r="U445" i="2"/>
  <c r="S445" i="2"/>
  <c r="Q445" i="2"/>
  <c r="O445" i="2"/>
  <c r="M445" i="2"/>
  <c r="K445" i="2"/>
  <c r="I445" i="2"/>
  <c r="G445" i="2"/>
  <c r="E445" i="2"/>
  <c r="C445" i="2"/>
  <c r="BJ444" i="2"/>
  <c r="BK444" i="2" s="1"/>
  <c r="BI444" i="2"/>
  <c r="BG444" i="2"/>
  <c r="BD444" i="2"/>
  <c r="BE444" i="2" s="1"/>
  <c r="BC444" i="2"/>
  <c r="BA444" i="2"/>
  <c r="AX444" i="2"/>
  <c r="AW444" i="2"/>
  <c r="AU444" i="2"/>
  <c r="AS444" i="2"/>
  <c r="AP444" i="2"/>
  <c r="AN444" i="2"/>
  <c r="AL444" i="2"/>
  <c r="AJ444" i="2"/>
  <c r="AH444" i="2"/>
  <c r="AF444" i="2"/>
  <c r="AD444" i="2"/>
  <c r="AB444" i="2"/>
  <c r="Z444" i="2"/>
  <c r="X444" i="2"/>
  <c r="U444" i="2"/>
  <c r="S444" i="2"/>
  <c r="Q444" i="2"/>
  <c r="O444" i="2"/>
  <c r="M444" i="2"/>
  <c r="K444" i="2"/>
  <c r="I444" i="2"/>
  <c r="G444" i="2"/>
  <c r="E444" i="2"/>
  <c r="C444" i="2"/>
  <c r="BJ443" i="2"/>
  <c r="BI443" i="2"/>
  <c r="BG443" i="2"/>
  <c r="BE443" i="2"/>
  <c r="BD443" i="2"/>
  <c r="BC443" i="2"/>
  <c r="BA443" i="2"/>
  <c r="AX443" i="2"/>
  <c r="AW443" i="2"/>
  <c r="AU443" i="2"/>
  <c r="AS443" i="2"/>
  <c r="AP443" i="2"/>
  <c r="AN443" i="2"/>
  <c r="AL443" i="2"/>
  <c r="AJ443" i="2"/>
  <c r="AH443" i="2"/>
  <c r="AF443" i="2"/>
  <c r="AD443" i="2"/>
  <c r="AB443" i="2"/>
  <c r="Z443" i="2"/>
  <c r="X443" i="2"/>
  <c r="U443" i="2"/>
  <c r="S443" i="2"/>
  <c r="Q443" i="2"/>
  <c r="O443" i="2"/>
  <c r="M443" i="2"/>
  <c r="K443" i="2"/>
  <c r="I443" i="2"/>
  <c r="G443" i="2"/>
  <c r="E443" i="2"/>
  <c r="C443" i="2"/>
  <c r="BJ442" i="2"/>
  <c r="BI442" i="2"/>
  <c r="BG442" i="2"/>
  <c r="BD442" i="2"/>
  <c r="BC442" i="2"/>
  <c r="BA442" i="2"/>
  <c r="AX442" i="2"/>
  <c r="AW442" i="2"/>
  <c r="AU442" i="2"/>
  <c r="AS442" i="2"/>
  <c r="AP442" i="2"/>
  <c r="AN442" i="2"/>
  <c r="AL442" i="2"/>
  <c r="AJ442" i="2"/>
  <c r="AH442" i="2"/>
  <c r="AF442" i="2"/>
  <c r="AD442" i="2"/>
  <c r="AB442" i="2"/>
  <c r="Z442" i="2"/>
  <c r="X442" i="2"/>
  <c r="U442" i="2"/>
  <c r="S442" i="2"/>
  <c r="Q442" i="2"/>
  <c r="O442" i="2"/>
  <c r="M442" i="2"/>
  <c r="K442" i="2"/>
  <c r="I442" i="2"/>
  <c r="G442" i="2"/>
  <c r="E442" i="2"/>
  <c r="C442" i="2"/>
  <c r="BJ441" i="2"/>
  <c r="BK441" i="2" s="1"/>
  <c r="BI441" i="2"/>
  <c r="BG441" i="2"/>
  <c r="BE441" i="2"/>
  <c r="BD441" i="2"/>
  <c r="BC441" i="2"/>
  <c r="BA441" i="2"/>
  <c r="AY441" i="2"/>
  <c r="AX441" i="2"/>
  <c r="AW441" i="2"/>
  <c r="AU441" i="2"/>
  <c r="AS441" i="2"/>
  <c r="AP441" i="2"/>
  <c r="AN441" i="2"/>
  <c r="AL441" i="2"/>
  <c r="AJ441" i="2"/>
  <c r="AH441" i="2"/>
  <c r="AF441" i="2"/>
  <c r="AD441" i="2"/>
  <c r="AB441" i="2"/>
  <c r="Z441" i="2"/>
  <c r="X441" i="2"/>
  <c r="U441" i="2"/>
  <c r="S441" i="2"/>
  <c r="Q441" i="2"/>
  <c r="O441" i="2"/>
  <c r="M441" i="2"/>
  <c r="K441" i="2"/>
  <c r="I441" i="2"/>
  <c r="G441" i="2"/>
  <c r="E441" i="2"/>
  <c r="C441" i="2"/>
  <c r="BJ440" i="2"/>
  <c r="BK440" i="2" s="1"/>
  <c r="BI440" i="2"/>
  <c r="BG440" i="2"/>
  <c r="BD440" i="2"/>
  <c r="BC440" i="2"/>
  <c r="BA440" i="2"/>
  <c r="AX440" i="2"/>
  <c r="AW440" i="2"/>
  <c r="AU440" i="2"/>
  <c r="AS440" i="2"/>
  <c r="AP440" i="2"/>
  <c r="AN440" i="2"/>
  <c r="AL440" i="2"/>
  <c r="AJ440" i="2"/>
  <c r="AH440" i="2"/>
  <c r="AF440" i="2"/>
  <c r="AD440" i="2"/>
  <c r="AB440" i="2"/>
  <c r="Z440" i="2"/>
  <c r="X440" i="2"/>
  <c r="U440" i="2"/>
  <c r="S440" i="2"/>
  <c r="Q440" i="2"/>
  <c r="O440" i="2"/>
  <c r="M440" i="2"/>
  <c r="K440" i="2"/>
  <c r="I440" i="2"/>
  <c r="G440" i="2"/>
  <c r="E440" i="2"/>
  <c r="C440" i="2"/>
  <c r="BJ439" i="2"/>
  <c r="BI439" i="2"/>
  <c r="BG439" i="2"/>
  <c r="BD439" i="2"/>
  <c r="BE439" i="2" s="1"/>
  <c r="BC439" i="2"/>
  <c r="BA439" i="2"/>
  <c r="AY439" i="2"/>
  <c r="AX439" i="2"/>
  <c r="AW439" i="2"/>
  <c r="AU439" i="2"/>
  <c r="AS439" i="2"/>
  <c r="AP439" i="2"/>
  <c r="AN439" i="2"/>
  <c r="AL439" i="2"/>
  <c r="AJ439" i="2"/>
  <c r="AH439" i="2"/>
  <c r="AF439" i="2"/>
  <c r="AD439" i="2"/>
  <c r="AB439" i="2"/>
  <c r="Z439" i="2"/>
  <c r="X439" i="2"/>
  <c r="U439" i="2"/>
  <c r="S439" i="2"/>
  <c r="Q439" i="2"/>
  <c r="O439" i="2"/>
  <c r="M439" i="2"/>
  <c r="K439" i="2"/>
  <c r="I439" i="2"/>
  <c r="G439" i="2"/>
  <c r="E439" i="2"/>
  <c r="C439" i="2"/>
  <c r="BJ438" i="2"/>
  <c r="BK438" i="2" s="1"/>
  <c r="BI438" i="2"/>
  <c r="BG438" i="2"/>
  <c r="BD438" i="2"/>
  <c r="BE438" i="2" s="1"/>
  <c r="BC438" i="2"/>
  <c r="BA438" i="2"/>
  <c r="AX438" i="2"/>
  <c r="AW438" i="2"/>
  <c r="AU438" i="2"/>
  <c r="AS438" i="2"/>
  <c r="AP438" i="2"/>
  <c r="AN438" i="2"/>
  <c r="AL438" i="2"/>
  <c r="AJ438" i="2"/>
  <c r="AH438" i="2"/>
  <c r="AF438" i="2"/>
  <c r="AD438" i="2"/>
  <c r="AB438" i="2"/>
  <c r="Z438" i="2"/>
  <c r="X438" i="2"/>
  <c r="U438" i="2"/>
  <c r="S438" i="2"/>
  <c r="Q438" i="2"/>
  <c r="O438" i="2"/>
  <c r="M438" i="2"/>
  <c r="K438" i="2"/>
  <c r="I438" i="2"/>
  <c r="G438" i="2"/>
  <c r="E438" i="2"/>
  <c r="C438" i="2"/>
  <c r="BJ437" i="2"/>
  <c r="BI437" i="2"/>
  <c r="BG437" i="2"/>
  <c r="BD437" i="2"/>
  <c r="BE437" i="2" s="1"/>
  <c r="BC437" i="2"/>
  <c r="BA437" i="2"/>
  <c r="AX437" i="2"/>
  <c r="AY438" i="2" s="1"/>
  <c r="AW437" i="2"/>
  <c r="AU437" i="2"/>
  <c r="AS437" i="2"/>
  <c r="AP437" i="2"/>
  <c r="AN437" i="2"/>
  <c r="AL437" i="2"/>
  <c r="AJ437" i="2"/>
  <c r="AH437" i="2"/>
  <c r="AF437" i="2"/>
  <c r="AD437" i="2"/>
  <c r="AB437" i="2"/>
  <c r="Z437" i="2"/>
  <c r="X437" i="2"/>
  <c r="U437" i="2"/>
  <c r="S437" i="2"/>
  <c r="Q437" i="2"/>
  <c r="O437" i="2"/>
  <c r="M437" i="2"/>
  <c r="K437" i="2"/>
  <c r="I437" i="2"/>
  <c r="G437" i="2"/>
  <c r="E437" i="2"/>
  <c r="C437" i="2"/>
  <c r="BJ436" i="2"/>
  <c r="BK436" i="2" s="1"/>
  <c r="BI436" i="2"/>
  <c r="BG436" i="2"/>
  <c r="BD436" i="2"/>
  <c r="BC436" i="2"/>
  <c r="BA436" i="2"/>
  <c r="AX436" i="2"/>
  <c r="AW436" i="2"/>
  <c r="AU436" i="2"/>
  <c r="AS436" i="2"/>
  <c r="AP436" i="2"/>
  <c r="AN436" i="2"/>
  <c r="AL436" i="2"/>
  <c r="AJ436" i="2"/>
  <c r="AH436" i="2"/>
  <c r="AF436" i="2"/>
  <c r="AD436" i="2"/>
  <c r="AB436" i="2"/>
  <c r="Z436" i="2"/>
  <c r="X436" i="2"/>
  <c r="U436" i="2"/>
  <c r="S436" i="2"/>
  <c r="Q436" i="2"/>
  <c r="O436" i="2"/>
  <c r="M436" i="2"/>
  <c r="K436" i="2"/>
  <c r="I436" i="2"/>
  <c r="G436" i="2"/>
  <c r="E436" i="2"/>
  <c r="C436" i="2"/>
  <c r="BJ435" i="2"/>
  <c r="BI435" i="2"/>
  <c r="BG435" i="2"/>
  <c r="BD435" i="2"/>
  <c r="BC435" i="2"/>
  <c r="BA435" i="2"/>
  <c r="AX435" i="2"/>
  <c r="AW435" i="2"/>
  <c r="AU435" i="2"/>
  <c r="AS435" i="2"/>
  <c r="AP435" i="2"/>
  <c r="AN435" i="2"/>
  <c r="AL435" i="2"/>
  <c r="AJ435" i="2"/>
  <c r="AH435" i="2"/>
  <c r="AF435" i="2"/>
  <c r="AD435" i="2"/>
  <c r="AB435" i="2"/>
  <c r="Z435" i="2"/>
  <c r="X435" i="2"/>
  <c r="U435" i="2"/>
  <c r="S435" i="2"/>
  <c r="Q435" i="2"/>
  <c r="O435" i="2"/>
  <c r="M435" i="2"/>
  <c r="K435" i="2"/>
  <c r="I435" i="2"/>
  <c r="G435" i="2"/>
  <c r="E435" i="2"/>
  <c r="C435" i="2"/>
  <c r="BJ434" i="2"/>
  <c r="BK434" i="2" s="1"/>
  <c r="BI434" i="2"/>
  <c r="BG434" i="2"/>
  <c r="BD434" i="2"/>
  <c r="BE434" i="2" s="1"/>
  <c r="BC434" i="2"/>
  <c r="BA434" i="2"/>
  <c r="AX434" i="2"/>
  <c r="AW434" i="2"/>
  <c r="AU434" i="2"/>
  <c r="AS434" i="2"/>
  <c r="AP434" i="2"/>
  <c r="AN434" i="2"/>
  <c r="AL434" i="2"/>
  <c r="AJ434" i="2"/>
  <c r="AH434" i="2"/>
  <c r="AF434" i="2"/>
  <c r="AD434" i="2"/>
  <c r="AB434" i="2"/>
  <c r="Z434" i="2"/>
  <c r="X434" i="2"/>
  <c r="U434" i="2"/>
  <c r="S434" i="2"/>
  <c r="Q434" i="2"/>
  <c r="O434" i="2"/>
  <c r="M434" i="2"/>
  <c r="K434" i="2"/>
  <c r="I434" i="2"/>
  <c r="G434" i="2"/>
  <c r="E434" i="2"/>
  <c r="C434" i="2"/>
  <c r="BJ433" i="2"/>
  <c r="BI433" i="2"/>
  <c r="BG433" i="2"/>
  <c r="BD433" i="2"/>
  <c r="BC433" i="2"/>
  <c r="BA433" i="2"/>
  <c r="AX433" i="2"/>
  <c r="AW433" i="2"/>
  <c r="AU433" i="2"/>
  <c r="AS433" i="2"/>
  <c r="AP433" i="2"/>
  <c r="AN433" i="2"/>
  <c r="AL433" i="2"/>
  <c r="AJ433" i="2"/>
  <c r="AH433" i="2"/>
  <c r="AF433" i="2"/>
  <c r="AD433" i="2"/>
  <c r="AB433" i="2"/>
  <c r="Z433" i="2"/>
  <c r="X433" i="2"/>
  <c r="U433" i="2"/>
  <c r="S433" i="2"/>
  <c r="Q433" i="2"/>
  <c r="O433" i="2"/>
  <c r="M433" i="2"/>
  <c r="K433" i="2"/>
  <c r="I433" i="2"/>
  <c r="G433" i="2"/>
  <c r="E433" i="2"/>
  <c r="C433" i="2"/>
  <c r="BJ432" i="2"/>
  <c r="BI432" i="2"/>
  <c r="BG432" i="2"/>
  <c r="BD432" i="2"/>
  <c r="BE433" i="2" s="1"/>
  <c r="BC432" i="2"/>
  <c r="BA432" i="2"/>
  <c r="AX432" i="2"/>
  <c r="AW432" i="2"/>
  <c r="AU432" i="2"/>
  <c r="AS432" i="2"/>
  <c r="AP432" i="2"/>
  <c r="AN432" i="2"/>
  <c r="AL432" i="2"/>
  <c r="AJ432" i="2"/>
  <c r="AH432" i="2"/>
  <c r="AF432" i="2"/>
  <c r="AD432" i="2"/>
  <c r="AB432" i="2"/>
  <c r="Z432" i="2"/>
  <c r="X432" i="2"/>
  <c r="U432" i="2"/>
  <c r="S432" i="2"/>
  <c r="Q432" i="2"/>
  <c r="O432" i="2"/>
  <c r="M432" i="2"/>
  <c r="K432" i="2"/>
  <c r="I432" i="2"/>
  <c r="G432" i="2"/>
  <c r="E432" i="2"/>
  <c r="C432" i="2"/>
  <c r="BJ431" i="2"/>
  <c r="BI431" i="2"/>
  <c r="BG431" i="2"/>
  <c r="BD431" i="2"/>
  <c r="BC431" i="2"/>
  <c r="BA431" i="2"/>
  <c r="AX431" i="2"/>
  <c r="AW431" i="2"/>
  <c r="AU431" i="2"/>
  <c r="AS431" i="2"/>
  <c r="AP431" i="2"/>
  <c r="AN431" i="2"/>
  <c r="AL431" i="2"/>
  <c r="AJ431" i="2"/>
  <c r="AH431" i="2"/>
  <c r="AF431" i="2"/>
  <c r="AD431" i="2"/>
  <c r="AB431" i="2"/>
  <c r="Z431" i="2"/>
  <c r="X431" i="2"/>
  <c r="U431" i="2"/>
  <c r="S431" i="2"/>
  <c r="Q431" i="2"/>
  <c r="O431" i="2"/>
  <c r="M431" i="2"/>
  <c r="K431" i="2"/>
  <c r="I431" i="2"/>
  <c r="G431" i="2"/>
  <c r="E431" i="2"/>
  <c r="C431" i="2"/>
  <c r="BJ430" i="2"/>
  <c r="BI430" i="2"/>
  <c r="BG430" i="2"/>
  <c r="BD430" i="2"/>
  <c r="BE431" i="2" s="1"/>
  <c r="BC430" i="2"/>
  <c r="BA430" i="2"/>
  <c r="AX430" i="2"/>
  <c r="AW430" i="2"/>
  <c r="AU430" i="2"/>
  <c r="AS430" i="2"/>
  <c r="AP430" i="2"/>
  <c r="AN430" i="2"/>
  <c r="AL430" i="2"/>
  <c r="AJ430" i="2"/>
  <c r="AH430" i="2"/>
  <c r="AF430" i="2"/>
  <c r="AD430" i="2"/>
  <c r="AB430" i="2"/>
  <c r="Z430" i="2"/>
  <c r="X430" i="2"/>
  <c r="U430" i="2"/>
  <c r="S430" i="2"/>
  <c r="Q430" i="2"/>
  <c r="O430" i="2"/>
  <c r="M430" i="2"/>
  <c r="K430" i="2"/>
  <c r="I430" i="2"/>
  <c r="G430" i="2"/>
  <c r="E430" i="2"/>
  <c r="C430" i="2"/>
  <c r="BJ429" i="2"/>
  <c r="BK430" i="2" s="1"/>
  <c r="BI429" i="2"/>
  <c r="BG429" i="2"/>
  <c r="BD429" i="2"/>
  <c r="BE430" i="2" s="1"/>
  <c r="BC429" i="2"/>
  <c r="BA429" i="2"/>
  <c r="AX429" i="2"/>
  <c r="AY429" i="2" s="1"/>
  <c r="AW429" i="2"/>
  <c r="AU429" i="2"/>
  <c r="AS429" i="2"/>
  <c r="AP429" i="2"/>
  <c r="AN429" i="2"/>
  <c r="AL429" i="2"/>
  <c r="AJ429" i="2"/>
  <c r="AH429" i="2"/>
  <c r="AF429" i="2"/>
  <c r="AD429" i="2"/>
  <c r="AB429" i="2"/>
  <c r="Z429" i="2"/>
  <c r="X429" i="2"/>
  <c r="U429" i="2"/>
  <c r="S429" i="2"/>
  <c r="Q429" i="2"/>
  <c r="O429" i="2"/>
  <c r="M429" i="2"/>
  <c r="K429" i="2"/>
  <c r="I429" i="2"/>
  <c r="G429" i="2"/>
  <c r="E429" i="2"/>
  <c r="C429" i="2"/>
  <c r="BJ428" i="2"/>
  <c r="BI428" i="2"/>
  <c r="BG428" i="2"/>
  <c r="BD428" i="2"/>
  <c r="BC428" i="2"/>
  <c r="BA428" i="2"/>
  <c r="AX428" i="2"/>
  <c r="AW428" i="2"/>
  <c r="AU428" i="2"/>
  <c r="AS428" i="2"/>
  <c r="AP428" i="2"/>
  <c r="AN428" i="2"/>
  <c r="AL428" i="2"/>
  <c r="AJ428" i="2"/>
  <c r="AH428" i="2"/>
  <c r="AF428" i="2"/>
  <c r="AD428" i="2"/>
  <c r="AB428" i="2"/>
  <c r="Z428" i="2"/>
  <c r="X428" i="2"/>
  <c r="U428" i="2"/>
  <c r="S428" i="2"/>
  <c r="Q428" i="2"/>
  <c r="O428" i="2"/>
  <c r="M428" i="2"/>
  <c r="K428" i="2"/>
  <c r="I428" i="2"/>
  <c r="G428" i="2"/>
  <c r="E428" i="2"/>
  <c r="C428" i="2"/>
  <c r="BJ427" i="2"/>
  <c r="BI427" i="2"/>
  <c r="BG427" i="2"/>
  <c r="BD427" i="2"/>
  <c r="BE428" i="2" s="1"/>
  <c r="BC427" i="2"/>
  <c r="BA427" i="2"/>
  <c r="AX427" i="2"/>
  <c r="AW427" i="2"/>
  <c r="AU427" i="2"/>
  <c r="AS427" i="2"/>
  <c r="AP427" i="2"/>
  <c r="AN427" i="2"/>
  <c r="AL427" i="2"/>
  <c r="AJ427" i="2"/>
  <c r="AH427" i="2"/>
  <c r="AF427" i="2"/>
  <c r="AD427" i="2"/>
  <c r="AB427" i="2"/>
  <c r="Z427" i="2"/>
  <c r="X427" i="2"/>
  <c r="U427" i="2"/>
  <c r="S427" i="2"/>
  <c r="Q427" i="2"/>
  <c r="O427" i="2"/>
  <c r="M427" i="2"/>
  <c r="K427" i="2"/>
  <c r="I427" i="2"/>
  <c r="G427" i="2"/>
  <c r="E427" i="2"/>
  <c r="C427" i="2"/>
  <c r="BJ426" i="2"/>
  <c r="BI426" i="2"/>
  <c r="BG426" i="2"/>
  <c r="BD426" i="2"/>
  <c r="BC426" i="2"/>
  <c r="BA426" i="2"/>
  <c r="AX426" i="2"/>
  <c r="AY426" i="2" s="1"/>
  <c r="AW426" i="2"/>
  <c r="AU426" i="2"/>
  <c r="AS426" i="2"/>
  <c r="AP426" i="2"/>
  <c r="AN426" i="2"/>
  <c r="AL426" i="2"/>
  <c r="AJ426" i="2"/>
  <c r="AH426" i="2"/>
  <c r="AF426" i="2"/>
  <c r="AD426" i="2"/>
  <c r="AB426" i="2"/>
  <c r="Z426" i="2"/>
  <c r="X426" i="2"/>
  <c r="U426" i="2"/>
  <c r="S426" i="2"/>
  <c r="Q426" i="2"/>
  <c r="O426" i="2"/>
  <c r="M426" i="2"/>
  <c r="K426" i="2"/>
  <c r="I426" i="2"/>
  <c r="G426" i="2"/>
  <c r="E426" i="2"/>
  <c r="C426" i="2"/>
  <c r="BJ425" i="2"/>
  <c r="BK426" i="2" s="1"/>
  <c r="BI425" i="2"/>
  <c r="BG425" i="2"/>
  <c r="BD425" i="2"/>
  <c r="BC425" i="2"/>
  <c r="BA425" i="2"/>
  <c r="AX425" i="2"/>
  <c r="AW425" i="2"/>
  <c r="AU425" i="2"/>
  <c r="AS425" i="2"/>
  <c r="AP425" i="2"/>
  <c r="AN425" i="2"/>
  <c r="AL425" i="2"/>
  <c r="AJ425" i="2"/>
  <c r="AH425" i="2"/>
  <c r="AF425" i="2"/>
  <c r="AD425" i="2"/>
  <c r="AB425" i="2"/>
  <c r="Z425" i="2"/>
  <c r="X425" i="2"/>
  <c r="U425" i="2"/>
  <c r="S425" i="2"/>
  <c r="Q425" i="2"/>
  <c r="O425" i="2"/>
  <c r="M425" i="2"/>
  <c r="K425" i="2"/>
  <c r="I425" i="2"/>
  <c r="G425" i="2"/>
  <c r="E425" i="2"/>
  <c r="C425" i="2"/>
  <c r="BJ424" i="2"/>
  <c r="BI424" i="2"/>
  <c r="BG424" i="2"/>
  <c r="BD424" i="2"/>
  <c r="BC424" i="2"/>
  <c r="BA424" i="2"/>
  <c r="AX424" i="2"/>
  <c r="AY424" i="2" s="1"/>
  <c r="AW424" i="2"/>
  <c r="AU424" i="2"/>
  <c r="AS424" i="2"/>
  <c r="AP424" i="2"/>
  <c r="AN424" i="2"/>
  <c r="AL424" i="2"/>
  <c r="AJ424" i="2"/>
  <c r="AH424" i="2"/>
  <c r="AF424" i="2"/>
  <c r="AD424" i="2"/>
  <c r="AB424" i="2"/>
  <c r="Z424" i="2"/>
  <c r="X424" i="2"/>
  <c r="U424" i="2"/>
  <c r="S424" i="2"/>
  <c r="Q424" i="2"/>
  <c r="O424" i="2"/>
  <c r="M424" i="2"/>
  <c r="K424" i="2"/>
  <c r="I424" i="2"/>
  <c r="G424" i="2"/>
  <c r="E424" i="2"/>
  <c r="C424" i="2"/>
  <c r="BJ423" i="2"/>
  <c r="BI423" i="2"/>
  <c r="BG423" i="2"/>
  <c r="BD423" i="2"/>
  <c r="BE424" i="2" s="1"/>
  <c r="BC423" i="2"/>
  <c r="BA423" i="2"/>
  <c r="AX423" i="2"/>
  <c r="AY423" i="2" s="1"/>
  <c r="AW423" i="2"/>
  <c r="AU423" i="2"/>
  <c r="AS423" i="2"/>
  <c r="AP423" i="2"/>
  <c r="AN423" i="2"/>
  <c r="AL423" i="2"/>
  <c r="AJ423" i="2"/>
  <c r="AH423" i="2"/>
  <c r="AF423" i="2"/>
  <c r="AD423" i="2"/>
  <c r="AB423" i="2"/>
  <c r="Z423" i="2"/>
  <c r="X423" i="2"/>
  <c r="U423" i="2"/>
  <c r="S423" i="2"/>
  <c r="Q423" i="2"/>
  <c r="O423" i="2"/>
  <c r="M423" i="2"/>
  <c r="K423" i="2"/>
  <c r="I423" i="2"/>
  <c r="G423" i="2"/>
  <c r="E423" i="2"/>
  <c r="C423" i="2"/>
  <c r="BJ422" i="2"/>
  <c r="BI422" i="2"/>
  <c r="BG422" i="2"/>
  <c r="BD422" i="2"/>
  <c r="BE423" i="2" s="1"/>
  <c r="BC422" i="2"/>
  <c r="BA422" i="2"/>
  <c r="AX422" i="2"/>
  <c r="AY422" i="2" s="1"/>
  <c r="AW422" i="2"/>
  <c r="AU422" i="2"/>
  <c r="AS422" i="2"/>
  <c r="AP422" i="2"/>
  <c r="AN422" i="2"/>
  <c r="AL422" i="2"/>
  <c r="AJ422" i="2"/>
  <c r="AH422" i="2"/>
  <c r="AF422" i="2"/>
  <c r="AD422" i="2"/>
  <c r="AB422" i="2"/>
  <c r="Z422" i="2"/>
  <c r="X422" i="2"/>
  <c r="U422" i="2"/>
  <c r="S422" i="2"/>
  <c r="Q422" i="2"/>
  <c r="O422" i="2"/>
  <c r="M422" i="2"/>
  <c r="K422" i="2"/>
  <c r="I422" i="2"/>
  <c r="G422" i="2"/>
  <c r="E422" i="2"/>
  <c r="C422" i="2"/>
  <c r="BJ421" i="2"/>
  <c r="BI421" i="2"/>
  <c r="BG421" i="2"/>
  <c r="BD421" i="2"/>
  <c r="BC421" i="2"/>
  <c r="BA421" i="2"/>
  <c r="AX421" i="2"/>
  <c r="AW421" i="2"/>
  <c r="AU421" i="2"/>
  <c r="AS421" i="2"/>
  <c r="AP421" i="2"/>
  <c r="AN421" i="2"/>
  <c r="AL421" i="2"/>
  <c r="AJ421" i="2"/>
  <c r="AH421" i="2"/>
  <c r="AF421" i="2"/>
  <c r="AD421" i="2"/>
  <c r="AB421" i="2"/>
  <c r="Z421" i="2"/>
  <c r="X421" i="2"/>
  <c r="U421" i="2"/>
  <c r="S421" i="2"/>
  <c r="Q421" i="2"/>
  <c r="O421" i="2"/>
  <c r="M421" i="2"/>
  <c r="K421" i="2"/>
  <c r="I421" i="2"/>
  <c r="G421" i="2"/>
  <c r="E421" i="2"/>
  <c r="C421" i="2"/>
  <c r="BJ420" i="2"/>
  <c r="BI420" i="2"/>
  <c r="BG420" i="2"/>
  <c r="BD420" i="2"/>
  <c r="BC420" i="2"/>
  <c r="BA420" i="2"/>
  <c r="AX420" i="2"/>
  <c r="AY420" i="2" s="1"/>
  <c r="AW420" i="2"/>
  <c r="AU420" i="2"/>
  <c r="AS420" i="2"/>
  <c r="AP420" i="2"/>
  <c r="AN420" i="2"/>
  <c r="AL420" i="2"/>
  <c r="AJ420" i="2"/>
  <c r="AH420" i="2"/>
  <c r="AF420" i="2"/>
  <c r="AD420" i="2"/>
  <c r="AB420" i="2"/>
  <c r="Z420" i="2"/>
  <c r="X420" i="2"/>
  <c r="U420" i="2"/>
  <c r="S420" i="2"/>
  <c r="Q420" i="2"/>
  <c r="O420" i="2"/>
  <c r="M420" i="2"/>
  <c r="K420" i="2"/>
  <c r="I420" i="2"/>
  <c r="G420" i="2"/>
  <c r="E420" i="2"/>
  <c r="C420" i="2"/>
  <c r="BJ419" i="2"/>
  <c r="BI419" i="2"/>
  <c r="BG419" i="2"/>
  <c r="BD419" i="2"/>
  <c r="BC419" i="2"/>
  <c r="BA419" i="2"/>
  <c r="AX419" i="2"/>
  <c r="AW419" i="2"/>
  <c r="AU419" i="2"/>
  <c r="AS419" i="2"/>
  <c r="AP419" i="2"/>
  <c r="AN419" i="2"/>
  <c r="AL419" i="2"/>
  <c r="AJ419" i="2"/>
  <c r="AH419" i="2"/>
  <c r="AF419" i="2"/>
  <c r="AD419" i="2"/>
  <c r="AB419" i="2"/>
  <c r="Z419" i="2"/>
  <c r="X419" i="2"/>
  <c r="U419" i="2"/>
  <c r="S419" i="2"/>
  <c r="Q419" i="2"/>
  <c r="O419" i="2"/>
  <c r="M419" i="2"/>
  <c r="K419" i="2"/>
  <c r="I419" i="2"/>
  <c r="G419" i="2"/>
  <c r="E419" i="2"/>
  <c r="C419" i="2"/>
  <c r="BJ418" i="2"/>
  <c r="BK418" i="2" s="1"/>
  <c r="BI418" i="2"/>
  <c r="BG418" i="2"/>
  <c r="BD418" i="2"/>
  <c r="BC418" i="2"/>
  <c r="BA418" i="2"/>
  <c r="AX418" i="2"/>
  <c r="AY418" i="2" s="1"/>
  <c r="AW418" i="2"/>
  <c r="AU418" i="2"/>
  <c r="AS418" i="2"/>
  <c r="AP418" i="2"/>
  <c r="AN418" i="2"/>
  <c r="AL418" i="2"/>
  <c r="AJ418" i="2"/>
  <c r="AH418" i="2"/>
  <c r="AF418" i="2"/>
  <c r="AD418" i="2"/>
  <c r="AB418" i="2"/>
  <c r="Z418" i="2"/>
  <c r="X418" i="2"/>
  <c r="U418" i="2"/>
  <c r="S418" i="2"/>
  <c r="Q418" i="2"/>
  <c r="O418" i="2"/>
  <c r="M418" i="2"/>
  <c r="K418" i="2"/>
  <c r="I418" i="2"/>
  <c r="G418" i="2"/>
  <c r="E418" i="2"/>
  <c r="C418" i="2"/>
  <c r="BJ417" i="2"/>
  <c r="BK417" i="2" s="1"/>
  <c r="BI417" i="2"/>
  <c r="BG417" i="2"/>
  <c r="BD417" i="2"/>
  <c r="BE417" i="2" s="1"/>
  <c r="BC417" i="2"/>
  <c r="BA417" i="2"/>
  <c r="AX417" i="2"/>
  <c r="AW417" i="2"/>
  <c r="AU417" i="2"/>
  <c r="AS417" i="2"/>
  <c r="AP417" i="2"/>
  <c r="AN417" i="2"/>
  <c r="AL417" i="2"/>
  <c r="AJ417" i="2"/>
  <c r="AH417" i="2"/>
  <c r="AF417" i="2"/>
  <c r="AD417" i="2"/>
  <c r="AB417" i="2"/>
  <c r="Z417" i="2"/>
  <c r="X417" i="2"/>
  <c r="U417" i="2"/>
  <c r="S417" i="2"/>
  <c r="Q417" i="2"/>
  <c r="O417" i="2"/>
  <c r="M417" i="2"/>
  <c r="K417" i="2"/>
  <c r="I417" i="2"/>
  <c r="G417" i="2"/>
  <c r="E417" i="2"/>
  <c r="C417" i="2"/>
  <c r="BJ416" i="2"/>
  <c r="BK416" i="2" s="1"/>
  <c r="BI416" i="2"/>
  <c r="BG416" i="2"/>
  <c r="BD416" i="2"/>
  <c r="BE416" i="2" s="1"/>
  <c r="BC416" i="2"/>
  <c r="BA416" i="2"/>
  <c r="AY416" i="2"/>
  <c r="AX416" i="2"/>
  <c r="AY417" i="2" s="1"/>
  <c r="AW416" i="2"/>
  <c r="AU416" i="2"/>
  <c r="AS416" i="2"/>
  <c r="AP416" i="2"/>
  <c r="AN416" i="2"/>
  <c r="AL416" i="2"/>
  <c r="AJ416" i="2"/>
  <c r="AH416" i="2"/>
  <c r="AF416" i="2"/>
  <c r="AD416" i="2"/>
  <c r="AB416" i="2"/>
  <c r="Z416" i="2"/>
  <c r="X416" i="2"/>
  <c r="U416" i="2"/>
  <c r="S416" i="2"/>
  <c r="Q416" i="2"/>
  <c r="O416" i="2"/>
  <c r="M416" i="2"/>
  <c r="K416" i="2"/>
  <c r="I416" i="2"/>
  <c r="G416" i="2"/>
  <c r="E416" i="2"/>
  <c r="C416" i="2"/>
  <c r="BJ415" i="2"/>
  <c r="BI415" i="2"/>
  <c r="BG415" i="2"/>
  <c r="BE415" i="2"/>
  <c r="BD415" i="2"/>
  <c r="BC415" i="2"/>
  <c r="BA415" i="2"/>
  <c r="AX415" i="2"/>
  <c r="AY415" i="2" s="1"/>
  <c r="AW415" i="2"/>
  <c r="AU415" i="2"/>
  <c r="AS415" i="2"/>
  <c r="AP415" i="2"/>
  <c r="AN415" i="2"/>
  <c r="AL415" i="2"/>
  <c r="AJ415" i="2"/>
  <c r="AH415" i="2"/>
  <c r="AF415" i="2"/>
  <c r="AD415" i="2"/>
  <c r="AB415" i="2"/>
  <c r="Z415" i="2"/>
  <c r="X415" i="2"/>
  <c r="U415" i="2"/>
  <c r="S415" i="2"/>
  <c r="Q415" i="2"/>
  <c r="O415" i="2"/>
  <c r="M415" i="2"/>
  <c r="K415" i="2"/>
  <c r="I415" i="2"/>
  <c r="G415" i="2"/>
  <c r="E415" i="2"/>
  <c r="C415" i="2"/>
  <c r="BJ414" i="2"/>
  <c r="BI414" i="2"/>
  <c r="BG414" i="2"/>
  <c r="BE414" i="2"/>
  <c r="BD414" i="2"/>
  <c r="BC414" i="2"/>
  <c r="BA414" i="2"/>
  <c r="AX414" i="2"/>
  <c r="AW414" i="2"/>
  <c r="AU414" i="2"/>
  <c r="AS414" i="2"/>
  <c r="AP414" i="2"/>
  <c r="AN414" i="2"/>
  <c r="AL414" i="2"/>
  <c r="AJ414" i="2"/>
  <c r="AH414" i="2"/>
  <c r="AF414" i="2"/>
  <c r="AD414" i="2"/>
  <c r="AB414" i="2"/>
  <c r="Z414" i="2"/>
  <c r="X414" i="2"/>
  <c r="U414" i="2"/>
  <c r="S414" i="2"/>
  <c r="Q414" i="2"/>
  <c r="O414" i="2"/>
  <c r="M414" i="2"/>
  <c r="K414" i="2"/>
  <c r="I414" i="2"/>
  <c r="G414" i="2"/>
  <c r="E414" i="2"/>
  <c r="C414" i="2"/>
  <c r="BJ413" i="2"/>
  <c r="BK413" i="2" s="1"/>
  <c r="BI413" i="2"/>
  <c r="BG413" i="2"/>
  <c r="BD413" i="2"/>
  <c r="BC413" i="2"/>
  <c r="BA413" i="2"/>
  <c r="AX413" i="2"/>
  <c r="AY413" i="2" s="1"/>
  <c r="AW413" i="2"/>
  <c r="AU413" i="2"/>
  <c r="AS413" i="2"/>
  <c r="AP413" i="2"/>
  <c r="AN413" i="2"/>
  <c r="AL413" i="2"/>
  <c r="AJ413" i="2"/>
  <c r="AH413" i="2"/>
  <c r="AF413" i="2"/>
  <c r="AD413" i="2"/>
  <c r="AB413" i="2"/>
  <c r="Z413" i="2"/>
  <c r="X413" i="2"/>
  <c r="U413" i="2"/>
  <c r="S413" i="2"/>
  <c r="Q413" i="2"/>
  <c r="O413" i="2"/>
  <c r="M413" i="2"/>
  <c r="K413" i="2"/>
  <c r="I413" i="2"/>
  <c r="G413" i="2"/>
  <c r="E413" i="2"/>
  <c r="C413" i="2"/>
  <c r="BJ412" i="2"/>
  <c r="BK412" i="2" s="1"/>
  <c r="BI412" i="2"/>
  <c r="BG412" i="2"/>
  <c r="BE412" i="2"/>
  <c r="BD412" i="2"/>
  <c r="BE413" i="2" s="1"/>
  <c r="BC412" i="2"/>
  <c r="BA412" i="2"/>
  <c r="AY412" i="2"/>
  <c r="AX412" i="2"/>
  <c r="AW412" i="2"/>
  <c r="AU412" i="2"/>
  <c r="AS412" i="2"/>
  <c r="AP412" i="2"/>
  <c r="AN412" i="2"/>
  <c r="AL412" i="2"/>
  <c r="AJ412" i="2"/>
  <c r="AH412" i="2"/>
  <c r="AF412" i="2"/>
  <c r="AD412" i="2"/>
  <c r="AB412" i="2"/>
  <c r="Z412" i="2"/>
  <c r="X412" i="2"/>
  <c r="U412" i="2"/>
  <c r="S412" i="2"/>
  <c r="Q412" i="2"/>
  <c r="O412" i="2"/>
  <c r="M412" i="2"/>
  <c r="K412" i="2"/>
  <c r="I412" i="2"/>
  <c r="G412" i="2"/>
  <c r="E412" i="2"/>
  <c r="C412" i="2"/>
  <c r="BJ411" i="2"/>
  <c r="BK411" i="2" s="1"/>
  <c r="BI411" i="2"/>
  <c r="BG411" i="2"/>
  <c r="BD411" i="2"/>
  <c r="BC411" i="2"/>
  <c r="BA411" i="2"/>
  <c r="AX411" i="2"/>
  <c r="AW411" i="2"/>
  <c r="AU411" i="2"/>
  <c r="AS411" i="2"/>
  <c r="AP411" i="2"/>
  <c r="AN411" i="2"/>
  <c r="AL411" i="2"/>
  <c r="AJ411" i="2"/>
  <c r="AH411" i="2"/>
  <c r="AF411" i="2"/>
  <c r="AD411" i="2"/>
  <c r="AB411" i="2"/>
  <c r="Z411" i="2"/>
  <c r="X411" i="2"/>
  <c r="U411" i="2"/>
  <c r="S411" i="2"/>
  <c r="Q411" i="2"/>
  <c r="O411" i="2"/>
  <c r="M411" i="2"/>
  <c r="K411" i="2"/>
  <c r="I411" i="2"/>
  <c r="G411" i="2"/>
  <c r="E411" i="2"/>
  <c r="C411" i="2"/>
  <c r="BJ410" i="2"/>
  <c r="BI410" i="2"/>
  <c r="BG410" i="2"/>
  <c r="BD410" i="2"/>
  <c r="BC410" i="2"/>
  <c r="BA410" i="2"/>
  <c r="AX410" i="2"/>
  <c r="AY410" i="2" s="1"/>
  <c r="AW410" i="2"/>
  <c r="AU410" i="2"/>
  <c r="AS410" i="2"/>
  <c r="AP410" i="2"/>
  <c r="AN410" i="2"/>
  <c r="AL410" i="2"/>
  <c r="AJ410" i="2"/>
  <c r="AH410" i="2"/>
  <c r="AF410" i="2"/>
  <c r="AD410" i="2"/>
  <c r="AB410" i="2"/>
  <c r="Z410" i="2"/>
  <c r="X410" i="2"/>
  <c r="U410" i="2"/>
  <c r="S410" i="2"/>
  <c r="Q410" i="2"/>
  <c r="O410" i="2"/>
  <c r="M410" i="2"/>
  <c r="K410" i="2"/>
  <c r="I410" i="2"/>
  <c r="G410" i="2"/>
  <c r="E410" i="2"/>
  <c r="C410" i="2"/>
  <c r="BJ409" i="2"/>
  <c r="BI409" i="2"/>
  <c r="BG409" i="2"/>
  <c r="BD409" i="2"/>
  <c r="BC409" i="2"/>
  <c r="BA409" i="2"/>
  <c r="AX409" i="2"/>
  <c r="AW409" i="2"/>
  <c r="AU409" i="2"/>
  <c r="AS409" i="2"/>
  <c r="AP409" i="2"/>
  <c r="AN409" i="2"/>
  <c r="AL409" i="2"/>
  <c r="AJ409" i="2"/>
  <c r="AH409" i="2"/>
  <c r="AF409" i="2"/>
  <c r="AD409" i="2"/>
  <c r="AB409" i="2"/>
  <c r="Z409" i="2"/>
  <c r="X409" i="2"/>
  <c r="U409" i="2"/>
  <c r="S409" i="2"/>
  <c r="Q409" i="2"/>
  <c r="O409" i="2"/>
  <c r="M409" i="2"/>
  <c r="K409" i="2"/>
  <c r="I409" i="2"/>
  <c r="G409" i="2"/>
  <c r="E409" i="2"/>
  <c r="C409" i="2"/>
  <c r="BJ408" i="2"/>
  <c r="BI408" i="2"/>
  <c r="BG408" i="2"/>
  <c r="BD408" i="2"/>
  <c r="BE408" i="2" s="1"/>
  <c r="BC408" i="2"/>
  <c r="BA408" i="2"/>
  <c r="AX408" i="2"/>
  <c r="AY409" i="2" s="1"/>
  <c r="AW408" i="2"/>
  <c r="AU408" i="2"/>
  <c r="AS408" i="2"/>
  <c r="AP408" i="2"/>
  <c r="AN408" i="2"/>
  <c r="AL408" i="2"/>
  <c r="AJ408" i="2"/>
  <c r="AH408" i="2"/>
  <c r="AF408" i="2"/>
  <c r="AD408" i="2"/>
  <c r="AB408" i="2"/>
  <c r="Z408" i="2"/>
  <c r="X408" i="2"/>
  <c r="U408" i="2"/>
  <c r="S408" i="2"/>
  <c r="Q408" i="2"/>
  <c r="O408" i="2"/>
  <c r="M408" i="2"/>
  <c r="K408" i="2"/>
  <c r="I408" i="2"/>
  <c r="G408" i="2"/>
  <c r="E408" i="2"/>
  <c r="C408" i="2"/>
  <c r="BJ407" i="2"/>
  <c r="BI407" i="2"/>
  <c r="BG407" i="2"/>
  <c r="BE407" i="2"/>
  <c r="BD407" i="2"/>
  <c r="BC407" i="2"/>
  <c r="BA407" i="2"/>
  <c r="AX407" i="2"/>
  <c r="AW407" i="2"/>
  <c r="AU407" i="2"/>
  <c r="AS407" i="2"/>
  <c r="AP407" i="2"/>
  <c r="AN407" i="2"/>
  <c r="AL407" i="2"/>
  <c r="AJ407" i="2"/>
  <c r="AH407" i="2"/>
  <c r="AF407" i="2"/>
  <c r="AD407" i="2"/>
  <c r="AB407" i="2"/>
  <c r="Z407" i="2"/>
  <c r="X407" i="2"/>
  <c r="U407" i="2"/>
  <c r="S407" i="2"/>
  <c r="Q407" i="2"/>
  <c r="O407" i="2"/>
  <c r="M407" i="2"/>
  <c r="K407" i="2"/>
  <c r="I407" i="2"/>
  <c r="G407" i="2"/>
  <c r="E407" i="2"/>
  <c r="C407" i="2"/>
  <c r="BJ406" i="2"/>
  <c r="BK406" i="2" s="1"/>
  <c r="BI406" i="2"/>
  <c r="BG406" i="2"/>
  <c r="BD406" i="2"/>
  <c r="BC406" i="2"/>
  <c r="BA406" i="2"/>
  <c r="AX406" i="2"/>
  <c r="AW406" i="2"/>
  <c r="AU406" i="2"/>
  <c r="AS406" i="2"/>
  <c r="AP406" i="2"/>
  <c r="AN406" i="2"/>
  <c r="AL406" i="2"/>
  <c r="AJ406" i="2"/>
  <c r="AH406" i="2"/>
  <c r="AF406" i="2"/>
  <c r="AD406" i="2"/>
  <c r="AB406" i="2"/>
  <c r="Z406" i="2"/>
  <c r="X406" i="2"/>
  <c r="U406" i="2"/>
  <c r="S406" i="2"/>
  <c r="Q406" i="2"/>
  <c r="O406" i="2"/>
  <c r="M406" i="2"/>
  <c r="K406" i="2"/>
  <c r="I406" i="2"/>
  <c r="G406" i="2"/>
  <c r="E406" i="2"/>
  <c r="C406" i="2"/>
  <c r="BJ405" i="2"/>
  <c r="BK405" i="2" s="1"/>
  <c r="BI405" i="2"/>
  <c r="BG405" i="2"/>
  <c r="BD405" i="2"/>
  <c r="BE405" i="2" s="1"/>
  <c r="BC405" i="2"/>
  <c r="BA405" i="2"/>
  <c r="AX405" i="2"/>
  <c r="AY406" i="2" s="1"/>
  <c r="AW405" i="2"/>
  <c r="AU405" i="2"/>
  <c r="AS405" i="2"/>
  <c r="AP405" i="2"/>
  <c r="AN405" i="2"/>
  <c r="AL405" i="2"/>
  <c r="AJ405" i="2"/>
  <c r="AH405" i="2"/>
  <c r="AF405" i="2"/>
  <c r="AD405" i="2"/>
  <c r="AB405" i="2"/>
  <c r="Z405" i="2"/>
  <c r="X405" i="2"/>
  <c r="U405" i="2"/>
  <c r="S405" i="2"/>
  <c r="Q405" i="2"/>
  <c r="O405" i="2"/>
  <c r="M405" i="2"/>
  <c r="K405" i="2"/>
  <c r="I405" i="2"/>
  <c r="G405" i="2"/>
  <c r="E405" i="2"/>
  <c r="C405" i="2"/>
  <c r="BJ404" i="2"/>
  <c r="BK404" i="2" s="1"/>
  <c r="BI404" i="2"/>
  <c r="BG404" i="2"/>
  <c r="BD404" i="2"/>
  <c r="BC404" i="2"/>
  <c r="BA404" i="2"/>
  <c r="AX404" i="2"/>
  <c r="AW404" i="2"/>
  <c r="AU404" i="2"/>
  <c r="AS404" i="2"/>
  <c r="AP404" i="2"/>
  <c r="AN404" i="2"/>
  <c r="AL404" i="2"/>
  <c r="AJ404" i="2"/>
  <c r="AH404" i="2"/>
  <c r="AF404" i="2"/>
  <c r="AD404" i="2"/>
  <c r="AB404" i="2"/>
  <c r="Z404" i="2"/>
  <c r="X404" i="2"/>
  <c r="U404" i="2"/>
  <c r="S404" i="2"/>
  <c r="Q404" i="2"/>
  <c r="O404" i="2"/>
  <c r="M404" i="2"/>
  <c r="K404" i="2"/>
  <c r="I404" i="2"/>
  <c r="G404" i="2"/>
  <c r="E404" i="2"/>
  <c r="C404" i="2"/>
  <c r="BJ403" i="2"/>
  <c r="BI403" i="2"/>
  <c r="BG403" i="2"/>
  <c r="BD403" i="2"/>
  <c r="BC403" i="2"/>
  <c r="BA403" i="2"/>
  <c r="AX403" i="2"/>
  <c r="AW403" i="2"/>
  <c r="AU403" i="2"/>
  <c r="AS403" i="2"/>
  <c r="AP403" i="2"/>
  <c r="AN403" i="2"/>
  <c r="AL403" i="2"/>
  <c r="AJ403" i="2"/>
  <c r="AH403" i="2"/>
  <c r="AF403" i="2"/>
  <c r="AD403" i="2"/>
  <c r="AB403" i="2"/>
  <c r="Z403" i="2"/>
  <c r="X403" i="2"/>
  <c r="U403" i="2"/>
  <c r="S403" i="2"/>
  <c r="Q403" i="2"/>
  <c r="O403" i="2"/>
  <c r="M403" i="2"/>
  <c r="K403" i="2"/>
  <c r="I403" i="2"/>
  <c r="G403" i="2"/>
  <c r="E403" i="2"/>
  <c r="C403" i="2"/>
  <c r="BJ402" i="2"/>
  <c r="BK402" i="2" s="1"/>
  <c r="BI402" i="2"/>
  <c r="BG402" i="2"/>
  <c r="BD402" i="2"/>
  <c r="BC402" i="2"/>
  <c r="BA402" i="2"/>
  <c r="AX402" i="2"/>
  <c r="AW402" i="2"/>
  <c r="AU402" i="2"/>
  <c r="AS402" i="2"/>
  <c r="AP402" i="2"/>
  <c r="AN402" i="2"/>
  <c r="AL402" i="2"/>
  <c r="AJ402" i="2"/>
  <c r="AH402" i="2"/>
  <c r="AF402" i="2"/>
  <c r="AD402" i="2"/>
  <c r="AB402" i="2"/>
  <c r="Z402" i="2"/>
  <c r="X402" i="2"/>
  <c r="U402" i="2"/>
  <c r="S402" i="2"/>
  <c r="Q402" i="2"/>
  <c r="O402" i="2"/>
  <c r="M402" i="2"/>
  <c r="K402" i="2"/>
  <c r="I402" i="2"/>
  <c r="G402" i="2"/>
  <c r="E402" i="2"/>
  <c r="C402" i="2"/>
  <c r="BJ401" i="2"/>
  <c r="BI401" i="2"/>
  <c r="BG401" i="2"/>
  <c r="BD401" i="2"/>
  <c r="BC401" i="2"/>
  <c r="BA401" i="2"/>
  <c r="AY401" i="2"/>
  <c r="AX401" i="2"/>
  <c r="AY402" i="2" s="1"/>
  <c r="AW401" i="2"/>
  <c r="AU401" i="2"/>
  <c r="AS401" i="2"/>
  <c r="AP401" i="2"/>
  <c r="AN401" i="2"/>
  <c r="AL401" i="2"/>
  <c r="AJ401" i="2"/>
  <c r="AH401" i="2"/>
  <c r="AF401" i="2"/>
  <c r="AD401" i="2"/>
  <c r="AB401" i="2"/>
  <c r="Z401" i="2"/>
  <c r="X401" i="2"/>
  <c r="U401" i="2"/>
  <c r="S401" i="2"/>
  <c r="Q401" i="2"/>
  <c r="O401" i="2"/>
  <c r="M401" i="2"/>
  <c r="K401" i="2"/>
  <c r="I401" i="2"/>
  <c r="G401" i="2"/>
  <c r="E401" i="2"/>
  <c r="C401" i="2"/>
  <c r="BJ400" i="2"/>
  <c r="BI400" i="2"/>
  <c r="BG400" i="2"/>
  <c r="BD400" i="2"/>
  <c r="BE400" i="2" s="1"/>
  <c r="BC400" i="2"/>
  <c r="BA400" i="2"/>
  <c r="AX400" i="2"/>
  <c r="AW400" i="2"/>
  <c r="AU400" i="2"/>
  <c r="AS400" i="2"/>
  <c r="AP400" i="2"/>
  <c r="AN400" i="2"/>
  <c r="AL400" i="2"/>
  <c r="AJ400" i="2"/>
  <c r="AH400" i="2"/>
  <c r="AF400" i="2"/>
  <c r="AD400" i="2"/>
  <c r="AB400" i="2"/>
  <c r="Z400" i="2"/>
  <c r="X400" i="2"/>
  <c r="U400" i="2"/>
  <c r="S400" i="2"/>
  <c r="Q400" i="2"/>
  <c r="O400" i="2"/>
  <c r="M400" i="2"/>
  <c r="K400" i="2"/>
  <c r="I400" i="2"/>
  <c r="G400" i="2"/>
  <c r="E400" i="2"/>
  <c r="C400" i="2"/>
  <c r="BJ399" i="2"/>
  <c r="BI399" i="2"/>
  <c r="BG399" i="2"/>
  <c r="BD399" i="2"/>
  <c r="BC399" i="2"/>
  <c r="BA399" i="2"/>
  <c r="AX399" i="2"/>
  <c r="AW399" i="2"/>
  <c r="AU399" i="2"/>
  <c r="AS399" i="2"/>
  <c r="AP399" i="2"/>
  <c r="AN399" i="2"/>
  <c r="AL399" i="2"/>
  <c r="AJ399" i="2"/>
  <c r="AH399" i="2"/>
  <c r="AF399" i="2"/>
  <c r="AD399" i="2"/>
  <c r="AB399" i="2"/>
  <c r="Z399" i="2"/>
  <c r="X399" i="2"/>
  <c r="U399" i="2"/>
  <c r="S399" i="2"/>
  <c r="Q399" i="2"/>
  <c r="O399" i="2"/>
  <c r="M399" i="2"/>
  <c r="K399" i="2"/>
  <c r="I399" i="2"/>
  <c r="G399" i="2"/>
  <c r="E399" i="2"/>
  <c r="C399" i="2"/>
  <c r="BJ398" i="2"/>
  <c r="BI398" i="2"/>
  <c r="BG398" i="2"/>
  <c r="BD398" i="2"/>
  <c r="BC398" i="2"/>
  <c r="BA398" i="2"/>
  <c r="AX398" i="2"/>
  <c r="AW398" i="2"/>
  <c r="AU398" i="2"/>
  <c r="AS398" i="2"/>
  <c r="AP398" i="2"/>
  <c r="AN398" i="2"/>
  <c r="AL398" i="2"/>
  <c r="AJ398" i="2"/>
  <c r="AH398" i="2"/>
  <c r="AF398" i="2"/>
  <c r="AD398" i="2"/>
  <c r="AB398" i="2"/>
  <c r="Z398" i="2"/>
  <c r="X398" i="2"/>
  <c r="U398" i="2"/>
  <c r="S398" i="2"/>
  <c r="Q398" i="2"/>
  <c r="O398" i="2"/>
  <c r="M398" i="2"/>
  <c r="K398" i="2"/>
  <c r="I398" i="2"/>
  <c r="G398" i="2"/>
  <c r="E398" i="2"/>
  <c r="C398" i="2"/>
  <c r="BJ397" i="2"/>
  <c r="BK397" i="2" s="1"/>
  <c r="BI397" i="2"/>
  <c r="BG397" i="2"/>
  <c r="BE397" i="2"/>
  <c r="BD397" i="2"/>
  <c r="BC397" i="2"/>
  <c r="BA397" i="2"/>
  <c r="AX397" i="2"/>
  <c r="AW397" i="2"/>
  <c r="AU397" i="2"/>
  <c r="AS397" i="2"/>
  <c r="AP397" i="2"/>
  <c r="AN397" i="2"/>
  <c r="AL397" i="2"/>
  <c r="AJ397" i="2"/>
  <c r="AH397" i="2"/>
  <c r="AF397" i="2"/>
  <c r="AD397" i="2"/>
  <c r="AB397" i="2"/>
  <c r="Z397" i="2"/>
  <c r="X397" i="2"/>
  <c r="U397" i="2"/>
  <c r="S397" i="2"/>
  <c r="Q397" i="2"/>
  <c r="O397" i="2"/>
  <c r="M397" i="2"/>
  <c r="K397" i="2"/>
  <c r="I397" i="2"/>
  <c r="G397" i="2"/>
  <c r="E397" i="2"/>
  <c r="C397" i="2"/>
  <c r="BK396" i="2"/>
  <c r="BJ396" i="2"/>
  <c r="BI396" i="2"/>
  <c r="BG396" i="2"/>
  <c r="BD396" i="2"/>
  <c r="BC396" i="2"/>
  <c r="BA396" i="2"/>
  <c r="AX396" i="2"/>
  <c r="AY397" i="2" s="1"/>
  <c r="AW396" i="2"/>
  <c r="AU396" i="2"/>
  <c r="AS396" i="2"/>
  <c r="AP396" i="2"/>
  <c r="AN396" i="2"/>
  <c r="AL396" i="2"/>
  <c r="AJ396" i="2"/>
  <c r="AH396" i="2"/>
  <c r="AF396" i="2"/>
  <c r="AD396" i="2"/>
  <c r="AB396" i="2"/>
  <c r="Z396" i="2"/>
  <c r="X396" i="2"/>
  <c r="U396" i="2"/>
  <c r="S396" i="2"/>
  <c r="Q396" i="2"/>
  <c r="O396" i="2"/>
  <c r="M396" i="2"/>
  <c r="K396" i="2"/>
  <c r="I396" i="2"/>
  <c r="G396" i="2"/>
  <c r="E396" i="2"/>
  <c r="C396" i="2"/>
  <c r="BJ395" i="2"/>
  <c r="BI395" i="2"/>
  <c r="BG395" i="2"/>
  <c r="BD395" i="2"/>
  <c r="BE395" i="2" s="1"/>
  <c r="BC395" i="2"/>
  <c r="BA395" i="2"/>
  <c r="AX395" i="2"/>
  <c r="AY396" i="2" s="1"/>
  <c r="AW395" i="2"/>
  <c r="AU395" i="2"/>
  <c r="AS395" i="2"/>
  <c r="AP395" i="2"/>
  <c r="AN395" i="2"/>
  <c r="AL395" i="2"/>
  <c r="AJ395" i="2"/>
  <c r="AH395" i="2"/>
  <c r="AF395" i="2"/>
  <c r="AD395" i="2"/>
  <c r="AB395" i="2"/>
  <c r="Z395" i="2"/>
  <c r="X395" i="2"/>
  <c r="U395" i="2"/>
  <c r="S395" i="2"/>
  <c r="Q395" i="2"/>
  <c r="O395" i="2"/>
  <c r="M395" i="2"/>
  <c r="K395" i="2"/>
  <c r="I395" i="2"/>
  <c r="G395" i="2"/>
  <c r="E395" i="2"/>
  <c r="C395" i="2"/>
  <c r="BJ394" i="2"/>
  <c r="BK394" i="2" s="1"/>
  <c r="BI394" i="2"/>
  <c r="BG394" i="2"/>
  <c r="BD394" i="2"/>
  <c r="BC394" i="2"/>
  <c r="BA394" i="2"/>
  <c r="AX394" i="2"/>
  <c r="AW394" i="2"/>
  <c r="AU394" i="2"/>
  <c r="AS394" i="2"/>
  <c r="AP394" i="2"/>
  <c r="AN394" i="2"/>
  <c r="AL394" i="2"/>
  <c r="AJ394" i="2"/>
  <c r="AH394" i="2"/>
  <c r="AF394" i="2"/>
  <c r="AD394" i="2"/>
  <c r="AB394" i="2"/>
  <c r="Z394" i="2"/>
  <c r="X394" i="2"/>
  <c r="U394" i="2"/>
  <c r="S394" i="2"/>
  <c r="Q394" i="2"/>
  <c r="O394" i="2"/>
  <c r="M394" i="2"/>
  <c r="K394" i="2"/>
  <c r="I394" i="2"/>
  <c r="G394" i="2"/>
  <c r="E394" i="2"/>
  <c r="C394" i="2"/>
  <c r="BJ393" i="2"/>
  <c r="BI393" i="2"/>
  <c r="BG393" i="2"/>
  <c r="BD393" i="2"/>
  <c r="BE394" i="2" s="1"/>
  <c r="BC393" i="2"/>
  <c r="BA393" i="2"/>
  <c r="AX393" i="2"/>
  <c r="AY394" i="2" s="1"/>
  <c r="AW393" i="2"/>
  <c r="AU393" i="2"/>
  <c r="AS393" i="2"/>
  <c r="AP393" i="2"/>
  <c r="AN393" i="2"/>
  <c r="AL393" i="2"/>
  <c r="AJ393" i="2"/>
  <c r="AH393" i="2"/>
  <c r="AF393" i="2"/>
  <c r="AD393" i="2"/>
  <c r="AB393" i="2"/>
  <c r="Z393" i="2"/>
  <c r="X393" i="2"/>
  <c r="U393" i="2"/>
  <c r="S393" i="2"/>
  <c r="Q393" i="2"/>
  <c r="O393" i="2"/>
  <c r="M393" i="2"/>
  <c r="K393" i="2"/>
  <c r="I393" i="2"/>
  <c r="G393" i="2"/>
  <c r="E393" i="2"/>
  <c r="C393" i="2"/>
  <c r="BJ392" i="2"/>
  <c r="BK392" i="2" s="1"/>
  <c r="BI392" i="2"/>
  <c r="BG392" i="2"/>
  <c r="BD392" i="2"/>
  <c r="BC392" i="2"/>
  <c r="BA392" i="2"/>
  <c r="AX392" i="2"/>
  <c r="AW392" i="2"/>
  <c r="AU392" i="2"/>
  <c r="AS392" i="2"/>
  <c r="AP392" i="2"/>
  <c r="AN392" i="2"/>
  <c r="AL392" i="2"/>
  <c r="AJ392" i="2"/>
  <c r="AH392" i="2"/>
  <c r="AF392" i="2"/>
  <c r="AD392" i="2"/>
  <c r="AB392" i="2"/>
  <c r="Z392" i="2"/>
  <c r="X392" i="2"/>
  <c r="U392" i="2"/>
  <c r="S392" i="2"/>
  <c r="Q392" i="2"/>
  <c r="O392" i="2"/>
  <c r="M392" i="2"/>
  <c r="K392" i="2"/>
  <c r="I392" i="2"/>
  <c r="G392" i="2"/>
  <c r="E392" i="2"/>
  <c r="C392" i="2"/>
  <c r="BJ391" i="2"/>
  <c r="BI391" i="2"/>
  <c r="BG391" i="2"/>
  <c r="BD391" i="2"/>
  <c r="BC391" i="2"/>
  <c r="BA391" i="2"/>
  <c r="AX391" i="2"/>
  <c r="AW391" i="2"/>
  <c r="AU391" i="2"/>
  <c r="AS391" i="2"/>
  <c r="AP391" i="2"/>
  <c r="AN391" i="2"/>
  <c r="AL391" i="2"/>
  <c r="AJ391" i="2"/>
  <c r="AH391" i="2"/>
  <c r="AF391" i="2"/>
  <c r="AD391" i="2"/>
  <c r="AB391" i="2"/>
  <c r="Z391" i="2"/>
  <c r="X391" i="2"/>
  <c r="U391" i="2"/>
  <c r="S391" i="2"/>
  <c r="Q391" i="2"/>
  <c r="O391" i="2"/>
  <c r="M391" i="2"/>
  <c r="K391" i="2"/>
  <c r="I391" i="2"/>
  <c r="G391" i="2"/>
  <c r="E391" i="2"/>
  <c r="C391" i="2"/>
  <c r="BJ390" i="2"/>
  <c r="BI390" i="2"/>
  <c r="BG390" i="2"/>
  <c r="BD390" i="2"/>
  <c r="BE390" i="2" s="1"/>
  <c r="BC390" i="2"/>
  <c r="BA390" i="2"/>
  <c r="AX390" i="2"/>
  <c r="AW390" i="2"/>
  <c r="AU390" i="2"/>
  <c r="AS390" i="2"/>
  <c r="AP390" i="2"/>
  <c r="AN390" i="2"/>
  <c r="AL390" i="2"/>
  <c r="AJ390" i="2"/>
  <c r="AH390" i="2"/>
  <c r="AF390" i="2"/>
  <c r="AD390" i="2"/>
  <c r="AB390" i="2"/>
  <c r="Z390" i="2"/>
  <c r="X390" i="2"/>
  <c r="U390" i="2"/>
  <c r="S390" i="2"/>
  <c r="Q390" i="2"/>
  <c r="O390" i="2"/>
  <c r="M390" i="2"/>
  <c r="K390" i="2"/>
  <c r="I390" i="2"/>
  <c r="G390" i="2"/>
  <c r="E390" i="2"/>
  <c r="C390" i="2"/>
  <c r="BJ389" i="2"/>
  <c r="BI389" i="2"/>
  <c r="BG389" i="2"/>
  <c r="BD389" i="2"/>
  <c r="BC389" i="2"/>
  <c r="BA389" i="2"/>
  <c r="AX389" i="2"/>
  <c r="AW389" i="2"/>
  <c r="AU389" i="2"/>
  <c r="AS389" i="2"/>
  <c r="AP389" i="2"/>
  <c r="AN389" i="2"/>
  <c r="AL389" i="2"/>
  <c r="AJ389" i="2"/>
  <c r="AH389" i="2"/>
  <c r="AF389" i="2"/>
  <c r="AD389" i="2"/>
  <c r="AB389" i="2"/>
  <c r="Z389" i="2"/>
  <c r="X389" i="2"/>
  <c r="U389" i="2"/>
  <c r="S389" i="2"/>
  <c r="Q389" i="2"/>
  <c r="O389" i="2"/>
  <c r="M389" i="2"/>
  <c r="K389" i="2"/>
  <c r="I389" i="2"/>
  <c r="G389" i="2"/>
  <c r="E389" i="2"/>
  <c r="C389" i="2"/>
  <c r="BJ388" i="2"/>
  <c r="BI388" i="2"/>
  <c r="BG388" i="2"/>
  <c r="BD388" i="2"/>
  <c r="BC388" i="2"/>
  <c r="BA388" i="2"/>
  <c r="AX388" i="2"/>
  <c r="AW388" i="2"/>
  <c r="AU388" i="2"/>
  <c r="AS388" i="2"/>
  <c r="AP388" i="2"/>
  <c r="AN388" i="2"/>
  <c r="AL388" i="2"/>
  <c r="AJ388" i="2"/>
  <c r="AH388" i="2"/>
  <c r="AF388" i="2"/>
  <c r="AD388" i="2"/>
  <c r="AB388" i="2"/>
  <c r="Z388" i="2"/>
  <c r="X388" i="2"/>
  <c r="U388" i="2"/>
  <c r="S388" i="2"/>
  <c r="Q388" i="2"/>
  <c r="O388" i="2"/>
  <c r="M388" i="2"/>
  <c r="K388" i="2"/>
  <c r="I388" i="2"/>
  <c r="G388" i="2"/>
  <c r="E388" i="2"/>
  <c r="C388" i="2"/>
  <c r="BJ387" i="2"/>
  <c r="BK388" i="2" s="1"/>
  <c r="BI387" i="2"/>
  <c r="BG387" i="2"/>
  <c r="BD387" i="2"/>
  <c r="BC387" i="2"/>
  <c r="BA387" i="2"/>
  <c r="AX387" i="2"/>
  <c r="AW387" i="2"/>
  <c r="AU387" i="2"/>
  <c r="AS387" i="2"/>
  <c r="AP387" i="2"/>
  <c r="AN387" i="2"/>
  <c r="AL387" i="2"/>
  <c r="AJ387" i="2"/>
  <c r="AH387" i="2"/>
  <c r="AF387" i="2"/>
  <c r="AD387" i="2"/>
  <c r="AB387" i="2"/>
  <c r="Z387" i="2"/>
  <c r="X387" i="2"/>
  <c r="U387" i="2"/>
  <c r="S387" i="2"/>
  <c r="Q387" i="2"/>
  <c r="O387" i="2"/>
  <c r="M387" i="2"/>
  <c r="K387" i="2"/>
  <c r="I387" i="2"/>
  <c r="G387" i="2"/>
  <c r="E387" i="2"/>
  <c r="C387" i="2"/>
  <c r="BJ386" i="2"/>
  <c r="BI386" i="2"/>
  <c r="BG386" i="2"/>
  <c r="BD386" i="2"/>
  <c r="BC386" i="2"/>
  <c r="BA386" i="2"/>
  <c r="AX386" i="2"/>
  <c r="AW386" i="2"/>
  <c r="AU386" i="2"/>
  <c r="AS386" i="2"/>
  <c r="AP386" i="2"/>
  <c r="AN386" i="2"/>
  <c r="AL386" i="2"/>
  <c r="AJ386" i="2"/>
  <c r="AH386" i="2"/>
  <c r="AF386" i="2"/>
  <c r="AD386" i="2"/>
  <c r="AB386" i="2"/>
  <c r="Z386" i="2"/>
  <c r="X386" i="2"/>
  <c r="U386" i="2"/>
  <c r="S386" i="2"/>
  <c r="Q386" i="2"/>
  <c r="O386" i="2"/>
  <c r="M386" i="2"/>
  <c r="K386" i="2"/>
  <c r="I386" i="2"/>
  <c r="G386" i="2"/>
  <c r="E386" i="2"/>
  <c r="C386" i="2"/>
  <c r="BJ385" i="2"/>
  <c r="BI385" i="2"/>
  <c r="BG385" i="2"/>
  <c r="BD385" i="2"/>
  <c r="BC385" i="2"/>
  <c r="BA385" i="2"/>
  <c r="AX385" i="2"/>
  <c r="AY386" i="2" s="1"/>
  <c r="AW385" i="2"/>
  <c r="AU385" i="2"/>
  <c r="AS385" i="2"/>
  <c r="AP385" i="2"/>
  <c r="AN385" i="2"/>
  <c r="AL385" i="2"/>
  <c r="AJ385" i="2"/>
  <c r="AH385" i="2"/>
  <c r="AF385" i="2"/>
  <c r="AD385" i="2"/>
  <c r="AB385" i="2"/>
  <c r="Z385" i="2"/>
  <c r="X385" i="2"/>
  <c r="U385" i="2"/>
  <c r="S385" i="2"/>
  <c r="Q385" i="2"/>
  <c r="O385" i="2"/>
  <c r="M385" i="2"/>
  <c r="K385" i="2"/>
  <c r="I385" i="2"/>
  <c r="G385" i="2"/>
  <c r="E385" i="2"/>
  <c r="C385" i="2"/>
  <c r="BJ384" i="2"/>
  <c r="BK384" i="2" s="1"/>
  <c r="BI384" i="2"/>
  <c r="BG384" i="2"/>
  <c r="BD384" i="2"/>
  <c r="BC384" i="2"/>
  <c r="BA384" i="2"/>
  <c r="AX384" i="2"/>
  <c r="AY384" i="2" s="1"/>
  <c r="AW384" i="2"/>
  <c r="AU384" i="2"/>
  <c r="AS384" i="2"/>
  <c r="AP384" i="2"/>
  <c r="AN384" i="2"/>
  <c r="AL384" i="2"/>
  <c r="AJ384" i="2"/>
  <c r="AH384" i="2"/>
  <c r="AF384" i="2"/>
  <c r="AD384" i="2"/>
  <c r="AB384" i="2"/>
  <c r="Z384" i="2"/>
  <c r="X384" i="2"/>
  <c r="U384" i="2"/>
  <c r="S384" i="2"/>
  <c r="Q384" i="2"/>
  <c r="O384" i="2"/>
  <c r="M384" i="2"/>
  <c r="K384" i="2"/>
  <c r="I384" i="2"/>
  <c r="G384" i="2"/>
  <c r="E384" i="2"/>
  <c r="C384" i="2"/>
  <c r="BJ383" i="2"/>
  <c r="BI383" i="2"/>
  <c r="BG383" i="2"/>
  <c r="BD383" i="2"/>
  <c r="BC383" i="2"/>
  <c r="BA383" i="2"/>
  <c r="AX383" i="2"/>
  <c r="AY383" i="2" s="1"/>
  <c r="AW383" i="2"/>
  <c r="AU383" i="2"/>
  <c r="AS383" i="2"/>
  <c r="AP383" i="2"/>
  <c r="AN383" i="2"/>
  <c r="AL383" i="2"/>
  <c r="AJ383" i="2"/>
  <c r="AH383" i="2"/>
  <c r="AF383" i="2"/>
  <c r="AD383" i="2"/>
  <c r="AB383" i="2"/>
  <c r="Z383" i="2"/>
  <c r="X383" i="2"/>
  <c r="U383" i="2"/>
  <c r="S383" i="2"/>
  <c r="Q383" i="2"/>
  <c r="O383" i="2"/>
  <c r="M383" i="2"/>
  <c r="K383" i="2"/>
  <c r="I383" i="2"/>
  <c r="G383" i="2"/>
  <c r="E383" i="2"/>
  <c r="C383" i="2"/>
  <c r="BJ382" i="2"/>
  <c r="BK382" i="2" s="1"/>
  <c r="BI382" i="2"/>
  <c r="BG382" i="2"/>
  <c r="BD382" i="2"/>
  <c r="BE382" i="2" s="1"/>
  <c r="BC382" i="2"/>
  <c r="BA382" i="2"/>
  <c r="AX382" i="2"/>
  <c r="AW382" i="2"/>
  <c r="AU382" i="2"/>
  <c r="AS382" i="2"/>
  <c r="AP382" i="2"/>
  <c r="AN382" i="2"/>
  <c r="AL382" i="2"/>
  <c r="AJ382" i="2"/>
  <c r="AH382" i="2"/>
  <c r="AF382" i="2"/>
  <c r="AD382" i="2"/>
  <c r="AB382" i="2"/>
  <c r="Z382" i="2"/>
  <c r="X382" i="2"/>
  <c r="U382" i="2"/>
  <c r="S382" i="2"/>
  <c r="Q382" i="2"/>
  <c r="O382" i="2"/>
  <c r="M382" i="2"/>
  <c r="K382" i="2"/>
  <c r="I382" i="2"/>
  <c r="G382" i="2"/>
  <c r="E382" i="2"/>
  <c r="C382" i="2"/>
  <c r="BJ381" i="2"/>
  <c r="BI381" i="2"/>
  <c r="BG381" i="2"/>
  <c r="BD381" i="2"/>
  <c r="BC381" i="2"/>
  <c r="BA381" i="2"/>
  <c r="AX381" i="2"/>
  <c r="AY382" i="2" s="1"/>
  <c r="AW381" i="2"/>
  <c r="AU381" i="2"/>
  <c r="AS381" i="2"/>
  <c r="AP381" i="2"/>
  <c r="AN381" i="2"/>
  <c r="AL381" i="2"/>
  <c r="AJ381" i="2"/>
  <c r="AH381" i="2"/>
  <c r="AF381" i="2"/>
  <c r="AD381" i="2"/>
  <c r="AB381" i="2"/>
  <c r="Z381" i="2"/>
  <c r="X381" i="2"/>
  <c r="U381" i="2"/>
  <c r="S381" i="2"/>
  <c r="Q381" i="2"/>
  <c r="O381" i="2"/>
  <c r="M381" i="2"/>
  <c r="K381" i="2"/>
  <c r="I381" i="2"/>
  <c r="G381" i="2"/>
  <c r="E381" i="2"/>
  <c r="C381" i="2"/>
  <c r="BJ380" i="2"/>
  <c r="BI380" i="2"/>
  <c r="BG380" i="2"/>
  <c r="BD380" i="2"/>
  <c r="BC380" i="2"/>
  <c r="BA380" i="2"/>
  <c r="AX380" i="2"/>
  <c r="AY381" i="2" s="1"/>
  <c r="AW380" i="2"/>
  <c r="AU380" i="2"/>
  <c r="AS380" i="2"/>
  <c r="AP380" i="2"/>
  <c r="AN380" i="2"/>
  <c r="AL380" i="2"/>
  <c r="AJ380" i="2"/>
  <c r="AH380" i="2"/>
  <c r="AF380" i="2"/>
  <c r="AD380" i="2"/>
  <c r="AB380" i="2"/>
  <c r="Z380" i="2"/>
  <c r="X380" i="2"/>
  <c r="U380" i="2"/>
  <c r="S380" i="2"/>
  <c r="Q380" i="2"/>
  <c r="O380" i="2"/>
  <c r="M380" i="2"/>
  <c r="K380" i="2"/>
  <c r="I380" i="2"/>
  <c r="G380" i="2"/>
  <c r="E380" i="2"/>
  <c r="C380" i="2"/>
  <c r="BJ379" i="2"/>
  <c r="BK379" i="2" s="1"/>
  <c r="BI379" i="2"/>
  <c r="BG379" i="2"/>
  <c r="BD379" i="2"/>
  <c r="BE379" i="2" s="1"/>
  <c r="BC379" i="2"/>
  <c r="BA379" i="2"/>
  <c r="AX379" i="2"/>
  <c r="AW379" i="2"/>
  <c r="AU379" i="2"/>
  <c r="AS379" i="2"/>
  <c r="AP379" i="2"/>
  <c r="AN379" i="2"/>
  <c r="AL379" i="2"/>
  <c r="AJ379" i="2"/>
  <c r="AH379" i="2"/>
  <c r="AF379" i="2"/>
  <c r="AD379" i="2"/>
  <c r="AB379" i="2"/>
  <c r="Z379" i="2"/>
  <c r="X379" i="2"/>
  <c r="U379" i="2"/>
  <c r="S379" i="2"/>
  <c r="Q379" i="2"/>
  <c r="O379" i="2"/>
  <c r="M379" i="2"/>
  <c r="K379" i="2"/>
  <c r="I379" i="2"/>
  <c r="G379" i="2"/>
  <c r="E379" i="2"/>
  <c r="C379" i="2"/>
  <c r="BJ378" i="2"/>
  <c r="BI378" i="2"/>
  <c r="BG378" i="2"/>
  <c r="BD378" i="2"/>
  <c r="BC378" i="2"/>
  <c r="BA378" i="2"/>
  <c r="AY378" i="2"/>
  <c r="AX378" i="2"/>
  <c r="AW378" i="2"/>
  <c r="AU378" i="2"/>
  <c r="AS378" i="2"/>
  <c r="AP378" i="2"/>
  <c r="AN378" i="2"/>
  <c r="AL378" i="2"/>
  <c r="AJ378" i="2"/>
  <c r="AH378" i="2"/>
  <c r="AF378" i="2"/>
  <c r="AD378" i="2"/>
  <c r="AB378" i="2"/>
  <c r="Z378" i="2"/>
  <c r="X378" i="2"/>
  <c r="U378" i="2"/>
  <c r="S378" i="2"/>
  <c r="Q378" i="2"/>
  <c r="O378" i="2"/>
  <c r="M378" i="2"/>
  <c r="K378" i="2"/>
  <c r="I378" i="2"/>
  <c r="G378" i="2"/>
  <c r="E378" i="2"/>
  <c r="C378" i="2"/>
  <c r="BJ377" i="2"/>
  <c r="BI377" i="2"/>
  <c r="BG377" i="2"/>
  <c r="BD377" i="2"/>
  <c r="BC377" i="2"/>
  <c r="BA377" i="2"/>
  <c r="AX377" i="2"/>
  <c r="AW377" i="2"/>
  <c r="AU377" i="2"/>
  <c r="AS377" i="2"/>
  <c r="AP377" i="2"/>
  <c r="AN377" i="2"/>
  <c r="AL377" i="2"/>
  <c r="AJ377" i="2"/>
  <c r="AH377" i="2"/>
  <c r="AF377" i="2"/>
  <c r="AD377" i="2"/>
  <c r="AB377" i="2"/>
  <c r="Z377" i="2"/>
  <c r="X377" i="2"/>
  <c r="U377" i="2"/>
  <c r="S377" i="2"/>
  <c r="Q377" i="2"/>
  <c r="O377" i="2"/>
  <c r="M377" i="2"/>
  <c r="K377" i="2"/>
  <c r="I377" i="2"/>
  <c r="G377" i="2"/>
  <c r="E377" i="2"/>
  <c r="C377" i="2"/>
  <c r="BJ376" i="2"/>
  <c r="BK376" i="2" s="1"/>
  <c r="BI376" i="2"/>
  <c r="BG376" i="2"/>
  <c r="BD376" i="2"/>
  <c r="BC376" i="2"/>
  <c r="BA376" i="2"/>
  <c r="AX376" i="2"/>
  <c r="AW376" i="2"/>
  <c r="AU376" i="2"/>
  <c r="AS376" i="2"/>
  <c r="AP376" i="2"/>
  <c r="AN376" i="2"/>
  <c r="AL376" i="2"/>
  <c r="AJ376" i="2"/>
  <c r="AH376" i="2"/>
  <c r="AF376" i="2"/>
  <c r="AD376" i="2"/>
  <c r="AB376" i="2"/>
  <c r="Z376" i="2"/>
  <c r="X376" i="2"/>
  <c r="U376" i="2"/>
  <c r="S376" i="2"/>
  <c r="Q376" i="2"/>
  <c r="O376" i="2"/>
  <c r="M376" i="2"/>
  <c r="K376" i="2"/>
  <c r="I376" i="2"/>
  <c r="G376" i="2"/>
  <c r="E376" i="2"/>
  <c r="C376" i="2"/>
  <c r="BJ375" i="2"/>
  <c r="BI375" i="2"/>
  <c r="BG375" i="2"/>
  <c r="BD375" i="2"/>
  <c r="BC375" i="2"/>
  <c r="BA375" i="2"/>
  <c r="AX375" i="2"/>
  <c r="AW375" i="2"/>
  <c r="AU375" i="2"/>
  <c r="AS375" i="2"/>
  <c r="AP375" i="2"/>
  <c r="AN375" i="2"/>
  <c r="AL375" i="2"/>
  <c r="AJ375" i="2"/>
  <c r="AH375" i="2"/>
  <c r="AF375" i="2"/>
  <c r="AD375" i="2"/>
  <c r="AB375" i="2"/>
  <c r="Z375" i="2"/>
  <c r="X375" i="2"/>
  <c r="U375" i="2"/>
  <c r="S375" i="2"/>
  <c r="Q375" i="2"/>
  <c r="O375" i="2"/>
  <c r="M375" i="2"/>
  <c r="K375" i="2"/>
  <c r="I375" i="2"/>
  <c r="G375" i="2"/>
  <c r="E375" i="2"/>
  <c r="C375" i="2"/>
  <c r="BJ374" i="2"/>
  <c r="BK374" i="2" s="1"/>
  <c r="BI374" i="2"/>
  <c r="BG374" i="2"/>
  <c r="BD374" i="2"/>
  <c r="BC374" i="2"/>
  <c r="BA374" i="2"/>
  <c r="AX374" i="2"/>
  <c r="AY374" i="2" s="1"/>
  <c r="AW374" i="2"/>
  <c r="AU374" i="2"/>
  <c r="AS374" i="2"/>
  <c r="AP374" i="2"/>
  <c r="AN374" i="2"/>
  <c r="AL374" i="2"/>
  <c r="AJ374" i="2"/>
  <c r="AH374" i="2"/>
  <c r="AF374" i="2"/>
  <c r="AD374" i="2"/>
  <c r="AB374" i="2"/>
  <c r="Z374" i="2"/>
  <c r="X374" i="2"/>
  <c r="U374" i="2"/>
  <c r="S374" i="2"/>
  <c r="Q374" i="2"/>
  <c r="O374" i="2"/>
  <c r="M374" i="2"/>
  <c r="K374" i="2"/>
  <c r="I374" i="2"/>
  <c r="G374" i="2"/>
  <c r="E374" i="2"/>
  <c r="C374" i="2"/>
  <c r="BJ373" i="2"/>
  <c r="BI373" i="2"/>
  <c r="BG373" i="2"/>
  <c r="BD373" i="2"/>
  <c r="BC373" i="2"/>
  <c r="BA373" i="2"/>
  <c r="AX373" i="2"/>
  <c r="AW373" i="2"/>
  <c r="AU373" i="2"/>
  <c r="AS373" i="2"/>
  <c r="AP373" i="2"/>
  <c r="AN373" i="2"/>
  <c r="AL373" i="2"/>
  <c r="AJ373" i="2"/>
  <c r="AH373" i="2"/>
  <c r="AF373" i="2"/>
  <c r="AD373" i="2"/>
  <c r="AB373" i="2"/>
  <c r="Z373" i="2"/>
  <c r="X373" i="2"/>
  <c r="U373" i="2"/>
  <c r="S373" i="2"/>
  <c r="Q373" i="2"/>
  <c r="O373" i="2"/>
  <c r="M373" i="2"/>
  <c r="K373" i="2"/>
  <c r="I373" i="2"/>
  <c r="G373" i="2"/>
  <c r="E373" i="2"/>
  <c r="C373" i="2"/>
  <c r="BJ372" i="2"/>
  <c r="BI372" i="2"/>
  <c r="BG372" i="2"/>
  <c r="BD372" i="2"/>
  <c r="BC372" i="2"/>
  <c r="BA372" i="2"/>
  <c r="AX372" i="2"/>
  <c r="AW372" i="2"/>
  <c r="AU372" i="2"/>
  <c r="AS372" i="2"/>
  <c r="AP372" i="2"/>
  <c r="AN372" i="2"/>
  <c r="AL372" i="2"/>
  <c r="AJ372" i="2"/>
  <c r="AH372" i="2"/>
  <c r="AF372" i="2"/>
  <c r="AD372" i="2"/>
  <c r="AB372" i="2"/>
  <c r="Z372" i="2"/>
  <c r="X372" i="2"/>
  <c r="U372" i="2"/>
  <c r="S372" i="2"/>
  <c r="Q372" i="2"/>
  <c r="O372" i="2"/>
  <c r="M372" i="2"/>
  <c r="K372" i="2"/>
  <c r="I372" i="2"/>
  <c r="G372" i="2"/>
  <c r="E372" i="2"/>
  <c r="C372" i="2"/>
  <c r="BJ371" i="2"/>
  <c r="BK371" i="2" s="1"/>
  <c r="BI371" i="2"/>
  <c r="BG371" i="2"/>
  <c r="BD371" i="2"/>
  <c r="BE371" i="2" s="1"/>
  <c r="BC371" i="2"/>
  <c r="BA371" i="2"/>
  <c r="AX371" i="2"/>
  <c r="AW371" i="2"/>
  <c r="AU371" i="2"/>
  <c r="AS371" i="2"/>
  <c r="AP371" i="2"/>
  <c r="AN371" i="2"/>
  <c r="AL371" i="2"/>
  <c r="AJ371" i="2"/>
  <c r="AH371" i="2"/>
  <c r="AF371" i="2"/>
  <c r="AD371" i="2"/>
  <c r="AB371" i="2"/>
  <c r="Z371" i="2"/>
  <c r="X371" i="2"/>
  <c r="U371" i="2"/>
  <c r="S371" i="2"/>
  <c r="Q371" i="2"/>
  <c r="O371" i="2"/>
  <c r="M371" i="2"/>
  <c r="K371" i="2"/>
  <c r="I371" i="2"/>
  <c r="G371" i="2"/>
  <c r="E371" i="2"/>
  <c r="C371" i="2"/>
  <c r="BJ370" i="2"/>
  <c r="BI370" i="2"/>
  <c r="BG370" i="2"/>
  <c r="BE370" i="2"/>
  <c r="BD370" i="2"/>
  <c r="BC370" i="2"/>
  <c r="BA370" i="2"/>
  <c r="AX370" i="2"/>
  <c r="AY370" i="2" s="1"/>
  <c r="AW370" i="2"/>
  <c r="AU370" i="2"/>
  <c r="AS370" i="2"/>
  <c r="AP370" i="2"/>
  <c r="AN370" i="2"/>
  <c r="AL370" i="2"/>
  <c r="AJ370" i="2"/>
  <c r="AH370" i="2"/>
  <c r="AF370" i="2"/>
  <c r="AD370" i="2"/>
  <c r="AB370" i="2"/>
  <c r="Z370" i="2"/>
  <c r="X370" i="2"/>
  <c r="U370" i="2"/>
  <c r="S370" i="2"/>
  <c r="Q370" i="2"/>
  <c r="O370" i="2"/>
  <c r="M370" i="2"/>
  <c r="K370" i="2"/>
  <c r="I370" i="2"/>
  <c r="G370" i="2"/>
  <c r="E370" i="2"/>
  <c r="C370" i="2"/>
  <c r="BJ369" i="2"/>
  <c r="BI369" i="2"/>
  <c r="BG369" i="2"/>
  <c r="BD369" i="2"/>
  <c r="BC369" i="2"/>
  <c r="BA369" i="2"/>
  <c r="AX369" i="2"/>
  <c r="AW369" i="2"/>
  <c r="AU369" i="2"/>
  <c r="AS369" i="2"/>
  <c r="AP369" i="2"/>
  <c r="AN369" i="2"/>
  <c r="AL369" i="2"/>
  <c r="AJ369" i="2"/>
  <c r="AH369" i="2"/>
  <c r="AF369" i="2"/>
  <c r="AD369" i="2"/>
  <c r="AB369" i="2"/>
  <c r="Z369" i="2"/>
  <c r="X369" i="2"/>
  <c r="U369" i="2"/>
  <c r="S369" i="2"/>
  <c r="Q369" i="2"/>
  <c r="O369" i="2"/>
  <c r="M369" i="2"/>
  <c r="K369" i="2"/>
  <c r="I369" i="2"/>
  <c r="G369" i="2"/>
  <c r="E369" i="2"/>
  <c r="C369" i="2"/>
  <c r="BJ368" i="2"/>
  <c r="BI368" i="2"/>
  <c r="BG368" i="2"/>
  <c r="BD368" i="2"/>
  <c r="BC368" i="2"/>
  <c r="BA368" i="2"/>
  <c r="AX368" i="2"/>
  <c r="AY368" i="2" s="1"/>
  <c r="AW368" i="2"/>
  <c r="AU368" i="2"/>
  <c r="AS368" i="2"/>
  <c r="AP368" i="2"/>
  <c r="AN368" i="2"/>
  <c r="AL368" i="2"/>
  <c r="AJ368" i="2"/>
  <c r="AH368" i="2"/>
  <c r="AF368" i="2"/>
  <c r="AD368" i="2"/>
  <c r="AB368" i="2"/>
  <c r="Z368" i="2"/>
  <c r="X368" i="2"/>
  <c r="U368" i="2"/>
  <c r="S368" i="2"/>
  <c r="Q368" i="2"/>
  <c r="O368" i="2"/>
  <c r="M368" i="2"/>
  <c r="K368" i="2"/>
  <c r="I368" i="2"/>
  <c r="G368" i="2"/>
  <c r="E368" i="2"/>
  <c r="C368" i="2"/>
  <c r="BJ367" i="2"/>
  <c r="BK367" i="2" s="1"/>
  <c r="BI367" i="2"/>
  <c r="BG367" i="2"/>
  <c r="BD367" i="2"/>
  <c r="BC367" i="2"/>
  <c r="BA367" i="2"/>
  <c r="AX367" i="2"/>
  <c r="AW367" i="2"/>
  <c r="AU367" i="2"/>
  <c r="AS367" i="2"/>
  <c r="AP367" i="2"/>
  <c r="AN367" i="2"/>
  <c r="AL367" i="2"/>
  <c r="AJ367" i="2"/>
  <c r="AH367" i="2"/>
  <c r="AF367" i="2"/>
  <c r="AD367" i="2"/>
  <c r="AB367" i="2"/>
  <c r="Z367" i="2"/>
  <c r="X367" i="2"/>
  <c r="U367" i="2"/>
  <c r="S367" i="2"/>
  <c r="Q367" i="2"/>
  <c r="O367" i="2"/>
  <c r="M367" i="2"/>
  <c r="K367" i="2"/>
  <c r="I367" i="2"/>
  <c r="G367" i="2"/>
  <c r="E367" i="2"/>
  <c r="C367" i="2"/>
  <c r="BJ366" i="2"/>
  <c r="BI366" i="2"/>
  <c r="BG366" i="2"/>
  <c r="BD366" i="2"/>
  <c r="BE366" i="2" s="1"/>
  <c r="BC366" i="2"/>
  <c r="BA366" i="2"/>
  <c r="AX366" i="2"/>
  <c r="AW366" i="2"/>
  <c r="AU366" i="2"/>
  <c r="AS366" i="2"/>
  <c r="AP366" i="2"/>
  <c r="AN366" i="2"/>
  <c r="AL366" i="2"/>
  <c r="AJ366" i="2"/>
  <c r="AH366" i="2"/>
  <c r="AF366" i="2"/>
  <c r="AD366" i="2"/>
  <c r="AB366" i="2"/>
  <c r="Z366" i="2"/>
  <c r="X366" i="2"/>
  <c r="U366" i="2"/>
  <c r="S366" i="2"/>
  <c r="Q366" i="2"/>
  <c r="O366" i="2"/>
  <c r="M366" i="2"/>
  <c r="K366" i="2"/>
  <c r="I366" i="2"/>
  <c r="G366" i="2"/>
  <c r="E366" i="2"/>
  <c r="C366" i="2"/>
  <c r="BJ365" i="2"/>
  <c r="BI365" i="2"/>
  <c r="BG365" i="2"/>
  <c r="BD365" i="2"/>
  <c r="BC365" i="2"/>
  <c r="BA365" i="2"/>
  <c r="AX365" i="2"/>
  <c r="AW365" i="2"/>
  <c r="AU365" i="2"/>
  <c r="AS365" i="2"/>
  <c r="AP365" i="2"/>
  <c r="AN365" i="2"/>
  <c r="AL365" i="2"/>
  <c r="AJ365" i="2"/>
  <c r="AH365" i="2"/>
  <c r="AF365" i="2"/>
  <c r="AD365" i="2"/>
  <c r="AB365" i="2"/>
  <c r="Z365" i="2"/>
  <c r="X365" i="2"/>
  <c r="U365" i="2"/>
  <c r="S365" i="2"/>
  <c r="Q365" i="2"/>
  <c r="O365" i="2"/>
  <c r="M365" i="2"/>
  <c r="K365" i="2"/>
  <c r="I365" i="2"/>
  <c r="G365" i="2"/>
  <c r="E365" i="2"/>
  <c r="C365" i="2"/>
  <c r="BJ364" i="2"/>
  <c r="BI364" i="2"/>
  <c r="BG364" i="2"/>
  <c r="BD364" i="2"/>
  <c r="BC364" i="2"/>
  <c r="BA364" i="2"/>
  <c r="AX364" i="2"/>
  <c r="AW364" i="2"/>
  <c r="AU364" i="2"/>
  <c r="AS364" i="2"/>
  <c r="AP364" i="2"/>
  <c r="AN364" i="2"/>
  <c r="AL364" i="2"/>
  <c r="AJ364" i="2"/>
  <c r="AH364" i="2"/>
  <c r="AF364" i="2"/>
  <c r="AD364" i="2"/>
  <c r="AB364" i="2"/>
  <c r="Z364" i="2"/>
  <c r="X364" i="2"/>
  <c r="U364" i="2"/>
  <c r="S364" i="2"/>
  <c r="Q364" i="2"/>
  <c r="O364" i="2"/>
  <c r="M364" i="2"/>
  <c r="K364" i="2"/>
  <c r="I364" i="2"/>
  <c r="G364" i="2"/>
  <c r="E364" i="2"/>
  <c r="C364" i="2"/>
  <c r="BJ363" i="2"/>
  <c r="BI363" i="2"/>
  <c r="BG363" i="2"/>
  <c r="BE363" i="2"/>
  <c r="BD363" i="2"/>
  <c r="BC363" i="2"/>
  <c r="BA363" i="2"/>
  <c r="AX363" i="2"/>
  <c r="AW363" i="2"/>
  <c r="AU363" i="2"/>
  <c r="AS363" i="2"/>
  <c r="AP363" i="2"/>
  <c r="AN363" i="2"/>
  <c r="AL363" i="2"/>
  <c r="AJ363" i="2"/>
  <c r="AH363" i="2"/>
  <c r="AF363" i="2"/>
  <c r="AD363" i="2"/>
  <c r="AB363" i="2"/>
  <c r="Z363" i="2"/>
  <c r="X363" i="2"/>
  <c r="U363" i="2"/>
  <c r="S363" i="2"/>
  <c r="Q363" i="2"/>
  <c r="O363" i="2"/>
  <c r="M363" i="2"/>
  <c r="K363" i="2"/>
  <c r="I363" i="2"/>
  <c r="G363" i="2"/>
  <c r="E363" i="2"/>
  <c r="C363" i="2"/>
  <c r="BJ362" i="2"/>
  <c r="BI362" i="2"/>
  <c r="BG362" i="2"/>
  <c r="BD362" i="2"/>
  <c r="BC362" i="2"/>
  <c r="BA362" i="2"/>
  <c r="AX362" i="2"/>
  <c r="AY363" i="2" s="1"/>
  <c r="AW362" i="2"/>
  <c r="AU362" i="2"/>
  <c r="AS362" i="2"/>
  <c r="AP362" i="2"/>
  <c r="AN362" i="2"/>
  <c r="AL362" i="2"/>
  <c r="AJ362" i="2"/>
  <c r="AH362" i="2"/>
  <c r="AF362" i="2"/>
  <c r="AD362" i="2"/>
  <c r="AB362" i="2"/>
  <c r="Z362" i="2"/>
  <c r="X362" i="2"/>
  <c r="U362" i="2"/>
  <c r="S362" i="2"/>
  <c r="Q362" i="2"/>
  <c r="O362" i="2"/>
  <c r="M362" i="2"/>
  <c r="K362" i="2"/>
  <c r="I362" i="2"/>
  <c r="G362" i="2"/>
  <c r="E362" i="2"/>
  <c r="C362" i="2"/>
  <c r="BJ361" i="2"/>
  <c r="BK361" i="2" s="1"/>
  <c r="BI361" i="2"/>
  <c r="BG361" i="2"/>
  <c r="BD361" i="2"/>
  <c r="BE361" i="2" s="1"/>
  <c r="BC361" i="2"/>
  <c r="BA361" i="2"/>
  <c r="AX361" i="2"/>
  <c r="AY362" i="2" s="1"/>
  <c r="AW361" i="2"/>
  <c r="AU361" i="2"/>
  <c r="AS361" i="2"/>
  <c r="AP361" i="2"/>
  <c r="AN361" i="2"/>
  <c r="AL361" i="2"/>
  <c r="AJ361" i="2"/>
  <c r="AH361" i="2"/>
  <c r="AF361" i="2"/>
  <c r="AD361" i="2"/>
  <c r="AB361" i="2"/>
  <c r="Z361" i="2"/>
  <c r="X361" i="2"/>
  <c r="U361" i="2"/>
  <c r="S361" i="2"/>
  <c r="Q361" i="2"/>
  <c r="O361" i="2"/>
  <c r="M361" i="2"/>
  <c r="K361" i="2"/>
  <c r="I361" i="2"/>
  <c r="G361" i="2"/>
  <c r="E361" i="2"/>
  <c r="C361" i="2"/>
  <c r="BJ360" i="2"/>
  <c r="BI360" i="2"/>
  <c r="BG360" i="2"/>
  <c r="BD360" i="2"/>
  <c r="BC360" i="2"/>
  <c r="BA360" i="2"/>
  <c r="AX360" i="2"/>
  <c r="AW360" i="2"/>
  <c r="AU360" i="2"/>
  <c r="AS360" i="2"/>
  <c r="AP360" i="2"/>
  <c r="AN360" i="2"/>
  <c r="AL360" i="2"/>
  <c r="AJ360" i="2"/>
  <c r="AH360" i="2"/>
  <c r="AF360" i="2"/>
  <c r="AD360" i="2"/>
  <c r="AB360" i="2"/>
  <c r="Z360" i="2"/>
  <c r="X360" i="2"/>
  <c r="U360" i="2"/>
  <c r="S360" i="2"/>
  <c r="Q360" i="2"/>
  <c r="O360" i="2"/>
  <c r="M360" i="2"/>
  <c r="K360" i="2"/>
  <c r="I360" i="2"/>
  <c r="G360" i="2"/>
  <c r="E360" i="2"/>
  <c r="C360" i="2"/>
  <c r="BJ359" i="2"/>
  <c r="BI359" i="2"/>
  <c r="BG359" i="2"/>
  <c r="BD359" i="2"/>
  <c r="BC359" i="2"/>
  <c r="BA359" i="2"/>
  <c r="AX359" i="2"/>
  <c r="AW359" i="2"/>
  <c r="AU359" i="2"/>
  <c r="AS359" i="2"/>
  <c r="AP359" i="2"/>
  <c r="AN359" i="2"/>
  <c r="AL359" i="2"/>
  <c r="AJ359" i="2"/>
  <c r="AH359" i="2"/>
  <c r="AF359" i="2"/>
  <c r="AD359" i="2"/>
  <c r="AB359" i="2"/>
  <c r="Z359" i="2"/>
  <c r="X359" i="2"/>
  <c r="U359" i="2"/>
  <c r="S359" i="2"/>
  <c r="Q359" i="2"/>
  <c r="O359" i="2"/>
  <c r="M359" i="2"/>
  <c r="K359" i="2"/>
  <c r="I359" i="2"/>
  <c r="G359" i="2"/>
  <c r="E359" i="2"/>
  <c r="C359" i="2"/>
  <c r="BJ358" i="2"/>
  <c r="BK358" i="2" s="1"/>
  <c r="BI358" i="2"/>
  <c r="BG358" i="2"/>
  <c r="BD358" i="2"/>
  <c r="BC358" i="2"/>
  <c r="BA358" i="2"/>
  <c r="AX358" i="2"/>
  <c r="AW358" i="2"/>
  <c r="AU358" i="2"/>
  <c r="AS358" i="2"/>
  <c r="AP358" i="2"/>
  <c r="AN358" i="2"/>
  <c r="AL358" i="2"/>
  <c r="AJ358" i="2"/>
  <c r="AH358" i="2"/>
  <c r="AF358" i="2"/>
  <c r="AD358" i="2"/>
  <c r="AB358" i="2"/>
  <c r="Z358" i="2"/>
  <c r="X358" i="2"/>
  <c r="U358" i="2"/>
  <c r="S358" i="2"/>
  <c r="Q358" i="2"/>
  <c r="O358" i="2"/>
  <c r="M358" i="2"/>
  <c r="K358" i="2"/>
  <c r="I358" i="2"/>
  <c r="G358" i="2"/>
  <c r="E358" i="2"/>
  <c r="C358" i="2"/>
  <c r="BJ357" i="2"/>
  <c r="BI357" i="2"/>
  <c r="BG357" i="2"/>
  <c r="BD357" i="2"/>
  <c r="BE357" i="2" s="1"/>
  <c r="BC357" i="2"/>
  <c r="BA357" i="2"/>
  <c r="AX357" i="2"/>
  <c r="AW357" i="2"/>
  <c r="AU357" i="2"/>
  <c r="AS357" i="2"/>
  <c r="AP357" i="2"/>
  <c r="AN357" i="2"/>
  <c r="AL357" i="2"/>
  <c r="AJ357" i="2"/>
  <c r="AH357" i="2"/>
  <c r="AF357" i="2"/>
  <c r="AD357" i="2"/>
  <c r="AB357" i="2"/>
  <c r="Z357" i="2"/>
  <c r="X357" i="2"/>
  <c r="U357" i="2"/>
  <c r="S357" i="2"/>
  <c r="Q357" i="2"/>
  <c r="O357" i="2"/>
  <c r="M357" i="2"/>
  <c r="K357" i="2"/>
  <c r="I357" i="2"/>
  <c r="G357" i="2"/>
  <c r="E357" i="2"/>
  <c r="C357" i="2"/>
  <c r="BJ356" i="2"/>
  <c r="BI356" i="2"/>
  <c r="BG356" i="2"/>
  <c r="BD356" i="2"/>
  <c r="BC356" i="2"/>
  <c r="BA356" i="2"/>
  <c r="AX356" i="2"/>
  <c r="AW356" i="2"/>
  <c r="AU356" i="2"/>
  <c r="AS356" i="2"/>
  <c r="AP356" i="2"/>
  <c r="AN356" i="2"/>
  <c r="AL356" i="2"/>
  <c r="AJ356" i="2"/>
  <c r="AH356" i="2"/>
  <c r="AF356" i="2"/>
  <c r="AD356" i="2"/>
  <c r="AB356" i="2"/>
  <c r="Z356" i="2"/>
  <c r="X356" i="2"/>
  <c r="U356" i="2"/>
  <c r="S356" i="2"/>
  <c r="Q356" i="2"/>
  <c r="O356" i="2"/>
  <c r="M356" i="2"/>
  <c r="K356" i="2"/>
  <c r="I356" i="2"/>
  <c r="G356" i="2"/>
  <c r="E356" i="2"/>
  <c r="C356" i="2"/>
  <c r="BJ355" i="2"/>
  <c r="BK355" i="2" s="1"/>
  <c r="BI355" i="2"/>
  <c r="BG355" i="2"/>
  <c r="BD355" i="2"/>
  <c r="BE355" i="2" s="1"/>
  <c r="BC355" i="2"/>
  <c r="BA355" i="2"/>
  <c r="AX355" i="2"/>
  <c r="AW355" i="2"/>
  <c r="AU355" i="2"/>
  <c r="AS355" i="2"/>
  <c r="AP355" i="2"/>
  <c r="AN355" i="2"/>
  <c r="AL355" i="2"/>
  <c r="AJ355" i="2"/>
  <c r="AH355" i="2"/>
  <c r="AF355" i="2"/>
  <c r="AD355" i="2"/>
  <c r="AB355" i="2"/>
  <c r="Z355" i="2"/>
  <c r="X355" i="2"/>
  <c r="U355" i="2"/>
  <c r="S355" i="2"/>
  <c r="Q355" i="2"/>
  <c r="O355" i="2"/>
  <c r="M355" i="2"/>
  <c r="K355" i="2"/>
  <c r="I355" i="2"/>
  <c r="G355" i="2"/>
  <c r="E355" i="2"/>
  <c r="C355" i="2"/>
  <c r="BJ354" i="2"/>
  <c r="BK354" i="2" s="1"/>
  <c r="BI354" i="2"/>
  <c r="BG354" i="2"/>
  <c r="BD354" i="2"/>
  <c r="BC354" i="2"/>
  <c r="BA354" i="2"/>
  <c r="AY354" i="2"/>
  <c r="AX354" i="2"/>
  <c r="AW354" i="2"/>
  <c r="AU354" i="2"/>
  <c r="AS354" i="2"/>
  <c r="AP354" i="2"/>
  <c r="AN354" i="2"/>
  <c r="AL354" i="2"/>
  <c r="AJ354" i="2"/>
  <c r="AH354" i="2"/>
  <c r="AF354" i="2"/>
  <c r="AD354" i="2"/>
  <c r="AB354" i="2"/>
  <c r="Z354" i="2"/>
  <c r="X354" i="2"/>
  <c r="U354" i="2"/>
  <c r="S354" i="2"/>
  <c r="Q354" i="2"/>
  <c r="O354" i="2"/>
  <c r="M354" i="2"/>
  <c r="K354" i="2"/>
  <c r="I354" i="2"/>
  <c r="G354" i="2"/>
  <c r="E354" i="2"/>
  <c r="C354" i="2"/>
  <c r="BJ353" i="2"/>
  <c r="BI353" i="2"/>
  <c r="BG353" i="2"/>
  <c r="BD353" i="2"/>
  <c r="BE353" i="2" s="1"/>
  <c r="BC353" i="2"/>
  <c r="BA353" i="2"/>
  <c r="AX353" i="2"/>
  <c r="AW353" i="2"/>
  <c r="AU353" i="2"/>
  <c r="AS353" i="2"/>
  <c r="AP353" i="2"/>
  <c r="AN353" i="2"/>
  <c r="AL353" i="2"/>
  <c r="AJ353" i="2"/>
  <c r="AH353" i="2"/>
  <c r="AF353" i="2"/>
  <c r="AD353" i="2"/>
  <c r="AB353" i="2"/>
  <c r="Z353" i="2"/>
  <c r="X353" i="2"/>
  <c r="U353" i="2"/>
  <c r="S353" i="2"/>
  <c r="Q353" i="2"/>
  <c r="O353" i="2"/>
  <c r="M353" i="2"/>
  <c r="K353" i="2"/>
  <c r="I353" i="2"/>
  <c r="G353" i="2"/>
  <c r="E353" i="2"/>
  <c r="C353" i="2"/>
  <c r="BJ352" i="2"/>
  <c r="BI352" i="2"/>
  <c r="BG352" i="2"/>
  <c r="BD352" i="2"/>
  <c r="BC352" i="2"/>
  <c r="BA352" i="2"/>
  <c r="AX352" i="2"/>
  <c r="AY352" i="2" s="1"/>
  <c r="AW352" i="2"/>
  <c r="AU352" i="2"/>
  <c r="AS352" i="2"/>
  <c r="AP352" i="2"/>
  <c r="AN352" i="2"/>
  <c r="AL352" i="2"/>
  <c r="AJ352" i="2"/>
  <c r="AH352" i="2"/>
  <c r="AF352" i="2"/>
  <c r="AD352" i="2"/>
  <c r="AB352" i="2"/>
  <c r="Z352" i="2"/>
  <c r="X352" i="2"/>
  <c r="U352" i="2"/>
  <c r="S352" i="2"/>
  <c r="Q352" i="2"/>
  <c r="O352" i="2"/>
  <c r="M352" i="2"/>
  <c r="K352" i="2"/>
  <c r="I352" i="2"/>
  <c r="G352" i="2"/>
  <c r="E352" i="2"/>
  <c r="C352" i="2"/>
  <c r="BJ351" i="2"/>
  <c r="BK351" i="2" s="1"/>
  <c r="BI351" i="2"/>
  <c r="BG351" i="2"/>
  <c r="BD351" i="2"/>
  <c r="BE351" i="2" s="1"/>
  <c r="BC351" i="2"/>
  <c r="BA351" i="2"/>
  <c r="AX351" i="2"/>
  <c r="AW351" i="2"/>
  <c r="AU351" i="2"/>
  <c r="AS351" i="2"/>
  <c r="AP351" i="2"/>
  <c r="AN351" i="2"/>
  <c r="AL351" i="2"/>
  <c r="AJ351" i="2"/>
  <c r="AH351" i="2"/>
  <c r="AF351" i="2"/>
  <c r="AD351" i="2"/>
  <c r="AB351" i="2"/>
  <c r="Z351" i="2"/>
  <c r="X351" i="2"/>
  <c r="U351" i="2"/>
  <c r="S351" i="2"/>
  <c r="Q351" i="2"/>
  <c r="O351" i="2"/>
  <c r="M351" i="2"/>
  <c r="K351" i="2"/>
  <c r="I351" i="2"/>
  <c r="G351" i="2"/>
  <c r="E351" i="2"/>
  <c r="C351" i="2"/>
  <c r="BJ350" i="2"/>
  <c r="BI350" i="2"/>
  <c r="BG350" i="2"/>
  <c r="BD350" i="2"/>
  <c r="BC350" i="2"/>
  <c r="BA350" i="2"/>
  <c r="AX350" i="2"/>
  <c r="AY350" i="2" s="1"/>
  <c r="AW350" i="2"/>
  <c r="AU350" i="2"/>
  <c r="AS350" i="2"/>
  <c r="AP350" i="2"/>
  <c r="AN350" i="2"/>
  <c r="AL350" i="2"/>
  <c r="AJ350" i="2"/>
  <c r="AH350" i="2"/>
  <c r="AF350" i="2"/>
  <c r="AD350" i="2"/>
  <c r="AB350" i="2"/>
  <c r="Z350" i="2"/>
  <c r="X350" i="2"/>
  <c r="U350" i="2"/>
  <c r="S350" i="2"/>
  <c r="Q350" i="2"/>
  <c r="O350" i="2"/>
  <c r="M350" i="2"/>
  <c r="K350" i="2"/>
  <c r="I350" i="2"/>
  <c r="G350" i="2"/>
  <c r="E350" i="2"/>
  <c r="C350" i="2"/>
  <c r="BJ349" i="2"/>
  <c r="BK349" i="2" s="1"/>
  <c r="BI349" i="2"/>
  <c r="BG349" i="2"/>
  <c r="BD349" i="2"/>
  <c r="BC349" i="2"/>
  <c r="BA349" i="2"/>
  <c r="AX349" i="2"/>
  <c r="AW349" i="2"/>
  <c r="AU349" i="2"/>
  <c r="AS349" i="2"/>
  <c r="AP349" i="2"/>
  <c r="AN349" i="2"/>
  <c r="AL349" i="2"/>
  <c r="AJ349" i="2"/>
  <c r="AH349" i="2"/>
  <c r="AF349" i="2"/>
  <c r="AD349" i="2"/>
  <c r="AB349" i="2"/>
  <c r="Z349" i="2"/>
  <c r="X349" i="2"/>
  <c r="U349" i="2"/>
  <c r="S349" i="2"/>
  <c r="Q349" i="2"/>
  <c r="O349" i="2"/>
  <c r="M349" i="2"/>
  <c r="K349" i="2"/>
  <c r="I349" i="2"/>
  <c r="G349" i="2"/>
  <c r="E349" i="2"/>
  <c r="C349" i="2"/>
  <c r="BJ348" i="2"/>
  <c r="BI348" i="2"/>
  <c r="BG348" i="2"/>
  <c r="BD348" i="2"/>
  <c r="BE348" i="2" s="1"/>
  <c r="BC348" i="2"/>
  <c r="BA348" i="2"/>
  <c r="AY348" i="2"/>
  <c r="AX348" i="2"/>
  <c r="AY349" i="2" s="1"/>
  <c r="AW348" i="2"/>
  <c r="AU348" i="2"/>
  <c r="AS348" i="2"/>
  <c r="AP348" i="2"/>
  <c r="AN348" i="2"/>
  <c r="AL348" i="2"/>
  <c r="AJ348" i="2"/>
  <c r="AH348" i="2"/>
  <c r="AF348" i="2"/>
  <c r="AD348" i="2"/>
  <c r="AB348" i="2"/>
  <c r="Z348" i="2"/>
  <c r="X348" i="2"/>
  <c r="U348" i="2"/>
  <c r="S348" i="2"/>
  <c r="Q348" i="2"/>
  <c r="O348" i="2"/>
  <c r="M348" i="2"/>
  <c r="K348" i="2"/>
  <c r="I348" i="2"/>
  <c r="G348" i="2"/>
  <c r="E348" i="2"/>
  <c r="C348" i="2"/>
  <c r="BJ347" i="2"/>
  <c r="BK347" i="2" s="1"/>
  <c r="BI347" i="2"/>
  <c r="BG347" i="2"/>
  <c r="BE347" i="2"/>
  <c r="BD347" i="2"/>
  <c r="BC347" i="2"/>
  <c r="BA347" i="2"/>
  <c r="AY347" i="2"/>
  <c r="AX347" i="2"/>
  <c r="AW347" i="2"/>
  <c r="AU347" i="2"/>
  <c r="AS347" i="2"/>
  <c r="AP347" i="2"/>
  <c r="AN347" i="2"/>
  <c r="AL347" i="2"/>
  <c r="AJ347" i="2"/>
  <c r="AH347" i="2"/>
  <c r="AF347" i="2"/>
  <c r="AD347" i="2"/>
  <c r="AB347" i="2"/>
  <c r="Z347" i="2"/>
  <c r="X347" i="2"/>
  <c r="U347" i="2"/>
  <c r="S347" i="2"/>
  <c r="Q347" i="2"/>
  <c r="O347" i="2"/>
  <c r="M347" i="2"/>
  <c r="K347" i="2"/>
  <c r="I347" i="2"/>
  <c r="G347" i="2"/>
  <c r="E347" i="2"/>
  <c r="C347" i="2"/>
  <c r="BJ346" i="2"/>
  <c r="BI346" i="2"/>
  <c r="BG346" i="2"/>
  <c r="BD346" i="2"/>
  <c r="BC346" i="2"/>
  <c r="BA346" i="2"/>
  <c r="AX346" i="2"/>
  <c r="AW346" i="2"/>
  <c r="AU346" i="2"/>
  <c r="AS346" i="2"/>
  <c r="AP346" i="2"/>
  <c r="AN346" i="2"/>
  <c r="AL346" i="2"/>
  <c r="AJ346" i="2"/>
  <c r="AH346" i="2"/>
  <c r="AF346" i="2"/>
  <c r="AD346" i="2"/>
  <c r="AB346" i="2"/>
  <c r="Z346" i="2"/>
  <c r="X346" i="2"/>
  <c r="U346" i="2"/>
  <c r="S346" i="2"/>
  <c r="Q346" i="2"/>
  <c r="O346" i="2"/>
  <c r="M346" i="2"/>
  <c r="K346" i="2"/>
  <c r="I346" i="2"/>
  <c r="G346" i="2"/>
  <c r="E346" i="2"/>
  <c r="C346" i="2"/>
  <c r="BK345" i="2"/>
  <c r="BJ345" i="2"/>
  <c r="BI345" i="2"/>
  <c r="BG345" i="2"/>
  <c r="BD345" i="2"/>
  <c r="BE345" i="2" s="1"/>
  <c r="BC345" i="2"/>
  <c r="BA345" i="2"/>
  <c r="AX345" i="2"/>
  <c r="AY345" i="2" s="1"/>
  <c r="AW345" i="2"/>
  <c r="AU345" i="2"/>
  <c r="AS345" i="2"/>
  <c r="AP345" i="2"/>
  <c r="AN345" i="2"/>
  <c r="AL345" i="2"/>
  <c r="AJ345" i="2"/>
  <c r="AH345" i="2"/>
  <c r="AF345" i="2"/>
  <c r="AD345" i="2"/>
  <c r="AB345" i="2"/>
  <c r="Z345" i="2"/>
  <c r="X345" i="2"/>
  <c r="U345" i="2"/>
  <c r="S345" i="2"/>
  <c r="Q345" i="2"/>
  <c r="O345" i="2"/>
  <c r="M345" i="2"/>
  <c r="K345" i="2"/>
  <c r="I345" i="2"/>
  <c r="G345" i="2"/>
  <c r="E345" i="2"/>
  <c r="C345" i="2"/>
  <c r="BJ344" i="2"/>
  <c r="BI344" i="2"/>
  <c r="BG344" i="2"/>
  <c r="BD344" i="2"/>
  <c r="BC344" i="2"/>
  <c r="BA344" i="2"/>
  <c r="AY344" i="2"/>
  <c r="AX344" i="2"/>
  <c r="AW344" i="2"/>
  <c r="AU344" i="2"/>
  <c r="AS344" i="2"/>
  <c r="AP344" i="2"/>
  <c r="AN344" i="2"/>
  <c r="AL344" i="2"/>
  <c r="AJ344" i="2"/>
  <c r="AH344" i="2"/>
  <c r="AF344" i="2"/>
  <c r="AD344" i="2"/>
  <c r="AB344" i="2"/>
  <c r="Z344" i="2"/>
  <c r="X344" i="2"/>
  <c r="U344" i="2"/>
  <c r="S344" i="2"/>
  <c r="Q344" i="2"/>
  <c r="O344" i="2"/>
  <c r="M344" i="2"/>
  <c r="K344" i="2"/>
  <c r="I344" i="2"/>
  <c r="G344" i="2"/>
  <c r="E344" i="2"/>
  <c r="C344" i="2"/>
  <c r="BJ343" i="2"/>
  <c r="BI343" i="2"/>
  <c r="BG343" i="2"/>
  <c r="BD343" i="2"/>
  <c r="BE343" i="2" s="1"/>
  <c r="BC343" i="2"/>
  <c r="BA343" i="2"/>
  <c r="AX343" i="2"/>
  <c r="AY343" i="2" s="1"/>
  <c r="AW343" i="2"/>
  <c r="AU343" i="2"/>
  <c r="AS343" i="2"/>
  <c r="AP343" i="2"/>
  <c r="AN343" i="2"/>
  <c r="AL343" i="2"/>
  <c r="AJ343" i="2"/>
  <c r="AH343" i="2"/>
  <c r="AF343" i="2"/>
  <c r="AD343" i="2"/>
  <c r="AB343" i="2"/>
  <c r="Z343" i="2"/>
  <c r="X343" i="2"/>
  <c r="U343" i="2"/>
  <c r="S343" i="2"/>
  <c r="Q343" i="2"/>
  <c r="O343" i="2"/>
  <c r="M343" i="2"/>
  <c r="K343" i="2"/>
  <c r="I343" i="2"/>
  <c r="G343" i="2"/>
  <c r="E343" i="2"/>
  <c r="C343" i="2"/>
  <c r="BJ342" i="2"/>
  <c r="BK342" i="2" s="1"/>
  <c r="BI342" i="2"/>
  <c r="BG342" i="2"/>
  <c r="BD342" i="2"/>
  <c r="BC342" i="2"/>
  <c r="BA342" i="2"/>
  <c r="AX342" i="2"/>
  <c r="AY342" i="2" s="1"/>
  <c r="AW342" i="2"/>
  <c r="AU342" i="2"/>
  <c r="AS342" i="2"/>
  <c r="AP342" i="2"/>
  <c r="AN342" i="2"/>
  <c r="AL342" i="2"/>
  <c r="AJ342" i="2"/>
  <c r="AH342" i="2"/>
  <c r="AF342" i="2"/>
  <c r="AD342" i="2"/>
  <c r="AB342" i="2"/>
  <c r="Z342" i="2"/>
  <c r="X342" i="2"/>
  <c r="U342" i="2"/>
  <c r="S342" i="2"/>
  <c r="Q342" i="2"/>
  <c r="O342" i="2"/>
  <c r="M342" i="2"/>
  <c r="K342" i="2"/>
  <c r="I342" i="2"/>
  <c r="G342" i="2"/>
  <c r="E342" i="2"/>
  <c r="C342" i="2"/>
  <c r="BJ341" i="2"/>
  <c r="BI341" i="2"/>
  <c r="BG341" i="2"/>
  <c r="BD341" i="2"/>
  <c r="BE341" i="2" s="1"/>
  <c r="BC341" i="2"/>
  <c r="BA341" i="2"/>
  <c r="AX341" i="2"/>
  <c r="AW341" i="2"/>
  <c r="AU341" i="2"/>
  <c r="AS341" i="2"/>
  <c r="AP341" i="2"/>
  <c r="AN341" i="2"/>
  <c r="AL341" i="2"/>
  <c r="AJ341" i="2"/>
  <c r="AH341" i="2"/>
  <c r="AF341" i="2"/>
  <c r="AD341" i="2"/>
  <c r="AB341" i="2"/>
  <c r="Z341" i="2"/>
  <c r="X341" i="2"/>
  <c r="U341" i="2"/>
  <c r="S341" i="2"/>
  <c r="Q341" i="2"/>
  <c r="O341" i="2"/>
  <c r="M341" i="2"/>
  <c r="K341" i="2"/>
  <c r="I341" i="2"/>
  <c r="G341" i="2"/>
  <c r="E341" i="2"/>
  <c r="C341" i="2"/>
  <c r="BJ340" i="2"/>
  <c r="BI340" i="2"/>
  <c r="BG340" i="2"/>
  <c r="BD340" i="2"/>
  <c r="BC340" i="2"/>
  <c r="BA340" i="2"/>
  <c r="AX340" i="2"/>
  <c r="AW340" i="2"/>
  <c r="AU340" i="2"/>
  <c r="AS340" i="2"/>
  <c r="AP340" i="2"/>
  <c r="AN340" i="2"/>
  <c r="AL340" i="2"/>
  <c r="AJ340" i="2"/>
  <c r="AH340" i="2"/>
  <c r="AF340" i="2"/>
  <c r="AD340" i="2"/>
  <c r="AB340" i="2"/>
  <c r="Z340" i="2"/>
  <c r="X340" i="2"/>
  <c r="U340" i="2"/>
  <c r="S340" i="2"/>
  <c r="Q340" i="2"/>
  <c r="O340" i="2"/>
  <c r="M340" i="2"/>
  <c r="K340" i="2"/>
  <c r="I340" i="2"/>
  <c r="G340" i="2"/>
  <c r="E340" i="2"/>
  <c r="C340" i="2"/>
  <c r="BJ339" i="2"/>
  <c r="BK339" i="2" s="1"/>
  <c r="BI339" i="2"/>
  <c r="BG339" i="2"/>
  <c r="BD339" i="2"/>
  <c r="BC339" i="2"/>
  <c r="BA339" i="2"/>
  <c r="AX339" i="2"/>
  <c r="AW339" i="2"/>
  <c r="AU339" i="2"/>
  <c r="AS339" i="2"/>
  <c r="AP339" i="2"/>
  <c r="AN339" i="2"/>
  <c r="AL339" i="2"/>
  <c r="AJ339" i="2"/>
  <c r="AH339" i="2"/>
  <c r="AF339" i="2"/>
  <c r="AD339" i="2"/>
  <c r="AB339" i="2"/>
  <c r="Z339" i="2"/>
  <c r="X339" i="2"/>
  <c r="U339" i="2"/>
  <c r="S339" i="2"/>
  <c r="Q339" i="2"/>
  <c r="O339" i="2"/>
  <c r="M339" i="2"/>
  <c r="K339" i="2"/>
  <c r="I339" i="2"/>
  <c r="G339" i="2"/>
  <c r="E339" i="2"/>
  <c r="C339" i="2"/>
  <c r="BJ338" i="2"/>
  <c r="BI338" i="2"/>
  <c r="BG338" i="2"/>
  <c r="BD338" i="2"/>
  <c r="BE339" i="2" s="1"/>
  <c r="BC338" i="2"/>
  <c r="BA338" i="2"/>
  <c r="AX338" i="2"/>
  <c r="AW338" i="2"/>
  <c r="AU338" i="2"/>
  <c r="AS338" i="2"/>
  <c r="AP338" i="2"/>
  <c r="AN338" i="2"/>
  <c r="AL338" i="2"/>
  <c r="AJ338" i="2"/>
  <c r="AH338" i="2"/>
  <c r="AF338" i="2"/>
  <c r="AD338" i="2"/>
  <c r="AB338" i="2"/>
  <c r="Z338" i="2"/>
  <c r="X338" i="2"/>
  <c r="U338" i="2"/>
  <c r="S338" i="2"/>
  <c r="Q338" i="2"/>
  <c r="O338" i="2"/>
  <c r="M338" i="2"/>
  <c r="K338" i="2"/>
  <c r="I338" i="2"/>
  <c r="G338" i="2"/>
  <c r="E338" i="2"/>
  <c r="C338" i="2"/>
  <c r="BJ337" i="2"/>
  <c r="BK337" i="2" s="1"/>
  <c r="BI337" i="2"/>
  <c r="BG337" i="2"/>
  <c r="BD337" i="2"/>
  <c r="BE337" i="2" s="1"/>
  <c r="BC337" i="2"/>
  <c r="BA337" i="2"/>
  <c r="AX337" i="2"/>
  <c r="AY337" i="2" s="1"/>
  <c r="AW337" i="2"/>
  <c r="AU337" i="2"/>
  <c r="AS337" i="2"/>
  <c r="AP337" i="2"/>
  <c r="AN337" i="2"/>
  <c r="AL337" i="2"/>
  <c r="AJ337" i="2"/>
  <c r="AH337" i="2"/>
  <c r="AF337" i="2"/>
  <c r="AD337" i="2"/>
  <c r="AB337" i="2"/>
  <c r="Z337" i="2"/>
  <c r="X337" i="2"/>
  <c r="U337" i="2"/>
  <c r="S337" i="2"/>
  <c r="Q337" i="2"/>
  <c r="O337" i="2"/>
  <c r="M337" i="2"/>
  <c r="K337" i="2"/>
  <c r="I337" i="2"/>
  <c r="G337" i="2"/>
  <c r="E337" i="2"/>
  <c r="C337" i="2"/>
  <c r="BJ336" i="2"/>
  <c r="BI336" i="2"/>
  <c r="BG336" i="2"/>
  <c r="BD336" i="2"/>
  <c r="BC336" i="2"/>
  <c r="BA336" i="2"/>
  <c r="AX336" i="2"/>
  <c r="AW336" i="2"/>
  <c r="AU336" i="2"/>
  <c r="AS336" i="2"/>
  <c r="AP336" i="2"/>
  <c r="AN336" i="2"/>
  <c r="AL336" i="2"/>
  <c r="AJ336" i="2"/>
  <c r="AH336" i="2"/>
  <c r="AF336" i="2"/>
  <c r="AD336" i="2"/>
  <c r="AB336" i="2"/>
  <c r="Z336" i="2"/>
  <c r="X336" i="2"/>
  <c r="U336" i="2"/>
  <c r="S336" i="2"/>
  <c r="Q336" i="2"/>
  <c r="O336" i="2"/>
  <c r="M336" i="2"/>
  <c r="K336" i="2"/>
  <c r="I336" i="2"/>
  <c r="G336" i="2"/>
  <c r="E336" i="2"/>
  <c r="C336" i="2"/>
  <c r="BJ335" i="2"/>
  <c r="BI335" i="2"/>
  <c r="BG335" i="2"/>
  <c r="BD335" i="2"/>
  <c r="BC335" i="2"/>
  <c r="BA335" i="2"/>
  <c r="AX335" i="2"/>
  <c r="AW335" i="2"/>
  <c r="AU335" i="2"/>
  <c r="AS335" i="2"/>
  <c r="AP335" i="2"/>
  <c r="AN335" i="2"/>
  <c r="AL335" i="2"/>
  <c r="AJ335" i="2"/>
  <c r="AH335" i="2"/>
  <c r="AF335" i="2"/>
  <c r="AD335" i="2"/>
  <c r="AB335" i="2"/>
  <c r="Z335" i="2"/>
  <c r="X335" i="2"/>
  <c r="U335" i="2"/>
  <c r="S335" i="2"/>
  <c r="Q335" i="2"/>
  <c r="O335" i="2"/>
  <c r="M335" i="2"/>
  <c r="K335" i="2"/>
  <c r="I335" i="2"/>
  <c r="G335" i="2"/>
  <c r="E335" i="2"/>
  <c r="C335" i="2"/>
  <c r="BJ334" i="2"/>
  <c r="BK334" i="2" s="1"/>
  <c r="BI334" i="2"/>
  <c r="BG334" i="2"/>
  <c r="BD334" i="2"/>
  <c r="BE334" i="2" s="1"/>
  <c r="BC334" i="2"/>
  <c r="BA334" i="2"/>
  <c r="AX334" i="2"/>
  <c r="AW334" i="2"/>
  <c r="AU334" i="2"/>
  <c r="AS334" i="2"/>
  <c r="AP334" i="2"/>
  <c r="AN334" i="2"/>
  <c r="AL334" i="2"/>
  <c r="AJ334" i="2"/>
  <c r="AH334" i="2"/>
  <c r="AF334" i="2"/>
  <c r="AD334" i="2"/>
  <c r="AB334" i="2"/>
  <c r="Z334" i="2"/>
  <c r="X334" i="2"/>
  <c r="U334" i="2"/>
  <c r="S334" i="2"/>
  <c r="Q334" i="2"/>
  <c r="O334" i="2"/>
  <c r="M334" i="2"/>
  <c r="K334" i="2"/>
  <c r="I334" i="2"/>
  <c r="G334" i="2"/>
  <c r="E334" i="2"/>
  <c r="C334" i="2"/>
  <c r="BJ333" i="2"/>
  <c r="BK333" i="2" s="1"/>
  <c r="BI333" i="2"/>
  <c r="BG333" i="2"/>
  <c r="BD333" i="2"/>
  <c r="BC333" i="2"/>
  <c r="BA333" i="2"/>
  <c r="AX333" i="2"/>
  <c r="AW333" i="2"/>
  <c r="AU333" i="2"/>
  <c r="AS333" i="2"/>
  <c r="AP333" i="2"/>
  <c r="AN333" i="2"/>
  <c r="AL333" i="2"/>
  <c r="AJ333" i="2"/>
  <c r="AH333" i="2"/>
  <c r="AF333" i="2"/>
  <c r="AD333" i="2"/>
  <c r="AB333" i="2"/>
  <c r="Z333" i="2"/>
  <c r="X333" i="2"/>
  <c r="U333" i="2"/>
  <c r="S333" i="2"/>
  <c r="Q333" i="2"/>
  <c r="O333" i="2"/>
  <c r="M333" i="2"/>
  <c r="K333" i="2"/>
  <c r="I333" i="2"/>
  <c r="G333" i="2"/>
  <c r="E333" i="2"/>
  <c r="C333" i="2"/>
  <c r="BJ332" i="2"/>
  <c r="BI332" i="2"/>
  <c r="BG332" i="2"/>
  <c r="BD332" i="2"/>
  <c r="BE332" i="2" s="1"/>
  <c r="BC332" i="2"/>
  <c r="BA332" i="2"/>
  <c r="AX332" i="2"/>
  <c r="AY332" i="2" s="1"/>
  <c r="AW332" i="2"/>
  <c r="AU332" i="2"/>
  <c r="AS332" i="2"/>
  <c r="AP332" i="2"/>
  <c r="AN332" i="2"/>
  <c r="AL332" i="2"/>
  <c r="AJ332" i="2"/>
  <c r="AH332" i="2"/>
  <c r="AF332" i="2"/>
  <c r="AD332" i="2"/>
  <c r="AB332" i="2"/>
  <c r="Z332" i="2"/>
  <c r="X332" i="2"/>
  <c r="U332" i="2"/>
  <c r="S332" i="2"/>
  <c r="Q332" i="2"/>
  <c r="O332" i="2"/>
  <c r="M332" i="2"/>
  <c r="K332" i="2"/>
  <c r="I332" i="2"/>
  <c r="G332" i="2"/>
  <c r="E332" i="2"/>
  <c r="C332" i="2"/>
  <c r="BJ331" i="2"/>
  <c r="BK331" i="2" s="1"/>
  <c r="BI331" i="2"/>
  <c r="BG331" i="2"/>
  <c r="BE331" i="2"/>
  <c r="BD331" i="2"/>
  <c r="BC331" i="2"/>
  <c r="BA331" i="2"/>
  <c r="AX331" i="2"/>
  <c r="AW331" i="2"/>
  <c r="AU331" i="2"/>
  <c r="AS331" i="2"/>
  <c r="AP331" i="2"/>
  <c r="AN331" i="2"/>
  <c r="AL331" i="2"/>
  <c r="AJ331" i="2"/>
  <c r="AH331" i="2"/>
  <c r="AF331" i="2"/>
  <c r="AD331" i="2"/>
  <c r="AB331" i="2"/>
  <c r="Z331" i="2"/>
  <c r="X331" i="2"/>
  <c r="U331" i="2"/>
  <c r="S331" i="2"/>
  <c r="Q331" i="2"/>
  <c r="O331" i="2"/>
  <c r="M331" i="2"/>
  <c r="K331" i="2"/>
  <c r="I331" i="2"/>
  <c r="G331" i="2"/>
  <c r="E331" i="2"/>
  <c r="C331" i="2"/>
  <c r="BJ330" i="2"/>
  <c r="BI330" i="2"/>
  <c r="BG330" i="2"/>
  <c r="BD330" i="2"/>
  <c r="BC330" i="2"/>
  <c r="BA330" i="2"/>
  <c r="AX330" i="2"/>
  <c r="AY330" i="2" s="1"/>
  <c r="AW330" i="2"/>
  <c r="AU330" i="2"/>
  <c r="AS330" i="2"/>
  <c r="AP330" i="2"/>
  <c r="AN330" i="2"/>
  <c r="AL330" i="2"/>
  <c r="AJ330" i="2"/>
  <c r="AH330" i="2"/>
  <c r="AF330" i="2"/>
  <c r="AD330" i="2"/>
  <c r="AB330" i="2"/>
  <c r="Z330" i="2"/>
  <c r="X330" i="2"/>
  <c r="U330" i="2"/>
  <c r="S330" i="2"/>
  <c r="Q330" i="2"/>
  <c r="O330" i="2"/>
  <c r="M330" i="2"/>
  <c r="K330" i="2"/>
  <c r="I330" i="2"/>
  <c r="G330" i="2"/>
  <c r="E330" i="2"/>
  <c r="C330" i="2"/>
  <c r="BJ329" i="2"/>
  <c r="BK329" i="2" s="1"/>
  <c r="BI329" i="2"/>
  <c r="BG329" i="2"/>
  <c r="BE329" i="2"/>
  <c r="BD329" i="2"/>
  <c r="BC329" i="2"/>
  <c r="BA329" i="2"/>
  <c r="AX329" i="2"/>
  <c r="AW329" i="2"/>
  <c r="AU329" i="2"/>
  <c r="AS329" i="2"/>
  <c r="AP329" i="2"/>
  <c r="AN329" i="2"/>
  <c r="AL329" i="2"/>
  <c r="AJ329" i="2"/>
  <c r="AH329" i="2"/>
  <c r="AF329" i="2"/>
  <c r="AD329" i="2"/>
  <c r="AB329" i="2"/>
  <c r="Z329" i="2"/>
  <c r="X329" i="2"/>
  <c r="U329" i="2"/>
  <c r="S329" i="2"/>
  <c r="Q329" i="2"/>
  <c r="O329" i="2"/>
  <c r="M329" i="2"/>
  <c r="K329" i="2"/>
  <c r="I329" i="2"/>
  <c r="G329" i="2"/>
  <c r="E329" i="2"/>
  <c r="C329" i="2"/>
  <c r="BJ328" i="2"/>
  <c r="BI328" i="2"/>
  <c r="BG328" i="2"/>
  <c r="BD328" i="2"/>
  <c r="BC328" i="2"/>
  <c r="BA328" i="2"/>
  <c r="AX328" i="2"/>
  <c r="AW328" i="2"/>
  <c r="AU328" i="2"/>
  <c r="AS328" i="2"/>
  <c r="AP328" i="2"/>
  <c r="AN328" i="2"/>
  <c r="AL328" i="2"/>
  <c r="AJ328" i="2"/>
  <c r="AH328" i="2"/>
  <c r="AF328" i="2"/>
  <c r="AD328" i="2"/>
  <c r="AB328" i="2"/>
  <c r="Z328" i="2"/>
  <c r="X328" i="2"/>
  <c r="U328" i="2"/>
  <c r="S328" i="2"/>
  <c r="Q328" i="2"/>
  <c r="O328" i="2"/>
  <c r="M328" i="2"/>
  <c r="K328" i="2"/>
  <c r="I328" i="2"/>
  <c r="G328" i="2"/>
  <c r="E328" i="2"/>
  <c r="C328" i="2"/>
  <c r="BJ327" i="2"/>
  <c r="BK327" i="2" s="1"/>
  <c r="BI327" i="2"/>
  <c r="BG327" i="2"/>
  <c r="BD327" i="2"/>
  <c r="BE327" i="2" s="1"/>
  <c r="BC327" i="2"/>
  <c r="BA327" i="2"/>
  <c r="AX327" i="2"/>
  <c r="AY328" i="2" s="1"/>
  <c r="AW327" i="2"/>
  <c r="AU327" i="2"/>
  <c r="AS327" i="2"/>
  <c r="AP327" i="2"/>
  <c r="AN327" i="2"/>
  <c r="AL327" i="2"/>
  <c r="AJ327" i="2"/>
  <c r="AH327" i="2"/>
  <c r="AF327" i="2"/>
  <c r="AD327" i="2"/>
  <c r="AB327" i="2"/>
  <c r="Z327" i="2"/>
  <c r="X327" i="2"/>
  <c r="U327" i="2"/>
  <c r="S327" i="2"/>
  <c r="Q327" i="2"/>
  <c r="O327" i="2"/>
  <c r="M327" i="2"/>
  <c r="K327" i="2"/>
  <c r="I327" i="2"/>
  <c r="G327" i="2"/>
  <c r="E327" i="2"/>
  <c r="C327" i="2"/>
  <c r="BJ326" i="2"/>
  <c r="BI326" i="2"/>
  <c r="BG326" i="2"/>
  <c r="BD326" i="2"/>
  <c r="BE326" i="2" s="1"/>
  <c r="BC326" i="2"/>
  <c r="BA326" i="2"/>
  <c r="AX326" i="2"/>
  <c r="AW326" i="2"/>
  <c r="AU326" i="2"/>
  <c r="AS326" i="2"/>
  <c r="AP326" i="2"/>
  <c r="AN326" i="2"/>
  <c r="AL326" i="2"/>
  <c r="AJ326" i="2"/>
  <c r="AH326" i="2"/>
  <c r="AF326" i="2"/>
  <c r="AD326" i="2"/>
  <c r="AB326" i="2"/>
  <c r="Z326" i="2"/>
  <c r="X326" i="2"/>
  <c r="U326" i="2"/>
  <c r="S326" i="2"/>
  <c r="Q326" i="2"/>
  <c r="O326" i="2"/>
  <c r="M326" i="2"/>
  <c r="K326" i="2"/>
  <c r="I326" i="2"/>
  <c r="G326" i="2"/>
  <c r="E326" i="2"/>
  <c r="C326" i="2"/>
  <c r="BJ325" i="2"/>
  <c r="BI325" i="2"/>
  <c r="BG325" i="2"/>
  <c r="BD325" i="2"/>
  <c r="BC325" i="2"/>
  <c r="BA325" i="2"/>
  <c r="AX325" i="2"/>
  <c r="AW325" i="2"/>
  <c r="AU325" i="2"/>
  <c r="AS325" i="2"/>
  <c r="AP325" i="2"/>
  <c r="AN325" i="2"/>
  <c r="AL325" i="2"/>
  <c r="AJ325" i="2"/>
  <c r="AH325" i="2"/>
  <c r="AF325" i="2"/>
  <c r="AD325" i="2"/>
  <c r="AB325" i="2"/>
  <c r="Z325" i="2"/>
  <c r="X325" i="2"/>
  <c r="U325" i="2"/>
  <c r="S325" i="2"/>
  <c r="Q325" i="2"/>
  <c r="O325" i="2"/>
  <c r="M325" i="2"/>
  <c r="K325" i="2"/>
  <c r="I325" i="2"/>
  <c r="G325" i="2"/>
  <c r="E325" i="2"/>
  <c r="C325" i="2"/>
  <c r="BJ324" i="2"/>
  <c r="BI324" i="2"/>
  <c r="BG324" i="2"/>
  <c r="BD324" i="2"/>
  <c r="BE325" i="2" s="1"/>
  <c r="BC324" i="2"/>
  <c r="BA324" i="2"/>
  <c r="AX324" i="2"/>
  <c r="AW324" i="2"/>
  <c r="AU324" i="2"/>
  <c r="AS324" i="2"/>
  <c r="AP324" i="2"/>
  <c r="AN324" i="2"/>
  <c r="AL324" i="2"/>
  <c r="AJ324" i="2"/>
  <c r="AH324" i="2"/>
  <c r="AF324" i="2"/>
  <c r="AD324" i="2"/>
  <c r="AB324" i="2"/>
  <c r="Z324" i="2"/>
  <c r="X324" i="2"/>
  <c r="U324" i="2"/>
  <c r="S324" i="2"/>
  <c r="Q324" i="2"/>
  <c r="O324" i="2"/>
  <c r="M324" i="2"/>
  <c r="K324" i="2"/>
  <c r="I324" i="2"/>
  <c r="G324" i="2"/>
  <c r="E324" i="2"/>
  <c r="C324" i="2"/>
  <c r="BJ323" i="2"/>
  <c r="BI323" i="2"/>
  <c r="BG323" i="2"/>
  <c r="BD323" i="2"/>
  <c r="BC323" i="2"/>
  <c r="BA323" i="2"/>
  <c r="AX323" i="2"/>
  <c r="AW323" i="2"/>
  <c r="AU323" i="2"/>
  <c r="AS323" i="2"/>
  <c r="AP323" i="2"/>
  <c r="AN323" i="2"/>
  <c r="AL323" i="2"/>
  <c r="AJ323" i="2"/>
  <c r="AH323" i="2"/>
  <c r="AF323" i="2"/>
  <c r="AD323" i="2"/>
  <c r="AB323" i="2"/>
  <c r="Z323" i="2"/>
  <c r="X323" i="2"/>
  <c r="U323" i="2"/>
  <c r="S323" i="2"/>
  <c r="Q323" i="2"/>
  <c r="O323" i="2"/>
  <c r="M323" i="2"/>
  <c r="K323" i="2"/>
  <c r="I323" i="2"/>
  <c r="G323" i="2"/>
  <c r="E323" i="2"/>
  <c r="C323" i="2"/>
  <c r="BJ322" i="2"/>
  <c r="BI322" i="2"/>
  <c r="BG322" i="2"/>
  <c r="BD322" i="2"/>
  <c r="BC322" i="2"/>
  <c r="BA322" i="2"/>
  <c r="AX322" i="2"/>
  <c r="AY322" i="2" s="1"/>
  <c r="AW322" i="2"/>
  <c r="AU322" i="2"/>
  <c r="AS322" i="2"/>
  <c r="AP322" i="2"/>
  <c r="AN322" i="2"/>
  <c r="AL322" i="2"/>
  <c r="AJ322" i="2"/>
  <c r="AH322" i="2"/>
  <c r="AF322" i="2"/>
  <c r="AD322" i="2"/>
  <c r="AB322" i="2"/>
  <c r="Z322" i="2"/>
  <c r="X322" i="2"/>
  <c r="U322" i="2"/>
  <c r="S322" i="2"/>
  <c r="Q322" i="2"/>
  <c r="O322" i="2"/>
  <c r="M322" i="2"/>
  <c r="K322" i="2"/>
  <c r="I322" i="2"/>
  <c r="G322" i="2"/>
  <c r="E322" i="2"/>
  <c r="C322" i="2"/>
  <c r="BK321" i="2"/>
  <c r="BJ321" i="2"/>
  <c r="BI321" i="2"/>
  <c r="BG321" i="2"/>
  <c r="BE321" i="2"/>
  <c r="BD321" i="2"/>
  <c r="BC321" i="2"/>
  <c r="BA321" i="2"/>
  <c r="AX321" i="2"/>
  <c r="AW321" i="2"/>
  <c r="AU321" i="2"/>
  <c r="AS321" i="2"/>
  <c r="AP321" i="2"/>
  <c r="AN321" i="2"/>
  <c r="AL321" i="2"/>
  <c r="AJ321" i="2"/>
  <c r="AH321" i="2"/>
  <c r="AF321" i="2"/>
  <c r="AD321" i="2"/>
  <c r="AB321" i="2"/>
  <c r="Z321" i="2"/>
  <c r="X321" i="2"/>
  <c r="U321" i="2"/>
  <c r="S321" i="2"/>
  <c r="Q321" i="2"/>
  <c r="O321" i="2"/>
  <c r="M321" i="2"/>
  <c r="K321" i="2"/>
  <c r="I321" i="2"/>
  <c r="G321" i="2"/>
  <c r="E321" i="2"/>
  <c r="C321" i="2"/>
  <c r="BJ320" i="2"/>
  <c r="BI320" i="2"/>
  <c r="BG320" i="2"/>
  <c r="BD320" i="2"/>
  <c r="BC320" i="2"/>
  <c r="BA320" i="2"/>
  <c r="AX320" i="2"/>
  <c r="AY321" i="2" s="1"/>
  <c r="AW320" i="2"/>
  <c r="AU320" i="2"/>
  <c r="AS320" i="2"/>
  <c r="AP320" i="2"/>
  <c r="AN320" i="2"/>
  <c r="AL320" i="2"/>
  <c r="AJ320" i="2"/>
  <c r="AH320" i="2"/>
  <c r="AF320" i="2"/>
  <c r="AD320" i="2"/>
  <c r="AB320" i="2"/>
  <c r="Z320" i="2"/>
  <c r="X320" i="2"/>
  <c r="U320" i="2"/>
  <c r="S320" i="2"/>
  <c r="Q320" i="2"/>
  <c r="O320" i="2"/>
  <c r="M320" i="2"/>
  <c r="K320" i="2"/>
  <c r="I320" i="2"/>
  <c r="G320" i="2"/>
  <c r="E320" i="2"/>
  <c r="C320" i="2"/>
  <c r="BJ319" i="2"/>
  <c r="BK319" i="2" s="1"/>
  <c r="BI319" i="2"/>
  <c r="BG319" i="2"/>
  <c r="BE319" i="2"/>
  <c r="BD319" i="2"/>
  <c r="BC319" i="2"/>
  <c r="BA319" i="2"/>
  <c r="AY319" i="2"/>
  <c r="AX319" i="2"/>
  <c r="AW319" i="2"/>
  <c r="AU319" i="2"/>
  <c r="AS319" i="2"/>
  <c r="AP319" i="2"/>
  <c r="AN319" i="2"/>
  <c r="AL319" i="2"/>
  <c r="AJ319" i="2"/>
  <c r="AH319" i="2"/>
  <c r="AF319" i="2"/>
  <c r="AD319" i="2"/>
  <c r="AB319" i="2"/>
  <c r="Z319" i="2"/>
  <c r="X319" i="2"/>
  <c r="U319" i="2"/>
  <c r="S319" i="2"/>
  <c r="Q319" i="2"/>
  <c r="O319" i="2"/>
  <c r="M319" i="2"/>
  <c r="K319" i="2"/>
  <c r="I319" i="2"/>
  <c r="G319" i="2"/>
  <c r="E319" i="2"/>
  <c r="C319" i="2"/>
  <c r="BJ318" i="2"/>
  <c r="BI318" i="2"/>
  <c r="BG318" i="2"/>
  <c r="BD318" i="2"/>
  <c r="BC318" i="2"/>
  <c r="BA318" i="2"/>
  <c r="AX318" i="2"/>
  <c r="AW318" i="2"/>
  <c r="AU318" i="2"/>
  <c r="AS318" i="2"/>
  <c r="AP318" i="2"/>
  <c r="AN318" i="2"/>
  <c r="AL318" i="2"/>
  <c r="AJ318" i="2"/>
  <c r="AH318" i="2"/>
  <c r="AF318" i="2"/>
  <c r="AD318" i="2"/>
  <c r="AB318" i="2"/>
  <c r="Z318" i="2"/>
  <c r="X318" i="2"/>
  <c r="U318" i="2"/>
  <c r="S318" i="2"/>
  <c r="Q318" i="2"/>
  <c r="O318" i="2"/>
  <c r="M318" i="2"/>
  <c r="K318" i="2"/>
  <c r="I318" i="2"/>
  <c r="G318" i="2"/>
  <c r="E318" i="2"/>
  <c r="C318" i="2"/>
  <c r="BJ317" i="2"/>
  <c r="BK317" i="2" s="1"/>
  <c r="BI317" i="2"/>
  <c r="BG317" i="2"/>
  <c r="BD317" i="2"/>
  <c r="BE317" i="2" s="1"/>
  <c r="BC317" i="2"/>
  <c r="BA317" i="2"/>
  <c r="AY317" i="2"/>
  <c r="AX317" i="2"/>
  <c r="AW317" i="2"/>
  <c r="AU317" i="2"/>
  <c r="AS317" i="2"/>
  <c r="AP317" i="2"/>
  <c r="AN317" i="2"/>
  <c r="AL317" i="2"/>
  <c r="AJ317" i="2"/>
  <c r="AH317" i="2"/>
  <c r="AF317" i="2"/>
  <c r="AD317" i="2"/>
  <c r="AB317" i="2"/>
  <c r="Z317" i="2"/>
  <c r="X317" i="2"/>
  <c r="U317" i="2"/>
  <c r="S317" i="2"/>
  <c r="Q317" i="2"/>
  <c r="O317" i="2"/>
  <c r="M317" i="2"/>
  <c r="K317" i="2"/>
  <c r="I317" i="2"/>
  <c r="G317" i="2"/>
  <c r="E317" i="2"/>
  <c r="C317" i="2"/>
  <c r="BJ316" i="2"/>
  <c r="BI316" i="2"/>
  <c r="BG316" i="2"/>
  <c r="BD316" i="2"/>
  <c r="BC316" i="2"/>
  <c r="BA316" i="2"/>
  <c r="AX316" i="2"/>
  <c r="AW316" i="2"/>
  <c r="AU316" i="2"/>
  <c r="AS316" i="2"/>
  <c r="AP316" i="2"/>
  <c r="AN316" i="2"/>
  <c r="AL316" i="2"/>
  <c r="AJ316" i="2"/>
  <c r="AH316" i="2"/>
  <c r="AF316" i="2"/>
  <c r="AD316" i="2"/>
  <c r="AB316" i="2"/>
  <c r="Z316" i="2"/>
  <c r="X316" i="2"/>
  <c r="U316" i="2"/>
  <c r="S316" i="2"/>
  <c r="Q316" i="2"/>
  <c r="O316" i="2"/>
  <c r="M316" i="2"/>
  <c r="K316" i="2"/>
  <c r="I316" i="2"/>
  <c r="G316" i="2"/>
  <c r="E316" i="2"/>
  <c r="C316" i="2"/>
  <c r="BJ315" i="2"/>
  <c r="BI315" i="2"/>
  <c r="BG315" i="2"/>
  <c r="BD315" i="2"/>
  <c r="BC315" i="2"/>
  <c r="BA315" i="2"/>
  <c r="AX315" i="2"/>
  <c r="AY315" i="2" s="1"/>
  <c r="AW315" i="2"/>
  <c r="AU315" i="2"/>
  <c r="AS315" i="2"/>
  <c r="AP315" i="2"/>
  <c r="AN315" i="2"/>
  <c r="AL315" i="2"/>
  <c r="AJ315" i="2"/>
  <c r="AH315" i="2"/>
  <c r="AF315" i="2"/>
  <c r="AD315" i="2"/>
  <c r="AB315" i="2"/>
  <c r="Z315" i="2"/>
  <c r="X315" i="2"/>
  <c r="U315" i="2"/>
  <c r="S315" i="2"/>
  <c r="Q315" i="2"/>
  <c r="O315" i="2"/>
  <c r="M315" i="2"/>
  <c r="K315" i="2"/>
  <c r="I315" i="2"/>
  <c r="G315" i="2"/>
  <c r="E315" i="2"/>
  <c r="C315" i="2"/>
  <c r="BJ314" i="2"/>
  <c r="BK314" i="2" s="1"/>
  <c r="BI314" i="2"/>
  <c r="BG314" i="2"/>
  <c r="BD314" i="2"/>
  <c r="BC314" i="2"/>
  <c r="BA314" i="2"/>
  <c r="AX314" i="2"/>
  <c r="AW314" i="2"/>
  <c r="AU314" i="2"/>
  <c r="AS314" i="2"/>
  <c r="AP314" i="2"/>
  <c r="AN314" i="2"/>
  <c r="AL314" i="2"/>
  <c r="AJ314" i="2"/>
  <c r="AH314" i="2"/>
  <c r="AF314" i="2"/>
  <c r="AD314" i="2"/>
  <c r="AB314" i="2"/>
  <c r="Z314" i="2"/>
  <c r="X314" i="2"/>
  <c r="U314" i="2"/>
  <c r="S314" i="2"/>
  <c r="Q314" i="2"/>
  <c r="O314" i="2"/>
  <c r="M314" i="2"/>
  <c r="K314" i="2"/>
  <c r="I314" i="2"/>
  <c r="G314" i="2"/>
  <c r="E314" i="2"/>
  <c r="C314" i="2"/>
  <c r="BK313" i="2"/>
  <c r="BJ313" i="2"/>
  <c r="BI313" i="2"/>
  <c r="BG313" i="2"/>
  <c r="BD313" i="2"/>
  <c r="BC313" i="2"/>
  <c r="BA313" i="2"/>
  <c r="AX313" i="2"/>
  <c r="AY314" i="2" s="1"/>
  <c r="AW313" i="2"/>
  <c r="AU313" i="2"/>
  <c r="AS313" i="2"/>
  <c r="AP313" i="2"/>
  <c r="AN313" i="2"/>
  <c r="AL313" i="2"/>
  <c r="AJ313" i="2"/>
  <c r="AH313" i="2"/>
  <c r="AF313" i="2"/>
  <c r="AD313" i="2"/>
  <c r="AB313" i="2"/>
  <c r="Z313" i="2"/>
  <c r="X313" i="2"/>
  <c r="U313" i="2"/>
  <c r="S313" i="2"/>
  <c r="Q313" i="2"/>
  <c r="O313" i="2"/>
  <c r="M313" i="2"/>
  <c r="K313" i="2"/>
  <c r="I313" i="2"/>
  <c r="G313" i="2"/>
  <c r="E313" i="2"/>
  <c r="C313" i="2"/>
  <c r="BJ312" i="2"/>
  <c r="BI312" i="2"/>
  <c r="BG312" i="2"/>
  <c r="BD312" i="2"/>
  <c r="BC312" i="2"/>
  <c r="BA312" i="2"/>
  <c r="AX312" i="2"/>
  <c r="AY312" i="2" s="1"/>
  <c r="AW312" i="2"/>
  <c r="AU312" i="2"/>
  <c r="AS312" i="2"/>
  <c r="AP312" i="2"/>
  <c r="AN312" i="2"/>
  <c r="AL312" i="2"/>
  <c r="AJ312" i="2"/>
  <c r="AH312" i="2"/>
  <c r="AF312" i="2"/>
  <c r="AD312" i="2"/>
  <c r="AB312" i="2"/>
  <c r="Z312" i="2"/>
  <c r="X312" i="2"/>
  <c r="U312" i="2"/>
  <c r="S312" i="2"/>
  <c r="Q312" i="2"/>
  <c r="O312" i="2"/>
  <c r="M312" i="2"/>
  <c r="K312" i="2"/>
  <c r="I312" i="2"/>
  <c r="G312" i="2"/>
  <c r="E312" i="2"/>
  <c r="C312" i="2"/>
  <c r="BK311" i="2"/>
  <c r="BJ311" i="2"/>
  <c r="BI311" i="2"/>
  <c r="BG311" i="2"/>
  <c r="BD311" i="2"/>
  <c r="BE311" i="2" s="1"/>
  <c r="BC311" i="2"/>
  <c r="BA311" i="2"/>
  <c r="AX311" i="2"/>
  <c r="AY311" i="2" s="1"/>
  <c r="AW311" i="2"/>
  <c r="AU311" i="2"/>
  <c r="AS311" i="2"/>
  <c r="AP311" i="2"/>
  <c r="AN311" i="2"/>
  <c r="AL311" i="2"/>
  <c r="AJ311" i="2"/>
  <c r="AH311" i="2"/>
  <c r="AF311" i="2"/>
  <c r="AD311" i="2"/>
  <c r="AB311" i="2"/>
  <c r="Z311" i="2"/>
  <c r="X311" i="2"/>
  <c r="U311" i="2"/>
  <c r="S311" i="2"/>
  <c r="Q311" i="2"/>
  <c r="O311" i="2"/>
  <c r="M311" i="2"/>
  <c r="K311" i="2"/>
  <c r="I311" i="2"/>
  <c r="G311" i="2"/>
  <c r="E311" i="2"/>
  <c r="C311" i="2"/>
  <c r="BJ310" i="2"/>
  <c r="BI310" i="2"/>
  <c r="BG310" i="2"/>
  <c r="BD310" i="2"/>
  <c r="BC310" i="2"/>
  <c r="BA310" i="2"/>
  <c r="AX310" i="2"/>
  <c r="AY310" i="2" s="1"/>
  <c r="AW310" i="2"/>
  <c r="AU310" i="2"/>
  <c r="AS310" i="2"/>
  <c r="AP310" i="2"/>
  <c r="AN310" i="2"/>
  <c r="AL310" i="2"/>
  <c r="AJ310" i="2"/>
  <c r="AH310" i="2"/>
  <c r="AF310" i="2"/>
  <c r="AD310" i="2"/>
  <c r="AB310" i="2"/>
  <c r="Z310" i="2"/>
  <c r="X310" i="2"/>
  <c r="U310" i="2"/>
  <c r="S310" i="2"/>
  <c r="Q310" i="2"/>
  <c r="O310" i="2"/>
  <c r="M310" i="2"/>
  <c r="K310" i="2"/>
  <c r="I310" i="2"/>
  <c r="G310" i="2"/>
  <c r="E310" i="2"/>
  <c r="C310" i="2"/>
  <c r="BJ309" i="2"/>
  <c r="BI309" i="2"/>
  <c r="BG309" i="2"/>
  <c r="BD309" i="2"/>
  <c r="BE309" i="2" s="1"/>
  <c r="BC309" i="2"/>
  <c r="BA309" i="2"/>
  <c r="AX309" i="2"/>
  <c r="AW309" i="2"/>
  <c r="AU309" i="2"/>
  <c r="AS309" i="2"/>
  <c r="AP309" i="2"/>
  <c r="AN309" i="2"/>
  <c r="AL309" i="2"/>
  <c r="AJ309" i="2"/>
  <c r="AH309" i="2"/>
  <c r="AF309" i="2"/>
  <c r="AD309" i="2"/>
  <c r="AB309" i="2"/>
  <c r="Z309" i="2"/>
  <c r="X309" i="2"/>
  <c r="U309" i="2"/>
  <c r="S309" i="2"/>
  <c r="Q309" i="2"/>
  <c r="O309" i="2"/>
  <c r="M309" i="2"/>
  <c r="K309" i="2"/>
  <c r="I309" i="2"/>
  <c r="G309" i="2"/>
  <c r="E309" i="2"/>
  <c r="C309" i="2"/>
  <c r="BJ308" i="2"/>
  <c r="BK308" i="2" s="1"/>
  <c r="BI308" i="2"/>
  <c r="BG308" i="2"/>
  <c r="BD308" i="2"/>
  <c r="BE308" i="2" s="1"/>
  <c r="BC308" i="2"/>
  <c r="BA308" i="2"/>
  <c r="AX308" i="2"/>
  <c r="AW308" i="2"/>
  <c r="AU308" i="2"/>
  <c r="AS308" i="2"/>
  <c r="AP308" i="2"/>
  <c r="AN308" i="2"/>
  <c r="AL308" i="2"/>
  <c r="AJ308" i="2"/>
  <c r="AH308" i="2"/>
  <c r="AF308" i="2"/>
  <c r="AD308" i="2"/>
  <c r="AB308" i="2"/>
  <c r="Z308" i="2"/>
  <c r="X308" i="2"/>
  <c r="U308" i="2"/>
  <c r="S308" i="2"/>
  <c r="Q308" i="2"/>
  <c r="O308" i="2"/>
  <c r="M308" i="2"/>
  <c r="K308" i="2"/>
  <c r="I308" i="2"/>
  <c r="G308" i="2"/>
  <c r="E308" i="2"/>
  <c r="C308" i="2"/>
  <c r="BJ307" i="2"/>
  <c r="BI307" i="2"/>
  <c r="BG307" i="2"/>
  <c r="BE307" i="2"/>
  <c r="BD307" i="2"/>
  <c r="BC307" i="2"/>
  <c r="BA307" i="2"/>
  <c r="AX307" i="2"/>
  <c r="AW307" i="2"/>
  <c r="AU307" i="2"/>
  <c r="AS307" i="2"/>
  <c r="AP307" i="2"/>
  <c r="AN307" i="2"/>
  <c r="AL307" i="2"/>
  <c r="AJ307" i="2"/>
  <c r="AH307" i="2"/>
  <c r="AF307" i="2"/>
  <c r="AD307" i="2"/>
  <c r="AB307" i="2"/>
  <c r="Z307" i="2"/>
  <c r="X307" i="2"/>
  <c r="U307" i="2"/>
  <c r="S307" i="2"/>
  <c r="Q307" i="2"/>
  <c r="O307" i="2"/>
  <c r="M307" i="2"/>
  <c r="K307" i="2"/>
  <c r="I307" i="2"/>
  <c r="G307" i="2"/>
  <c r="E307" i="2"/>
  <c r="C307" i="2"/>
  <c r="BJ306" i="2"/>
  <c r="BK307" i="2" s="1"/>
  <c r="BI306" i="2"/>
  <c r="BG306" i="2"/>
  <c r="BD306" i="2"/>
  <c r="BC306" i="2"/>
  <c r="BA306" i="2"/>
  <c r="AX306" i="2"/>
  <c r="AY306" i="2" s="1"/>
  <c r="AW306" i="2"/>
  <c r="AU306" i="2"/>
  <c r="AS306" i="2"/>
  <c r="AP306" i="2"/>
  <c r="AN306" i="2"/>
  <c r="AL306" i="2"/>
  <c r="AJ306" i="2"/>
  <c r="AH306" i="2"/>
  <c r="AF306" i="2"/>
  <c r="AD306" i="2"/>
  <c r="AB306" i="2"/>
  <c r="Z306" i="2"/>
  <c r="X306" i="2"/>
  <c r="U306" i="2"/>
  <c r="S306" i="2"/>
  <c r="Q306" i="2"/>
  <c r="O306" i="2"/>
  <c r="M306" i="2"/>
  <c r="K306" i="2"/>
  <c r="I306" i="2"/>
  <c r="G306" i="2"/>
  <c r="E306" i="2"/>
  <c r="C306" i="2"/>
  <c r="BJ305" i="2"/>
  <c r="BK305" i="2" s="1"/>
  <c r="BI305" i="2"/>
  <c r="BG305" i="2"/>
  <c r="BD305" i="2"/>
  <c r="BC305" i="2"/>
  <c r="BA305" i="2"/>
  <c r="AX305" i="2"/>
  <c r="AW305" i="2"/>
  <c r="AU305" i="2"/>
  <c r="AS305" i="2"/>
  <c r="AP305" i="2"/>
  <c r="AN305" i="2"/>
  <c r="AL305" i="2"/>
  <c r="AJ305" i="2"/>
  <c r="AH305" i="2"/>
  <c r="AF305" i="2"/>
  <c r="AD305" i="2"/>
  <c r="AB305" i="2"/>
  <c r="Z305" i="2"/>
  <c r="X305" i="2"/>
  <c r="U305" i="2"/>
  <c r="S305" i="2"/>
  <c r="Q305" i="2"/>
  <c r="O305" i="2"/>
  <c r="M305" i="2"/>
  <c r="K305" i="2"/>
  <c r="I305" i="2"/>
  <c r="G305" i="2"/>
  <c r="E305" i="2"/>
  <c r="C305" i="2"/>
  <c r="BJ304" i="2"/>
  <c r="BI304" i="2"/>
  <c r="BG304" i="2"/>
  <c r="BD304" i="2"/>
  <c r="BE304" i="2" s="1"/>
  <c r="BC304" i="2"/>
  <c r="BA304" i="2"/>
  <c r="AX304" i="2"/>
  <c r="AY305" i="2" s="1"/>
  <c r="AW304" i="2"/>
  <c r="AU304" i="2"/>
  <c r="AS304" i="2"/>
  <c r="AP304" i="2"/>
  <c r="AN304" i="2"/>
  <c r="AL304" i="2"/>
  <c r="AJ304" i="2"/>
  <c r="AH304" i="2"/>
  <c r="AF304" i="2"/>
  <c r="AD304" i="2"/>
  <c r="AB304" i="2"/>
  <c r="Z304" i="2"/>
  <c r="X304" i="2"/>
  <c r="U304" i="2"/>
  <c r="S304" i="2"/>
  <c r="Q304" i="2"/>
  <c r="O304" i="2"/>
  <c r="M304" i="2"/>
  <c r="K304" i="2"/>
  <c r="I304" i="2"/>
  <c r="G304" i="2"/>
  <c r="E304" i="2"/>
  <c r="C304" i="2"/>
  <c r="BJ303" i="2"/>
  <c r="BI303" i="2"/>
  <c r="BG303" i="2"/>
  <c r="BE303" i="2"/>
  <c r="BD303" i="2"/>
  <c r="BC303" i="2"/>
  <c r="BA303" i="2"/>
  <c r="AX303" i="2"/>
  <c r="AW303" i="2"/>
  <c r="AU303" i="2"/>
  <c r="AS303" i="2"/>
  <c r="AP303" i="2"/>
  <c r="AN303" i="2"/>
  <c r="AL303" i="2"/>
  <c r="AJ303" i="2"/>
  <c r="AH303" i="2"/>
  <c r="AF303" i="2"/>
  <c r="AD303" i="2"/>
  <c r="AB303" i="2"/>
  <c r="Z303" i="2"/>
  <c r="X303" i="2"/>
  <c r="U303" i="2"/>
  <c r="S303" i="2"/>
  <c r="Q303" i="2"/>
  <c r="O303" i="2"/>
  <c r="M303" i="2"/>
  <c r="K303" i="2"/>
  <c r="I303" i="2"/>
  <c r="G303" i="2"/>
  <c r="E303" i="2"/>
  <c r="C303" i="2"/>
  <c r="BJ302" i="2"/>
  <c r="BI302" i="2"/>
  <c r="BG302" i="2"/>
  <c r="BD302" i="2"/>
  <c r="BC302" i="2"/>
  <c r="BA302" i="2"/>
  <c r="AX302" i="2"/>
  <c r="AW302" i="2"/>
  <c r="AU302" i="2"/>
  <c r="AS302" i="2"/>
  <c r="AP302" i="2"/>
  <c r="AN302" i="2"/>
  <c r="AL302" i="2"/>
  <c r="AJ302" i="2"/>
  <c r="AH302" i="2"/>
  <c r="AF302" i="2"/>
  <c r="AD302" i="2"/>
  <c r="AB302" i="2"/>
  <c r="Z302" i="2"/>
  <c r="X302" i="2"/>
  <c r="U302" i="2"/>
  <c r="S302" i="2"/>
  <c r="Q302" i="2"/>
  <c r="O302" i="2"/>
  <c r="M302" i="2"/>
  <c r="K302" i="2"/>
  <c r="I302" i="2"/>
  <c r="G302" i="2"/>
  <c r="E302" i="2"/>
  <c r="C302" i="2"/>
  <c r="BJ301" i="2"/>
  <c r="BK301" i="2" s="1"/>
  <c r="BI301" i="2"/>
  <c r="BG301" i="2"/>
  <c r="BD301" i="2"/>
  <c r="BE301" i="2" s="1"/>
  <c r="BC301" i="2"/>
  <c r="BA301" i="2"/>
  <c r="AX301" i="2"/>
  <c r="AW301" i="2"/>
  <c r="AU301" i="2"/>
  <c r="AS301" i="2"/>
  <c r="AP301" i="2"/>
  <c r="AN301" i="2"/>
  <c r="AL301" i="2"/>
  <c r="AJ301" i="2"/>
  <c r="AH301" i="2"/>
  <c r="AF301" i="2"/>
  <c r="AD301" i="2"/>
  <c r="AB301" i="2"/>
  <c r="Z301" i="2"/>
  <c r="X301" i="2"/>
  <c r="U301" i="2"/>
  <c r="S301" i="2"/>
  <c r="Q301" i="2"/>
  <c r="O301" i="2"/>
  <c r="M301" i="2"/>
  <c r="K301" i="2"/>
  <c r="I301" i="2"/>
  <c r="G301" i="2"/>
  <c r="E301" i="2"/>
  <c r="C301" i="2"/>
  <c r="BJ300" i="2"/>
  <c r="BI300" i="2"/>
  <c r="BG300" i="2"/>
  <c r="BD300" i="2"/>
  <c r="BC300" i="2"/>
  <c r="BA300" i="2"/>
  <c r="AX300" i="2"/>
  <c r="AW300" i="2"/>
  <c r="AU300" i="2"/>
  <c r="AS300" i="2"/>
  <c r="AP300" i="2"/>
  <c r="AN300" i="2"/>
  <c r="AL300" i="2"/>
  <c r="AJ300" i="2"/>
  <c r="AH300" i="2"/>
  <c r="AF300" i="2"/>
  <c r="AD300" i="2"/>
  <c r="AB300" i="2"/>
  <c r="Z300" i="2"/>
  <c r="X300" i="2"/>
  <c r="U300" i="2"/>
  <c r="S300" i="2"/>
  <c r="Q300" i="2"/>
  <c r="O300" i="2"/>
  <c r="M300" i="2"/>
  <c r="K300" i="2"/>
  <c r="I300" i="2"/>
  <c r="G300" i="2"/>
  <c r="E300" i="2"/>
  <c r="C300" i="2"/>
  <c r="BJ299" i="2"/>
  <c r="BI299" i="2"/>
  <c r="BG299" i="2"/>
  <c r="BD299" i="2"/>
  <c r="BC299" i="2"/>
  <c r="BA299" i="2"/>
  <c r="AX299" i="2"/>
  <c r="AY299" i="2" s="1"/>
  <c r="AW299" i="2"/>
  <c r="AU299" i="2"/>
  <c r="AS299" i="2"/>
  <c r="AP299" i="2"/>
  <c r="AN299" i="2"/>
  <c r="AL299" i="2"/>
  <c r="AJ299" i="2"/>
  <c r="AH299" i="2"/>
  <c r="AF299" i="2"/>
  <c r="AD299" i="2"/>
  <c r="AB299" i="2"/>
  <c r="Z299" i="2"/>
  <c r="X299" i="2"/>
  <c r="U299" i="2"/>
  <c r="S299" i="2"/>
  <c r="Q299" i="2"/>
  <c r="O299" i="2"/>
  <c r="M299" i="2"/>
  <c r="K299" i="2"/>
  <c r="I299" i="2"/>
  <c r="G299" i="2"/>
  <c r="E299" i="2"/>
  <c r="C299" i="2"/>
  <c r="BJ298" i="2"/>
  <c r="BK298" i="2" s="1"/>
  <c r="BI298" i="2"/>
  <c r="BG298" i="2"/>
  <c r="BD298" i="2"/>
  <c r="BC298" i="2"/>
  <c r="BA298" i="2"/>
  <c r="AX298" i="2"/>
  <c r="AW298" i="2"/>
  <c r="AU298" i="2"/>
  <c r="AS298" i="2"/>
  <c r="AP298" i="2"/>
  <c r="AN298" i="2"/>
  <c r="AL298" i="2"/>
  <c r="AJ298" i="2"/>
  <c r="AH298" i="2"/>
  <c r="AF298" i="2"/>
  <c r="AD298" i="2"/>
  <c r="AB298" i="2"/>
  <c r="Z298" i="2"/>
  <c r="X298" i="2"/>
  <c r="U298" i="2"/>
  <c r="S298" i="2"/>
  <c r="Q298" i="2"/>
  <c r="O298" i="2"/>
  <c r="M298" i="2"/>
  <c r="K298" i="2"/>
  <c r="I298" i="2"/>
  <c r="G298" i="2"/>
  <c r="E298" i="2"/>
  <c r="C298" i="2"/>
  <c r="BJ297" i="2"/>
  <c r="BI297" i="2"/>
  <c r="BG297" i="2"/>
  <c r="BD297" i="2"/>
  <c r="BC297" i="2"/>
  <c r="BA297" i="2"/>
  <c r="AX297" i="2"/>
  <c r="AY297" i="2" s="1"/>
  <c r="AW297" i="2"/>
  <c r="AU297" i="2"/>
  <c r="AS297" i="2"/>
  <c r="AP297" i="2"/>
  <c r="AN297" i="2"/>
  <c r="AL297" i="2"/>
  <c r="AJ297" i="2"/>
  <c r="AH297" i="2"/>
  <c r="AF297" i="2"/>
  <c r="AD297" i="2"/>
  <c r="AB297" i="2"/>
  <c r="Z297" i="2"/>
  <c r="X297" i="2"/>
  <c r="U297" i="2"/>
  <c r="S297" i="2"/>
  <c r="Q297" i="2"/>
  <c r="O297" i="2"/>
  <c r="M297" i="2"/>
  <c r="K297" i="2"/>
  <c r="I297" i="2"/>
  <c r="G297" i="2"/>
  <c r="E297" i="2"/>
  <c r="C297" i="2"/>
  <c r="BJ296" i="2"/>
  <c r="BI296" i="2"/>
  <c r="BG296" i="2"/>
  <c r="BD296" i="2"/>
  <c r="BC296" i="2"/>
  <c r="BA296" i="2"/>
  <c r="AX296" i="2"/>
  <c r="AW296" i="2"/>
  <c r="AU296" i="2"/>
  <c r="AS296" i="2"/>
  <c r="AP296" i="2"/>
  <c r="AN296" i="2"/>
  <c r="AL296" i="2"/>
  <c r="AJ296" i="2"/>
  <c r="AH296" i="2"/>
  <c r="AF296" i="2"/>
  <c r="AD296" i="2"/>
  <c r="AB296" i="2"/>
  <c r="Z296" i="2"/>
  <c r="X296" i="2"/>
  <c r="U296" i="2"/>
  <c r="S296" i="2"/>
  <c r="Q296" i="2"/>
  <c r="O296" i="2"/>
  <c r="M296" i="2"/>
  <c r="K296" i="2"/>
  <c r="I296" i="2"/>
  <c r="G296" i="2"/>
  <c r="E296" i="2"/>
  <c r="C296" i="2"/>
  <c r="BJ295" i="2"/>
  <c r="BI295" i="2"/>
  <c r="BG295" i="2"/>
  <c r="BD295" i="2"/>
  <c r="BE295" i="2" s="1"/>
  <c r="BC295" i="2"/>
  <c r="BA295" i="2"/>
  <c r="AX295" i="2"/>
  <c r="AW295" i="2"/>
  <c r="AU295" i="2"/>
  <c r="AS295" i="2"/>
  <c r="AP295" i="2"/>
  <c r="AN295" i="2"/>
  <c r="AL295" i="2"/>
  <c r="AJ295" i="2"/>
  <c r="AH295" i="2"/>
  <c r="AF295" i="2"/>
  <c r="AD295" i="2"/>
  <c r="AB295" i="2"/>
  <c r="Z295" i="2"/>
  <c r="X295" i="2"/>
  <c r="U295" i="2"/>
  <c r="S295" i="2"/>
  <c r="Q295" i="2"/>
  <c r="O295" i="2"/>
  <c r="M295" i="2"/>
  <c r="K295" i="2"/>
  <c r="I295" i="2"/>
  <c r="G295" i="2"/>
  <c r="E295" i="2"/>
  <c r="C295" i="2"/>
  <c r="BJ294" i="2"/>
  <c r="BI294" i="2"/>
  <c r="BG294" i="2"/>
  <c r="BD294" i="2"/>
  <c r="BC294" i="2"/>
  <c r="BA294" i="2"/>
  <c r="AX294" i="2"/>
  <c r="AW294" i="2"/>
  <c r="AU294" i="2"/>
  <c r="AS294" i="2"/>
  <c r="AP294" i="2"/>
  <c r="AN294" i="2"/>
  <c r="AL294" i="2"/>
  <c r="AJ294" i="2"/>
  <c r="AH294" i="2"/>
  <c r="AF294" i="2"/>
  <c r="AD294" i="2"/>
  <c r="AB294" i="2"/>
  <c r="Z294" i="2"/>
  <c r="X294" i="2"/>
  <c r="U294" i="2"/>
  <c r="S294" i="2"/>
  <c r="Q294" i="2"/>
  <c r="O294" i="2"/>
  <c r="M294" i="2"/>
  <c r="K294" i="2"/>
  <c r="I294" i="2"/>
  <c r="G294" i="2"/>
  <c r="E294" i="2"/>
  <c r="C294" i="2"/>
  <c r="BJ293" i="2"/>
  <c r="BK293" i="2" s="1"/>
  <c r="BI293" i="2"/>
  <c r="BG293" i="2"/>
  <c r="BD293" i="2"/>
  <c r="BE293" i="2" s="1"/>
  <c r="BC293" i="2"/>
  <c r="BA293" i="2"/>
  <c r="AX293" i="2"/>
  <c r="AY293" i="2" s="1"/>
  <c r="AW293" i="2"/>
  <c r="AU293" i="2"/>
  <c r="AS293" i="2"/>
  <c r="AP293" i="2"/>
  <c r="AN293" i="2"/>
  <c r="AL293" i="2"/>
  <c r="AJ293" i="2"/>
  <c r="AH293" i="2"/>
  <c r="AF293" i="2"/>
  <c r="AD293" i="2"/>
  <c r="AB293" i="2"/>
  <c r="Z293" i="2"/>
  <c r="X293" i="2"/>
  <c r="U293" i="2"/>
  <c r="S293" i="2"/>
  <c r="Q293" i="2"/>
  <c r="O293" i="2"/>
  <c r="M293" i="2"/>
  <c r="K293" i="2"/>
  <c r="I293" i="2"/>
  <c r="G293" i="2"/>
  <c r="E293" i="2"/>
  <c r="C293" i="2"/>
  <c r="BJ292" i="2"/>
  <c r="BI292" i="2"/>
  <c r="BG292" i="2"/>
  <c r="BD292" i="2"/>
  <c r="BC292" i="2"/>
  <c r="BA292" i="2"/>
  <c r="AX292" i="2"/>
  <c r="AW292" i="2"/>
  <c r="AU292" i="2"/>
  <c r="AS292" i="2"/>
  <c r="AP292" i="2"/>
  <c r="AN292" i="2"/>
  <c r="AL292" i="2"/>
  <c r="AJ292" i="2"/>
  <c r="AH292" i="2"/>
  <c r="AF292" i="2"/>
  <c r="AD292" i="2"/>
  <c r="AB292" i="2"/>
  <c r="Z292" i="2"/>
  <c r="X292" i="2"/>
  <c r="U292" i="2"/>
  <c r="S292" i="2"/>
  <c r="Q292" i="2"/>
  <c r="O292" i="2"/>
  <c r="M292" i="2"/>
  <c r="K292" i="2"/>
  <c r="I292" i="2"/>
  <c r="G292" i="2"/>
  <c r="E292" i="2"/>
  <c r="C292" i="2"/>
  <c r="BJ291" i="2"/>
  <c r="BK291" i="2" s="1"/>
  <c r="BI291" i="2"/>
  <c r="BG291" i="2"/>
  <c r="BD291" i="2"/>
  <c r="BC291" i="2"/>
  <c r="BA291" i="2"/>
  <c r="AX291" i="2"/>
  <c r="AY292" i="2" s="1"/>
  <c r="AW291" i="2"/>
  <c r="AU291" i="2"/>
  <c r="AS291" i="2"/>
  <c r="AP291" i="2"/>
  <c r="AN291" i="2"/>
  <c r="AL291" i="2"/>
  <c r="AJ291" i="2"/>
  <c r="AH291" i="2"/>
  <c r="AF291" i="2"/>
  <c r="AD291" i="2"/>
  <c r="AB291" i="2"/>
  <c r="Z291" i="2"/>
  <c r="X291" i="2"/>
  <c r="U291" i="2"/>
  <c r="S291" i="2"/>
  <c r="Q291" i="2"/>
  <c r="O291" i="2"/>
  <c r="M291" i="2"/>
  <c r="K291" i="2"/>
  <c r="I291" i="2"/>
  <c r="G291" i="2"/>
  <c r="E291" i="2"/>
  <c r="C291" i="2"/>
  <c r="BJ290" i="2"/>
  <c r="BK290" i="2" s="1"/>
  <c r="BI290" i="2"/>
  <c r="BG290" i="2"/>
  <c r="BD290" i="2"/>
  <c r="BE290" i="2" s="1"/>
  <c r="BC290" i="2"/>
  <c r="BA290" i="2"/>
  <c r="AX290" i="2"/>
  <c r="AY290" i="2" s="1"/>
  <c r="AW290" i="2"/>
  <c r="AU290" i="2"/>
  <c r="AS290" i="2"/>
  <c r="AP290" i="2"/>
  <c r="AN290" i="2"/>
  <c r="AL290" i="2"/>
  <c r="AJ290" i="2"/>
  <c r="AH290" i="2"/>
  <c r="AF290" i="2"/>
  <c r="AD290" i="2"/>
  <c r="AB290" i="2"/>
  <c r="Z290" i="2"/>
  <c r="X290" i="2"/>
  <c r="U290" i="2"/>
  <c r="S290" i="2"/>
  <c r="Q290" i="2"/>
  <c r="O290" i="2"/>
  <c r="M290" i="2"/>
  <c r="K290" i="2"/>
  <c r="I290" i="2"/>
  <c r="G290" i="2"/>
  <c r="E290" i="2"/>
  <c r="C290" i="2"/>
  <c r="BJ289" i="2"/>
  <c r="BI289" i="2"/>
  <c r="BG289" i="2"/>
  <c r="BD289" i="2"/>
  <c r="BC289" i="2"/>
  <c r="BA289" i="2"/>
  <c r="AX289" i="2"/>
  <c r="AY289" i="2" s="1"/>
  <c r="AW289" i="2"/>
  <c r="AU289" i="2"/>
  <c r="AS289" i="2"/>
  <c r="AP289" i="2"/>
  <c r="AN289" i="2"/>
  <c r="AL289" i="2"/>
  <c r="AJ289" i="2"/>
  <c r="AH289" i="2"/>
  <c r="AF289" i="2"/>
  <c r="AD289" i="2"/>
  <c r="AB289" i="2"/>
  <c r="Z289" i="2"/>
  <c r="X289" i="2"/>
  <c r="U289" i="2"/>
  <c r="S289" i="2"/>
  <c r="Q289" i="2"/>
  <c r="O289" i="2"/>
  <c r="M289" i="2"/>
  <c r="K289" i="2"/>
  <c r="I289" i="2"/>
  <c r="G289" i="2"/>
  <c r="E289" i="2"/>
  <c r="C289" i="2"/>
  <c r="BJ288" i="2"/>
  <c r="BI288" i="2"/>
  <c r="BG288" i="2"/>
  <c r="BD288" i="2"/>
  <c r="BC288" i="2"/>
  <c r="BA288" i="2"/>
  <c r="AX288" i="2"/>
  <c r="AW288" i="2"/>
  <c r="AU288" i="2"/>
  <c r="AS288" i="2"/>
  <c r="AP288" i="2"/>
  <c r="AN288" i="2"/>
  <c r="AL288" i="2"/>
  <c r="AJ288" i="2"/>
  <c r="AH288" i="2"/>
  <c r="AF288" i="2"/>
  <c r="AD288" i="2"/>
  <c r="AB288" i="2"/>
  <c r="Z288" i="2"/>
  <c r="X288" i="2"/>
  <c r="U288" i="2"/>
  <c r="S288" i="2"/>
  <c r="Q288" i="2"/>
  <c r="O288" i="2"/>
  <c r="M288" i="2"/>
  <c r="K288" i="2"/>
  <c r="I288" i="2"/>
  <c r="G288" i="2"/>
  <c r="E288" i="2"/>
  <c r="C288" i="2"/>
  <c r="BJ287" i="2"/>
  <c r="BK287" i="2" s="1"/>
  <c r="BI287" i="2"/>
  <c r="BG287" i="2"/>
  <c r="BD287" i="2"/>
  <c r="BE287" i="2" s="1"/>
  <c r="BC287" i="2"/>
  <c r="BA287" i="2"/>
  <c r="AX287" i="2"/>
  <c r="AW287" i="2"/>
  <c r="AU287" i="2"/>
  <c r="AS287" i="2"/>
  <c r="AP287" i="2"/>
  <c r="AN287" i="2"/>
  <c r="AL287" i="2"/>
  <c r="AJ287" i="2"/>
  <c r="AH287" i="2"/>
  <c r="AF287" i="2"/>
  <c r="AD287" i="2"/>
  <c r="AB287" i="2"/>
  <c r="Z287" i="2"/>
  <c r="X287" i="2"/>
  <c r="U287" i="2"/>
  <c r="S287" i="2"/>
  <c r="Q287" i="2"/>
  <c r="O287" i="2"/>
  <c r="M287" i="2"/>
  <c r="K287" i="2"/>
  <c r="I287" i="2"/>
  <c r="G287" i="2"/>
  <c r="E287" i="2"/>
  <c r="C287" i="2"/>
  <c r="BJ286" i="2"/>
  <c r="BK286" i="2" s="1"/>
  <c r="BI286" i="2"/>
  <c r="BG286" i="2"/>
  <c r="BD286" i="2"/>
  <c r="BE286" i="2" s="1"/>
  <c r="BC286" i="2"/>
  <c r="BA286" i="2"/>
  <c r="AX286" i="2"/>
  <c r="AW286" i="2"/>
  <c r="AU286" i="2"/>
  <c r="AS286" i="2"/>
  <c r="AP286" i="2"/>
  <c r="AN286" i="2"/>
  <c r="AL286" i="2"/>
  <c r="AJ286" i="2"/>
  <c r="AH286" i="2"/>
  <c r="AF286" i="2"/>
  <c r="AD286" i="2"/>
  <c r="AB286" i="2"/>
  <c r="Z286" i="2"/>
  <c r="X286" i="2"/>
  <c r="U286" i="2"/>
  <c r="S286" i="2"/>
  <c r="Q286" i="2"/>
  <c r="O286" i="2"/>
  <c r="M286" i="2"/>
  <c r="K286" i="2"/>
  <c r="I286" i="2"/>
  <c r="G286" i="2"/>
  <c r="E286" i="2"/>
  <c r="C286" i="2"/>
  <c r="BK285" i="2"/>
  <c r="BJ285" i="2"/>
  <c r="BI285" i="2"/>
  <c r="BG285" i="2"/>
  <c r="BE285" i="2"/>
  <c r="BD285" i="2"/>
  <c r="BC285" i="2"/>
  <c r="BA285" i="2"/>
  <c r="AX285" i="2"/>
  <c r="AY286" i="2" s="1"/>
  <c r="AW285" i="2"/>
  <c r="AU285" i="2"/>
  <c r="AS285" i="2"/>
  <c r="AP285" i="2"/>
  <c r="AN285" i="2"/>
  <c r="AL285" i="2"/>
  <c r="AJ285" i="2"/>
  <c r="AH285" i="2"/>
  <c r="AF285" i="2"/>
  <c r="AD285" i="2"/>
  <c r="AB285" i="2"/>
  <c r="Z285" i="2"/>
  <c r="X285" i="2"/>
  <c r="U285" i="2"/>
  <c r="S285" i="2"/>
  <c r="Q285" i="2"/>
  <c r="O285" i="2"/>
  <c r="M285" i="2"/>
  <c r="K285" i="2"/>
  <c r="I285" i="2"/>
  <c r="G285" i="2"/>
  <c r="E285" i="2"/>
  <c r="C285" i="2"/>
  <c r="BJ284" i="2"/>
  <c r="BI284" i="2"/>
  <c r="BG284" i="2"/>
  <c r="BD284" i="2"/>
  <c r="BE284" i="2" s="1"/>
  <c r="BC284" i="2"/>
  <c r="BA284" i="2"/>
  <c r="AX284" i="2"/>
  <c r="AY284" i="2" s="1"/>
  <c r="AW284" i="2"/>
  <c r="AU284" i="2"/>
  <c r="AS284" i="2"/>
  <c r="AP284" i="2"/>
  <c r="AN284" i="2"/>
  <c r="AL284" i="2"/>
  <c r="AJ284" i="2"/>
  <c r="AH284" i="2"/>
  <c r="AF284" i="2"/>
  <c r="AD284" i="2"/>
  <c r="AB284" i="2"/>
  <c r="Z284" i="2"/>
  <c r="X284" i="2"/>
  <c r="U284" i="2"/>
  <c r="S284" i="2"/>
  <c r="Q284" i="2"/>
  <c r="O284" i="2"/>
  <c r="M284" i="2"/>
  <c r="K284" i="2"/>
  <c r="I284" i="2"/>
  <c r="G284" i="2"/>
  <c r="E284" i="2"/>
  <c r="C284" i="2"/>
  <c r="BK283" i="2"/>
  <c r="BJ283" i="2"/>
  <c r="BI283" i="2"/>
  <c r="BG283" i="2"/>
  <c r="BD283" i="2"/>
  <c r="BE283" i="2" s="1"/>
  <c r="BC283" i="2"/>
  <c r="BA283" i="2"/>
  <c r="AX283" i="2"/>
  <c r="AW283" i="2"/>
  <c r="AU283" i="2"/>
  <c r="AS283" i="2"/>
  <c r="AP283" i="2"/>
  <c r="AN283" i="2"/>
  <c r="AL283" i="2"/>
  <c r="AJ283" i="2"/>
  <c r="AH283" i="2"/>
  <c r="AF283" i="2"/>
  <c r="AD283" i="2"/>
  <c r="AB283" i="2"/>
  <c r="Z283" i="2"/>
  <c r="X283" i="2"/>
  <c r="U283" i="2"/>
  <c r="S283" i="2"/>
  <c r="Q283" i="2"/>
  <c r="O283" i="2"/>
  <c r="M283" i="2"/>
  <c r="K283" i="2"/>
  <c r="I283" i="2"/>
  <c r="G283" i="2"/>
  <c r="E283" i="2"/>
  <c r="C283" i="2"/>
  <c r="BJ282" i="2"/>
  <c r="BI282" i="2"/>
  <c r="BG282" i="2"/>
  <c r="BD282" i="2"/>
  <c r="BC282" i="2"/>
  <c r="BA282" i="2"/>
  <c r="AX282" i="2"/>
  <c r="AW282" i="2"/>
  <c r="AU282" i="2"/>
  <c r="AS282" i="2"/>
  <c r="AP282" i="2"/>
  <c r="AN282" i="2"/>
  <c r="AL282" i="2"/>
  <c r="AJ282" i="2"/>
  <c r="AH282" i="2"/>
  <c r="AF282" i="2"/>
  <c r="AD282" i="2"/>
  <c r="AB282" i="2"/>
  <c r="Z282" i="2"/>
  <c r="X282" i="2"/>
  <c r="U282" i="2"/>
  <c r="S282" i="2"/>
  <c r="Q282" i="2"/>
  <c r="O282" i="2"/>
  <c r="M282" i="2"/>
  <c r="K282" i="2"/>
  <c r="I282" i="2"/>
  <c r="G282" i="2"/>
  <c r="E282" i="2"/>
  <c r="C282" i="2"/>
  <c r="BJ281" i="2"/>
  <c r="BK281" i="2" s="1"/>
  <c r="BI281" i="2"/>
  <c r="BG281" i="2"/>
  <c r="BE281" i="2"/>
  <c r="BD281" i="2"/>
  <c r="BC281" i="2"/>
  <c r="BA281" i="2"/>
  <c r="AX281" i="2"/>
  <c r="AY282" i="2" s="1"/>
  <c r="AW281" i="2"/>
  <c r="AU281" i="2"/>
  <c r="AS281" i="2"/>
  <c r="AP281" i="2"/>
  <c r="AN281" i="2"/>
  <c r="AL281" i="2"/>
  <c r="AJ281" i="2"/>
  <c r="AH281" i="2"/>
  <c r="AF281" i="2"/>
  <c r="AD281" i="2"/>
  <c r="AB281" i="2"/>
  <c r="Z281" i="2"/>
  <c r="X281" i="2"/>
  <c r="U281" i="2"/>
  <c r="S281" i="2"/>
  <c r="Q281" i="2"/>
  <c r="O281" i="2"/>
  <c r="M281" i="2"/>
  <c r="K281" i="2"/>
  <c r="I281" i="2"/>
  <c r="G281" i="2"/>
  <c r="E281" i="2"/>
  <c r="C281" i="2"/>
  <c r="BJ280" i="2"/>
  <c r="BI280" i="2"/>
  <c r="BG280" i="2"/>
  <c r="BD280" i="2"/>
  <c r="BC280" i="2"/>
  <c r="BA280" i="2"/>
  <c r="AX280" i="2"/>
  <c r="AW280" i="2"/>
  <c r="AU280" i="2"/>
  <c r="AS280" i="2"/>
  <c r="AP280" i="2"/>
  <c r="AN280" i="2"/>
  <c r="AL280" i="2"/>
  <c r="AJ280" i="2"/>
  <c r="AH280" i="2"/>
  <c r="AF280" i="2"/>
  <c r="AD280" i="2"/>
  <c r="AB280" i="2"/>
  <c r="Z280" i="2"/>
  <c r="X280" i="2"/>
  <c r="U280" i="2"/>
  <c r="S280" i="2"/>
  <c r="Q280" i="2"/>
  <c r="O280" i="2"/>
  <c r="M280" i="2"/>
  <c r="K280" i="2"/>
  <c r="I280" i="2"/>
  <c r="G280" i="2"/>
  <c r="E280" i="2"/>
  <c r="C280" i="2"/>
  <c r="BJ279" i="2"/>
  <c r="BI279" i="2"/>
  <c r="BG279" i="2"/>
  <c r="BD279" i="2"/>
  <c r="BC279" i="2"/>
  <c r="BA279" i="2"/>
  <c r="AX279" i="2"/>
  <c r="AY279" i="2" s="1"/>
  <c r="AW279" i="2"/>
  <c r="AU279" i="2"/>
  <c r="AS279" i="2"/>
  <c r="AP279" i="2"/>
  <c r="AN279" i="2"/>
  <c r="AL279" i="2"/>
  <c r="AJ279" i="2"/>
  <c r="AH279" i="2"/>
  <c r="AF279" i="2"/>
  <c r="AD279" i="2"/>
  <c r="AB279" i="2"/>
  <c r="Z279" i="2"/>
  <c r="X279" i="2"/>
  <c r="U279" i="2"/>
  <c r="S279" i="2"/>
  <c r="Q279" i="2"/>
  <c r="O279" i="2"/>
  <c r="M279" i="2"/>
  <c r="K279" i="2"/>
  <c r="I279" i="2"/>
  <c r="G279" i="2"/>
  <c r="E279" i="2"/>
  <c r="C279" i="2"/>
  <c r="BJ278" i="2"/>
  <c r="BI278" i="2"/>
  <c r="BG278" i="2"/>
  <c r="BD278" i="2"/>
  <c r="BC278" i="2"/>
  <c r="BA278" i="2"/>
  <c r="AY278" i="2"/>
  <c r="AX278" i="2"/>
  <c r="AW278" i="2"/>
  <c r="AU278" i="2"/>
  <c r="AS278" i="2"/>
  <c r="AP278" i="2"/>
  <c r="AN278" i="2"/>
  <c r="AL278" i="2"/>
  <c r="AJ278" i="2"/>
  <c r="AH278" i="2"/>
  <c r="AF278" i="2"/>
  <c r="AD278" i="2"/>
  <c r="AB278" i="2"/>
  <c r="Z278" i="2"/>
  <c r="X278" i="2"/>
  <c r="U278" i="2"/>
  <c r="S278" i="2"/>
  <c r="Q278" i="2"/>
  <c r="O278" i="2"/>
  <c r="M278" i="2"/>
  <c r="K278" i="2"/>
  <c r="I278" i="2"/>
  <c r="G278" i="2"/>
  <c r="E278" i="2"/>
  <c r="C278" i="2"/>
  <c r="BJ277" i="2"/>
  <c r="BI277" i="2"/>
  <c r="BG277" i="2"/>
  <c r="BD277" i="2"/>
  <c r="BC277" i="2"/>
  <c r="BA277" i="2"/>
  <c r="AX277" i="2"/>
  <c r="AW277" i="2"/>
  <c r="AU277" i="2"/>
  <c r="AS277" i="2"/>
  <c r="AP277" i="2"/>
  <c r="AN277" i="2"/>
  <c r="AL277" i="2"/>
  <c r="AJ277" i="2"/>
  <c r="AH277" i="2"/>
  <c r="AF277" i="2"/>
  <c r="AD277" i="2"/>
  <c r="AB277" i="2"/>
  <c r="Z277" i="2"/>
  <c r="X277" i="2"/>
  <c r="U277" i="2"/>
  <c r="S277" i="2"/>
  <c r="Q277" i="2"/>
  <c r="O277" i="2"/>
  <c r="M277" i="2"/>
  <c r="K277" i="2"/>
  <c r="I277" i="2"/>
  <c r="G277" i="2"/>
  <c r="E277" i="2"/>
  <c r="C277" i="2"/>
  <c r="BJ276" i="2"/>
  <c r="BI276" i="2"/>
  <c r="BG276" i="2"/>
  <c r="BD276" i="2"/>
  <c r="BE277" i="2" s="1"/>
  <c r="BC276" i="2"/>
  <c r="BA276" i="2"/>
  <c r="AX276" i="2"/>
  <c r="AY277" i="2" s="1"/>
  <c r="AW276" i="2"/>
  <c r="AU276" i="2"/>
  <c r="AS276" i="2"/>
  <c r="AP276" i="2"/>
  <c r="AN276" i="2"/>
  <c r="AL276" i="2"/>
  <c r="AJ276" i="2"/>
  <c r="AH276" i="2"/>
  <c r="AF276" i="2"/>
  <c r="AD276" i="2"/>
  <c r="AB276" i="2"/>
  <c r="Z276" i="2"/>
  <c r="X276" i="2"/>
  <c r="U276" i="2"/>
  <c r="S276" i="2"/>
  <c r="Q276" i="2"/>
  <c r="O276" i="2"/>
  <c r="M276" i="2"/>
  <c r="K276" i="2"/>
  <c r="I276" i="2"/>
  <c r="G276" i="2"/>
  <c r="E276" i="2"/>
  <c r="C276" i="2"/>
  <c r="BJ275" i="2"/>
  <c r="BI275" i="2"/>
  <c r="BG275" i="2"/>
  <c r="BD275" i="2"/>
  <c r="BC275" i="2"/>
  <c r="BA275" i="2"/>
  <c r="AX275" i="2"/>
  <c r="AW275" i="2"/>
  <c r="AU275" i="2"/>
  <c r="AS275" i="2"/>
  <c r="AP275" i="2"/>
  <c r="AN275" i="2"/>
  <c r="AL275" i="2"/>
  <c r="AJ275" i="2"/>
  <c r="AH275" i="2"/>
  <c r="AF275" i="2"/>
  <c r="AD275" i="2"/>
  <c r="AB275" i="2"/>
  <c r="Z275" i="2"/>
  <c r="X275" i="2"/>
  <c r="U275" i="2"/>
  <c r="S275" i="2"/>
  <c r="Q275" i="2"/>
  <c r="O275" i="2"/>
  <c r="M275" i="2"/>
  <c r="K275" i="2"/>
  <c r="I275" i="2"/>
  <c r="G275" i="2"/>
  <c r="E275" i="2"/>
  <c r="C275" i="2"/>
  <c r="BJ274" i="2"/>
  <c r="BI274" i="2"/>
  <c r="BG274" i="2"/>
  <c r="BD274" i="2"/>
  <c r="BE275" i="2" s="1"/>
  <c r="BC274" i="2"/>
  <c r="BA274" i="2"/>
  <c r="AX274" i="2"/>
  <c r="AY275" i="2" s="1"/>
  <c r="AW274" i="2"/>
  <c r="AU274" i="2"/>
  <c r="AS274" i="2"/>
  <c r="AP274" i="2"/>
  <c r="AN274" i="2"/>
  <c r="AL274" i="2"/>
  <c r="AJ274" i="2"/>
  <c r="AH274" i="2"/>
  <c r="AF274" i="2"/>
  <c r="AD274" i="2"/>
  <c r="AB274" i="2"/>
  <c r="Z274" i="2"/>
  <c r="X274" i="2"/>
  <c r="U274" i="2"/>
  <c r="S274" i="2"/>
  <c r="Q274" i="2"/>
  <c r="O274" i="2"/>
  <c r="M274" i="2"/>
  <c r="K274" i="2"/>
  <c r="I274" i="2"/>
  <c r="G274" i="2"/>
  <c r="E274" i="2"/>
  <c r="C274" i="2"/>
  <c r="BJ273" i="2"/>
  <c r="BI273" i="2"/>
  <c r="BG273" i="2"/>
  <c r="BD273" i="2"/>
  <c r="BC273" i="2"/>
  <c r="BA273" i="2"/>
  <c r="AY273" i="2"/>
  <c r="AX273" i="2"/>
  <c r="AW273" i="2"/>
  <c r="AU273" i="2"/>
  <c r="AS273" i="2"/>
  <c r="AP273" i="2"/>
  <c r="AN273" i="2"/>
  <c r="AL273" i="2"/>
  <c r="AJ273" i="2"/>
  <c r="AH273" i="2"/>
  <c r="AF273" i="2"/>
  <c r="AD273" i="2"/>
  <c r="AB273" i="2"/>
  <c r="Z273" i="2"/>
  <c r="X273" i="2"/>
  <c r="U273" i="2"/>
  <c r="S273" i="2"/>
  <c r="Q273" i="2"/>
  <c r="O273" i="2"/>
  <c r="M273" i="2"/>
  <c r="K273" i="2"/>
  <c r="I273" i="2"/>
  <c r="G273" i="2"/>
  <c r="E273" i="2"/>
  <c r="C273" i="2"/>
  <c r="BJ272" i="2"/>
  <c r="BK272" i="2" s="1"/>
  <c r="BI272" i="2"/>
  <c r="BG272" i="2"/>
  <c r="BD272" i="2"/>
  <c r="BC272" i="2"/>
  <c r="BA272" i="2"/>
  <c r="AX272" i="2"/>
  <c r="AW272" i="2"/>
  <c r="AU272" i="2"/>
  <c r="AS272" i="2"/>
  <c r="AP272" i="2"/>
  <c r="AN272" i="2"/>
  <c r="AL272" i="2"/>
  <c r="AJ272" i="2"/>
  <c r="AH272" i="2"/>
  <c r="AF272" i="2"/>
  <c r="AD272" i="2"/>
  <c r="AB272" i="2"/>
  <c r="Z272" i="2"/>
  <c r="X272" i="2"/>
  <c r="U272" i="2"/>
  <c r="S272" i="2"/>
  <c r="Q272" i="2"/>
  <c r="O272" i="2"/>
  <c r="M272" i="2"/>
  <c r="K272" i="2"/>
  <c r="I272" i="2"/>
  <c r="G272" i="2"/>
  <c r="E272" i="2"/>
  <c r="C272" i="2"/>
  <c r="BJ271" i="2"/>
  <c r="BK271" i="2" s="1"/>
  <c r="BI271" i="2"/>
  <c r="BG271" i="2"/>
  <c r="BD271" i="2"/>
  <c r="BE271" i="2" s="1"/>
  <c r="BC271" i="2"/>
  <c r="BA271" i="2"/>
  <c r="AX271" i="2"/>
  <c r="AW271" i="2"/>
  <c r="AU271" i="2"/>
  <c r="AS271" i="2"/>
  <c r="AP271" i="2"/>
  <c r="AN271" i="2"/>
  <c r="AL271" i="2"/>
  <c r="AJ271" i="2"/>
  <c r="AH271" i="2"/>
  <c r="AF271" i="2"/>
  <c r="AD271" i="2"/>
  <c r="AB271" i="2"/>
  <c r="Z271" i="2"/>
  <c r="X271" i="2"/>
  <c r="U271" i="2"/>
  <c r="S271" i="2"/>
  <c r="Q271" i="2"/>
  <c r="O271" i="2"/>
  <c r="M271" i="2"/>
  <c r="K271" i="2"/>
  <c r="I271" i="2"/>
  <c r="G271" i="2"/>
  <c r="E271" i="2"/>
  <c r="C271" i="2"/>
  <c r="BJ270" i="2"/>
  <c r="BI270" i="2"/>
  <c r="BG270" i="2"/>
  <c r="BD270" i="2"/>
  <c r="BC270" i="2"/>
  <c r="BA270" i="2"/>
  <c r="AX270" i="2"/>
  <c r="AW270" i="2"/>
  <c r="AU270" i="2"/>
  <c r="AS270" i="2"/>
  <c r="AP270" i="2"/>
  <c r="AN270" i="2"/>
  <c r="AL270" i="2"/>
  <c r="AJ270" i="2"/>
  <c r="AH270" i="2"/>
  <c r="AF270" i="2"/>
  <c r="AD270" i="2"/>
  <c r="AB270" i="2"/>
  <c r="Z270" i="2"/>
  <c r="X270" i="2"/>
  <c r="U270" i="2"/>
  <c r="S270" i="2"/>
  <c r="Q270" i="2"/>
  <c r="O270" i="2"/>
  <c r="M270" i="2"/>
  <c r="K270" i="2"/>
  <c r="I270" i="2"/>
  <c r="G270" i="2"/>
  <c r="E270" i="2"/>
  <c r="C270" i="2"/>
  <c r="BJ269" i="2"/>
  <c r="BK269" i="2" s="1"/>
  <c r="BI269" i="2"/>
  <c r="BG269" i="2"/>
  <c r="BD269" i="2"/>
  <c r="BC269" i="2"/>
  <c r="BA269" i="2"/>
  <c r="AX269" i="2"/>
  <c r="AW269" i="2"/>
  <c r="AU269" i="2"/>
  <c r="AS269" i="2"/>
  <c r="AP269" i="2"/>
  <c r="AN269" i="2"/>
  <c r="AL269" i="2"/>
  <c r="AJ269" i="2"/>
  <c r="AH269" i="2"/>
  <c r="AF269" i="2"/>
  <c r="AD269" i="2"/>
  <c r="AB269" i="2"/>
  <c r="Z269" i="2"/>
  <c r="X269" i="2"/>
  <c r="U269" i="2"/>
  <c r="S269" i="2"/>
  <c r="Q269" i="2"/>
  <c r="O269" i="2"/>
  <c r="M269" i="2"/>
  <c r="K269" i="2"/>
  <c r="I269" i="2"/>
  <c r="G269" i="2"/>
  <c r="E269" i="2"/>
  <c r="C269" i="2"/>
  <c r="BJ268" i="2"/>
  <c r="BK268" i="2" s="1"/>
  <c r="BI268" i="2"/>
  <c r="BG268" i="2"/>
  <c r="BD268" i="2"/>
  <c r="BE268" i="2" s="1"/>
  <c r="BC268" i="2"/>
  <c r="BA268" i="2"/>
  <c r="AX268" i="2"/>
  <c r="AW268" i="2"/>
  <c r="AU268" i="2"/>
  <c r="AS268" i="2"/>
  <c r="AP268" i="2"/>
  <c r="AN268" i="2"/>
  <c r="AL268" i="2"/>
  <c r="AJ268" i="2"/>
  <c r="AH268" i="2"/>
  <c r="AF268" i="2"/>
  <c r="AD268" i="2"/>
  <c r="AB268" i="2"/>
  <c r="Z268" i="2"/>
  <c r="X268" i="2"/>
  <c r="U268" i="2"/>
  <c r="S268" i="2"/>
  <c r="Q268" i="2"/>
  <c r="O268" i="2"/>
  <c r="M268" i="2"/>
  <c r="K268" i="2"/>
  <c r="I268" i="2"/>
  <c r="G268" i="2"/>
  <c r="E268" i="2"/>
  <c r="C268" i="2"/>
  <c r="BK267" i="2"/>
  <c r="BJ267" i="2"/>
  <c r="BI267" i="2"/>
  <c r="BG267" i="2"/>
  <c r="BD267" i="2"/>
  <c r="BC267" i="2"/>
  <c r="BA267" i="2"/>
  <c r="AX267" i="2"/>
  <c r="AY267" i="2" s="1"/>
  <c r="AW267" i="2"/>
  <c r="AU267" i="2"/>
  <c r="AS267" i="2"/>
  <c r="AP267" i="2"/>
  <c r="AN267" i="2"/>
  <c r="AL267" i="2"/>
  <c r="AJ267" i="2"/>
  <c r="AH267" i="2"/>
  <c r="AF267" i="2"/>
  <c r="AD267" i="2"/>
  <c r="AB267" i="2"/>
  <c r="Z267" i="2"/>
  <c r="X267" i="2"/>
  <c r="U267" i="2"/>
  <c r="S267" i="2"/>
  <c r="Q267" i="2"/>
  <c r="O267" i="2"/>
  <c r="M267" i="2"/>
  <c r="K267" i="2"/>
  <c r="I267" i="2"/>
  <c r="G267" i="2"/>
  <c r="E267" i="2"/>
  <c r="C267" i="2"/>
  <c r="BJ266" i="2"/>
  <c r="BI266" i="2"/>
  <c r="BG266" i="2"/>
  <c r="BD266" i="2"/>
  <c r="BE266" i="2" s="1"/>
  <c r="BC266" i="2"/>
  <c r="BA266" i="2"/>
  <c r="AX266" i="2"/>
  <c r="AW266" i="2"/>
  <c r="AU266" i="2"/>
  <c r="AS266" i="2"/>
  <c r="AP266" i="2"/>
  <c r="AN266" i="2"/>
  <c r="AL266" i="2"/>
  <c r="AJ266" i="2"/>
  <c r="AH266" i="2"/>
  <c r="AF266" i="2"/>
  <c r="AD266" i="2"/>
  <c r="AB266" i="2"/>
  <c r="Z266" i="2"/>
  <c r="X266" i="2"/>
  <c r="U266" i="2"/>
  <c r="S266" i="2"/>
  <c r="Q266" i="2"/>
  <c r="O266" i="2"/>
  <c r="M266" i="2"/>
  <c r="K266" i="2"/>
  <c r="I266" i="2"/>
  <c r="G266" i="2"/>
  <c r="E266" i="2"/>
  <c r="C266" i="2"/>
  <c r="BJ265" i="2"/>
  <c r="BI265" i="2"/>
  <c r="BG265" i="2"/>
  <c r="BD265" i="2"/>
  <c r="BC265" i="2"/>
  <c r="BA265" i="2"/>
  <c r="AX265" i="2"/>
  <c r="AW265" i="2"/>
  <c r="AU265" i="2"/>
  <c r="AS265" i="2"/>
  <c r="AP265" i="2"/>
  <c r="AN265" i="2"/>
  <c r="AL265" i="2"/>
  <c r="AJ265" i="2"/>
  <c r="AH265" i="2"/>
  <c r="AF265" i="2"/>
  <c r="AD265" i="2"/>
  <c r="AB265" i="2"/>
  <c r="Z265" i="2"/>
  <c r="X265" i="2"/>
  <c r="U265" i="2"/>
  <c r="S265" i="2"/>
  <c r="Q265" i="2"/>
  <c r="O265" i="2"/>
  <c r="M265" i="2"/>
  <c r="K265" i="2"/>
  <c r="I265" i="2"/>
  <c r="G265" i="2"/>
  <c r="E265" i="2"/>
  <c r="C265" i="2"/>
  <c r="BJ264" i="2"/>
  <c r="BK264" i="2" s="1"/>
  <c r="BI264" i="2"/>
  <c r="BG264" i="2"/>
  <c r="BD264" i="2"/>
  <c r="BC264" i="2"/>
  <c r="BA264" i="2"/>
  <c r="AX264" i="2"/>
  <c r="AY264" i="2" s="1"/>
  <c r="AW264" i="2"/>
  <c r="AU264" i="2"/>
  <c r="AS264" i="2"/>
  <c r="AP264" i="2"/>
  <c r="AN264" i="2"/>
  <c r="AL264" i="2"/>
  <c r="AJ264" i="2"/>
  <c r="AH264" i="2"/>
  <c r="AF264" i="2"/>
  <c r="AD264" i="2"/>
  <c r="AB264" i="2"/>
  <c r="Z264" i="2"/>
  <c r="X264" i="2"/>
  <c r="U264" i="2"/>
  <c r="S264" i="2"/>
  <c r="Q264" i="2"/>
  <c r="O264" i="2"/>
  <c r="M264" i="2"/>
  <c r="K264" i="2"/>
  <c r="I264" i="2"/>
  <c r="G264" i="2"/>
  <c r="E264" i="2"/>
  <c r="C264" i="2"/>
  <c r="BK263" i="2"/>
  <c r="BJ263" i="2"/>
  <c r="BI263" i="2"/>
  <c r="BG263" i="2"/>
  <c r="BD263" i="2"/>
  <c r="BC263" i="2"/>
  <c r="BA263" i="2"/>
  <c r="AX263" i="2"/>
  <c r="AW263" i="2"/>
  <c r="AU263" i="2"/>
  <c r="AS263" i="2"/>
  <c r="AP263" i="2"/>
  <c r="AN263" i="2"/>
  <c r="AL263" i="2"/>
  <c r="AJ263" i="2"/>
  <c r="AH263" i="2"/>
  <c r="AF263" i="2"/>
  <c r="AD263" i="2"/>
  <c r="AB263" i="2"/>
  <c r="Z263" i="2"/>
  <c r="X263" i="2"/>
  <c r="U263" i="2"/>
  <c r="S263" i="2"/>
  <c r="Q263" i="2"/>
  <c r="O263" i="2"/>
  <c r="M263" i="2"/>
  <c r="K263" i="2"/>
  <c r="I263" i="2"/>
  <c r="G263" i="2"/>
  <c r="E263" i="2"/>
  <c r="C263" i="2"/>
  <c r="BJ262" i="2"/>
  <c r="BI262" i="2"/>
  <c r="BG262" i="2"/>
  <c r="BD262" i="2"/>
  <c r="BC262" i="2"/>
  <c r="BA262" i="2"/>
  <c r="AX262" i="2"/>
  <c r="AW262" i="2"/>
  <c r="AU262" i="2"/>
  <c r="AS262" i="2"/>
  <c r="AP262" i="2"/>
  <c r="AN262" i="2"/>
  <c r="AL262" i="2"/>
  <c r="AJ262" i="2"/>
  <c r="AH262" i="2"/>
  <c r="AF262" i="2"/>
  <c r="AD262" i="2"/>
  <c r="AB262" i="2"/>
  <c r="Z262" i="2"/>
  <c r="X262" i="2"/>
  <c r="U262" i="2"/>
  <c r="S262" i="2"/>
  <c r="Q262" i="2"/>
  <c r="O262" i="2"/>
  <c r="M262" i="2"/>
  <c r="K262" i="2"/>
  <c r="I262" i="2"/>
  <c r="G262" i="2"/>
  <c r="E262" i="2"/>
  <c r="C262" i="2"/>
  <c r="BK261" i="2"/>
  <c r="BJ261" i="2"/>
  <c r="BI261" i="2"/>
  <c r="BG261" i="2"/>
  <c r="BD261" i="2"/>
  <c r="BE261" i="2" s="1"/>
  <c r="BC261" i="2"/>
  <c r="BA261" i="2"/>
  <c r="AX261" i="2"/>
  <c r="AW261" i="2"/>
  <c r="AU261" i="2"/>
  <c r="AS261" i="2"/>
  <c r="AP261" i="2"/>
  <c r="AN261" i="2"/>
  <c r="AL261" i="2"/>
  <c r="AJ261" i="2"/>
  <c r="AH261" i="2"/>
  <c r="AF261" i="2"/>
  <c r="AD261" i="2"/>
  <c r="AB261" i="2"/>
  <c r="Z261" i="2"/>
  <c r="X261" i="2"/>
  <c r="U261" i="2"/>
  <c r="S261" i="2"/>
  <c r="Q261" i="2"/>
  <c r="O261" i="2"/>
  <c r="M261" i="2"/>
  <c r="K261" i="2"/>
  <c r="I261" i="2"/>
  <c r="G261" i="2"/>
  <c r="E261" i="2"/>
  <c r="C261" i="2"/>
  <c r="BJ260" i="2"/>
  <c r="BI260" i="2"/>
  <c r="BG260" i="2"/>
  <c r="BD260" i="2"/>
  <c r="BC260" i="2"/>
  <c r="BA260" i="2"/>
  <c r="AX260" i="2"/>
  <c r="AW260" i="2"/>
  <c r="AU260" i="2"/>
  <c r="AS260" i="2"/>
  <c r="AP260" i="2"/>
  <c r="AN260" i="2"/>
  <c r="AL260" i="2"/>
  <c r="AJ260" i="2"/>
  <c r="AH260" i="2"/>
  <c r="AF260" i="2"/>
  <c r="AD260" i="2"/>
  <c r="AB260" i="2"/>
  <c r="Z260" i="2"/>
  <c r="X260" i="2"/>
  <c r="U260" i="2"/>
  <c r="S260" i="2"/>
  <c r="Q260" i="2"/>
  <c r="O260" i="2"/>
  <c r="M260" i="2"/>
  <c r="K260" i="2"/>
  <c r="I260" i="2"/>
  <c r="G260" i="2"/>
  <c r="E260" i="2"/>
  <c r="C260" i="2"/>
  <c r="BJ259" i="2"/>
  <c r="BI259" i="2"/>
  <c r="BG259" i="2"/>
  <c r="BD259" i="2"/>
  <c r="BE259" i="2" s="1"/>
  <c r="BC259" i="2"/>
  <c r="BA259" i="2"/>
  <c r="AX259" i="2"/>
  <c r="AY260" i="2" s="1"/>
  <c r="AW259" i="2"/>
  <c r="AU259" i="2"/>
  <c r="AS259" i="2"/>
  <c r="AP259" i="2"/>
  <c r="AN259" i="2"/>
  <c r="AL259" i="2"/>
  <c r="AJ259" i="2"/>
  <c r="AH259" i="2"/>
  <c r="AF259" i="2"/>
  <c r="AD259" i="2"/>
  <c r="AB259" i="2"/>
  <c r="Z259" i="2"/>
  <c r="X259" i="2"/>
  <c r="U259" i="2"/>
  <c r="S259" i="2"/>
  <c r="Q259" i="2"/>
  <c r="O259" i="2"/>
  <c r="M259" i="2"/>
  <c r="K259" i="2"/>
  <c r="I259" i="2"/>
  <c r="G259" i="2"/>
  <c r="E259" i="2"/>
  <c r="C259" i="2"/>
  <c r="BJ258" i="2"/>
  <c r="BI258" i="2"/>
  <c r="BG258" i="2"/>
  <c r="BD258" i="2"/>
  <c r="BC258" i="2"/>
  <c r="BA258" i="2"/>
  <c r="AX258" i="2"/>
  <c r="AW258" i="2"/>
  <c r="AU258" i="2"/>
  <c r="AS258" i="2"/>
  <c r="AP258" i="2"/>
  <c r="AN258" i="2"/>
  <c r="AL258" i="2"/>
  <c r="AJ258" i="2"/>
  <c r="AH258" i="2"/>
  <c r="AF258" i="2"/>
  <c r="AD258" i="2"/>
  <c r="AB258" i="2"/>
  <c r="Z258" i="2"/>
  <c r="X258" i="2"/>
  <c r="U258" i="2"/>
  <c r="S258" i="2"/>
  <c r="Q258" i="2"/>
  <c r="O258" i="2"/>
  <c r="M258" i="2"/>
  <c r="K258" i="2"/>
  <c r="I258" i="2"/>
  <c r="G258" i="2"/>
  <c r="E258" i="2"/>
  <c r="C258" i="2"/>
  <c r="BJ257" i="2"/>
  <c r="BI257" i="2"/>
  <c r="BG257" i="2"/>
  <c r="BD257" i="2"/>
  <c r="BE257" i="2" s="1"/>
  <c r="BC257" i="2"/>
  <c r="BA257" i="2"/>
  <c r="AX257" i="2"/>
  <c r="AW257" i="2"/>
  <c r="AU257" i="2"/>
  <c r="AS257" i="2"/>
  <c r="AP257" i="2"/>
  <c r="AN257" i="2"/>
  <c r="AL257" i="2"/>
  <c r="AJ257" i="2"/>
  <c r="AH257" i="2"/>
  <c r="AF257" i="2"/>
  <c r="AD257" i="2"/>
  <c r="AB257" i="2"/>
  <c r="Z257" i="2"/>
  <c r="X257" i="2"/>
  <c r="U257" i="2"/>
  <c r="S257" i="2"/>
  <c r="Q257" i="2"/>
  <c r="O257" i="2"/>
  <c r="M257" i="2"/>
  <c r="K257" i="2"/>
  <c r="I257" i="2"/>
  <c r="G257" i="2"/>
  <c r="E257" i="2"/>
  <c r="C257" i="2"/>
  <c r="BJ256" i="2"/>
  <c r="BI256" i="2"/>
  <c r="BG256" i="2"/>
  <c r="BD256" i="2"/>
  <c r="BC256" i="2"/>
  <c r="BA256" i="2"/>
  <c r="AX256" i="2"/>
  <c r="AY256" i="2" s="1"/>
  <c r="AW256" i="2"/>
  <c r="AU256" i="2"/>
  <c r="AS256" i="2"/>
  <c r="AP256" i="2"/>
  <c r="AN256" i="2"/>
  <c r="AL256" i="2"/>
  <c r="AJ256" i="2"/>
  <c r="AH256" i="2"/>
  <c r="AF256" i="2"/>
  <c r="AD256" i="2"/>
  <c r="AB256" i="2"/>
  <c r="Z256" i="2"/>
  <c r="X256" i="2"/>
  <c r="U256" i="2"/>
  <c r="S256" i="2"/>
  <c r="Q256" i="2"/>
  <c r="O256" i="2"/>
  <c r="M256" i="2"/>
  <c r="K256" i="2"/>
  <c r="I256" i="2"/>
  <c r="G256" i="2"/>
  <c r="E256" i="2"/>
  <c r="C256" i="2"/>
  <c r="BK255" i="2"/>
  <c r="BJ255" i="2"/>
  <c r="BI255" i="2"/>
  <c r="BG255" i="2"/>
  <c r="BD255" i="2"/>
  <c r="BC255" i="2"/>
  <c r="BA255" i="2"/>
  <c r="AX255" i="2"/>
  <c r="AW255" i="2"/>
  <c r="AU255" i="2"/>
  <c r="AS255" i="2"/>
  <c r="AP255" i="2"/>
  <c r="AN255" i="2"/>
  <c r="AL255" i="2"/>
  <c r="AJ255" i="2"/>
  <c r="AH255" i="2"/>
  <c r="AF255" i="2"/>
  <c r="AD255" i="2"/>
  <c r="AB255" i="2"/>
  <c r="Z255" i="2"/>
  <c r="X255" i="2"/>
  <c r="U255" i="2"/>
  <c r="S255" i="2"/>
  <c r="Q255" i="2"/>
  <c r="O255" i="2"/>
  <c r="M255" i="2"/>
  <c r="K255" i="2"/>
  <c r="I255" i="2"/>
  <c r="G255" i="2"/>
  <c r="E255" i="2"/>
  <c r="C255" i="2"/>
  <c r="BJ254" i="2"/>
  <c r="BI254" i="2"/>
  <c r="BG254" i="2"/>
  <c r="BD254" i="2"/>
  <c r="BE255" i="2" s="1"/>
  <c r="BC254" i="2"/>
  <c r="BA254" i="2"/>
  <c r="AX254" i="2"/>
  <c r="AW254" i="2"/>
  <c r="AU254" i="2"/>
  <c r="AS254" i="2"/>
  <c r="AP254" i="2"/>
  <c r="AN254" i="2"/>
  <c r="AL254" i="2"/>
  <c r="AJ254" i="2"/>
  <c r="AH254" i="2"/>
  <c r="AF254" i="2"/>
  <c r="AD254" i="2"/>
  <c r="AB254" i="2"/>
  <c r="Z254" i="2"/>
  <c r="X254" i="2"/>
  <c r="U254" i="2"/>
  <c r="S254" i="2"/>
  <c r="Q254" i="2"/>
  <c r="O254" i="2"/>
  <c r="M254" i="2"/>
  <c r="K254" i="2"/>
  <c r="I254" i="2"/>
  <c r="G254" i="2"/>
  <c r="E254" i="2"/>
  <c r="C254" i="2"/>
  <c r="BJ253" i="2"/>
  <c r="BK253" i="2" s="1"/>
  <c r="BI253" i="2"/>
  <c r="BG253" i="2"/>
  <c r="BE253" i="2"/>
  <c r="BD253" i="2"/>
  <c r="BC253" i="2"/>
  <c r="BA253" i="2"/>
  <c r="AX253" i="2"/>
  <c r="AW253" i="2"/>
  <c r="AU253" i="2"/>
  <c r="AS253" i="2"/>
  <c r="AP253" i="2"/>
  <c r="AN253" i="2"/>
  <c r="AL253" i="2"/>
  <c r="AJ253" i="2"/>
  <c r="AH253" i="2"/>
  <c r="AF253" i="2"/>
  <c r="AD253" i="2"/>
  <c r="AB253" i="2"/>
  <c r="Z253" i="2"/>
  <c r="X253" i="2"/>
  <c r="U253" i="2"/>
  <c r="S253" i="2"/>
  <c r="Q253" i="2"/>
  <c r="O253" i="2"/>
  <c r="M253" i="2"/>
  <c r="K253" i="2"/>
  <c r="I253" i="2"/>
  <c r="G253" i="2"/>
  <c r="E253" i="2"/>
  <c r="C253" i="2"/>
  <c r="BJ252" i="2"/>
  <c r="BI252" i="2"/>
  <c r="BG252" i="2"/>
  <c r="BD252" i="2"/>
  <c r="BC252" i="2"/>
  <c r="BA252" i="2"/>
  <c r="AX252" i="2"/>
  <c r="AY253" i="2" s="1"/>
  <c r="AW252" i="2"/>
  <c r="AU252" i="2"/>
  <c r="AS252" i="2"/>
  <c r="AP252" i="2"/>
  <c r="AN252" i="2"/>
  <c r="AL252" i="2"/>
  <c r="AJ252" i="2"/>
  <c r="AH252" i="2"/>
  <c r="AF252" i="2"/>
  <c r="AD252" i="2"/>
  <c r="AB252" i="2"/>
  <c r="Z252" i="2"/>
  <c r="X252" i="2"/>
  <c r="U252" i="2"/>
  <c r="S252" i="2"/>
  <c r="Q252" i="2"/>
  <c r="O252" i="2"/>
  <c r="M252" i="2"/>
  <c r="K252" i="2"/>
  <c r="I252" i="2"/>
  <c r="G252" i="2"/>
  <c r="E252" i="2"/>
  <c r="C252" i="2"/>
  <c r="BJ251" i="2"/>
  <c r="BK251" i="2" s="1"/>
  <c r="BI251" i="2"/>
  <c r="BG251" i="2"/>
  <c r="BD251" i="2"/>
  <c r="BE251" i="2" s="1"/>
  <c r="BC251" i="2"/>
  <c r="BA251" i="2"/>
  <c r="AX251" i="2"/>
  <c r="AY252" i="2" s="1"/>
  <c r="AW251" i="2"/>
  <c r="AU251" i="2"/>
  <c r="AS251" i="2"/>
  <c r="AP251" i="2"/>
  <c r="AN251" i="2"/>
  <c r="AL251" i="2"/>
  <c r="AJ251" i="2"/>
  <c r="AH251" i="2"/>
  <c r="AF251" i="2"/>
  <c r="AD251" i="2"/>
  <c r="AB251" i="2"/>
  <c r="Z251" i="2"/>
  <c r="X251" i="2"/>
  <c r="U251" i="2"/>
  <c r="S251" i="2"/>
  <c r="Q251" i="2"/>
  <c r="O251" i="2"/>
  <c r="M251" i="2"/>
  <c r="K251" i="2"/>
  <c r="I251" i="2"/>
  <c r="G251" i="2"/>
  <c r="E251" i="2"/>
  <c r="C251" i="2"/>
  <c r="BJ250" i="2"/>
  <c r="BK250" i="2" s="1"/>
  <c r="BI250" i="2"/>
  <c r="BG250" i="2"/>
  <c r="BD250" i="2"/>
  <c r="BC250" i="2"/>
  <c r="BA250" i="2"/>
  <c r="AX250" i="2"/>
  <c r="AW250" i="2"/>
  <c r="AU250" i="2"/>
  <c r="AS250" i="2"/>
  <c r="AP250" i="2"/>
  <c r="AN250" i="2"/>
  <c r="AL250" i="2"/>
  <c r="AJ250" i="2"/>
  <c r="AH250" i="2"/>
  <c r="AF250" i="2"/>
  <c r="AD250" i="2"/>
  <c r="AB250" i="2"/>
  <c r="Z250" i="2"/>
  <c r="X250" i="2"/>
  <c r="U250" i="2"/>
  <c r="S250" i="2"/>
  <c r="Q250" i="2"/>
  <c r="O250" i="2"/>
  <c r="M250" i="2"/>
  <c r="K250" i="2"/>
  <c r="I250" i="2"/>
  <c r="G250" i="2"/>
  <c r="E250" i="2"/>
  <c r="C250" i="2"/>
  <c r="BJ249" i="2"/>
  <c r="BI249" i="2"/>
  <c r="BG249" i="2"/>
  <c r="BD249" i="2"/>
  <c r="BC249" i="2"/>
  <c r="BA249" i="2"/>
  <c r="AX249" i="2"/>
  <c r="AY249" i="2" s="1"/>
  <c r="AW249" i="2"/>
  <c r="AU249" i="2"/>
  <c r="AS249" i="2"/>
  <c r="AP249" i="2"/>
  <c r="AN249" i="2"/>
  <c r="AL249" i="2"/>
  <c r="AJ249" i="2"/>
  <c r="AH249" i="2"/>
  <c r="AF249" i="2"/>
  <c r="AD249" i="2"/>
  <c r="AB249" i="2"/>
  <c r="Z249" i="2"/>
  <c r="X249" i="2"/>
  <c r="U249" i="2"/>
  <c r="S249" i="2"/>
  <c r="Q249" i="2"/>
  <c r="O249" i="2"/>
  <c r="M249" i="2"/>
  <c r="K249" i="2"/>
  <c r="I249" i="2"/>
  <c r="G249" i="2"/>
  <c r="E249" i="2"/>
  <c r="C249" i="2"/>
  <c r="BJ248" i="2"/>
  <c r="BK248" i="2" s="1"/>
  <c r="BI248" i="2"/>
  <c r="BG248" i="2"/>
  <c r="BD248" i="2"/>
  <c r="BC248" i="2"/>
  <c r="BA248" i="2"/>
  <c r="AX248" i="2"/>
  <c r="AW248" i="2"/>
  <c r="AU248" i="2"/>
  <c r="AS248" i="2"/>
  <c r="AP248" i="2"/>
  <c r="AN248" i="2"/>
  <c r="AL248" i="2"/>
  <c r="AJ248" i="2"/>
  <c r="AH248" i="2"/>
  <c r="AF248" i="2"/>
  <c r="AD248" i="2"/>
  <c r="AB248" i="2"/>
  <c r="Z248" i="2"/>
  <c r="X248" i="2"/>
  <c r="U248" i="2"/>
  <c r="S248" i="2"/>
  <c r="Q248" i="2"/>
  <c r="O248" i="2"/>
  <c r="M248" i="2"/>
  <c r="K248" i="2"/>
  <c r="I248" i="2"/>
  <c r="G248" i="2"/>
  <c r="E248" i="2"/>
  <c r="C248" i="2"/>
  <c r="BJ247" i="2"/>
  <c r="BI247" i="2"/>
  <c r="BG247" i="2"/>
  <c r="BD247" i="2"/>
  <c r="BC247" i="2"/>
  <c r="BA247" i="2"/>
  <c r="AX247" i="2"/>
  <c r="AW247" i="2"/>
  <c r="AU247" i="2"/>
  <c r="AS247" i="2"/>
  <c r="AP247" i="2"/>
  <c r="AN247" i="2"/>
  <c r="AL247" i="2"/>
  <c r="AJ247" i="2"/>
  <c r="AH247" i="2"/>
  <c r="AF247" i="2"/>
  <c r="AD247" i="2"/>
  <c r="AB247" i="2"/>
  <c r="Z247" i="2"/>
  <c r="X247" i="2"/>
  <c r="U247" i="2"/>
  <c r="S247" i="2"/>
  <c r="Q247" i="2"/>
  <c r="O247" i="2"/>
  <c r="M247" i="2"/>
  <c r="K247" i="2"/>
  <c r="I247" i="2"/>
  <c r="G247" i="2"/>
  <c r="E247" i="2"/>
  <c r="C247" i="2"/>
  <c r="BJ246" i="2"/>
  <c r="BI246" i="2"/>
  <c r="BG246" i="2"/>
  <c r="BD246" i="2"/>
  <c r="BE246" i="2" s="1"/>
  <c r="BC246" i="2"/>
  <c r="BA246" i="2"/>
  <c r="AX246" i="2"/>
  <c r="AY246" i="2" s="1"/>
  <c r="AW246" i="2"/>
  <c r="AU246" i="2"/>
  <c r="AS246" i="2"/>
  <c r="AP246" i="2"/>
  <c r="AN246" i="2"/>
  <c r="AL246" i="2"/>
  <c r="AJ246" i="2"/>
  <c r="AH246" i="2"/>
  <c r="AF246" i="2"/>
  <c r="AD246" i="2"/>
  <c r="AB246" i="2"/>
  <c r="Z246" i="2"/>
  <c r="X246" i="2"/>
  <c r="U246" i="2"/>
  <c r="S246" i="2"/>
  <c r="Q246" i="2"/>
  <c r="O246" i="2"/>
  <c r="M246" i="2"/>
  <c r="K246" i="2"/>
  <c r="I246" i="2"/>
  <c r="G246" i="2"/>
  <c r="E246" i="2"/>
  <c r="C246" i="2"/>
  <c r="BJ245" i="2"/>
  <c r="BK245" i="2" s="1"/>
  <c r="BI245" i="2"/>
  <c r="BG245" i="2"/>
  <c r="BD245" i="2"/>
  <c r="BE245" i="2" s="1"/>
  <c r="BC245" i="2"/>
  <c r="BA245" i="2"/>
  <c r="AX245" i="2"/>
  <c r="AW245" i="2"/>
  <c r="AU245" i="2"/>
  <c r="AS245" i="2"/>
  <c r="AP245" i="2"/>
  <c r="AN245" i="2"/>
  <c r="AL245" i="2"/>
  <c r="AJ245" i="2"/>
  <c r="AH245" i="2"/>
  <c r="AF245" i="2"/>
  <c r="AD245" i="2"/>
  <c r="AB245" i="2"/>
  <c r="Z245" i="2"/>
  <c r="X245" i="2"/>
  <c r="U245" i="2"/>
  <c r="S245" i="2"/>
  <c r="Q245" i="2"/>
  <c r="O245" i="2"/>
  <c r="M245" i="2"/>
  <c r="K245" i="2"/>
  <c r="I245" i="2"/>
  <c r="G245" i="2"/>
  <c r="E245" i="2"/>
  <c r="C245" i="2"/>
  <c r="BJ244" i="2"/>
  <c r="BK244" i="2" s="1"/>
  <c r="BI244" i="2"/>
  <c r="BG244" i="2"/>
  <c r="BD244" i="2"/>
  <c r="BC244" i="2"/>
  <c r="BA244" i="2"/>
  <c r="AX244" i="2"/>
  <c r="AW244" i="2"/>
  <c r="AU244" i="2"/>
  <c r="AS244" i="2"/>
  <c r="AP244" i="2"/>
  <c r="AN244" i="2"/>
  <c r="AL244" i="2"/>
  <c r="AJ244" i="2"/>
  <c r="AH244" i="2"/>
  <c r="AF244" i="2"/>
  <c r="AD244" i="2"/>
  <c r="AB244" i="2"/>
  <c r="Z244" i="2"/>
  <c r="X244" i="2"/>
  <c r="U244" i="2"/>
  <c r="S244" i="2"/>
  <c r="Q244" i="2"/>
  <c r="O244" i="2"/>
  <c r="M244" i="2"/>
  <c r="K244" i="2"/>
  <c r="I244" i="2"/>
  <c r="G244" i="2"/>
  <c r="E244" i="2"/>
  <c r="C244" i="2"/>
  <c r="BJ243" i="2"/>
  <c r="BI243" i="2"/>
  <c r="BG243" i="2"/>
  <c r="BD243" i="2"/>
  <c r="BC243" i="2"/>
  <c r="BA243" i="2"/>
  <c r="AX243" i="2"/>
  <c r="AW243" i="2"/>
  <c r="AU243" i="2"/>
  <c r="AS243" i="2"/>
  <c r="AP243" i="2"/>
  <c r="AN243" i="2"/>
  <c r="AL243" i="2"/>
  <c r="AJ243" i="2"/>
  <c r="AH243" i="2"/>
  <c r="AF243" i="2"/>
  <c r="AD243" i="2"/>
  <c r="AB243" i="2"/>
  <c r="Z243" i="2"/>
  <c r="X243" i="2"/>
  <c r="U243" i="2"/>
  <c r="S243" i="2"/>
  <c r="Q243" i="2"/>
  <c r="O243" i="2"/>
  <c r="M243" i="2"/>
  <c r="K243" i="2"/>
  <c r="I243" i="2"/>
  <c r="G243" i="2"/>
  <c r="E243" i="2"/>
  <c r="C243" i="2"/>
  <c r="BJ242" i="2"/>
  <c r="BK242" i="2" s="1"/>
  <c r="BI242" i="2"/>
  <c r="BG242" i="2"/>
  <c r="BD242" i="2"/>
  <c r="BC242" i="2"/>
  <c r="BA242" i="2"/>
  <c r="AX242" i="2"/>
  <c r="AW242" i="2"/>
  <c r="AU242" i="2"/>
  <c r="AS242" i="2"/>
  <c r="AP242" i="2"/>
  <c r="AN242" i="2"/>
  <c r="AL242" i="2"/>
  <c r="AJ242" i="2"/>
  <c r="AH242" i="2"/>
  <c r="AF242" i="2"/>
  <c r="AD242" i="2"/>
  <c r="AB242" i="2"/>
  <c r="Z242" i="2"/>
  <c r="X242" i="2"/>
  <c r="U242" i="2"/>
  <c r="S242" i="2"/>
  <c r="Q242" i="2"/>
  <c r="O242" i="2"/>
  <c r="M242" i="2"/>
  <c r="K242" i="2"/>
  <c r="I242" i="2"/>
  <c r="G242" i="2"/>
  <c r="E242" i="2"/>
  <c r="C242" i="2"/>
  <c r="BJ241" i="2"/>
  <c r="BI241" i="2"/>
  <c r="BG241" i="2"/>
  <c r="BD241" i="2"/>
  <c r="BC241" i="2"/>
  <c r="BA241" i="2"/>
  <c r="AX241" i="2"/>
  <c r="AW241" i="2"/>
  <c r="AU241" i="2"/>
  <c r="AS241" i="2"/>
  <c r="AP241" i="2"/>
  <c r="AN241" i="2"/>
  <c r="AL241" i="2"/>
  <c r="AJ241" i="2"/>
  <c r="AH241" i="2"/>
  <c r="AF241" i="2"/>
  <c r="AD241" i="2"/>
  <c r="AB241" i="2"/>
  <c r="Z241" i="2"/>
  <c r="X241" i="2"/>
  <c r="U241" i="2"/>
  <c r="S241" i="2"/>
  <c r="Q241" i="2"/>
  <c r="O241" i="2"/>
  <c r="M241" i="2"/>
  <c r="K241" i="2"/>
  <c r="I241" i="2"/>
  <c r="G241" i="2"/>
  <c r="E241" i="2"/>
  <c r="C241" i="2"/>
  <c r="BJ240" i="2"/>
  <c r="BK241" i="2" s="1"/>
  <c r="BI240" i="2"/>
  <c r="BG240" i="2"/>
  <c r="BD240" i="2"/>
  <c r="BE240" i="2" s="1"/>
  <c r="BC240" i="2"/>
  <c r="BA240" i="2"/>
  <c r="AX240" i="2"/>
  <c r="AY240" i="2" s="1"/>
  <c r="AW240" i="2"/>
  <c r="AU240" i="2"/>
  <c r="AS240" i="2"/>
  <c r="AP240" i="2"/>
  <c r="AN240" i="2"/>
  <c r="AL240" i="2"/>
  <c r="AJ240" i="2"/>
  <c r="AH240" i="2"/>
  <c r="AF240" i="2"/>
  <c r="AD240" i="2"/>
  <c r="AB240" i="2"/>
  <c r="Z240" i="2"/>
  <c r="X240" i="2"/>
  <c r="U240" i="2"/>
  <c r="S240" i="2"/>
  <c r="Q240" i="2"/>
  <c r="O240" i="2"/>
  <c r="M240" i="2"/>
  <c r="K240" i="2"/>
  <c r="I240" i="2"/>
  <c r="G240" i="2"/>
  <c r="E240" i="2"/>
  <c r="C240" i="2"/>
  <c r="BJ239" i="2"/>
  <c r="BI239" i="2"/>
  <c r="BG239" i="2"/>
  <c r="BD239" i="2"/>
  <c r="BC239" i="2"/>
  <c r="BA239" i="2"/>
  <c r="AX239" i="2"/>
  <c r="AW239" i="2"/>
  <c r="AU239" i="2"/>
  <c r="AS239" i="2"/>
  <c r="AP239" i="2"/>
  <c r="AN239" i="2"/>
  <c r="AL239" i="2"/>
  <c r="AJ239" i="2"/>
  <c r="AH239" i="2"/>
  <c r="AF239" i="2"/>
  <c r="AD239" i="2"/>
  <c r="AB239" i="2"/>
  <c r="Z239" i="2"/>
  <c r="X239" i="2"/>
  <c r="U239" i="2"/>
  <c r="S239" i="2"/>
  <c r="Q239" i="2"/>
  <c r="O239" i="2"/>
  <c r="M239" i="2"/>
  <c r="K239" i="2"/>
  <c r="I239" i="2"/>
  <c r="G239" i="2"/>
  <c r="E239" i="2"/>
  <c r="C239" i="2"/>
  <c r="BJ238" i="2"/>
  <c r="BI238" i="2"/>
  <c r="BG238" i="2"/>
  <c r="BD238" i="2"/>
  <c r="BC238" i="2"/>
  <c r="BA238" i="2"/>
  <c r="AX238" i="2"/>
  <c r="AY239" i="2" s="1"/>
  <c r="AW238" i="2"/>
  <c r="AU238" i="2"/>
  <c r="AS238" i="2"/>
  <c r="AP238" i="2"/>
  <c r="AN238" i="2"/>
  <c r="AL238" i="2"/>
  <c r="AJ238" i="2"/>
  <c r="AH238" i="2"/>
  <c r="AF238" i="2"/>
  <c r="AD238" i="2"/>
  <c r="AB238" i="2"/>
  <c r="Z238" i="2"/>
  <c r="X238" i="2"/>
  <c r="U238" i="2"/>
  <c r="S238" i="2"/>
  <c r="Q238" i="2"/>
  <c r="O238" i="2"/>
  <c r="M238" i="2"/>
  <c r="K238" i="2"/>
  <c r="I238" i="2"/>
  <c r="G238" i="2"/>
  <c r="E238" i="2"/>
  <c r="C238" i="2"/>
  <c r="BJ237" i="2"/>
  <c r="BK237" i="2" s="1"/>
  <c r="BI237" i="2"/>
  <c r="BG237" i="2"/>
  <c r="BD237" i="2"/>
  <c r="BC237" i="2"/>
  <c r="BA237" i="2"/>
  <c r="AX237" i="2"/>
  <c r="AW237" i="2"/>
  <c r="AU237" i="2"/>
  <c r="AS237" i="2"/>
  <c r="AP237" i="2"/>
  <c r="AN237" i="2"/>
  <c r="AL237" i="2"/>
  <c r="AJ237" i="2"/>
  <c r="AH237" i="2"/>
  <c r="AF237" i="2"/>
  <c r="AD237" i="2"/>
  <c r="AB237" i="2"/>
  <c r="Z237" i="2"/>
  <c r="X237" i="2"/>
  <c r="U237" i="2"/>
  <c r="S237" i="2"/>
  <c r="Q237" i="2"/>
  <c r="O237" i="2"/>
  <c r="M237" i="2"/>
  <c r="K237" i="2"/>
  <c r="I237" i="2"/>
  <c r="G237" i="2"/>
  <c r="E237" i="2"/>
  <c r="C237" i="2"/>
  <c r="BJ236" i="2"/>
  <c r="BI236" i="2"/>
  <c r="BG236" i="2"/>
  <c r="BD236" i="2"/>
  <c r="BC236" i="2"/>
  <c r="BA236" i="2"/>
  <c r="AX236" i="2"/>
  <c r="AY237" i="2" s="1"/>
  <c r="AW236" i="2"/>
  <c r="AU236" i="2"/>
  <c r="AS236" i="2"/>
  <c r="AP236" i="2"/>
  <c r="AN236" i="2"/>
  <c r="AL236" i="2"/>
  <c r="AJ236" i="2"/>
  <c r="AH236" i="2"/>
  <c r="AF236" i="2"/>
  <c r="AD236" i="2"/>
  <c r="AB236" i="2"/>
  <c r="Z236" i="2"/>
  <c r="X236" i="2"/>
  <c r="U236" i="2"/>
  <c r="S236" i="2"/>
  <c r="Q236" i="2"/>
  <c r="O236" i="2"/>
  <c r="M236" i="2"/>
  <c r="K236" i="2"/>
  <c r="I236" i="2"/>
  <c r="G236" i="2"/>
  <c r="E236" i="2"/>
  <c r="C236" i="2"/>
  <c r="BJ235" i="2"/>
  <c r="BI235" i="2"/>
  <c r="BG235" i="2"/>
  <c r="BD235" i="2"/>
  <c r="BC235" i="2"/>
  <c r="BA235" i="2"/>
  <c r="AX235" i="2"/>
  <c r="AW235" i="2"/>
  <c r="AU235" i="2"/>
  <c r="AS235" i="2"/>
  <c r="AP235" i="2"/>
  <c r="AN235" i="2"/>
  <c r="AL235" i="2"/>
  <c r="AJ235" i="2"/>
  <c r="AH235" i="2"/>
  <c r="AF235" i="2"/>
  <c r="AD235" i="2"/>
  <c r="AB235" i="2"/>
  <c r="Z235" i="2"/>
  <c r="X235" i="2"/>
  <c r="U235" i="2"/>
  <c r="S235" i="2"/>
  <c r="Q235" i="2"/>
  <c r="O235" i="2"/>
  <c r="M235" i="2"/>
  <c r="K235" i="2"/>
  <c r="I235" i="2"/>
  <c r="G235" i="2"/>
  <c r="E235" i="2"/>
  <c r="C235" i="2"/>
  <c r="BJ234" i="2"/>
  <c r="BI234" i="2"/>
  <c r="BG234" i="2"/>
  <c r="BD234" i="2"/>
  <c r="BC234" i="2"/>
  <c r="BA234" i="2"/>
  <c r="AX234" i="2"/>
  <c r="AW234" i="2"/>
  <c r="AU234" i="2"/>
  <c r="AS234" i="2"/>
  <c r="AP234" i="2"/>
  <c r="AN234" i="2"/>
  <c r="AL234" i="2"/>
  <c r="AJ234" i="2"/>
  <c r="AH234" i="2"/>
  <c r="AF234" i="2"/>
  <c r="AD234" i="2"/>
  <c r="AB234" i="2"/>
  <c r="Z234" i="2"/>
  <c r="X234" i="2"/>
  <c r="U234" i="2"/>
  <c r="S234" i="2"/>
  <c r="Q234" i="2"/>
  <c r="O234" i="2"/>
  <c r="M234" i="2"/>
  <c r="K234" i="2"/>
  <c r="I234" i="2"/>
  <c r="G234" i="2"/>
  <c r="E234" i="2"/>
  <c r="C234" i="2"/>
  <c r="BJ233" i="2"/>
  <c r="BI233" i="2"/>
  <c r="BG233" i="2"/>
  <c r="BD233" i="2"/>
  <c r="BC233" i="2"/>
  <c r="BA233" i="2"/>
  <c r="AX233" i="2"/>
  <c r="AW233" i="2"/>
  <c r="AU233" i="2"/>
  <c r="AS233" i="2"/>
  <c r="AP233" i="2"/>
  <c r="AN233" i="2"/>
  <c r="AL233" i="2"/>
  <c r="AJ233" i="2"/>
  <c r="AH233" i="2"/>
  <c r="AF233" i="2"/>
  <c r="AD233" i="2"/>
  <c r="AB233" i="2"/>
  <c r="Z233" i="2"/>
  <c r="X233" i="2"/>
  <c r="U233" i="2"/>
  <c r="S233" i="2"/>
  <c r="Q233" i="2"/>
  <c r="O233" i="2"/>
  <c r="M233" i="2"/>
  <c r="K233" i="2"/>
  <c r="I233" i="2"/>
  <c r="G233" i="2"/>
  <c r="E233" i="2"/>
  <c r="C233" i="2"/>
  <c r="BJ232" i="2"/>
  <c r="BK232" i="2" s="1"/>
  <c r="BI232" i="2"/>
  <c r="BG232" i="2"/>
  <c r="BD232" i="2"/>
  <c r="BE233" i="2" s="1"/>
  <c r="BC232" i="2"/>
  <c r="BA232" i="2"/>
  <c r="AX232" i="2"/>
  <c r="AY233" i="2" s="1"/>
  <c r="AW232" i="2"/>
  <c r="AU232" i="2"/>
  <c r="AS232" i="2"/>
  <c r="AP232" i="2"/>
  <c r="AN232" i="2"/>
  <c r="AL232" i="2"/>
  <c r="AJ232" i="2"/>
  <c r="AH232" i="2"/>
  <c r="AF232" i="2"/>
  <c r="AD232" i="2"/>
  <c r="AB232" i="2"/>
  <c r="Z232" i="2"/>
  <c r="X232" i="2"/>
  <c r="U232" i="2"/>
  <c r="S232" i="2"/>
  <c r="Q232" i="2"/>
  <c r="O232" i="2"/>
  <c r="M232" i="2"/>
  <c r="K232" i="2"/>
  <c r="I232" i="2"/>
  <c r="G232" i="2"/>
  <c r="E232" i="2"/>
  <c r="C232" i="2"/>
  <c r="BJ231" i="2"/>
  <c r="BK231" i="2" s="1"/>
  <c r="BI231" i="2"/>
  <c r="BG231" i="2"/>
  <c r="BD231" i="2"/>
  <c r="BC231" i="2"/>
  <c r="BA231" i="2"/>
  <c r="AX231" i="2"/>
  <c r="AW231" i="2"/>
  <c r="AU231" i="2"/>
  <c r="AS231" i="2"/>
  <c r="AP231" i="2"/>
  <c r="AN231" i="2"/>
  <c r="AL231" i="2"/>
  <c r="AJ231" i="2"/>
  <c r="AH231" i="2"/>
  <c r="AF231" i="2"/>
  <c r="AD231" i="2"/>
  <c r="AB231" i="2"/>
  <c r="Z231" i="2"/>
  <c r="X231" i="2"/>
  <c r="U231" i="2"/>
  <c r="S231" i="2"/>
  <c r="Q231" i="2"/>
  <c r="O231" i="2"/>
  <c r="M231" i="2"/>
  <c r="K231" i="2"/>
  <c r="I231" i="2"/>
  <c r="G231" i="2"/>
  <c r="E231" i="2"/>
  <c r="C231" i="2"/>
  <c r="BJ230" i="2"/>
  <c r="BI230" i="2"/>
  <c r="BG230" i="2"/>
  <c r="BD230" i="2"/>
  <c r="BE231" i="2" s="1"/>
  <c r="BC230" i="2"/>
  <c r="BA230" i="2"/>
  <c r="AX230" i="2"/>
  <c r="AY231" i="2" s="1"/>
  <c r="AW230" i="2"/>
  <c r="AU230" i="2"/>
  <c r="AS230" i="2"/>
  <c r="AP230" i="2"/>
  <c r="AN230" i="2"/>
  <c r="AL230" i="2"/>
  <c r="AJ230" i="2"/>
  <c r="AH230" i="2"/>
  <c r="AF230" i="2"/>
  <c r="AD230" i="2"/>
  <c r="AB230" i="2"/>
  <c r="Z230" i="2"/>
  <c r="X230" i="2"/>
  <c r="U230" i="2"/>
  <c r="S230" i="2"/>
  <c r="Q230" i="2"/>
  <c r="O230" i="2"/>
  <c r="M230" i="2"/>
  <c r="K230" i="2"/>
  <c r="I230" i="2"/>
  <c r="G230" i="2"/>
  <c r="E230" i="2"/>
  <c r="C230" i="2"/>
  <c r="BJ229" i="2"/>
  <c r="BI229" i="2"/>
  <c r="BG229" i="2"/>
  <c r="BD229" i="2"/>
  <c r="BC229" i="2"/>
  <c r="BA229" i="2"/>
  <c r="AX229" i="2"/>
  <c r="AW229" i="2"/>
  <c r="AU229" i="2"/>
  <c r="AS229" i="2"/>
  <c r="AP229" i="2"/>
  <c r="AN229" i="2"/>
  <c r="AL229" i="2"/>
  <c r="AJ229" i="2"/>
  <c r="AH229" i="2"/>
  <c r="AF229" i="2"/>
  <c r="AD229" i="2"/>
  <c r="AB229" i="2"/>
  <c r="Z229" i="2"/>
  <c r="X229" i="2"/>
  <c r="U229" i="2"/>
  <c r="S229" i="2"/>
  <c r="Q229" i="2"/>
  <c r="O229" i="2"/>
  <c r="M229" i="2"/>
  <c r="K229" i="2"/>
  <c r="I229" i="2"/>
  <c r="G229" i="2"/>
  <c r="E229" i="2"/>
  <c r="C229" i="2"/>
  <c r="BJ228" i="2"/>
  <c r="BI228" i="2"/>
  <c r="BG228" i="2"/>
  <c r="BD228" i="2"/>
  <c r="BC228" i="2"/>
  <c r="BA228" i="2"/>
  <c r="AX228" i="2"/>
  <c r="AW228" i="2"/>
  <c r="AU228" i="2"/>
  <c r="AS228" i="2"/>
  <c r="AP228" i="2"/>
  <c r="AN228" i="2"/>
  <c r="AL228" i="2"/>
  <c r="AJ228" i="2"/>
  <c r="AH228" i="2"/>
  <c r="AF228" i="2"/>
  <c r="AD228" i="2"/>
  <c r="AB228" i="2"/>
  <c r="Z228" i="2"/>
  <c r="X228" i="2"/>
  <c r="U228" i="2"/>
  <c r="S228" i="2"/>
  <c r="Q228" i="2"/>
  <c r="O228" i="2"/>
  <c r="M228" i="2"/>
  <c r="K228" i="2"/>
  <c r="I228" i="2"/>
  <c r="G228" i="2"/>
  <c r="E228" i="2"/>
  <c r="C228" i="2"/>
  <c r="BJ227" i="2"/>
  <c r="BK227" i="2" s="1"/>
  <c r="BI227" i="2"/>
  <c r="BG227" i="2"/>
  <c r="BD227" i="2"/>
  <c r="BC227" i="2"/>
  <c r="BA227" i="2"/>
  <c r="AX227" i="2"/>
  <c r="AY228" i="2" s="1"/>
  <c r="AW227" i="2"/>
  <c r="AU227" i="2"/>
  <c r="AS227" i="2"/>
  <c r="AP227" i="2"/>
  <c r="AN227" i="2"/>
  <c r="AL227" i="2"/>
  <c r="AJ227" i="2"/>
  <c r="AH227" i="2"/>
  <c r="AF227" i="2"/>
  <c r="AD227" i="2"/>
  <c r="AB227" i="2"/>
  <c r="Z227" i="2"/>
  <c r="X227" i="2"/>
  <c r="U227" i="2"/>
  <c r="S227" i="2"/>
  <c r="Q227" i="2"/>
  <c r="O227" i="2"/>
  <c r="M227" i="2"/>
  <c r="K227" i="2"/>
  <c r="I227" i="2"/>
  <c r="G227" i="2"/>
  <c r="E227" i="2"/>
  <c r="C227" i="2"/>
  <c r="BJ226" i="2"/>
  <c r="BI226" i="2"/>
  <c r="BG226" i="2"/>
  <c r="BD226" i="2"/>
  <c r="BC226" i="2"/>
  <c r="BA226" i="2"/>
  <c r="AX226" i="2"/>
  <c r="AW226" i="2"/>
  <c r="AU226" i="2"/>
  <c r="AS226" i="2"/>
  <c r="AP226" i="2"/>
  <c r="AN226" i="2"/>
  <c r="AL226" i="2"/>
  <c r="AJ226" i="2"/>
  <c r="AH226" i="2"/>
  <c r="AF226" i="2"/>
  <c r="AD226" i="2"/>
  <c r="AB226" i="2"/>
  <c r="Z226" i="2"/>
  <c r="X226" i="2"/>
  <c r="U226" i="2"/>
  <c r="S226" i="2"/>
  <c r="Q226" i="2"/>
  <c r="O226" i="2"/>
  <c r="M226" i="2"/>
  <c r="K226" i="2"/>
  <c r="I226" i="2"/>
  <c r="G226" i="2"/>
  <c r="E226" i="2"/>
  <c r="C226" i="2"/>
  <c r="BJ225" i="2"/>
  <c r="BI225" i="2"/>
  <c r="BG225" i="2"/>
  <c r="BD225" i="2"/>
  <c r="BC225" i="2"/>
  <c r="BA225" i="2"/>
  <c r="AX225" i="2"/>
  <c r="AY226" i="2" s="1"/>
  <c r="AW225" i="2"/>
  <c r="AU225" i="2"/>
  <c r="AS225" i="2"/>
  <c r="AP225" i="2"/>
  <c r="AN225" i="2"/>
  <c r="AL225" i="2"/>
  <c r="AJ225" i="2"/>
  <c r="AH225" i="2"/>
  <c r="AF225" i="2"/>
  <c r="AD225" i="2"/>
  <c r="AB225" i="2"/>
  <c r="Z225" i="2"/>
  <c r="X225" i="2"/>
  <c r="U225" i="2"/>
  <c r="S225" i="2"/>
  <c r="Q225" i="2"/>
  <c r="O225" i="2"/>
  <c r="M225" i="2"/>
  <c r="K225" i="2"/>
  <c r="I225" i="2"/>
  <c r="G225" i="2"/>
  <c r="E225" i="2"/>
  <c r="C225" i="2"/>
  <c r="BJ224" i="2"/>
  <c r="BK225" i="2" s="1"/>
  <c r="BI224" i="2"/>
  <c r="BG224" i="2"/>
  <c r="BD224" i="2"/>
  <c r="BC224" i="2"/>
  <c r="BA224" i="2"/>
  <c r="AX224" i="2"/>
  <c r="AW224" i="2"/>
  <c r="AU224" i="2"/>
  <c r="AS224" i="2"/>
  <c r="AP224" i="2"/>
  <c r="AN224" i="2"/>
  <c r="AL224" i="2"/>
  <c r="AJ224" i="2"/>
  <c r="AH224" i="2"/>
  <c r="AF224" i="2"/>
  <c r="AD224" i="2"/>
  <c r="AB224" i="2"/>
  <c r="Z224" i="2"/>
  <c r="X224" i="2"/>
  <c r="U224" i="2"/>
  <c r="S224" i="2"/>
  <c r="Q224" i="2"/>
  <c r="O224" i="2"/>
  <c r="M224" i="2"/>
  <c r="K224" i="2"/>
  <c r="I224" i="2"/>
  <c r="G224" i="2"/>
  <c r="E224" i="2"/>
  <c r="C224" i="2"/>
  <c r="BJ223" i="2"/>
  <c r="BI223" i="2"/>
  <c r="BG223" i="2"/>
  <c r="BD223" i="2"/>
  <c r="BC223" i="2"/>
  <c r="BA223" i="2"/>
  <c r="AX223" i="2"/>
  <c r="AW223" i="2"/>
  <c r="AU223" i="2"/>
  <c r="AS223" i="2"/>
  <c r="AP223" i="2"/>
  <c r="AN223" i="2"/>
  <c r="AL223" i="2"/>
  <c r="AJ223" i="2"/>
  <c r="AH223" i="2"/>
  <c r="AF223" i="2"/>
  <c r="AD223" i="2"/>
  <c r="AB223" i="2"/>
  <c r="Z223" i="2"/>
  <c r="X223" i="2"/>
  <c r="U223" i="2"/>
  <c r="S223" i="2"/>
  <c r="Q223" i="2"/>
  <c r="O223" i="2"/>
  <c r="M223" i="2"/>
  <c r="K223" i="2"/>
  <c r="I223" i="2"/>
  <c r="G223" i="2"/>
  <c r="E223" i="2"/>
  <c r="C223" i="2"/>
  <c r="BJ222" i="2"/>
  <c r="BI222" i="2"/>
  <c r="BG222" i="2"/>
  <c r="BD222" i="2"/>
  <c r="BE223" i="2" s="1"/>
  <c r="BC222" i="2"/>
  <c r="BA222" i="2"/>
  <c r="AX222" i="2"/>
  <c r="AW222" i="2"/>
  <c r="AU222" i="2"/>
  <c r="AS222" i="2"/>
  <c r="AP222" i="2"/>
  <c r="AN222" i="2"/>
  <c r="AL222" i="2"/>
  <c r="AJ222" i="2"/>
  <c r="AH222" i="2"/>
  <c r="AF222" i="2"/>
  <c r="AD222" i="2"/>
  <c r="AB222" i="2"/>
  <c r="Z222" i="2"/>
  <c r="X222" i="2"/>
  <c r="U222" i="2"/>
  <c r="S222" i="2"/>
  <c r="Q222" i="2"/>
  <c r="O222" i="2"/>
  <c r="M222" i="2"/>
  <c r="K222" i="2"/>
  <c r="I222" i="2"/>
  <c r="G222" i="2"/>
  <c r="E222" i="2"/>
  <c r="C222" i="2"/>
  <c r="BJ221" i="2"/>
  <c r="BK221" i="2" s="1"/>
  <c r="BI221" i="2"/>
  <c r="BG221" i="2"/>
  <c r="BD221" i="2"/>
  <c r="BC221" i="2"/>
  <c r="BA221" i="2"/>
  <c r="AX221" i="2"/>
  <c r="AW221" i="2"/>
  <c r="AU221" i="2"/>
  <c r="AS221" i="2"/>
  <c r="AP221" i="2"/>
  <c r="AN221" i="2"/>
  <c r="AL221" i="2"/>
  <c r="AJ221" i="2"/>
  <c r="AH221" i="2"/>
  <c r="AF221" i="2"/>
  <c r="AD221" i="2"/>
  <c r="AB221" i="2"/>
  <c r="Z221" i="2"/>
  <c r="X221" i="2"/>
  <c r="U221" i="2"/>
  <c r="S221" i="2"/>
  <c r="Q221" i="2"/>
  <c r="O221" i="2"/>
  <c r="M221" i="2"/>
  <c r="K221" i="2"/>
  <c r="I221" i="2"/>
  <c r="G221" i="2"/>
  <c r="E221" i="2"/>
  <c r="C221" i="2"/>
  <c r="BJ220" i="2"/>
  <c r="BI220" i="2"/>
  <c r="BG220" i="2"/>
  <c r="BD220" i="2"/>
  <c r="BC220" i="2"/>
  <c r="BA220" i="2"/>
  <c r="AX220" i="2"/>
  <c r="AY221" i="2" s="1"/>
  <c r="AW220" i="2"/>
  <c r="AU220" i="2"/>
  <c r="AS220" i="2"/>
  <c r="AP220" i="2"/>
  <c r="AN220" i="2"/>
  <c r="AL220" i="2"/>
  <c r="AJ220" i="2"/>
  <c r="AH220" i="2"/>
  <c r="AF220" i="2"/>
  <c r="AD220" i="2"/>
  <c r="AB220" i="2"/>
  <c r="Z220" i="2"/>
  <c r="X220" i="2"/>
  <c r="U220" i="2"/>
  <c r="S220" i="2"/>
  <c r="Q220" i="2"/>
  <c r="O220" i="2"/>
  <c r="M220" i="2"/>
  <c r="K220" i="2"/>
  <c r="I220" i="2"/>
  <c r="G220" i="2"/>
  <c r="E220" i="2"/>
  <c r="C220" i="2"/>
  <c r="BJ219" i="2"/>
  <c r="BI219" i="2"/>
  <c r="BG219" i="2"/>
  <c r="BD219" i="2"/>
  <c r="BE220" i="2" s="1"/>
  <c r="BC219" i="2"/>
  <c r="BA219" i="2"/>
  <c r="AX219" i="2"/>
  <c r="AW219" i="2"/>
  <c r="AU219" i="2"/>
  <c r="AS219" i="2"/>
  <c r="AP219" i="2"/>
  <c r="AN219" i="2"/>
  <c r="AL219" i="2"/>
  <c r="AJ219" i="2"/>
  <c r="AH219" i="2"/>
  <c r="AF219" i="2"/>
  <c r="AD219" i="2"/>
  <c r="AB219" i="2"/>
  <c r="Z219" i="2"/>
  <c r="X219" i="2"/>
  <c r="U219" i="2"/>
  <c r="S219" i="2"/>
  <c r="Q219" i="2"/>
  <c r="O219" i="2"/>
  <c r="M219" i="2"/>
  <c r="K219" i="2"/>
  <c r="I219" i="2"/>
  <c r="G219" i="2"/>
  <c r="E219" i="2"/>
  <c r="C219" i="2"/>
  <c r="BJ218" i="2"/>
  <c r="BK218" i="2" s="1"/>
  <c r="BI218" i="2"/>
  <c r="BG218" i="2"/>
  <c r="BD218" i="2"/>
  <c r="BC218" i="2"/>
  <c r="BA218" i="2"/>
  <c r="AX218" i="2"/>
  <c r="AY219" i="2" s="1"/>
  <c r="AW218" i="2"/>
  <c r="AU218" i="2"/>
  <c r="AS218" i="2"/>
  <c r="AP218" i="2"/>
  <c r="AN218" i="2"/>
  <c r="AL218" i="2"/>
  <c r="AJ218" i="2"/>
  <c r="AH218" i="2"/>
  <c r="AF218" i="2"/>
  <c r="AD218" i="2"/>
  <c r="AB218" i="2"/>
  <c r="Z218" i="2"/>
  <c r="X218" i="2"/>
  <c r="U218" i="2"/>
  <c r="S218" i="2"/>
  <c r="Q218" i="2"/>
  <c r="O218" i="2"/>
  <c r="M218" i="2"/>
  <c r="K218" i="2"/>
  <c r="I218" i="2"/>
  <c r="G218" i="2"/>
  <c r="E218" i="2"/>
  <c r="C218" i="2"/>
  <c r="BJ217" i="2"/>
  <c r="BI217" i="2"/>
  <c r="BG217" i="2"/>
  <c r="BD217" i="2"/>
  <c r="BC217" i="2"/>
  <c r="BA217" i="2"/>
  <c r="AX217" i="2"/>
  <c r="AW217" i="2"/>
  <c r="AU217" i="2"/>
  <c r="AS217" i="2"/>
  <c r="AP217" i="2"/>
  <c r="AN217" i="2"/>
  <c r="AL217" i="2"/>
  <c r="AJ217" i="2"/>
  <c r="AH217" i="2"/>
  <c r="AF217" i="2"/>
  <c r="AD217" i="2"/>
  <c r="AB217" i="2"/>
  <c r="Z217" i="2"/>
  <c r="X217" i="2"/>
  <c r="U217" i="2"/>
  <c r="S217" i="2"/>
  <c r="Q217" i="2"/>
  <c r="O217" i="2"/>
  <c r="M217" i="2"/>
  <c r="K217" i="2"/>
  <c r="I217" i="2"/>
  <c r="G217" i="2"/>
  <c r="E217" i="2"/>
  <c r="C217" i="2"/>
  <c r="BJ216" i="2"/>
  <c r="BI216" i="2"/>
  <c r="BG216" i="2"/>
  <c r="BD216" i="2"/>
  <c r="BC216" i="2"/>
  <c r="BA216" i="2"/>
  <c r="AY216" i="2"/>
  <c r="AX216" i="2"/>
  <c r="AW216" i="2"/>
  <c r="AU216" i="2"/>
  <c r="AS216" i="2"/>
  <c r="AP216" i="2"/>
  <c r="AN216" i="2"/>
  <c r="AL216" i="2"/>
  <c r="AJ216" i="2"/>
  <c r="AH216" i="2"/>
  <c r="AF216" i="2"/>
  <c r="AD216" i="2"/>
  <c r="AB216" i="2"/>
  <c r="Z216" i="2"/>
  <c r="X216" i="2"/>
  <c r="U216" i="2"/>
  <c r="S216" i="2"/>
  <c r="Q216" i="2"/>
  <c r="O216" i="2"/>
  <c r="M216" i="2"/>
  <c r="K216" i="2"/>
  <c r="I216" i="2"/>
  <c r="G216" i="2"/>
  <c r="E216" i="2"/>
  <c r="C216" i="2"/>
  <c r="BJ215" i="2"/>
  <c r="BI215" i="2"/>
  <c r="BG215" i="2"/>
  <c r="BD215" i="2"/>
  <c r="BC215" i="2"/>
  <c r="BA215" i="2"/>
  <c r="AX215" i="2"/>
  <c r="AW215" i="2"/>
  <c r="AU215" i="2"/>
  <c r="AS215" i="2"/>
  <c r="AP215" i="2"/>
  <c r="AN215" i="2"/>
  <c r="AL215" i="2"/>
  <c r="AJ215" i="2"/>
  <c r="AH215" i="2"/>
  <c r="AF215" i="2"/>
  <c r="AD215" i="2"/>
  <c r="AB215" i="2"/>
  <c r="Z215" i="2"/>
  <c r="X215" i="2"/>
  <c r="U215" i="2"/>
  <c r="S215" i="2"/>
  <c r="Q215" i="2"/>
  <c r="O215" i="2"/>
  <c r="M215" i="2"/>
  <c r="K215" i="2"/>
  <c r="I215" i="2"/>
  <c r="G215" i="2"/>
  <c r="E215" i="2"/>
  <c r="C215" i="2"/>
  <c r="BJ214" i="2"/>
  <c r="BI214" i="2"/>
  <c r="BG214" i="2"/>
  <c r="BD214" i="2"/>
  <c r="BE215" i="2" s="1"/>
  <c r="BC214" i="2"/>
  <c r="BA214" i="2"/>
  <c r="AX214" i="2"/>
  <c r="AW214" i="2"/>
  <c r="AU214" i="2"/>
  <c r="AS214" i="2"/>
  <c r="AP214" i="2"/>
  <c r="AN214" i="2"/>
  <c r="AL214" i="2"/>
  <c r="AJ214" i="2"/>
  <c r="AH214" i="2"/>
  <c r="AF214" i="2"/>
  <c r="AD214" i="2"/>
  <c r="AB214" i="2"/>
  <c r="Z214" i="2"/>
  <c r="X214" i="2"/>
  <c r="U214" i="2"/>
  <c r="S214" i="2"/>
  <c r="Q214" i="2"/>
  <c r="O214" i="2"/>
  <c r="M214" i="2"/>
  <c r="K214" i="2"/>
  <c r="I214" i="2"/>
  <c r="G214" i="2"/>
  <c r="E214" i="2"/>
  <c r="C214" i="2"/>
  <c r="BJ213" i="2"/>
  <c r="BI213" i="2"/>
  <c r="BG213" i="2"/>
  <c r="BD213" i="2"/>
  <c r="BC213" i="2"/>
  <c r="BA213" i="2"/>
  <c r="AX213" i="2"/>
  <c r="AW213" i="2"/>
  <c r="AU213" i="2"/>
  <c r="AS213" i="2"/>
  <c r="AP213" i="2"/>
  <c r="AN213" i="2"/>
  <c r="AL213" i="2"/>
  <c r="AJ213" i="2"/>
  <c r="AH213" i="2"/>
  <c r="AF213" i="2"/>
  <c r="AD213" i="2"/>
  <c r="AB213" i="2"/>
  <c r="Z213" i="2"/>
  <c r="X213" i="2"/>
  <c r="U213" i="2"/>
  <c r="S213" i="2"/>
  <c r="Q213" i="2"/>
  <c r="O213" i="2"/>
  <c r="M213" i="2"/>
  <c r="K213" i="2"/>
  <c r="I213" i="2"/>
  <c r="G213" i="2"/>
  <c r="E213" i="2"/>
  <c r="C213" i="2"/>
  <c r="BJ212" i="2"/>
  <c r="BI212" i="2"/>
  <c r="BG212" i="2"/>
  <c r="BD212" i="2"/>
  <c r="BC212" i="2"/>
  <c r="BA212" i="2"/>
  <c r="AX212" i="2"/>
  <c r="AY213" i="2" s="1"/>
  <c r="AW212" i="2"/>
  <c r="AU212" i="2"/>
  <c r="AS212" i="2"/>
  <c r="AP212" i="2"/>
  <c r="AN212" i="2"/>
  <c r="AL212" i="2"/>
  <c r="AJ212" i="2"/>
  <c r="AH212" i="2"/>
  <c r="AF212" i="2"/>
  <c r="AD212" i="2"/>
  <c r="AB212" i="2"/>
  <c r="Z212" i="2"/>
  <c r="X212" i="2"/>
  <c r="U212" i="2"/>
  <c r="S212" i="2"/>
  <c r="Q212" i="2"/>
  <c r="O212" i="2"/>
  <c r="M212" i="2"/>
  <c r="K212" i="2"/>
  <c r="I212" i="2"/>
  <c r="G212" i="2"/>
  <c r="E212" i="2"/>
  <c r="C212" i="2"/>
  <c r="BJ211" i="2"/>
  <c r="BK211" i="2" s="1"/>
  <c r="BI211" i="2"/>
  <c r="BG211" i="2"/>
  <c r="BD211" i="2"/>
  <c r="BC211" i="2"/>
  <c r="BA211" i="2"/>
  <c r="AX211" i="2"/>
  <c r="AW211" i="2"/>
  <c r="AU211" i="2"/>
  <c r="AS211" i="2"/>
  <c r="AP211" i="2"/>
  <c r="AN211" i="2"/>
  <c r="AL211" i="2"/>
  <c r="AJ211" i="2"/>
  <c r="AH211" i="2"/>
  <c r="AF211" i="2"/>
  <c r="AD211" i="2"/>
  <c r="AB211" i="2"/>
  <c r="Z211" i="2"/>
  <c r="X211" i="2"/>
  <c r="U211" i="2"/>
  <c r="S211" i="2"/>
  <c r="Q211" i="2"/>
  <c r="O211" i="2"/>
  <c r="M211" i="2"/>
  <c r="K211" i="2"/>
  <c r="I211" i="2"/>
  <c r="G211" i="2"/>
  <c r="E211" i="2"/>
  <c r="C211" i="2"/>
  <c r="BJ210" i="2"/>
  <c r="BI210" i="2"/>
  <c r="BG210" i="2"/>
  <c r="BD210" i="2"/>
  <c r="BC210" i="2"/>
  <c r="BA210" i="2"/>
  <c r="AX210" i="2"/>
  <c r="AW210" i="2"/>
  <c r="AU210" i="2"/>
  <c r="AS210" i="2"/>
  <c r="AP210" i="2"/>
  <c r="AN210" i="2"/>
  <c r="AL210" i="2"/>
  <c r="AJ210" i="2"/>
  <c r="AH210" i="2"/>
  <c r="AF210" i="2"/>
  <c r="AD210" i="2"/>
  <c r="AB210" i="2"/>
  <c r="Z210" i="2"/>
  <c r="X210" i="2"/>
  <c r="U210" i="2"/>
  <c r="S210" i="2"/>
  <c r="Q210" i="2"/>
  <c r="O210" i="2"/>
  <c r="M210" i="2"/>
  <c r="K210" i="2"/>
  <c r="I210" i="2"/>
  <c r="G210" i="2"/>
  <c r="E210" i="2"/>
  <c r="C210" i="2"/>
  <c r="BJ209" i="2"/>
  <c r="BI209" i="2"/>
  <c r="BG209" i="2"/>
  <c r="BD209" i="2"/>
  <c r="BC209" i="2"/>
  <c r="BA209" i="2"/>
  <c r="AX209" i="2"/>
  <c r="AW209" i="2"/>
  <c r="AU209" i="2"/>
  <c r="AS209" i="2"/>
  <c r="AP209" i="2"/>
  <c r="AN209" i="2"/>
  <c r="AL209" i="2"/>
  <c r="AJ209" i="2"/>
  <c r="AH209" i="2"/>
  <c r="AF209" i="2"/>
  <c r="AD209" i="2"/>
  <c r="AB209" i="2"/>
  <c r="Z209" i="2"/>
  <c r="X209" i="2"/>
  <c r="U209" i="2"/>
  <c r="S209" i="2"/>
  <c r="Q209" i="2"/>
  <c r="O209" i="2"/>
  <c r="M209" i="2"/>
  <c r="K209" i="2"/>
  <c r="I209" i="2"/>
  <c r="G209" i="2"/>
  <c r="E209" i="2"/>
  <c r="C209" i="2"/>
  <c r="BJ208" i="2"/>
  <c r="BI208" i="2"/>
  <c r="BG208" i="2"/>
  <c r="BD208" i="2"/>
  <c r="BC208" i="2"/>
  <c r="BA208" i="2"/>
  <c r="AY208" i="2"/>
  <c r="AX208" i="2"/>
  <c r="AW208" i="2"/>
  <c r="AU208" i="2"/>
  <c r="AS208" i="2"/>
  <c r="AP208" i="2"/>
  <c r="AN208" i="2"/>
  <c r="AL208" i="2"/>
  <c r="AJ208" i="2"/>
  <c r="AH208" i="2"/>
  <c r="AF208" i="2"/>
  <c r="AD208" i="2"/>
  <c r="AB208" i="2"/>
  <c r="Z208" i="2"/>
  <c r="X208" i="2"/>
  <c r="U208" i="2"/>
  <c r="S208" i="2"/>
  <c r="Q208" i="2"/>
  <c r="O208" i="2"/>
  <c r="M208" i="2"/>
  <c r="K208" i="2"/>
  <c r="I208" i="2"/>
  <c r="G208" i="2"/>
  <c r="E208" i="2"/>
  <c r="C208" i="2"/>
  <c r="BJ207" i="2"/>
  <c r="BI207" i="2"/>
  <c r="BG207" i="2"/>
  <c r="BD207" i="2"/>
  <c r="BC207" i="2"/>
  <c r="BA207" i="2"/>
  <c r="AX207" i="2"/>
  <c r="AW207" i="2"/>
  <c r="AU207" i="2"/>
  <c r="AS207" i="2"/>
  <c r="AP207" i="2"/>
  <c r="AN207" i="2"/>
  <c r="AL207" i="2"/>
  <c r="AJ207" i="2"/>
  <c r="AH207" i="2"/>
  <c r="AF207" i="2"/>
  <c r="AD207" i="2"/>
  <c r="AB207" i="2"/>
  <c r="Z207" i="2"/>
  <c r="X207" i="2"/>
  <c r="U207" i="2"/>
  <c r="S207" i="2"/>
  <c r="Q207" i="2"/>
  <c r="O207" i="2"/>
  <c r="M207" i="2"/>
  <c r="K207" i="2"/>
  <c r="I207" i="2"/>
  <c r="G207" i="2"/>
  <c r="E207" i="2"/>
  <c r="C207" i="2"/>
  <c r="BJ206" i="2"/>
  <c r="BI206" i="2"/>
  <c r="BG206" i="2"/>
  <c r="BD206" i="2"/>
  <c r="BC206" i="2"/>
  <c r="BA206" i="2"/>
  <c r="AX206" i="2"/>
  <c r="AW206" i="2"/>
  <c r="AU206" i="2"/>
  <c r="AS206" i="2"/>
  <c r="AP206" i="2"/>
  <c r="AN206" i="2"/>
  <c r="AL206" i="2"/>
  <c r="AJ206" i="2"/>
  <c r="AH206" i="2"/>
  <c r="AF206" i="2"/>
  <c r="AD206" i="2"/>
  <c r="AB206" i="2"/>
  <c r="Z206" i="2"/>
  <c r="X206" i="2"/>
  <c r="U206" i="2"/>
  <c r="S206" i="2"/>
  <c r="Q206" i="2"/>
  <c r="O206" i="2"/>
  <c r="M206" i="2"/>
  <c r="K206" i="2"/>
  <c r="I206" i="2"/>
  <c r="G206" i="2"/>
  <c r="E206" i="2"/>
  <c r="C206" i="2"/>
  <c r="BJ205" i="2"/>
  <c r="BK205" i="2" s="1"/>
  <c r="BI205" i="2"/>
  <c r="BG205" i="2"/>
  <c r="BE205" i="2"/>
  <c r="BD205" i="2"/>
  <c r="BC205" i="2"/>
  <c r="BA205" i="2"/>
  <c r="AX205" i="2"/>
  <c r="AW205" i="2"/>
  <c r="AU205" i="2"/>
  <c r="AS205" i="2"/>
  <c r="AP205" i="2"/>
  <c r="AN205" i="2"/>
  <c r="AL205" i="2"/>
  <c r="AJ205" i="2"/>
  <c r="AH205" i="2"/>
  <c r="AF205" i="2"/>
  <c r="AD205" i="2"/>
  <c r="AB205" i="2"/>
  <c r="Z205" i="2"/>
  <c r="X205" i="2"/>
  <c r="U205" i="2"/>
  <c r="S205" i="2"/>
  <c r="Q205" i="2"/>
  <c r="O205" i="2"/>
  <c r="M205" i="2"/>
  <c r="K205" i="2"/>
  <c r="I205" i="2"/>
  <c r="G205" i="2"/>
  <c r="E205" i="2"/>
  <c r="C205" i="2"/>
  <c r="BJ204" i="2"/>
  <c r="BI204" i="2"/>
  <c r="BG204" i="2"/>
  <c r="BE204" i="2"/>
  <c r="BD204" i="2"/>
  <c r="BC204" i="2"/>
  <c r="BA204" i="2"/>
  <c r="AX204" i="2"/>
  <c r="AY205" i="2" s="1"/>
  <c r="AW204" i="2"/>
  <c r="AU204" i="2"/>
  <c r="AS204" i="2"/>
  <c r="AP204" i="2"/>
  <c r="AN204" i="2"/>
  <c r="AL204" i="2"/>
  <c r="AJ204" i="2"/>
  <c r="AH204" i="2"/>
  <c r="AF204" i="2"/>
  <c r="AD204" i="2"/>
  <c r="AB204" i="2"/>
  <c r="Z204" i="2"/>
  <c r="X204" i="2"/>
  <c r="U204" i="2"/>
  <c r="S204" i="2"/>
  <c r="Q204" i="2"/>
  <c r="O204" i="2"/>
  <c r="M204" i="2"/>
  <c r="K204" i="2"/>
  <c r="I204" i="2"/>
  <c r="G204" i="2"/>
  <c r="E204" i="2"/>
  <c r="C204" i="2"/>
  <c r="BJ203" i="2"/>
  <c r="BI203" i="2"/>
  <c r="BG203" i="2"/>
  <c r="BD203" i="2"/>
  <c r="BC203" i="2"/>
  <c r="BA203" i="2"/>
  <c r="AX203" i="2"/>
  <c r="AW203" i="2"/>
  <c r="AU203" i="2"/>
  <c r="AS203" i="2"/>
  <c r="AP203" i="2"/>
  <c r="AN203" i="2"/>
  <c r="AL203" i="2"/>
  <c r="AJ203" i="2"/>
  <c r="AH203" i="2"/>
  <c r="AF203" i="2"/>
  <c r="AD203" i="2"/>
  <c r="AB203" i="2"/>
  <c r="Z203" i="2"/>
  <c r="X203" i="2"/>
  <c r="U203" i="2"/>
  <c r="S203" i="2"/>
  <c r="Q203" i="2"/>
  <c r="O203" i="2"/>
  <c r="M203" i="2"/>
  <c r="K203" i="2"/>
  <c r="I203" i="2"/>
  <c r="G203" i="2"/>
  <c r="E203" i="2"/>
  <c r="C203" i="2"/>
  <c r="BJ202" i="2"/>
  <c r="BI202" i="2"/>
  <c r="BG202" i="2"/>
  <c r="BD202" i="2"/>
  <c r="BC202" i="2"/>
  <c r="BA202" i="2"/>
  <c r="AX202" i="2"/>
  <c r="AY203" i="2" s="1"/>
  <c r="AW202" i="2"/>
  <c r="AU202" i="2"/>
  <c r="AS202" i="2"/>
  <c r="AP202" i="2"/>
  <c r="AN202" i="2"/>
  <c r="AL202" i="2"/>
  <c r="AJ202" i="2"/>
  <c r="AH202" i="2"/>
  <c r="AF202" i="2"/>
  <c r="AD202" i="2"/>
  <c r="AB202" i="2"/>
  <c r="Z202" i="2"/>
  <c r="X202" i="2"/>
  <c r="U202" i="2"/>
  <c r="S202" i="2"/>
  <c r="Q202" i="2"/>
  <c r="O202" i="2"/>
  <c r="M202" i="2"/>
  <c r="K202" i="2"/>
  <c r="I202" i="2"/>
  <c r="G202" i="2"/>
  <c r="E202" i="2"/>
  <c r="C202" i="2"/>
  <c r="BJ201" i="2"/>
  <c r="BI201" i="2"/>
  <c r="BG201" i="2"/>
  <c r="BD201" i="2"/>
  <c r="BE201" i="2" s="1"/>
  <c r="BC201" i="2"/>
  <c r="BA201" i="2"/>
  <c r="AX201" i="2"/>
  <c r="AW201" i="2"/>
  <c r="AU201" i="2"/>
  <c r="AS201" i="2"/>
  <c r="AP201" i="2"/>
  <c r="AN201" i="2"/>
  <c r="AL201" i="2"/>
  <c r="AJ201" i="2"/>
  <c r="AH201" i="2"/>
  <c r="AF201" i="2"/>
  <c r="AD201" i="2"/>
  <c r="AB201" i="2"/>
  <c r="Z201" i="2"/>
  <c r="X201" i="2"/>
  <c r="U201" i="2"/>
  <c r="S201" i="2"/>
  <c r="Q201" i="2"/>
  <c r="O201" i="2"/>
  <c r="M201" i="2"/>
  <c r="K201" i="2"/>
  <c r="I201" i="2"/>
  <c r="G201" i="2"/>
  <c r="E201" i="2"/>
  <c r="C201" i="2"/>
  <c r="BJ200" i="2"/>
  <c r="BK200" i="2" s="1"/>
  <c r="BI200" i="2"/>
  <c r="BG200" i="2"/>
  <c r="BD200" i="2"/>
  <c r="BC200" i="2"/>
  <c r="BA200" i="2"/>
  <c r="AX200" i="2"/>
  <c r="AW200" i="2"/>
  <c r="AU200" i="2"/>
  <c r="AS200" i="2"/>
  <c r="AP200" i="2"/>
  <c r="AN200" i="2"/>
  <c r="AL200" i="2"/>
  <c r="AJ200" i="2"/>
  <c r="AH200" i="2"/>
  <c r="AF200" i="2"/>
  <c r="AD200" i="2"/>
  <c r="AB200" i="2"/>
  <c r="Z200" i="2"/>
  <c r="X200" i="2"/>
  <c r="U200" i="2"/>
  <c r="S200" i="2"/>
  <c r="Q200" i="2"/>
  <c r="O200" i="2"/>
  <c r="M200" i="2"/>
  <c r="K200" i="2"/>
  <c r="I200" i="2"/>
  <c r="G200" i="2"/>
  <c r="E200" i="2"/>
  <c r="C200" i="2"/>
  <c r="BJ199" i="2"/>
  <c r="BI199" i="2"/>
  <c r="BG199" i="2"/>
  <c r="BD199" i="2"/>
  <c r="BC199" i="2"/>
  <c r="BA199" i="2"/>
  <c r="AX199" i="2"/>
  <c r="AW199" i="2"/>
  <c r="AU199" i="2"/>
  <c r="AS199" i="2"/>
  <c r="AP199" i="2"/>
  <c r="AN199" i="2"/>
  <c r="AL199" i="2"/>
  <c r="AJ199" i="2"/>
  <c r="AH199" i="2"/>
  <c r="AF199" i="2"/>
  <c r="AD199" i="2"/>
  <c r="AB199" i="2"/>
  <c r="Z199" i="2"/>
  <c r="X199" i="2"/>
  <c r="U199" i="2"/>
  <c r="S199" i="2"/>
  <c r="Q199" i="2"/>
  <c r="O199" i="2"/>
  <c r="M199" i="2"/>
  <c r="K199" i="2"/>
  <c r="I199" i="2"/>
  <c r="G199" i="2"/>
  <c r="E199" i="2"/>
  <c r="C199" i="2"/>
  <c r="BJ198" i="2"/>
  <c r="BK198" i="2" s="1"/>
  <c r="BI198" i="2"/>
  <c r="BG198" i="2"/>
  <c r="BD198" i="2"/>
  <c r="BE199" i="2" s="1"/>
  <c r="BC198" i="2"/>
  <c r="BA198" i="2"/>
  <c r="AY198" i="2"/>
  <c r="AX198" i="2"/>
  <c r="AY199" i="2" s="1"/>
  <c r="AW198" i="2"/>
  <c r="AU198" i="2"/>
  <c r="AS198" i="2"/>
  <c r="AP198" i="2"/>
  <c r="AN198" i="2"/>
  <c r="AL198" i="2"/>
  <c r="AJ198" i="2"/>
  <c r="AH198" i="2"/>
  <c r="AF198" i="2"/>
  <c r="AD198" i="2"/>
  <c r="AB198" i="2"/>
  <c r="Z198" i="2"/>
  <c r="X198" i="2"/>
  <c r="U198" i="2"/>
  <c r="S198" i="2"/>
  <c r="Q198" i="2"/>
  <c r="O198" i="2"/>
  <c r="M198" i="2"/>
  <c r="K198" i="2"/>
  <c r="I198" i="2"/>
  <c r="G198" i="2"/>
  <c r="E198" i="2"/>
  <c r="C198" i="2"/>
  <c r="BJ197" i="2"/>
  <c r="BI197" i="2"/>
  <c r="BG197" i="2"/>
  <c r="BD197" i="2"/>
  <c r="BC197" i="2"/>
  <c r="BA197" i="2"/>
  <c r="AX197" i="2"/>
  <c r="AW197" i="2"/>
  <c r="AU197" i="2"/>
  <c r="AS197" i="2"/>
  <c r="AP197" i="2"/>
  <c r="AN197" i="2"/>
  <c r="AL197" i="2"/>
  <c r="AJ197" i="2"/>
  <c r="AH197" i="2"/>
  <c r="AF197" i="2"/>
  <c r="AD197" i="2"/>
  <c r="AB197" i="2"/>
  <c r="Z197" i="2"/>
  <c r="X197" i="2"/>
  <c r="U197" i="2"/>
  <c r="S197" i="2"/>
  <c r="Q197" i="2"/>
  <c r="O197" i="2"/>
  <c r="M197" i="2"/>
  <c r="K197" i="2"/>
  <c r="I197" i="2"/>
  <c r="G197" i="2"/>
  <c r="E197" i="2"/>
  <c r="C197" i="2"/>
  <c r="BJ196" i="2"/>
  <c r="BK196" i="2" s="1"/>
  <c r="BI196" i="2"/>
  <c r="BG196" i="2"/>
  <c r="BD196" i="2"/>
  <c r="BC196" i="2"/>
  <c r="BA196" i="2"/>
  <c r="AX196" i="2"/>
  <c r="AY197" i="2" s="1"/>
  <c r="AW196" i="2"/>
  <c r="AU196" i="2"/>
  <c r="AS196" i="2"/>
  <c r="AP196" i="2"/>
  <c r="AN196" i="2"/>
  <c r="AL196" i="2"/>
  <c r="AJ196" i="2"/>
  <c r="AH196" i="2"/>
  <c r="AF196" i="2"/>
  <c r="AD196" i="2"/>
  <c r="AB196" i="2"/>
  <c r="Z196" i="2"/>
  <c r="X196" i="2"/>
  <c r="U196" i="2"/>
  <c r="S196" i="2"/>
  <c r="Q196" i="2"/>
  <c r="O196" i="2"/>
  <c r="M196" i="2"/>
  <c r="K196" i="2"/>
  <c r="I196" i="2"/>
  <c r="G196" i="2"/>
  <c r="E196" i="2"/>
  <c r="C196" i="2"/>
  <c r="BJ195" i="2"/>
  <c r="BI195" i="2"/>
  <c r="BG195" i="2"/>
  <c r="BD195" i="2"/>
  <c r="BC195" i="2"/>
  <c r="BA195" i="2"/>
  <c r="AX195" i="2"/>
  <c r="AW195" i="2"/>
  <c r="AU195" i="2"/>
  <c r="AS195" i="2"/>
  <c r="AP195" i="2"/>
  <c r="AN195" i="2"/>
  <c r="AL195" i="2"/>
  <c r="AJ195" i="2"/>
  <c r="AH195" i="2"/>
  <c r="AF195" i="2"/>
  <c r="AD195" i="2"/>
  <c r="AB195" i="2"/>
  <c r="Z195" i="2"/>
  <c r="X195" i="2"/>
  <c r="U195" i="2"/>
  <c r="S195" i="2"/>
  <c r="Q195" i="2"/>
  <c r="O195" i="2"/>
  <c r="M195" i="2"/>
  <c r="K195" i="2"/>
  <c r="I195" i="2"/>
  <c r="G195" i="2"/>
  <c r="E195" i="2"/>
  <c r="C195" i="2"/>
  <c r="BJ194" i="2"/>
  <c r="BK194" i="2" s="1"/>
  <c r="BI194" i="2"/>
  <c r="BG194" i="2"/>
  <c r="BD194" i="2"/>
  <c r="BE195" i="2" s="1"/>
  <c r="BC194" i="2"/>
  <c r="BA194" i="2"/>
  <c r="AX194" i="2"/>
  <c r="AW194" i="2"/>
  <c r="AU194" i="2"/>
  <c r="AS194" i="2"/>
  <c r="AP194" i="2"/>
  <c r="AN194" i="2"/>
  <c r="AL194" i="2"/>
  <c r="AJ194" i="2"/>
  <c r="AH194" i="2"/>
  <c r="AF194" i="2"/>
  <c r="AD194" i="2"/>
  <c r="AB194" i="2"/>
  <c r="Z194" i="2"/>
  <c r="X194" i="2"/>
  <c r="U194" i="2"/>
  <c r="S194" i="2"/>
  <c r="Q194" i="2"/>
  <c r="O194" i="2"/>
  <c r="M194" i="2"/>
  <c r="K194" i="2"/>
  <c r="I194" i="2"/>
  <c r="G194" i="2"/>
  <c r="E194" i="2"/>
  <c r="C194" i="2"/>
  <c r="BJ193" i="2"/>
  <c r="BI193" i="2"/>
  <c r="BG193" i="2"/>
  <c r="BD193" i="2"/>
  <c r="BC193" i="2"/>
  <c r="BA193" i="2"/>
  <c r="AX193" i="2"/>
  <c r="AY194" i="2" s="1"/>
  <c r="AW193" i="2"/>
  <c r="AU193" i="2"/>
  <c r="AS193" i="2"/>
  <c r="AP193" i="2"/>
  <c r="AN193" i="2"/>
  <c r="AL193" i="2"/>
  <c r="AJ193" i="2"/>
  <c r="AH193" i="2"/>
  <c r="AF193" i="2"/>
  <c r="AD193" i="2"/>
  <c r="AB193" i="2"/>
  <c r="Z193" i="2"/>
  <c r="X193" i="2"/>
  <c r="U193" i="2"/>
  <c r="S193" i="2"/>
  <c r="Q193" i="2"/>
  <c r="O193" i="2"/>
  <c r="M193" i="2"/>
  <c r="K193" i="2"/>
  <c r="I193" i="2"/>
  <c r="G193" i="2"/>
  <c r="E193" i="2"/>
  <c r="C193" i="2"/>
  <c r="BJ192" i="2"/>
  <c r="BI192" i="2"/>
  <c r="BG192" i="2"/>
  <c r="BD192" i="2"/>
  <c r="BC192" i="2"/>
  <c r="BA192" i="2"/>
  <c r="AX192" i="2"/>
  <c r="AW192" i="2"/>
  <c r="AU192" i="2"/>
  <c r="AS192" i="2"/>
  <c r="AP192" i="2"/>
  <c r="AN192" i="2"/>
  <c r="AL192" i="2"/>
  <c r="AJ192" i="2"/>
  <c r="AH192" i="2"/>
  <c r="AF192" i="2"/>
  <c r="AD192" i="2"/>
  <c r="AB192" i="2"/>
  <c r="Z192" i="2"/>
  <c r="X192" i="2"/>
  <c r="U192" i="2"/>
  <c r="S192" i="2"/>
  <c r="Q192" i="2"/>
  <c r="O192" i="2"/>
  <c r="M192" i="2"/>
  <c r="K192" i="2"/>
  <c r="I192" i="2"/>
  <c r="G192" i="2"/>
  <c r="E192" i="2"/>
  <c r="C192" i="2"/>
  <c r="BJ191" i="2"/>
  <c r="BI191" i="2"/>
  <c r="BG191" i="2"/>
  <c r="BD191" i="2"/>
  <c r="BC191" i="2"/>
  <c r="BA191" i="2"/>
  <c r="AX191" i="2"/>
  <c r="AW191" i="2"/>
  <c r="AU191" i="2"/>
  <c r="AS191" i="2"/>
  <c r="AP191" i="2"/>
  <c r="AN191" i="2"/>
  <c r="AL191" i="2"/>
  <c r="AJ191" i="2"/>
  <c r="AH191" i="2"/>
  <c r="AF191" i="2"/>
  <c r="AD191" i="2"/>
  <c r="AB191" i="2"/>
  <c r="Z191" i="2"/>
  <c r="X191" i="2"/>
  <c r="U191" i="2"/>
  <c r="S191" i="2"/>
  <c r="Q191" i="2"/>
  <c r="O191" i="2"/>
  <c r="M191" i="2"/>
  <c r="K191" i="2"/>
  <c r="I191" i="2"/>
  <c r="G191" i="2"/>
  <c r="E191" i="2"/>
  <c r="C191" i="2"/>
  <c r="BJ190" i="2"/>
  <c r="BI190" i="2"/>
  <c r="BG190" i="2"/>
  <c r="BD190" i="2"/>
  <c r="BC190" i="2"/>
  <c r="BA190" i="2"/>
  <c r="AX190" i="2"/>
  <c r="AW190" i="2"/>
  <c r="AU190" i="2"/>
  <c r="AS190" i="2"/>
  <c r="AP190" i="2"/>
  <c r="AN190" i="2"/>
  <c r="AL190" i="2"/>
  <c r="AJ190" i="2"/>
  <c r="AH190" i="2"/>
  <c r="AF190" i="2"/>
  <c r="AD190" i="2"/>
  <c r="AB190" i="2"/>
  <c r="Z190" i="2"/>
  <c r="X190" i="2"/>
  <c r="U190" i="2"/>
  <c r="S190" i="2"/>
  <c r="Q190" i="2"/>
  <c r="O190" i="2"/>
  <c r="M190" i="2"/>
  <c r="K190" i="2"/>
  <c r="I190" i="2"/>
  <c r="G190" i="2"/>
  <c r="E190" i="2"/>
  <c r="C190" i="2"/>
  <c r="BJ189" i="2"/>
  <c r="BK189" i="2" s="1"/>
  <c r="BI189" i="2"/>
  <c r="BG189" i="2"/>
  <c r="BD189" i="2"/>
  <c r="BC189" i="2"/>
  <c r="BA189" i="2"/>
  <c r="AX189" i="2"/>
  <c r="AW189" i="2"/>
  <c r="AU189" i="2"/>
  <c r="AS189" i="2"/>
  <c r="AP189" i="2"/>
  <c r="AN189" i="2"/>
  <c r="AL189" i="2"/>
  <c r="AJ189" i="2"/>
  <c r="AH189" i="2"/>
  <c r="AF189" i="2"/>
  <c r="AD189" i="2"/>
  <c r="AB189" i="2"/>
  <c r="Z189" i="2"/>
  <c r="X189" i="2"/>
  <c r="U189" i="2"/>
  <c r="S189" i="2"/>
  <c r="Q189" i="2"/>
  <c r="O189" i="2"/>
  <c r="M189" i="2"/>
  <c r="K189" i="2"/>
  <c r="I189" i="2"/>
  <c r="G189" i="2"/>
  <c r="E189" i="2"/>
  <c r="C189" i="2"/>
  <c r="BJ188" i="2"/>
  <c r="BI188" i="2"/>
  <c r="BG188" i="2"/>
  <c r="BD188" i="2"/>
  <c r="BC188" i="2"/>
  <c r="BA188" i="2"/>
  <c r="AX188" i="2"/>
  <c r="AY189" i="2" s="1"/>
  <c r="AW188" i="2"/>
  <c r="AU188" i="2"/>
  <c r="AS188" i="2"/>
  <c r="AP188" i="2"/>
  <c r="AN188" i="2"/>
  <c r="AL188" i="2"/>
  <c r="AJ188" i="2"/>
  <c r="AH188" i="2"/>
  <c r="AF188" i="2"/>
  <c r="AD188" i="2"/>
  <c r="AB188" i="2"/>
  <c r="Z188" i="2"/>
  <c r="X188" i="2"/>
  <c r="U188" i="2"/>
  <c r="S188" i="2"/>
  <c r="Q188" i="2"/>
  <c r="O188" i="2"/>
  <c r="M188" i="2"/>
  <c r="K188" i="2"/>
  <c r="I188" i="2"/>
  <c r="G188" i="2"/>
  <c r="E188" i="2"/>
  <c r="C188" i="2"/>
  <c r="BJ187" i="2"/>
  <c r="BK187" i="2" s="1"/>
  <c r="BI187" i="2"/>
  <c r="BG187" i="2"/>
  <c r="BD187" i="2"/>
  <c r="BC187" i="2"/>
  <c r="BA187" i="2"/>
  <c r="AX187" i="2"/>
  <c r="AW187" i="2"/>
  <c r="AU187" i="2"/>
  <c r="AS187" i="2"/>
  <c r="AP187" i="2"/>
  <c r="AN187" i="2"/>
  <c r="AL187" i="2"/>
  <c r="AJ187" i="2"/>
  <c r="AH187" i="2"/>
  <c r="AF187" i="2"/>
  <c r="AD187" i="2"/>
  <c r="AB187" i="2"/>
  <c r="Z187" i="2"/>
  <c r="X187" i="2"/>
  <c r="U187" i="2"/>
  <c r="S187" i="2"/>
  <c r="Q187" i="2"/>
  <c r="O187" i="2"/>
  <c r="M187" i="2"/>
  <c r="K187" i="2"/>
  <c r="I187" i="2"/>
  <c r="G187" i="2"/>
  <c r="E187" i="2"/>
  <c r="C187" i="2"/>
  <c r="BJ186" i="2"/>
  <c r="BI186" i="2"/>
  <c r="BG186" i="2"/>
  <c r="BD186" i="2"/>
  <c r="BE187" i="2" s="1"/>
  <c r="BC186" i="2"/>
  <c r="BA186" i="2"/>
  <c r="AX186" i="2"/>
  <c r="AY186" i="2" s="1"/>
  <c r="AW186" i="2"/>
  <c r="AU186" i="2"/>
  <c r="AS186" i="2"/>
  <c r="AP186" i="2"/>
  <c r="AN186" i="2"/>
  <c r="AL186" i="2"/>
  <c r="AJ186" i="2"/>
  <c r="AH186" i="2"/>
  <c r="AF186" i="2"/>
  <c r="AD186" i="2"/>
  <c r="AB186" i="2"/>
  <c r="Z186" i="2"/>
  <c r="X186" i="2"/>
  <c r="U186" i="2"/>
  <c r="S186" i="2"/>
  <c r="Q186" i="2"/>
  <c r="O186" i="2"/>
  <c r="M186" i="2"/>
  <c r="K186" i="2"/>
  <c r="I186" i="2"/>
  <c r="G186" i="2"/>
  <c r="E186" i="2"/>
  <c r="C186" i="2"/>
  <c r="BJ185" i="2"/>
  <c r="BI185" i="2"/>
  <c r="BG185" i="2"/>
  <c r="BD185" i="2"/>
  <c r="BE185" i="2" s="1"/>
  <c r="BC185" i="2"/>
  <c r="BA185" i="2"/>
  <c r="AX185" i="2"/>
  <c r="AW185" i="2"/>
  <c r="AU185" i="2"/>
  <c r="AS185" i="2"/>
  <c r="AP185" i="2"/>
  <c r="AN185" i="2"/>
  <c r="AL185" i="2"/>
  <c r="AJ185" i="2"/>
  <c r="AH185" i="2"/>
  <c r="AF185" i="2"/>
  <c r="AD185" i="2"/>
  <c r="AB185" i="2"/>
  <c r="Z185" i="2"/>
  <c r="X185" i="2"/>
  <c r="U185" i="2"/>
  <c r="S185" i="2"/>
  <c r="Q185" i="2"/>
  <c r="O185" i="2"/>
  <c r="M185" i="2"/>
  <c r="K185" i="2"/>
  <c r="I185" i="2"/>
  <c r="G185" i="2"/>
  <c r="E185" i="2"/>
  <c r="C185" i="2"/>
  <c r="BJ184" i="2"/>
  <c r="BI184" i="2"/>
  <c r="BG184" i="2"/>
  <c r="BD184" i="2"/>
  <c r="BE184" i="2" s="1"/>
  <c r="BC184" i="2"/>
  <c r="BA184" i="2"/>
  <c r="AX184" i="2"/>
  <c r="AW184" i="2"/>
  <c r="AU184" i="2"/>
  <c r="AS184" i="2"/>
  <c r="AP184" i="2"/>
  <c r="AN184" i="2"/>
  <c r="AL184" i="2"/>
  <c r="AJ184" i="2"/>
  <c r="AH184" i="2"/>
  <c r="AF184" i="2"/>
  <c r="AD184" i="2"/>
  <c r="AB184" i="2"/>
  <c r="Z184" i="2"/>
  <c r="X184" i="2"/>
  <c r="U184" i="2"/>
  <c r="S184" i="2"/>
  <c r="Q184" i="2"/>
  <c r="O184" i="2"/>
  <c r="M184" i="2"/>
  <c r="K184" i="2"/>
  <c r="I184" i="2"/>
  <c r="G184" i="2"/>
  <c r="E184" i="2"/>
  <c r="C184" i="2"/>
  <c r="BJ183" i="2"/>
  <c r="BK183" i="2" s="1"/>
  <c r="BI183" i="2"/>
  <c r="BG183" i="2"/>
  <c r="BE183" i="2"/>
  <c r="BD183" i="2"/>
  <c r="BC183" i="2"/>
  <c r="BA183" i="2"/>
  <c r="AX183" i="2"/>
  <c r="AW183" i="2"/>
  <c r="AU183" i="2"/>
  <c r="AS183" i="2"/>
  <c r="AP183" i="2"/>
  <c r="AN183" i="2"/>
  <c r="AL183" i="2"/>
  <c r="AJ183" i="2"/>
  <c r="AH183" i="2"/>
  <c r="AF183" i="2"/>
  <c r="AD183" i="2"/>
  <c r="AB183" i="2"/>
  <c r="Z183" i="2"/>
  <c r="X183" i="2"/>
  <c r="U183" i="2"/>
  <c r="S183" i="2"/>
  <c r="Q183" i="2"/>
  <c r="O183" i="2"/>
  <c r="M183" i="2"/>
  <c r="K183" i="2"/>
  <c r="I183" i="2"/>
  <c r="G183" i="2"/>
  <c r="E183" i="2"/>
  <c r="C183" i="2"/>
  <c r="BJ182" i="2"/>
  <c r="BI182" i="2"/>
  <c r="BG182" i="2"/>
  <c r="BE182" i="2"/>
  <c r="BD182" i="2"/>
  <c r="BC182" i="2"/>
  <c r="BA182" i="2"/>
  <c r="AX182" i="2"/>
  <c r="AY182" i="2" s="1"/>
  <c r="AW182" i="2"/>
  <c r="AU182" i="2"/>
  <c r="AS182" i="2"/>
  <c r="AP182" i="2"/>
  <c r="AN182" i="2"/>
  <c r="AL182" i="2"/>
  <c r="AJ182" i="2"/>
  <c r="AH182" i="2"/>
  <c r="AF182" i="2"/>
  <c r="AD182" i="2"/>
  <c r="AB182" i="2"/>
  <c r="Z182" i="2"/>
  <c r="X182" i="2"/>
  <c r="U182" i="2"/>
  <c r="S182" i="2"/>
  <c r="Q182" i="2"/>
  <c r="O182" i="2"/>
  <c r="M182" i="2"/>
  <c r="K182" i="2"/>
  <c r="I182" i="2"/>
  <c r="G182" i="2"/>
  <c r="E182" i="2"/>
  <c r="C182" i="2"/>
  <c r="BJ181" i="2"/>
  <c r="BK181" i="2" s="1"/>
  <c r="BI181" i="2"/>
  <c r="BG181" i="2"/>
  <c r="BE181" i="2"/>
  <c r="BD181" i="2"/>
  <c r="BC181" i="2"/>
  <c r="BA181" i="2"/>
  <c r="AX181" i="2"/>
  <c r="AY181" i="2" s="1"/>
  <c r="AW181" i="2"/>
  <c r="AU181" i="2"/>
  <c r="AS181" i="2"/>
  <c r="AP181" i="2"/>
  <c r="AN181" i="2"/>
  <c r="AL181" i="2"/>
  <c r="AJ181" i="2"/>
  <c r="AH181" i="2"/>
  <c r="AF181" i="2"/>
  <c r="AD181" i="2"/>
  <c r="AB181" i="2"/>
  <c r="Z181" i="2"/>
  <c r="X181" i="2"/>
  <c r="U181" i="2"/>
  <c r="S181" i="2"/>
  <c r="Q181" i="2"/>
  <c r="O181" i="2"/>
  <c r="M181" i="2"/>
  <c r="K181" i="2"/>
  <c r="I181" i="2"/>
  <c r="G181" i="2"/>
  <c r="E181" i="2"/>
  <c r="C181" i="2"/>
  <c r="BJ180" i="2"/>
  <c r="BI180" i="2"/>
  <c r="BG180" i="2"/>
  <c r="BD180" i="2"/>
  <c r="BC180" i="2"/>
  <c r="BA180" i="2"/>
  <c r="AX180" i="2"/>
  <c r="AW180" i="2"/>
  <c r="AU180" i="2"/>
  <c r="AS180" i="2"/>
  <c r="AP180" i="2"/>
  <c r="AN180" i="2"/>
  <c r="AL180" i="2"/>
  <c r="AJ180" i="2"/>
  <c r="AH180" i="2"/>
  <c r="AF180" i="2"/>
  <c r="AD180" i="2"/>
  <c r="AB180" i="2"/>
  <c r="Z180" i="2"/>
  <c r="X180" i="2"/>
  <c r="U180" i="2"/>
  <c r="S180" i="2"/>
  <c r="Q180" i="2"/>
  <c r="O180" i="2"/>
  <c r="M180" i="2"/>
  <c r="K180" i="2"/>
  <c r="I180" i="2"/>
  <c r="G180" i="2"/>
  <c r="E180" i="2"/>
  <c r="C180" i="2"/>
  <c r="BJ179" i="2"/>
  <c r="BK179" i="2" s="1"/>
  <c r="BI179" i="2"/>
  <c r="BG179" i="2"/>
  <c r="BE179" i="2"/>
  <c r="BD179" i="2"/>
  <c r="BE180" i="2" s="1"/>
  <c r="BC179" i="2"/>
  <c r="BA179" i="2"/>
  <c r="AX179" i="2"/>
  <c r="AY179" i="2" s="1"/>
  <c r="AW179" i="2"/>
  <c r="AU179" i="2"/>
  <c r="AS179" i="2"/>
  <c r="AP179" i="2"/>
  <c r="AN179" i="2"/>
  <c r="AL179" i="2"/>
  <c r="AJ179" i="2"/>
  <c r="AH179" i="2"/>
  <c r="AF179" i="2"/>
  <c r="AD179" i="2"/>
  <c r="AB179" i="2"/>
  <c r="Z179" i="2"/>
  <c r="X179" i="2"/>
  <c r="U179" i="2"/>
  <c r="S179" i="2"/>
  <c r="Q179" i="2"/>
  <c r="O179" i="2"/>
  <c r="M179" i="2"/>
  <c r="K179" i="2"/>
  <c r="I179" i="2"/>
  <c r="G179" i="2"/>
  <c r="E179" i="2"/>
  <c r="C179" i="2"/>
  <c r="BJ178" i="2"/>
  <c r="BI178" i="2"/>
  <c r="BG178" i="2"/>
  <c r="BD178" i="2"/>
  <c r="BC178" i="2"/>
  <c r="BA178" i="2"/>
  <c r="AX178" i="2"/>
  <c r="AW178" i="2"/>
  <c r="AU178" i="2"/>
  <c r="AS178" i="2"/>
  <c r="AP178" i="2"/>
  <c r="AN178" i="2"/>
  <c r="AL178" i="2"/>
  <c r="AJ178" i="2"/>
  <c r="AH178" i="2"/>
  <c r="AF178" i="2"/>
  <c r="AD178" i="2"/>
  <c r="AB178" i="2"/>
  <c r="Z178" i="2"/>
  <c r="X178" i="2"/>
  <c r="U178" i="2"/>
  <c r="S178" i="2"/>
  <c r="Q178" i="2"/>
  <c r="O178" i="2"/>
  <c r="M178" i="2"/>
  <c r="K178" i="2"/>
  <c r="I178" i="2"/>
  <c r="G178" i="2"/>
  <c r="E178" i="2"/>
  <c r="C178" i="2"/>
  <c r="BJ177" i="2"/>
  <c r="BI177" i="2"/>
  <c r="BG177" i="2"/>
  <c r="BD177" i="2"/>
  <c r="BE177" i="2" s="1"/>
  <c r="BC177" i="2"/>
  <c r="BA177" i="2"/>
  <c r="AX177" i="2"/>
  <c r="AY177" i="2" s="1"/>
  <c r="AW177" i="2"/>
  <c r="AU177" i="2"/>
  <c r="AS177" i="2"/>
  <c r="AP177" i="2"/>
  <c r="AN177" i="2"/>
  <c r="AL177" i="2"/>
  <c r="AJ177" i="2"/>
  <c r="AH177" i="2"/>
  <c r="AF177" i="2"/>
  <c r="AD177" i="2"/>
  <c r="AB177" i="2"/>
  <c r="Z177" i="2"/>
  <c r="X177" i="2"/>
  <c r="U177" i="2"/>
  <c r="S177" i="2"/>
  <c r="Q177" i="2"/>
  <c r="O177" i="2"/>
  <c r="M177" i="2"/>
  <c r="K177" i="2"/>
  <c r="I177" i="2"/>
  <c r="G177" i="2"/>
  <c r="E177" i="2"/>
  <c r="C177" i="2"/>
  <c r="BJ176" i="2"/>
  <c r="BK176" i="2" s="1"/>
  <c r="BI176" i="2"/>
  <c r="BG176" i="2"/>
  <c r="BD176" i="2"/>
  <c r="BC176" i="2"/>
  <c r="BA176" i="2"/>
  <c r="AX176" i="2"/>
  <c r="AW176" i="2"/>
  <c r="AU176" i="2"/>
  <c r="AS176" i="2"/>
  <c r="AP176" i="2"/>
  <c r="AN176" i="2"/>
  <c r="AL176" i="2"/>
  <c r="AJ176" i="2"/>
  <c r="AH176" i="2"/>
  <c r="AF176" i="2"/>
  <c r="AD176" i="2"/>
  <c r="AB176" i="2"/>
  <c r="Z176" i="2"/>
  <c r="X176" i="2"/>
  <c r="U176" i="2"/>
  <c r="S176" i="2"/>
  <c r="Q176" i="2"/>
  <c r="O176" i="2"/>
  <c r="M176" i="2"/>
  <c r="K176" i="2"/>
  <c r="I176" i="2"/>
  <c r="G176" i="2"/>
  <c r="E176" i="2"/>
  <c r="C176" i="2"/>
  <c r="BJ175" i="2"/>
  <c r="BI175" i="2"/>
  <c r="BG175" i="2"/>
  <c r="BD175" i="2"/>
  <c r="BE176" i="2" s="1"/>
  <c r="BC175" i="2"/>
  <c r="BA175" i="2"/>
  <c r="AX175" i="2"/>
  <c r="AY175" i="2" s="1"/>
  <c r="AW175" i="2"/>
  <c r="AU175" i="2"/>
  <c r="AS175" i="2"/>
  <c r="AP175" i="2"/>
  <c r="AN175" i="2"/>
  <c r="AL175" i="2"/>
  <c r="AJ175" i="2"/>
  <c r="AH175" i="2"/>
  <c r="AF175" i="2"/>
  <c r="AD175" i="2"/>
  <c r="AB175" i="2"/>
  <c r="Z175" i="2"/>
  <c r="X175" i="2"/>
  <c r="U175" i="2"/>
  <c r="S175" i="2"/>
  <c r="Q175" i="2"/>
  <c r="O175" i="2"/>
  <c r="M175" i="2"/>
  <c r="K175" i="2"/>
  <c r="I175" i="2"/>
  <c r="G175" i="2"/>
  <c r="E175" i="2"/>
  <c r="C175" i="2"/>
  <c r="BJ174" i="2"/>
  <c r="BK174" i="2" s="1"/>
  <c r="BI174" i="2"/>
  <c r="BG174" i="2"/>
  <c r="BD174" i="2"/>
  <c r="BE175" i="2" s="1"/>
  <c r="BC174" i="2"/>
  <c r="BA174" i="2"/>
  <c r="AX174" i="2"/>
  <c r="AY174" i="2" s="1"/>
  <c r="AW174" i="2"/>
  <c r="AU174" i="2"/>
  <c r="AS174" i="2"/>
  <c r="AP174" i="2"/>
  <c r="AN174" i="2"/>
  <c r="AL174" i="2"/>
  <c r="AJ174" i="2"/>
  <c r="AH174" i="2"/>
  <c r="AF174" i="2"/>
  <c r="AD174" i="2"/>
  <c r="AB174" i="2"/>
  <c r="Z174" i="2"/>
  <c r="X174" i="2"/>
  <c r="U174" i="2"/>
  <c r="S174" i="2"/>
  <c r="Q174" i="2"/>
  <c r="O174" i="2"/>
  <c r="M174" i="2"/>
  <c r="K174" i="2"/>
  <c r="I174" i="2"/>
  <c r="G174" i="2"/>
  <c r="E174" i="2"/>
  <c r="C174" i="2"/>
  <c r="BJ173" i="2"/>
  <c r="BK173" i="2" s="1"/>
  <c r="BI173" i="2"/>
  <c r="BG173" i="2"/>
  <c r="BD173" i="2"/>
  <c r="BC173" i="2"/>
  <c r="BA173" i="2"/>
  <c r="AX173" i="2"/>
  <c r="AW173" i="2"/>
  <c r="AU173" i="2"/>
  <c r="AS173" i="2"/>
  <c r="AP173" i="2"/>
  <c r="AN173" i="2"/>
  <c r="AL173" i="2"/>
  <c r="AJ173" i="2"/>
  <c r="AH173" i="2"/>
  <c r="AF173" i="2"/>
  <c r="AD173" i="2"/>
  <c r="AB173" i="2"/>
  <c r="Z173" i="2"/>
  <c r="X173" i="2"/>
  <c r="U173" i="2"/>
  <c r="S173" i="2"/>
  <c r="Q173" i="2"/>
  <c r="O173" i="2"/>
  <c r="M173" i="2"/>
  <c r="K173" i="2"/>
  <c r="I173" i="2"/>
  <c r="G173" i="2"/>
  <c r="E173" i="2"/>
  <c r="C173" i="2"/>
  <c r="BJ172" i="2"/>
  <c r="BI172" i="2"/>
  <c r="BG172" i="2"/>
  <c r="BD172" i="2"/>
  <c r="BE173" i="2" s="1"/>
  <c r="BC172" i="2"/>
  <c r="BA172" i="2"/>
  <c r="AX172" i="2"/>
  <c r="AY172" i="2" s="1"/>
  <c r="AW172" i="2"/>
  <c r="AU172" i="2"/>
  <c r="AS172" i="2"/>
  <c r="AP172" i="2"/>
  <c r="AN172" i="2"/>
  <c r="AL172" i="2"/>
  <c r="AJ172" i="2"/>
  <c r="AH172" i="2"/>
  <c r="AF172" i="2"/>
  <c r="AD172" i="2"/>
  <c r="AB172" i="2"/>
  <c r="Z172" i="2"/>
  <c r="X172" i="2"/>
  <c r="U172" i="2"/>
  <c r="S172" i="2"/>
  <c r="Q172" i="2"/>
  <c r="O172" i="2"/>
  <c r="M172" i="2"/>
  <c r="K172" i="2"/>
  <c r="I172" i="2"/>
  <c r="G172" i="2"/>
  <c r="E172" i="2"/>
  <c r="C172" i="2"/>
  <c r="BJ171" i="2"/>
  <c r="BK171" i="2" s="1"/>
  <c r="BI171" i="2"/>
  <c r="BG171" i="2"/>
  <c r="BD171" i="2"/>
  <c r="BC171" i="2"/>
  <c r="BA171" i="2"/>
  <c r="AX171" i="2"/>
  <c r="AW171" i="2"/>
  <c r="AU171" i="2"/>
  <c r="AS171" i="2"/>
  <c r="AP171" i="2"/>
  <c r="AN171" i="2"/>
  <c r="AL171" i="2"/>
  <c r="AJ171" i="2"/>
  <c r="AH171" i="2"/>
  <c r="AF171" i="2"/>
  <c r="AD171" i="2"/>
  <c r="AB171" i="2"/>
  <c r="Z171" i="2"/>
  <c r="X171" i="2"/>
  <c r="U171" i="2"/>
  <c r="S171" i="2"/>
  <c r="Q171" i="2"/>
  <c r="O171" i="2"/>
  <c r="M171" i="2"/>
  <c r="K171" i="2"/>
  <c r="I171" i="2"/>
  <c r="G171" i="2"/>
  <c r="E171" i="2"/>
  <c r="C171" i="2"/>
  <c r="BJ170" i="2"/>
  <c r="BI170" i="2"/>
  <c r="BG170" i="2"/>
  <c r="BD170" i="2"/>
  <c r="BC170" i="2"/>
  <c r="BA170" i="2"/>
  <c r="AX170" i="2"/>
  <c r="AW170" i="2"/>
  <c r="AU170" i="2"/>
  <c r="AS170" i="2"/>
  <c r="AP170" i="2"/>
  <c r="AN170" i="2"/>
  <c r="AL170" i="2"/>
  <c r="AJ170" i="2"/>
  <c r="AH170" i="2"/>
  <c r="AF170" i="2"/>
  <c r="AD170" i="2"/>
  <c r="AB170" i="2"/>
  <c r="Z170" i="2"/>
  <c r="X170" i="2"/>
  <c r="U170" i="2"/>
  <c r="S170" i="2"/>
  <c r="Q170" i="2"/>
  <c r="O170" i="2"/>
  <c r="M170" i="2"/>
  <c r="K170" i="2"/>
  <c r="I170" i="2"/>
  <c r="G170" i="2"/>
  <c r="E170" i="2"/>
  <c r="C170" i="2"/>
  <c r="BJ169" i="2"/>
  <c r="BK169" i="2" s="1"/>
  <c r="BI169" i="2"/>
  <c r="BG169" i="2"/>
  <c r="BD169" i="2"/>
  <c r="BC169" i="2"/>
  <c r="BA169" i="2"/>
  <c r="AX169" i="2"/>
  <c r="AW169" i="2"/>
  <c r="AU169" i="2"/>
  <c r="AS169" i="2"/>
  <c r="AP169" i="2"/>
  <c r="AN169" i="2"/>
  <c r="AL169" i="2"/>
  <c r="AJ169" i="2"/>
  <c r="AH169" i="2"/>
  <c r="AF169" i="2"/>
  <c r="AD169" i="2"/>
  <c r="AB169" i="2"/>
  <c r="Z169" i="2"/>
  <c r="X169" i="2"/>
  <c r="U169" i="2"/>
  <c r="S169" i="2"/>
  <c r="Q169" i="2"/>
  <c r="O169" i="2"/>
  <c r="M169" i="2"/>
  <c r="K169" i="2"/>
  <c r="I169" i="2"/>
  <c r="G169" i="2"/>
  <c r="E169" i="2"/>
  <c r="C169" i="2"/>
  <c r="BJ168" i="2"/>
  <c r="BI168" i="2"/>
  <c r="BG168" i="2"/>
  <c r="BE168" i="2"/>
  <c r="BD168" i="2"/>
  <c r="BC168" i="2"/>
  <c r="BA168" i="2"/>
  <c r="AX168" i="2"/>
  <c r="AW168" i="2"/>
  <c r="AU168" i="2"/>
  <c r="AS168" i="2"/>
  <c r="AP168" i="2"/>
  <c r="AN168" i="2"/>
  <c r="AL168" i="2"/>
  <c r="AJ168" i="2"/>
  <c r="AH168" i="2"/>
  <c r="AF168" i="2"/>
  <c r="AD168" i="2"/>
  <c r="AB168" i="2"/>
  <c r="Z168" i="2"/>
  <c r="X168" i="2"/>
  <c r="U168" i="2"/>
  <c r="S168" i="2"/>
  <c r="Q168" i="2"/>
  <c r="O168" i="2"/>
  <c r="M168" i="2"/>
  <c r="K168" i="2"/>
  <c r="I168" i="2"/>
  <c r="G168" i="2"/>
  <c r="E168" i="2"/>
  <c r="C168" i="2"/>
  <c r="BJ167" i="2"/>
  <c r="BI167" i="2"/>
  <c r="BG167" i="2"/>
  <c r="BD167" i="2"/>
  <c r="BC167" i="2"/>
  <c r="BA167" i="2"/>
  <c r="AX167" i="2"/>
  <c r="AY168" i="2" s="1"/>
  <c r="AW167" i="2"/>
  <c r="AU167" i="2"/>
  <c r="AS167" i="2"/>
  <c r="AP167" i="2"/>
  <c r="AN167" i="2"/>
  <c r="AL167" i="2"/>
  <c r="AJ167" i="2"/>
  <c r="AH167" i="2"/>
  <c r="AF167" i="2"/>
  <c r="AD167" i="2"/>
  <c r="AB167" i="2"/>
  <c r="Z167" i="2"/>
  <c r="X167" i="2"/>
  <c r="U167" i="2"/>
  <c r="S167" i="2"/>
  <c r="Q167" i="2"/>
  <c r="O167" i="2"/>
  <c r="M167" i="2"/>
  <c r="K167" i="2"/>
  <c r="I167" i="2"/>
  <c r="G167" i="2"/>
  <c r="E167" i="2"/>
  <c r="C167" i="2"/>
  <c r="BJ166" i="2"/>
  <c r="BI166" i="2"/>
  <c r="BG166" i="2"/>
  <c r="BD166" i="2"/>
  <c r="BE167" i="2" s="1"/>
  <c r="BC166" i="2"/>
  <c r="BA166" i="2"/>
  <c r="AX166" i="2"/>
  <c r="AW166" i="2"/>
  <c r="AU166" i="2"/>
  <c r="AS166" i="2"/>
  <c r="AP166" i="2"/>
  <c r="AN166" i="2"/>
  <c r="AL166" i="2"/>
  <c r="AJ166" i="2"/>
  <c r="AH166" i="2"/>
  <c r="AF166" i="2"/>
  <c r="AD166" i="2"/>
  <c r="AB166" i="2"/>
  <c r="Z166" i="2"/>
  <c r="X166" i="2"/>
  <c r="U166" i="2"/>
  <c r="S166" i="2"/>
  <c r="Q166" i="2"/>
  <c r="O166" i="2"/>
  <c r="M166" i="2"/>
  <c r="K166" i="2"/>
  <c r="I166" i="2"/>
  <c r="G166" i="2"/>
  <c r="E166" i="2"/>
  <c r="C166" i="2"/>
  <c r="BJ165" i="2"/>
  <c r="BI165" i="2"/>
  <c r="BG165" i="2"/>
  <c r="BD165" i="2"/>
  <c r="BC165" i="2"/>
  <c r="BA165" i="2"/>
  <c r="AX165" i="2"/>
  <c r="AW165" i="2"/>
  <c r="AU165" i="2"/>
  <c r="AS165" i="2"/>
  <c r="AP165" i="2"/>
  <c r="AN165" i="2"/>
  <c r="AL165" i="2"/>
  <c r="AJ165" i="2"/>
  <c r="AH165" i="2"/>
  <c r="AF165" i="2"/>
  <c r="AD165" i="2"/>
  <c r="AB165" i="2"/>
  <c r="Z165" i="2"/>
  <c r="X165" i="2"/>
  <c r="U165" i="2"/>
  <c r="S165" i="2"/>
  <c r="Q165" i="2"/>
  <c r="O165" i="2"/>
  <c r="M165" i="2"/>
  <c r="K165" i="2"/>
  <c r="I165" i="2"/>
  <c r="G165" i="2"/>
  <c r="E165" i="2"/>
  <c r="C165" i="2"/>
  <c r="BJ164" i="2"/>
  <c r="BI164" i="2"/>
  <c r="BG164" i="2"/>
  <c r="BD164" i="2"/>
  <c r="BE165" i="2" s="1"/>
  <c r="BC164" i="2"/>
  <c r="BA164" i="2"/>
  <c r="AX164" i="2"/>
  <c r="AY164" i="2" s="1"/>
  <c r="AW164" i="2"/>
  <c r="AU164" i="2"/>
  <c r="AS164" i="2"/>
  <c r="AP164" i="2"/>
  <c r="AN164" i="2"/>
  <c r="AL164" i="2"/>
  <c r="AJ164" i="2"/>
  <c r="AH164" i="2"/>
  <c r="AF164" i="2"/>
  <c r="AD164" i="2"/>
  <c r="AB164" i="2"/>
  <c r="Z164" i="2"/>
  <c r="X164" i="2"/>
  <c r="U164" i="2"/>
  <c r="S164" i="2"/>
  <c r="Q164" i="2"/>
  <c r="O164" i="2"/>
  <c r="M164" i="2"/>
  <c r="K164" i="2"/>
  <c r="I164" i="2"/>
  <c r="G164" i="2"/>
  <c r="E164" i="2"/>
  <c r="C164" i="2"/>
  <c r="BJ163" i="2"/>
  <c r="BK163" i="2" s="1"/>
  <c r="BI163" i="2"/>
  <c r="BG163" i="2"/>
  <c r="BD163" i="2"/>
  <c r="BE163" i="2" s="1"/>
  <c r="BC163" i="2"/>
  <c r="BA163" i="2"/>
  <c r="AX163" i="2"/>
  <c r="AW163" i="2"/>
  <c r="AU163" i="2"/>
  <c r="AS163" i="2"/>
  <c r="AP163" i="2"/>
  <c r="AN163" i="2"/>
  <c r="AL163" i="2"/>
  <c r="AJ163" i="2"/>
  <c r="AH163" i="2"/>
  <c r="AF163" i="2"/>
  <c r="AD163" i="2"/>
  <c r="AB163" i="2"/>
  <c r="Z163" i="2"/>
  <c r="X163" i="2"/>
  <c r="U163" i="2"/>
  <c r="S163" i="2"/>
  <c r="Q163" i="2"/>
  <c r="O163" i="2"/>
  <c r="M163" i="2"/>
  <c r="K163" i="2"/>
  <c r="I163" i="2"/>
  <c r="G163" i="2"/>
  <c r="E163" i="2"/>
  <c r="C163" i="2"/>
  <c r="BJ162" i="2"/>
  <c r="BI162" i="2"/>
  <c r="BG162" i="2"/>
  <c r="BD162" i="2"/>
  <c r="BC162" i="2"/>
  <c r="BA162" i="2"/>
  <c r="AX162" i="2"/>
  <c r="AY162" i="2" s="1"/>
  <c r="AW162" i="2"/>
  <c r="AU162" i="2"/>
  <c r="AS162" i="2"/>
  <c r="AP162" i="2"/>
  <c r="AN162" i="2"/>
  <c r="AL162" i="2"/>
  <c r="AJ162" i="2"/>
  <c r="AH162" i="2"/>
  <c r="AF162" i="2"/>
  <c r="AD162" i="2"/>
  <c r="AB162" i="2"/>
  <c r="Z162" i="2"/>
  <c r="X162" i="2"/>
  <c r="U162" i="2"/>
  <c r="S162" i="2"/>
  <c r="Q162" i="2"/>
  <c r="O162" i="2"/>
  <c r="M162" i="2"/>
  <c r="K162" i="2"/>
  <c r="I162" i="2"/>
  <c r="G162" i="2"/>
  <c r="E162" i="2"/>
  <c r="C162" i="2"/>
  <c r="BJ161" i="2"/>
  <c r="BK161" i="2" s="1"/>
  <c r="BI161" i="2"/>
  <c r="BG161" i="2"/>
  <c r="BD161" i="2"/>
  <c r="BE161" i="2" s="1"/>
  <c r="BC161" i="2"/>
  <c r="BA161" i="2"/>
  <c r="AX161" i="2"/>
  <c r="AW161" i="2"/>
  <c r="AU161" i="2"/>
  <c r="AS161" i="2"/>
  <c r="AP161" i="2"/>
  <c r="AN161" i="2"/>
  <c r="AL161" i="2"/>
  <c r="AJ161" i="2"/>
  <c r="AH161" i="2"/>
  <c r="AF161" i="2"/>
  <c r="AD161" i="2"/>
  <c r="AB161" i="2"/>
  <c r="Z161" i="2"/>
  <c r="X161" i="2"/>
  <c r="U161" i="2"/>
  <c r="S161" i="2"/>
  <c r="Q161" i="2"/>
  <c r="O161" i="2"/>
  <c r="M161" i="2"/>
  <c r="K161" i="2"/>
  <c r="I161" i="2"/>
  <c r="G161" i="2"/>
  <c r="E161" i="2"/>
  <c r="C161" i="2"/>
  <c r="BJ160" i="2"/>
  <c r="BI160" i="2"/>
  <c r="BG160" i="2"/>
  <c r="BD160" i="2"/>
  <c r="BE160" i="2" s="1"/>
  <c r="BC160" i="2"/>
  <c r="BA160" i="2"/>
  <c r="AX160" i="2"/>
  <c r="AW160" i="2"/>
  <c r="AU160" i="2"/>
  <c r="AS160" i="2"/>
  <c r="AP160" i="2"/>
  <c r="AN160" i="2"/>
  <c r="AL160" i="2"/>
  <c r="AJ160" i="2"/>
  <c r="AH160" i="2"/>
  <c r="AF160" i="2"/>
  <c r="AD160" i="2"/>
  <c r="AB160" i="2"/>
  <c r="Z160" i="2"/>
  <c r="X160" i="2"/>
  <c r="U160" i="2"/>
  <c r="S160" i="2"/>
  <c r="Q160" i="2"/>
  <c r="O160" i="2"/>
  <c r="M160" i="2"/>
  <c r="K160" i="2"/>
  <c r="I160" i="2"/>
  <c r="G160" i="2"/>
  <c r="E160" i="2"/>
  <c r="C160" i="2"/>
  <c r="BJ159" i="2"/>
  <c r="BK159" i="2" s="1"/>
  <c r="BI159" i="2"/>
  <c r="BG159" i="2"/>
  <c r="BD159" i="2"/>
  <c r="BE159" i="2" s="1"/>
  <c r="BC159" i="2"/>
  <c r="BA159" i="2"/>
  <c r="AX159" i="2"/>
  <c r="AY159" i="2" s="1"/>
  <c r="AW159" i="2"/>
  <c r="AU159" i="2"/>
  <c r="AS159" i="2"/>
  <c r="AP159" i="2"/>
  <c r="AN159" i="2"/>
  <c r="AL159" i="2"/>
  <c r="AJ159" i="2"/>
  <c r="AH159" i="2"/>
  <c r="AF159" i="2"/>
  <c r="AD159" i="2"/>
  <c r="AB159" i="2"/>
  <c r="Z159" i="2"/>
  <c r="X159" i="2"/>
  <c r="U159" i="2"/>
  <c r="S159" i="2"/>
  <c r="Q159" i="2"/>
  <c r="O159" i="2"/>
  <c r="M159" i="2"/>
  <c r="K159" i="2"/>
  <c r="I159" i="2"/>
  <c r="G159" i="2"/>
  <c r="E159" i="2"/>
  <c r="C159" i="2"/>
  <c r="BJ158" i="2"/>
  <c r="BI158" i="2"/>
  <c r="BG158" i="2"/>
  <c r="BE158" i="2"/>
  <c r="BD158" i="2"/>
  <c r="BC158" i="2"/>
  <c r="BA158" i="2"/>
  <c r="AX158" i="2"/>
  <c r="AW158" i="2"/>
  <c r="AU158" i="2"/>
  <c r="AS158" i="2"/>
  <c r="AP158" i="2"/>
  <c r="AN158" i="2"/>
  <c r="AL158" i="2"/>
  <c r="AJ158" i="2"/>
  <c r="AH158" i="2"/>
  <c r="AF158" i="2"/>
  <c r="AD158" i="2"/>
  <c r="AB158" i="2"/>
  <c r="Z158" i="2"/>
  <c r="X158" i="2"/>
  <c r="U158" i="2"/>
  <c r="S158" i="2"/>
  <c r="Q158" i="2"/>
  <c r="O158" i="2"/>
  <c r="M158" i="2"/>
  <c r="K158" i="2"/>
  <c r="I158" i="2"/>
  <c r="G158" i="2"/>
  <c r="E158" i="2"/>
  <c r="C158" i="2"/>
  <c r="BJ157" i="2"/>
  <c r="BI157" i="2"/>
  <c r="BG157" i="2"/>
  <c r="BE157" i="2"/>
  <c r="BD157" i="2"/>
  <c r="BC157" i="2"/>
  <c r="BA157" i="2"/>
  <c r="AX157" i="2"/>
  <c r="AY157" i="2" s="1"/>
  <c r="AW157" i="2"/>
  <c r="AU157" i="2"/>
  <c r="AS157" i="2"/>
  <c r="AP157" i="2"/>
  <c r="AN157" i="2"/>
  <c r="AL157" i="2"/>
  <c r="AJ157" i="2"/>
  <c r="AH157" i="2"/>
  <c r="AF157" i="2"/>
  <c r="AD157" i="2"/>
  <c r="AB157" i="2"/>
  <c r="Z157" i="2"/>
  <c r="X157" i="2"/>
  <c r="U157" i="2"/>
  <c r="S157" i="2"/>
  <c r="Q157" i="2"/>
  <c r="O157" i="2"/>
  <c r="M157" i="2"/>
  <c r="K157" i="2"/>
  <c r="I157" i="2"/>
  <c r="G157" i="2"/>
  <c r="E157" i="2"/>
  <c r="C157" i="2"/>
  <c r="BJ156" i="2"/>
  <c r="BK156" i="2" s="1"/>
  <c r="BI156" i="2"/>
  <c r="BG156" i="2"/>
  <c r="BE156" i="2"/>
  <c r="BD156" i="2"/>
  <c r="BC156" i="2"/>
  <c r="BA156" i="2"/>
  <c r="AY156" i="2"/>
  <c r="AX156" i="2"/>
  <c r="AW156" i="2"/>
  <c r="AU156" i="2"/>
  <c r="AS156" i="2"/>
  <c r="AP156" i="2"/>
  <c r="AN156" i="2"/>
  <c r="AL156" i="2"/>
  <c r="AJ156" i="2"/>
  <c r="AH156" i="2"/>
  <c r="AF156" i="2"/>
  <c r="AD156" i="2"/>
  <c r="AB156" i="2"/>
  <c r="Z156" i="2"/>
  <c r="X156" i="2"/>
  <c r="U156" i="2"/>
  <c r="S156" i="2"/>
  <c r="Q156" i="2"/>
  <c r="O156" i="2"/>
  <c r="M156" i="2"/>
  <c r="K156" i="2"/>
  <c r="I156" i="2"/>
  <c r="G156" i="2"/>
  <c r="E156" i="2"/>
  <c r="C156" i="2"/>
  <c r="BJ155" i="2"/>
  <c r="BI155" i="2"/>
  <c r="BG155" i="2"/>
  <c r="BD155" i="2"/>
  <c r="BC155" i="2"/>
  <c r="BA155" i="2"/>
  <c r="AX155" i="2"/>
  <c r="AW155" i="2"/>
  <c r="AU155" i="2"/>
  <c r="AS155" i="2"/>
  <c r="AP155" i="2"/>
  <c r="AN155" i="2"/>
  <c r="AL155" i="2"/>
  <c r="AJ155" i="2"/>
  <c r="AH155" i="2"/>
  <c r="AF155" i="2"/>
  <c r="AD155" i="2"/>
  <c r="AB155" i="2"/>
  <c r="Z155" i="2"/>
  <c r="X155" i="2"/>
  <c r="U155" i="2"/>
  <c r="S155" i="2"/>
  <c r="Q155" i="2"/>
  <c r="O155" i="2"/>
  <c r="M155" i="2"/>
  <c r="K155" i="2"/>
  <c r="I155" i="2"/>
  <c r="G155" i="2"/>
  <c r="E155" i="2"/>
  <c r="C155" i="2"/>
  <c r="BJ154" i="2"/>
  <c r="BI154" i="2"/>
  <c r="BG154" i="2"/>
  <c r="BD154" i="2"/>
  <c r="BE154" i="2" s="1"/>
  <c r="BC154" i="2"/>
  <c r="BA154" i="2"/>
  <c r="AX154" i="2"/>
  <c r="AY154" i="2" s="1"/>
  <c r="AW154" i="2"/>
  <c r="AU154" i="2"/>
  <c r="AS154" i="2"/>
  <c r="AP154" i="2"/>
  <c r="AN154" i="2"/>
  <c r="AL154" i="2"/>
  <c r="AJ154" i="2"/>
  <c r="AH154" i="2"/>
  <c r="AF154" i="2"/>
  <c r="AD154" i="2"/>
  <c r="AB154" i="2"/>
  <c r="Z154" i="2"/>
  <c r="X154" i="2"/>
  <c r="U154" i="2"/>
  <c r="S154" i="2"/>
  <c r="Q154" i="2"/>
  <c r="O154" i="2"/>
  <c r="M154" i="2"/>
  <c r="K154" i="2"/>
  <c r="I154" i="2"/>
  <c r="G154" i="2"/>
  <c r="E154" i="2"/>
  <c r="C154" i="2"/>
  <c r="BJ153" i="2"/>
  <c r="BI153" i="2"/>
  <c r="BG153" i="2"/>
  <c r="BD153" i="2"/>
  <c r="BC153" i="2"/>
  <c r="BA153" i="2"/>
  <c r="AX153" i="2"/>
  <c r="AW153" i="2"/>
  <c r="AU153" i="2"/>
  <c r="AS153" i="2"/>
  <c r="AP153" i="2"/>
  <c r="AN153" i="2"/>
  <c r="AL153" i="2"/>
  <c r="AJ153" i="2"/>
  <c r="AH153" i="2"/>
  <c r="AF153" i="2"/>
  <c r="AD153" i="2"/>
  <c r="AB153" i="2"/>
  <c r="Z153" i="2"/>
  <c r="X153" i="2"/>
  <c r="U153" i="2"/>
  <c r="S153" i="2"/>
  <c r="Q153" i="2"/>
  <c r="O153" i="2"/>
  <c r="M153" i="2"/>
  <c r="K153" i="2"/>
  <c r="I153" i="2"/>
  <c r="G153" i="2"/>
  <c r="E153" i="2"/>
  <c r="C153" i="2"/>
  <c r="BJ152" i="2"/>
  <c r="BI152" i="2"/>
  <c r="BG152" i="2"/>
  <c r="BD152" i="2"/>
  <c r="BC152" i="2"/>
  <c r="BA152" i="2"/>
  <c r="AX152" i="2"/>
  <c r="AY152" i="2" s="1"/>
  <c r="AW152" i="2"/>
  <c r="AU152" i="2"/>
  <c r="AS152" i="2"/>
  <c r="AP152" i="2"/>
  <c r="AN152" i="2"/>
  <c r="AL152" i="2"/>
  <c r="AJ152" i="2"/>
  <c r="AH152" i="2"/>
  <c r="AF152" i="2"/>
  <c r="AD152" i="2"/>
  <c r="AB152" i="2"/>
  <c r="Z152" i="2"/>
  <c r="X152" i="2"/>
  <c r="U152" i="2"/>
  <c r="S152" i="2"/>
  <c r="Q152" i="2"/>
  <c r="O152" i="2"/>
  <c r="M152" i="2"/>
  <c r="K152" i="2"/>
  <c r="I152" i="2"/>
  <c r="G152" i="2"/>
  <c r="E152" i="2"/>
  <c r="C152" i="2"/>
  <c r="BJ151" i="2"/>
  <c r="BK151" i="2" s="1"/>
  <c r="BI151" i="2"/>
  <c r="BG151" i="2"/>
  <c r="BD151" i="2"/>
  <c r="BC151" i="2"/>
  <c r="BA151" i="2"/>
  <c r="AX151" i="2"/>
  <c r="AW151" i="2"/>
  <c r="AU151" i="2"/>
  <c r="AS151" i="2"/>
  <c r="AP151" i="2"/>
  <c r="AN151" i="2"/>
  <c r="AL151" i="2"/>
  <c r="AJ151" i="2"/>
  <c r="AH151" i="2"/>
  <c r="AF151" i="2"/>
  <c r="AD151" i="2"/>
  <c r="AB151" i="2"/>
  <c r="Z151" i="2"/>
  <c r="X151" i="2"/>
  <c r="U151" i="2"/>
  <c r="S151" i="2"/>
  <c r="Q151" i="2"/>
  <c r="O151" i="2"/>
  <c r="M151" i="2"/>
  <c r="K151" i="2"/>
  <c r="I151" i="2"/>
  <c r="G151" i="2"/>
  <c r="E151" i="2"/>
  <c r="C151" i="2"/>
  <c r="BJ150" i="2"/>
  <c r="BK150" i="2" s="1"/>
  <c r="BI150" i="2"/>
  <c r="BG150" i="2"/>
  <c r="BD150" i="2"/>
  <c r="BE151" i="2" s="1"/>
  <c r="BC150" i="2"/>
  <c r="BA150" i="2"/>
  <c r="AX150" i="2"/>
  <c r="AW150" i="2"/>
  <c r="AU150" i="2"/>
  <c r="AS150" i="2"/>
  <c r="AP150" i="2"/>
  <c r="AN150" i="2"/>
  <c r="AL150" i="2"/>
  <c r="AJ150" i="2"/>
  <c r="AH150" i="2"/>
  <c r="AF150" i="2"/>
  <c r="AD150" i="2"/>
  <c r="AB150" i="2"/>
  <c r="Z150" i="2"/>
  <c r="X150" i="2"/>
  <c r="U150" i="2"/>
  <c r="S150" i="2"/>
  <c r="Q150" i="2"/>
  <c r="O150" i="2"/>
  <c r="M150" i="2"/>
  <c r="K150" i="2"/>
  <c r="I150" i="2"/>
  <c r="G150" i="2"/>
  <c r="E150" i="2"/>
  <c r="C150" i="2"/>
  <c r="BJ149" i="2"/>
  <c r="BK149" i="2" s="1"/>
  <c r="BI149" i="2"/>
  <c r="BG149" i="2"/>
  <c r="BD149" i="2"/>
  <c r="BC149" i="2"/>
  <c r="BA149" i="2"/>
  <c r="AX149" i="2"/>
  <c r="AY150" i="2" s="1"/>
  <c r="AW149" i="2"/>
  <c r="AU149" i="2"/>
  <c r="AS149" i="2"/>
  <c r="AP149" i="2"/>
  <c r="AN149" i="2"/>
  <c r="AL149" i="2"/>
  <c r="AJ149" i="2"/>
  <c r="AH149" i="2"/>
  <c r="AF149" i="2"/>
  <c r="AD149" i="2"/>
  <c r="AB149" i="2"/>
  <c r="Z149" i="2"/>
  <c r="X149" i="2"/>
  <c r="U149" i="2"/>
  <c r="S149" i="2"/>
  <c r="Q149" i="2"/>
  <c r="O149" i="2"/>
  <c r="M149" i="2"/>
  <c r="K149" i="2"/>
  <c r="I149" i="2"/>
  <c r="G149" i="2"/>
  <c r="E149" i="2"/>
  <c r="C149" i="2"/>
  <c r="BJ148" i="2"/>
  <c r="BI148" i="2"/>
  <c r="BG148" i="2"/>
  <c r="BD148" i="2"/>
  <c r="BC148" i="2"/>
  <c r="BA148" i="2"/>
  <c r="AX148" i="2"/>
  <c r="AY148" i="2" s="1"/>
  <c r="AW148" i="2"/>
  <c r="AU148" i="2"/>
  <c r="AS148" i="2"/>
  <c r="AP148" i="2"/>
  <c r="AN148" i="2"/>
  <c r="AL148" i="2"/>
  <c r="AJ148" i="2"/>
  <c r="AH148" i="2"/>
  <c r="AF148" i="2"/>
  <c r="AD148" i="2"/>
  <c r="AB148" i="2"/>
  <c r="Z148" i="2"/>
  <c r="X148" i="2"/>
  <c r="U148" i="2"/>
  <c r="S148" i="2"/>
  <c r="Q148" i="2"/>
  <c r="O148" i="2"/>
  <c r="M148" i="2"/>
  <c r="K148" i="2"/>
  <c r="I148" i="2"/>
  <c r="G148" i="2"/>
  <c r="E148" i="2"/>
  <c r="C148" i="2"/>
  <c r="BJ147" i="2"/>
  <c r="BI147" i="2"/>
  <c r="BG147" i="2"/>
  <c r="BD147" i="2"/>
  <c r="BC147" i="2"/>
  <c r="BA147" i="2"/>
  <c r="AX147" i="2"/>
  <c r="AW147" i="2"/>
  <c r="AU147" i="2"/>
  <c r="AS147" i="2"/>
  <c r="AP147" i="2"/>
  <c r="AN147" i="2"/>
  <c r="AL147" i="2"/>
  <c r="AJ147" i="2"/>
  <c r="AH147" i="2"/>
  <c r="AF147" i="2"/>
  <c r="AD147" i="2"/>
  <c r="AB147" i="2"/>
  <c r="Z147" i="2"/>
  <c r="X147" i="2"/>
  <c r="U147" i="2"/>
  <c r="S147" i="2"/>
  <c r="Q147" i="2"/>
  <c r="O147" i="2"/>
  <c r="M147" i="2"/>
  <c r="K147" i="2"/>
  <c r="I147" i="2"/>
  <c r="G147" i="2"/>
  <c r="E147" i="2"/>
  <c r="C147" i="2"/>
  <c r="BJ146" i="2"/>
  <c r="BI146" i="2"/>
  <c r="BG146" i="2"/>
  <c r="BD146" i="2"/>
  <c r="BE147" i="2" s="1"/>
  <c r="BC146" i="2"/>
  <c r="BA146" i="2"/>
  <c r="AX146" i="2"/>
  <c r="AY146" i="2" s="1"/>
  <c r="AW146" i="2"/>
  <c r="AU146" i="2"/>
  <c r="AS146" i="2"/>
  <c r="AP146" i="2"/>
  <c r="AN146" i="2"/>
  <c r="AL146" i="2"/>
  <c r="AJ146" i="2"/>
  <c r="AH146" i="2"/>
  <c r="AF146" i="2"/>
  <c r="AD146" i="2"/>
  <c r="AB146" i="2"/>
  <c r="Z146" i="2"/>
  <c r="X146" i="2"/>
  <c r="U146" i="2"/>
  <c r="S146" i="2"/>
  <c r="Q146" i="2"/>
  <c r="O146" i="2"/>
  <c r="M146" i="2"/>
  <c r="K146" i="2"/>
  <c r="I146" i="2"/>
  <c r="G146" i="2"/>
  <c r="E146" i="2"/>
  <c r="C146" i="2"/>
  <c r="BJ145" i="2"/>
  <c r="BI145" i="2"/>
  <c r="BG145" i="2"/>
  <c r="BD145" i="2"/>
  <c r="BC145" i="2"/>
  <c r="BA145" i="2"/>
  <c r="AX145" i="2"/>
  <c r="AW145" i="2"/>
  <c r="AU145" i="2"/>
  <c r="AS145" i="2"/>
  <c r="AP145" i="2"/>
  <c r="AN145" i="2"/>
  <c r="AL145" i="2"/>
  <c r="AJ145" i="2"/>
  <c r="AH145" i="2"/>
  <c r="AF145" i="2"/>
  <c r="AD145" i="2"/>
  <c r="AB145" i="2"/>
  <c r="Z145" i="2"/>
  <c r="X145" i="2"/>
  <c r="U145" i="2"/>
  <c r="S145" i="2"/>
  <c r="Q145" i="2"/>
  <c r="O145" i="2"/>
  <c r="M145" i="2"/>
  <c r="K145" i="2"/>
  <c r="I145" i="2"/>
  <c r="G145" i="2"/>
  <c r="E145" i="2"/>
  <c r="C145" i="2"/>
  <c r="BJ144" i="2"/>
  <c r="BI144" i="2"/>
  <c r="BG144" i="2"/>
  <c r="BD144" i="2"/>
  <c r="BC144" i="2"/>
  <c r="BA144" i="2"/>
  <c r="AX144" i="2"/>
  <c r="AY144" i="2" s="1"/>
  <c r="AW144" i="2"/>
  <c r="AU144" i="2"/>
  <c r="AS144" i="2"/>
  <c r="AP144" i="2"/>
  <c r="AN144" i="2"/>
  <c r="AL144" i="2"/>
  <c r="AJ144" i="2"/>
  <c r="AH144" i="2"/>
  <c r="AF144" i="2"/>
  <c r="AD144" i="2"/>
  <c r="AB144" i="2"/>
  <c r="Z144" i="2"/>
  <c r="X144" i="2"/>
  <c r="U144" i="2"/>
  <c r="S144" i="2"/>
  <c r="Q144" i="2"/>
  <c r="O144" i="2"/>
  <c r="M144" i="2"/>
  <c r="K144" i="2"/>
  <c r="I144" i="2"/>
  <c r="G144" i="2"/>
  <c r="E144" i="2"/>
  <c r="C144" i="2"/>
  <c r="BJ143" i="2"/>
  <c r="BK143" i="2" s="1"/>
  <c r="BI143" i="2"/>
  <c r="BG143" i="2"/>
  <c r="BD143" i="2"/>
  <c r="BC143" i="2"/>
  <c r="BA143" i="2"/>
  <c r="AX143" i="2"/>
  <c r="AW143" i="2"/>
  <c r="AU143" i="2"/>
  <c r="AS143" i="2"/>
  <c r="AP143" i="2"/>
  <c r="AN143" i="2"/>
  <c r="AL143" i="2"/>
  <c r="AJ143" i="2"/>
  <c r="AH143" i="2"/>
  <c r="AF143" i="2"/>
  <c r="AD143" i="2"/>
  <c r="AB143" i="2"/>
  <c r="Z143" i="2"/>
  <c r="X143" i="2"/>
  <c r="U143" i="2"/>
  <c r="S143" i="2"/>
  <c r="Q143" i="2"/>
  <c r="O143" i="2"/>
  <c r="M143" i="2"/>
  <c r="K143" i="2"/>
  <c r="I143" i="2"/>
  <c r="G143" i="2"/>
  <c r="E143" i="2"/>
  <c r="C143" i="2"/>
  <c r="BJ142" i="2"/>
  <c r="BK142" i="2" s="1"/>
  <c r="BI142" i="2"/>
  <c r="BG142" i="2"/>
  <c r="BD142" i="2"/>
  <c r="BE143" i="2" s="1"/>
  <c r="BC142" i="2"/>
  <c r="BA142" i="2"/>
  <c r="AX142" i="2"/>
  <c r="AY142" i="2" s="1"/>
  <c r="AW142" i="2"/>
  <c r="AU142" i="2"/>
  <c r="AS142" i="2"/>
  <c r="AP142" i="2"/>
  <c r="AN142" i="2"/>
  <c r="AL142" i="2"/>
  <c r="AJ142" i="2"/>
  <c r="AH142" i="2"/>
  <c r="AF142" i="2"/>
  <c r="AD142" i="2"/>
  <c r="AB142" i="2"/>
  <c r="Z142" i="2"/>
  <c r="X142" i="2"/>
  <c r="U142" i="2"/>
  <c r="S142" i="2"/>
  <c r="Q142" i="2"/>
  <c r="O142" i="2"/>
  <c r="M142" i="2"/>
  <c r="K142" i="2"/>
  <c r="I142" i="2"/>
  <c r="G142" i="2"/>
  <c r="E142" i="2"/>
  <c r="C142" i="2"/>
  <c r="BK141" i="2"/>
  <c r="BJ141" i="2"/>
  <c r="BI141" i="2"/>
  <c r="BG141" i="2"/>
  <c r="BD141" i="2"/>
  <c r="BC141" i="2"/>
  <c r="BA141" i="2"/>
  <c r="AX141" i="2"/>
  <c r="AW141" i="2"/>
  <c r="AU141" i="2"/>
  <c r="AS141" i="2"/>
  <c r="AP141" i="2"/>
  <c r="AN141" i="2"/>
  <c r="AL141" i="2"/>
  <c r="AJ141" i="2"/>
  <c r="AH141" i="2"/>
  <c r="AF141" i="2"/>
  <c r="AD141" i="2"/>
  <c r="AB141" i="2"/>
  <c r="Z141" i="2"/>
  <c r="X141" i="2"/>
  <c r="U141" i="2"/>
  <c r="S141" i="2"/>
  <c r="Q141" i="2"/>
  <c r="O141" i="2"/>
  <c r="M141" i="2"/>
  <c r="K141" i="2"/>
  <c r="I141" i="2"/>
  <c r="G141" i="2"/>
  <c r="E141" i="2"/>
  <c r="C141" i="2"/>
  <c r="BJ140" i="2"/>
  <c r="BI140" i="2"/>
  <c r="BG140" i="2"/>
  <c r="BD140" i="2"/>
  <c r="BC140" i="2"/>
  <c r="BA140" i="2"/>
  <c r="AX140" i="2"/>
  <c r="AW140" i="2"/>
  <c r="AU140" i="2"/>
  <c r="AS140" i="2"/>
  <c r="AP140" i="2"/>
  <c r="AN140" i="2"/>
  <c r="AL140" i="2"/>
  <c r="AJ140" i="2"/>
  <c r="AH140" i="2"/>
  <c r="AF140" i="2"/>
  <c r="AD140" i="2"/>
  <c r="AB140" i="2"/>
  <c r="Z140" i="2"/>
  <c r="X140" i="2"/>
  <c r="U140" i="2"/>
  <c r="S140" i="2"/>
  <c r="Q140" i="2"/>
  <c r="O140" i="2"/>
  <c r="M140" i="2"/>
  <c r="K140" i="2"/>
  <c r="I140" i="2"/>
  <c r="G140" i="2"/>
  <c r="E140" i="2"/>
  <c r="C140" i="2"/>
  <c r="BJ139" i="2"/>
  <c r="BK140" i="2" s="1"/>
  <c r="BI139" i="2"/>
  <c r="BG139" i="2"/>
  <c r="BE139" i="2"/>
  <c r="BD139" i="2"/>
  <c r="BC139" i="2"/>
  <c r="BA139" i="2"/>
  <c r="AX139" i="2"/>
  <c r="AW139" i="2"/>
  <c r="AU139" i="2"/>
  <c r="AS139" i="2"/>
  <c r="AP139" i="2"/>
  <c r="AN139" i="2"/>
  <c r="AL139" i="2"/>
  <c r="AJ139" i="2"/>
  <c r="AH139" i="2"/>
  <c r="AF139" i="2"/>
  <c r="AD139" i="2"/>
  <c r="AB139" i="2"/>
  <c r="Z139" i="2"/>
  <c r="X139" i="2"/>
  <c r="U139" i="2"/>
  <c r="S139" i="2"/>
  <c r="Q139" i="2"/>
  <c r="O139" i="2"/>
  <c r="M139" i="2"/>
  <c r="K139" i="2"/>
  <c r="I139" i="2"/>
  <c r="G139" i="2"/>
  <c r="E139" i="2"/>
  <c r="C139" i="2"/>
  <c r="BJ138" i="2"/>
  <c r="BI138" i="2"/>
  <c r="BG138" i="2"/>
  <c r="BD138" i="2"/>
  <c r="BE138" i="2" s="1"/>
  <c r="BC138" i="2"/>
  <c r="BA138" i="2"/>
  <c r="AX138" i="2"/>
  <c r="AY138" i="2" s="1"/>
  <c r="AW138" i="2"/>
  <c r="AU138" i="2"/>
  <c r="AS138" i="2"/>
  <c r="AP138" i="2"/>
  <c r="AN138" i="2"/>
  <c r="AL138" i="2"/>
  <c r="AJ138" i="2"/>
  <c r="AH138" i="2"/>
  <c r="AF138" i="2"/>
  <c r="AD138" i="2"/>
  <c r="AB138" i="2"/>
  <c r="Z138" i="2"/>
  <c r="X138" i="2"/>
  <c r="U138" i="2"/>
  <c r="S138" i="2"/>
  <c r="Q138" i="2"/>
  <c r="O138" i="2"/>
  <c r="M138" i="2"/>
  <c r="K138" i="2"/>
  <c r="I138" i="2"/>
  <c r="G138" i="2"/>
  <c r="E138" i="2"/>
  <c r="C138" i="2"/>
  <c r="BJ137" i="2"/>
  <c r="BI137" i="2"/>
  <c r="BG137" i="2"/>
  <c r="BD137" i="2"/>
  <c r="BC137" i="2"/>
  <c r="BA137" i="2"/>
  <c r="AX137" i="2"/>
  <c r="AW137" i="2"/>
  <c r="AU137" i="2"/>
  <c r="AS137" i="2"/>
  <c r="AP137" i="2"/>
  <c r="AN137" i="2"/>
  <c r="AL137" i="2"/>
  <c r="AJ137" i="2"/>
  <c r="AH137" i="2"/>
  <c r="AF137" i="2"/>
  <c r="AD137" i="2"/>
  <c r="AB137" i="2"/>
  <c r="Z137" i="2"/>
  <c r="X137" i="2"/>
  <c r="U137" i="2"/>
  <c r="S137" i="2"/>
  <c r="Q137" i="2"/>
  <c r="O137" i="2"/>
  <c r="M137" i="2"/>
  <c r="K137" i="2"/>
  <c r="I137" i="2"/>
  <c r="G137" i="2"/>
  <c r="E137" i="2"/>
  <c r="C137" i="2"/>
  <c r="BJ136" i="2"/>
  <c r="BI136" i="2"/>
  <c r="BG136" i="2"/>
  <c r="BD136" i="2"/>
  <c r="BC136" i="2"/>
  <c r="BA136" i="2"/>
  <c r="AX136" i="2"/>
  <c r="AW136" i="2"/>
  <c r="AU136" i="2"/>
  <c r="AS136" i="2"/>
  <c r="AP136" i="2"/>
  <c r="AN136" i="2"/>
  <c r="AL136" i="2"/>
  <c r="AJ136" i="2"/>
  <c r="AH136" i="2"/>
  <c r="AF136" i="2"/>
  <c r="AD136" i="2"/>
  <c r="AB136" i="2"/>
  <c r="Z136" i="2"/>
  <c r="X136" i="2"/>
  <c r="U136" i="2"/>
  <c r="S136" i="2"/>
  <c r="Q136" i="2"/>
  <c r="O136" i="2"/>
  <c r="M136" i="2"/>
  <c r="K136" i="2"/>
  <c r="I136" i="2"/>
  <c r="G136" i="2"/>
  <c r="E136" i="2"/>
  <c r="C136" i="2"/>
  <c r="BJ135" i="2"/>
  <c r="BK135" i="2" s="1"/>
  <c r="BI135" i="2"/>
  <c r="BG135" i="2"/>
  <c r="BD135" i="2"/>
  <c r="BE135" i="2" s="1"/>
  <c r="BC135" i="2"/>
  <c r="BA135" i="2"/>
  <c r="AX135" i="2"/>
  <c r="AW135" i="2"/>
  <c r="AU135" i="2"/>
  <c r="AS135" i="2"/>
  <c r="AP135" i="2"/>
  <c r="AN135" i="2"/>
  <c r="AL135" i="2"/>
  <c r="AJ135" i="2"/>
  <c r="AH135" i="2"/>
  <c r="AF135" i="2"/>
  <c r="AD135" i="2"/>
  <c r="AB135" i="2"/>
  <c r="Z135" i="2"/>
  <c r="X135" i="2"/>
  <c r="U135" i="2"/>
  <c r="S135" i="2"/>
  <c r="Q135" i="2"/>
  <c r="O135" i="2"/>
  <c r="M135" i="2"/>
  <c r="K135" i="2"/>
  <c r="I135" i="2"/>
  <c r="G135" i="2"/>
  <c r="E135" i="2"/>
  <c r="C135" i="2"/>
  <c r="BJ134" i="2"/>
  <c r="BI134" i="2"/>
  <c r="BG134" i="2"/>
  <c r="BD134" i="2"/>
  <c r="BE134" i="2" s="1"/>
  <c r="BC134" i="2"/>
  <c r="BA134" i="2"/>
  <c r="AX134" i="2"/>
  <c r="AY134" i="2" s="1"/>
  <c r="AW134" i="2"/>
  <c r="AU134" i="2"/>
  <c r="AS134" i="2"/>
  <c r="AP134" i="2"/>
  <c r="AN134" i="2"/>
  <c r="AL134" i="2"/>
  <c r="AJ134" i="2"/>
  <c r="AH134" i="2"/>
  <c r="AF134" i="2"/>
  <c r="AD134" i="2"/>
  <c r="AB134" i="2"/>
  <c r="Z134" i="2"/>
  <c r="X134" i="2"/>
  <c r="U134" i="2"/>
  <c r="S134" i="2"/>
  <c r="Q134" i="2"/>
  <c r="O134" i="2"/>
  <c r="M134" i="2"/>
  <c r="K134" i="2"/>
  <c r="I134" i="2"/>
  <c r="G134" i="2"/>
  <c r="E134" i="2"/>
  <c r="C134" i="2"/>
  <c r="BJ133" i="2"/>
  <c r="BK134" i="2" s="1"/>
  <c r="BI133" i="2"/>
  <c r="BG133" i="2"/>
  <c r="BD133" i="2"/>
  <c r="BE133" i="2" s="1"/>
  <c r="BC133" i="2"/>
  <c r="BA133" i="2"/>
  <c r="AX133" i="2"/>
  <c r="AW133" i="2"/>
  <c r="AU133" i="2"/>
  <c r="AS133" i="2"/>
  <c r="AP133" i="2"/>
  <c r="AN133" i="2"/>
  <c r="AL133" i="2"/>
  <c r="AJ133" i="2"/>
  <c r="AH133" i="2"/>
  <c r="AF133" i="2"/>
  <c r="AD133" i="2"/>
  <c r="AB133" i="2"/>
  <c r="Z133" i="2"/>
  <c r="X133" i="2"/>
  <c r="U133" i="2"/>
  <c r="S133" i="2"/>
  <c r="Q133" i="2"/>
  <c r="O133" i="2"/>
  <c r="M133" i="2"/>
  <c r="K133" i="2"/>
  <c r="I133" i="2"/>
  <c r="G133" i="2"/>
  <c r="E133" i="2"/>
  <c r="C133" i="2"/>
  <c r="BJ132" i="2"/>
  <c r="BK132" i="2" s="1"/>
  <c r="BI132" i="2"/>
  <c r="BG132" i="2"/>
  <c r="BD132" i="2"/>
  <c r="BC132" i="2"/>
  <c r="BA132" i="2"/>
  <c r="AX132" i="2"/>
  <c r="AW132" i="2"/>
  <c r="AU132" i="2"/>
  <c r="AS132" i="2"/>
  <c r="AP132" i="2"/>
  <c r="AN132" i="2"/>
  <c r="AL132" i="2"/>
  <c r="AJ132" i="2"/>
  <c r="AH132" i="2"/>
  <c r="AF132" i="2"/>
  <c r="AD132" i="2"/>
  <c r="AB132" i="2"/>
  <c r="Z132" i="2"/>
  <c r="X132" i="2"/>
  <c r="U132" i="2"/>
  <c r="S132" i="2"/>
  <c r="Q132" i="2"/>
  <c r="O132" i="2"/>
  <c r="M132" i="2"/>
  <c r="K132" i="2"/>
  <c r="I132" i="2"/>
  <c r="G132" i="2"/>
  <c r="E132" i="2"/>
  <c r="C132" i="2"/>
  <c r="BJ131" i="2"/>
  <c r="BK131" i="2" s="1"/>
  <c r="BI131" i="2"/>
  <c r="BG131" i="2"/>
  <c r="BD131" i="2"/>
  <c r="BE132" i="2" s="1"/>
  <c r="BC131" i="2"/>
  <c r="BA131" i="2"/>
  <c r="AX131" i="2"/>
  <c r="AW131" i="2"/>
  <c r="AU131" i="2"/>
  <c r="AS131" i="2"/>
  <c r="AP131" i="2"/>
  <c r="AN131" i="2"/>
  <c r="AL131" i="2"/>
  <c r="AJ131" i="2"/>
  <c r="AH131" i="2"/>
  <c r="AF131" i="2"/>
  <c r="AD131" i="2"/>
  <c r="AB131" i="2"/>
  <c r="Z131" i="2"/>
  <c r="X131" i="2"/>
  <c r="U131" i="2"/>
  <c r="S131" i="2"/>
  <c r="Q131" i="2"/>
  <c r="O131" i="2"/>
  <c r="M131" i="2"/>
  <c r="K131" i="2"/>
  <c r="I131" i="2"/>
  <c r="G131" i="2"/>
  <c r="E131" i="2"/>
  <c r="C131" i="2"/>
  <c r="BJ130" i="2"/>
  <c r="BI130" i="2"/>
  <c r="BG130" i="2"/>
  <c r="BE130" i="2"/>
  <c r="BD130" i="2"/>
  <c r="BC130" i="2"/>
  <c r="BA130" i="2"/>
  <c r="AX130" i="2"/>
  <c r="AW130" i="2"/>
  <c r="AU130" i="2"/>
  <c r="AS130" i="2"/>
  <c r="AP130" i="2"/>
  <c r="AN130" i="2"/>
  <c r="AL130" i="2"/>
  <c r="AJ130" i="2"/>
  <c r="AH130" i="2"/>
  <c r="AF130" i="2"/>
  <c r="AD130" i="2"/>
  <c r="AB130" i="2"/>
  <c r="Z130" i="2"/>
  <c r="X130" i="2"/>
  <c r="U130" i="2"/>
  <c r="S130" i="2"/>
  <c r="Q130" i="2"/>
  <c r="O130" i="2"/>
  <c r="M130" i="2"/>
  <c r="K130" i="2"/>
  <c r="I130" i="2"/>
  <c r="G130" i="2"/>
  <c r="E130" i="2"/>
  <c r="C130" i="2"/>
  <c r="BJ129" i="2"/>
  <c r="BI129" i="2"/>
  <c r="BG129" i="2"/>
  <c r="BD129" i="2"/>
  <c r="BE129" i="2" s="1"/>
  <c r="BC129" i="2"/>
  <c r="BA129" i="2"/>
  <c r="AX129" i="2"/>
  <c r="AW129" i="2"/>
  <c r="AU129" i="2"/>
  <c r="AS129" i="2"/>
  <c r="AP129" i="2"/>
  <c r="AN129" i="2"/>
  <c r="AL129" i="2"/>
  <c r="AJ129" i="2"/>
  <c r="AH129" i="2"/>
  <c r="AF129" i="2"/>
  <c r="AD129" i="2"/>
  <c r="AB129" i="2"/>
  <c r="Z129" i="2"/>
  <c r="X129" i="2"/>
  <c r="U129" i="2"/>
  <c r="S129" i="2"/>
  <c r="Q129" i="2"/>
  <c r="O129" i="2"/>
  <c r="M129" i="2"/>
  <c r="K129" i="2"/>
  <c r="I129" i="2"/>
  <c r="G129" i="2"/>
  <c r="E129" i="2"/>
  <c r="C129" i="2"/>
  <c r="BJ128" i="2"/>
  <c r="BI128" i="2"/>
  <c r="BG128" i="2"/>
  <c r="BE128" i="2"/>
  <c r="BD128" i="2"/>
  <c r="BC128" i="2"/>
  <c r="BA128" i="2"/>
  <c r="AX128" i="2"/>
  <c r="AY128" i="2" s="1"/>
  <c r="AW128" i="2"/>
  <c r="AU128" i="2"/>
  <c r="AS128" i="2"/>
  <c r="AP128" i="2"/>
  <c r="AN128" i="2"/>
  <c r="AL128" i="2"/>
  <c r="AJ128" i="2"/>
  <c r="AH128" i="2"/>
  <c r="AF128" i="2"/>
  <c r="AD128" i="2"/>
  <c r="AB128" i="2"/>
  <c r="Z128" i="2"/>
  <c r="X128" i="2"/>
  <c r="U128" i="2"/>
  <c r="S128" i="2"/>
  <c r="Q128" i="2"/>
  <c r="O128" i="2"/>
  <c r="M128" i="2"/>
  <c r="K128" i="2"/>
  <c r="I128" i="2"/>
  <c r="G128" i="2"/>
  <c r="E128" i="2"/>
  <c r="C128" i="2"/>
  <c r="BJ127" i="2"/>
  <c r="BI127" i="2"/>
  <c r="BG127" i="2"/>
  <c r="BD127" i="2"/>
  <c r="BC127" i="2"/>
  <c r="BA127" i="2"/>
  <c r="AX127" i="2"/>
  <c r="AW127" i="2"/>
  <c r="AU127" i="2"/>
  <c r="AS127" i="2"/>
  <c r="AP127" i="2"/>
  <c r="AN127" i="2"/>
  <c r="AL127" i="2"/>
  <c r="AJ127" i="2"/>
  <c r="AH127" i="2"/>
  <c r="AF127" i="2"/>
  <c r="AD127" i="2"/>
  <c r="AB127" i="2"/>
  <c r="Z127" i="2"/>
  <c r="X127" i="2"/>
  <c r="U127" i="2"/>
  <c r="S127" i="2"/>
  <c r="Q127" i="2"/>
  <c r="O127" i="2"/>
  <c r="M127" i="2"/>
  <c r="K127" i="2"/>
  <c r="I127" i="2"/>
  <c r="G127" i="2"/>
  <c r="E127" i="2"/>
  <c r="C127" i="2"/>
  <c r="BJ126" i="2"/>
  <c r="BI126" i="2"/>
  <c r="BG126" i="2"/>
  <c r="BE126" i="2"/>
  <c r="BD126" i="2"/>
  <c r="BE127" i="2" s="1"/>
  <c r="BC126" i="2"/>
  <c r="BA126" i="2"/>
  <c r="AX126" i="2"/>
  <c r="AW126" i="2"/>
  <c r="AU126" i="2"/>
  <c r="AS126" i="2"/>
  <c r="AP126" i="2"/>
  <c r="AN126" i="2"/>
  <c r="AL126" i="2"/>
  <c r="AJ126" i="2"/>
  <c r="AH126" i="2"/>
  <c r="AF126" i="2"/>
  <c r="AD126" i="2"/>
  <c r="AB126" i="2"/>
  <c r="Z126" i="2"/>
  <c r="X126" i="2"/>
  <c r="U126" i="2"/>
  <c r="S126" i="2"/>
  <c r="Q126" i="2"/>
  <c r="O126" i="2"/>
  <c r="M126" i="2"/>
  <c r="K126" i="2"/>
  <c r="I126" i="2"/>
  <c r="G126" i="2"/>
  <c r="E126" i="2"/>
  <c r="C126" i="2"/>
  <c r="BJ125" i="2"/>
  <c r="BI125" i="2"/>
  <c r="BG125" i="2"/>
  <c r="BD125" i="2"/>
  <c r="BE125" i="2" s="1"/>
  <c r="BC125" i="2"/>
  <c r="BA125" i="2"/>
  <c r="AX125" i="2"/>
  <c r="AW125" i="2"/>
  <c r="AU125" i="2"/>
  <c r="AS125" i="2"/>
  <c r="AP125" i="2"/>
  <c r="AN125" i="2"/>
  <c r="AL125" i="2"/>
  <c r="AJ125" i="2"/>
  <c r="AH125" i="2"/>
  <c r="AF125" i="2"/>
  <c r="AD125" i="2"/>
  <c r="AB125" i="2"/>
  <c r="Z125" i="2"/>
  <c r="X125" i="2"/>
  <c r="U125" i="2"/>
  <c r="S125" i="2"/>
  <c r="Q125" i="2"/>
  <c r="O125" i="2"/>
  <c r="M125" i="2"/>
  <c r="K125" i="2"/>
  <c r="I125" i="2"/>
  <c r="G125" i="2"/>
  <c r="E125" i="2"/>
  <c r="C125" i="2"/>
  <c r="BJ124" i="2"/>
  <c r="BI124" i="2"/>
  <c r="BG124" i="2"/>
  <c r="BD124" i="2"/>
  <c r="BE124" i="2" s="1"/>
  <c r="BC124" i="2"/>
  <c r="BA124" i="2"/>
  <c r="AX124" i="2"/>
  <c r="AW124" i="2"/>
  <c r="AU124" i="2"/>
  <c r="AS124" i="2"/>
  <c r="AP124" i="2"/>
  <c r="AN124" i="2"/>
  <c r="AL124" i="2"/>
  <c r="AJ124" i="2"/>
  <c r="AH124" i="2"/>
  <c r="AF124" i="2"/>
  <c r="AD124" i="2"/>
  <c r="AB124" i="2"/>
  <c r="Z124" i="2"/>
  <c r="X124" i="2"/>
  <c r="U124" i="2"/>
  <c r="S124" i="2"/>
  <c r="Q124" i="2"/>
  <c r="O124" i="2"/>
  <c r="M124" i="2"/>
  <c r="K124" i="2"/>
  <c r="I124" i="2"/>
  <c r="G124" i="2"/>
  <c r="E124" i="2"/>
  <c r="C124" i="2"/>
  <c r="BJ123" i="2"/>
  <c r="BI123" i="2"/>
  <c r="BG123" i="2"/>
  <c r="BD123" i="2"/>
  <c r="BE123" i="2" s="1"/>
  <c r="BC123" i="2"/>
  <c r="BA123" i="2"/>
  <c r="AX123" i="2"/>
  <c r="AW123" i="2"/>
  <c r="AU123" i="2"/>
  <c r="AS123" i="2"/>
  <c r="AP123" i="2"/>
  <c r="AN123" i="2"/>
  <c r="AL123" i="2"/>
  <c r="AJ123" i="2"/>
  <c r="AH123" i="2"/>
  <c r="AF123" i="2"/>
  <c r="AD123" i="2"/>
  <c r="AB123" i="2"/>
  <c r="Z123" i="2"/>
  <c r="X123" i="2"/>
  <c r="U123" i="2"/>
  <c r="S123" i="2"/>
  <c r="Q123" i="2"/>
  <c r="O123" i="2"/>
  <c r="M123" i="2"/>
  <c r="K123" i="2"/>
  <c r="I123" i="2"/>
  <c r="G123" i="2"/>
  <c r="E123" i="2"/>
  <c r="C123" i="2"/>
  <c r="BJ122" i="2"/>
  <c r="BI122" i="2"/>
  <c r="BG122" i="2"/>
  <c r="BD122" i="2"/>
  <c r="BE122" i="2" s="1"/>
  <c r="BC122" i="2"/>
  <c r="BA122" i="2"/>
  <c r="AX122" i="2"/>
  <c r="AW122" i="2"/>
  <c r="AU122" i="2"/>
  <c r="AS122" i="2"/>
  <c r="AP122" i="2"/>
  <c r="AN122" i="2"/>
  <c r="AL122" i="2"/>
  <c r="AJ122" i="2"/>
  <c r="AH122" i="2"/>
  <c r="AF122" i="2"/>
  <c r="AD122" i="2"/>
  <c r="AB122" i="2"/>
  <c r="Z122" i="2"/>
  <c r="X122" i="2"/>
  <c r="U122" i="2"/>
  <c r="S122" i="2"/>
  <c r="Q122" i="2"/>
  <c r="O122" i="2"/>
  <c r="M122" i="2"/>
  <c r="K122" i="2"/>
  <c r="I122" i="2"/>
  <c r="G122" i="2"/>
  <c r="E122" i="2"/>
  <c r="C122" i="2"/>
  <c r="BJ121" i="2"/>
  <c r="BI121" i="2"/>
  <c r="BG121" i="2"/>
  <c r="BD121" i="2"/>
  <c r="BC121" i="2"/>
  <c r="BA121" i="2"/>
  <c r="AX121" i="2"/>
  <c r="AW121" i="2"/>
  <c r="AU121" i="2"/>
  <c r="AS121" i="2"/>
  <c r="AP121" i="2"/>
  <c r="AN121" i="2"/>
  <c r="AL121" i="2"/>
  <c r="AJ121" i="2"/>
  <c r="AH121" i="2"/>
  <c r="AF121" i="2"/>
  <c r="AD121" i="2"/>
  <c r="AB121" i="2"/>
  <c r="Z121" i="2"/>
  <c r="X121" i="2"/>
  <c r="U121" i="2"/>
  <c r="S121" i="2"/>
  <c r="Q121" i="2"/>
  <c r="O121" i="2"/>
  <c r="M121" i="2"/>
  <c r="K121" i="2"/>
  <c r="I121" i="2"/>
  <c r="G121" i="2"/>
  <c r="E121" i="2"/>
  <c r="C121" i="2"/>
  <c r="BJ120" i="2"/>
  <c r="BI120" i="2"/>
  <c r="BG120" i="2"/>
  <c r="BD120" i="2"/>
  <c r="BE120" i="2" s="1"/>
  <c r="BC120" i="2"/>
  <c r="BA120" i="2"/>
  <c r="AX120" i="2"/>
  <c r="AW120" i="2"/>
  <c r="AU120" i="2"/>
  <c r="AS120" i="2"/>
  <c r="AP120" i="2"/>
  <c r="AN120" i="2"/>
  <c r="AL120" i="2"/>
  <c r="AJ120" i="2"/>
  <c r="AH120" i="2"/>
  <c r="AF120" i="2"/>
  <c r="AD120" i="2"/>
  <c r="AB120" i="2"/>
  <c r="Z120" i="2"/>
  <c r="X120" i="2"/>
  <c r="U120" i="2"/>
  <c r="S120" i="2"/>
  <c r="Q120" i="2"/>
  <c r="O120" i="2"/>
  <c r="M120" i="2"/>
  <c r="K120" i="2"/>
  <c r="I120" i="2"/>
  <c r="G120" i="2"/>
  <c r="E120" i="2"/>
  <c r="C120" i="2"/>
  <c r="BJ119" i="2"/>
  <c r="BI119" i="2"/>
  <c r="BG119" i="2"/>
  <c r="BD119" i="2"/>
  <c r="BE119" i="2" s="1"/>
  <c r="BC119" i="2"/>
  <c r="BA119" i="2"/>
  <c r="AX119" i="2"/>
  <c r="AY120" i="2" s="1"/>
  <c r="AW119" i="2"/>
  <c r="AU119" i="2"/>
  <c r="AS119" i="2"/>
  <c r="AP119" i="2"/>
  <c r="AN119" i="2"/>
  <c r="AL119" i="2"/>
  <c r="AJ119" i="2"/>
  <c r="AH119" i="2"/>
  <c r="AF119" i="2"/>
  <c r="AD119" i="2"/>
  <c r="AB119" i="2"/>
  <c r="Z119" i="2"/>
  <c r="X119" i="2"/>
  <c r="U119" i="2"/>
  <c r="S119" i="2"/>
  <c r="Q119" i="2"/>
  <c r="O119" i="2"/>
  <c r="M119" i="2"/>
  <c r="K119" i="2"/>
  <c r="I119" i="2"/>
  <c r="G119" i="2"/>
  <c r="E119" i="2"/>
  <c r="C119" i="2"/>
  <c r="BJ118" i="2"/>
  <c r="BI118" i="2"/>
  <c r="BG118" i="2"/>
  <c r="BD118" i="2"/>
  <c r="BC118" i="2"/>
  <c r="BA118" i="2"/>
  <c r="AX118" i="2"/>
  <c r="AW118" i="2"/>
  <c r="AU118" i="2"/>
  <c r="AS118" i="2"/>
  <c r="AP118" i="2"/>
  <c r="AN118" i="2"/>
  <c r="AL118" i="2"/>
  <c r="AJ118" i="2"/>
  <c r="AH118" i="2"/>
  <c r="AF118" i="2"/>
  <c r="AD118" i="2"/>
  <c r="AB118" i="2"/>
  <c r="Z118" i="2"/>
  <c r="X118" i="2"/>
  <c r="U118" i="2"/>
  <c r="S118" i="2"/>
  <c r="Q118" i="2"/>
  <c r="O118" i="2"/>
  <c r="M118" i="2"/>
  <c r="K118" i="2"/>
  <c r="I118" i="2"/>
  <c r="G118" i="2"/>
  <c r="E118" i="2"/>
  <c r="C118" i="2"/>
  <c r="BJ117" i="2"/>
  <c r="BI117" i="2"/>
  <c r="BG117" i="2"/>
  <c r="BD117" i="2"/>
  <c r="BE117" i="2" s="1"/>
  <c r="BC117" i="2"/>
  <c r="BA117" i="2"/>
  <c r="AX117" i="2"/>
  <c r="AY118" i="2" s="1"/>
  <c r="AW117" i="2"/>
  <c r="AU117" i="2"/>
  <c r="AS117" i="2"/>
  <c r="AP117" i="2"/>
  <c r="AN117" i="2"/>
  <c r="AL117" i="2"/>
  <c r="AJ117" i="2"/>
  <c r="AH117" i="2"/>
  <c r="AF117" i="2"/>
  <c r="AD117" i="2"/>
  <c r="AB117" i="2"/>
  <c r="Z117" i="2"/>
  <c r="X117" i="2"/>
  <c r="U117" i="2"/>
  <c r="S117" i="2"/>
  <c r="Q117" i="2"/>
  <c r="O117" i="2"/>
  <c r="M117" i="2"/>
  <c r="K117" i="2"/>
  <c r="I117" i="2"/>
  <c r="G117" i="2"/>
  <c r="E117" i="2"/>
  <c r="C117" i="2"/>
  <c r="BJ116" i="2"/>
  <c r="BI116" i="2"/>
  <c r="BG116" i="2"/>
  <c r="BD116" i="2"/>
  <c r="BC116" i="2"/>
  <c r="BA116" i="2"/>
  <c r="AX116" i="2"/>
  <c r="AW116" i="2"/>
  <c r="AU116" i="2"/>
  <c r="AS116" i="2"/>
  <c r="AP116" i="2"/>
  <c r="AN116" i="2"/>
  <c r="AL116" i="2"/>
  <c r="AJ116" i="2"/>
  <c r="AH116" i="2"/>
  <c r="AF116" i="2"/>
  <c r="AD116" i="2"/>
  <c r="AB116" i="2"/>
  <c r="Z116" i="2"/>
  <c r="X116" i="2"/>
  <c r="U116" i="2"/>
  <c r="S116" i="2"/>
  <c r="Q116" i="2"/>
  <c r="O116" i="2"/>
  <c r="M116" i="2"/>
  <c r="K116" i="2"/>
  <c r="I116" i="2"/>
  <c r="G116" i="2"/>
  <c r="E116" i="2"/>
  <c r="C116" i="2"/>
  <c r="BJ115" i="2"/>
  <c r="BI115" i="2"/>
  <c r="BG115" i="2"/>
  <c r="BD115" i="2"/>
  <c r="BE116" i="2" s="1"/>
  <c r="BC115" i="2"/>
  <c r="BA115" i="2"/>
  <c r="AX115" i="2"/>
  <c r="AY116" i="2" s="1"/>
  <c r="AW115" i="2"/>
  <c r="AU115" i="2"/>
  <c r="AS115" i="2"/>
  <c r="AP115" i="2"/>
  <c r="AN115" i="2"/>
  <c r="AL115" i="2"/>
  <c r="AJ115" i="2"/>
  <c r="AH115" i="2"/>
  <c r="AF115" i="2"/>
  <c r="AD115" i="2"/>
  <c r="AB115" i="2"/>
  <c r="Z115" i="2"/>
  <c r="X115" i="2"/>
  <c r="U115" i="2"/>
  <c r="S115" i="2"/>
  <c r="Q115" i="2"/>
  <c r="O115" i="2"/>
  <c r="M115" i="2"/>
  <c r="K115" i="2"/>
  <c r="I115" i="2"/>
  <c r="G115" i="2"/>
  <c r="E115" i="2"/>
  <c r="C115" i="2"/>
  <c r="BJ114" i="2"/>
  <c r="BI114" i="2"/>
  <c r="BG114" i="2"/>
  <c r="BD114" i="2"/>
  <c r="BE114" i="2" s="1"/>
  <c r="BC114" i="2"/>
  <c r="BA114" i="2"/>
  <c r="AX114" i="2"/>
  <c r="AW114" i="2"/>
  <c r="AU114" i="2"/>
  <c r="AS114" i="2"/>
  <c r="AP114" i="2"/>
  <c r="AN114" i="2"/>
  <c r="AL114" i="2"/>
  <c r="AJ114" i="2"/>
  <c r="AH114" i="2"/>
  <c r="AF114" i="2"/>
  <c r="AD114" i="2"/>
  <c r="AB114" i="2"/>
  <c r="Z114" i="2"/>
  <c r="X114" i="2"/>
  <c r="U114" i="2"/>
  <c r="S114" i="2"/>
  <c r="Q114" i="2"/>
  <c r="O114" i="2"/>
  <c r="M114" i="2"/>
  <c r="K114" i="2"/>
  <c r="I114" i="2"/>
  <c r="G114" i="2"/>
  <c r="E114" i="2"/>
  <c r="C114" i="2"/>
  <c r="BJ113" i="2"/>
  <c r="BI113" i="2"/>
  <c r="BG113" i="2"/>
  <c r="BE113" i="2"/>
  <c r="BD113" i="2"/>
  <c r="BC113" i="2"/>
  <c r="BA113" i="2"/>
  <c r="AY113" i="2"/>
  <c r="AX113" i="2"/>
  <c r="AY114" i="2" s="1"/>
  <c r="AW113" i="2"/>
  <c r="AU113" i="2"/>
  <c r="AS113" i="2"/>
  <c r="AP113" i="2"/>
  <c r="AN113" i="2"/>
  <c r="AL113" i="2"/>
  <c r="AJ113" i="2"/>
  <c r="AH113" i="2"/>
  <c r="AF113" i="2"/>
  <c r="AD113" i="2"/>
  <c r="AB113" i="2"/>
  <c r="Z113" i="2"/>
  <c r="X113" i="2"/>
  <c r="U113" i="2"/>
  <c r="S113" i="2"/>
  <c r="Q113" i="2"/>
  <c r="O113" i="2"/>
  <c r="M113" i="2"/>
  <c r="K113" i="2"/>
  <c r="I113" i="2"/>
  <c r="G113" i="2"/>
  <c r="E113" i="2"/>
  <c r="C113" i="2"/>
  <c r="BJ112" i="2"/>
  <c r="BI112" i="2"/>
  <c r="BG112" i="2"/>
  <c r="BD112" i="2"/>
  <c r="BE112" i="2" s="1"/>
  <c r="BC112" i="2"/>
  <c r="BA112" i="2"/>
  <c r="AX112" i="2"/>
  <c r="AW112" i="2"/>
  <c r="AU112" i="2"/>
  <c r="AS112" i="2"/>
  <c r="AP112" i="2"/>
  <c r="AN112" i="2"/>
  <c r="AL112" i="2"/>
  <c r="AJ112" i="2"/>
  <c r="AH112" i="2"/>
  <c r="AF112" i="2"/>
  <c r="AD112" i="2"/>
  <c r="AB112" i="2"/>
  <c r="Z112" i="2"/>
  <c r="X112" i="2"/>
  <c r="U112" i="2"/>
  <c r="S112" i="2"/>
  <c r="Q112" i="2"/>
  <c r="O112" i="2"/>
  <c r="M112" i="2"/>
  <c r="K112" i="2"/>
  <c r="I112" i="2"/>
  <c r="G112" i="2"/>
  <c r="E112" i="2"/>
  <c r="C112" i="2"/>
  <c r="BJ111" i="2"/>
  <c r="BI111" i="2"/>
  <c r="BG111" i="2"/>
  <c r="BD111" i="2"/>
  <c r="BC111" i="2"/>
  <c r="BA111" i="2"/>
  <c r="AX111" i="2"/>
  <c r="AW111" i="2"/>
  <c r="AU111" i="2"/>
  <c r="AS111" i="2"/>
  <c r="AP111" i="2"/>
  <c r="AN111" i="2"/>
  <c r="AL111" i="2"/>
  <c r="AJ111" i="2"/>
  <c r="AH111" i="2"/>
  <c r="AF111" i="2"/>
  <c r="AD111" i="2"/>
  <c r="AB111" i="2"/>
  <c r="Z111" i="2"/>
  <c r="X111" i="2"/>
  <c r="U111" i="2"/>
  <c r="S111" i="2"/>
  <c r="Q111" i="2"/>
  <c r="O111" i="2"/>
  <c r="M111" i="2"/>
  <c r="K111" i="2"/>
  <c r="I111" i="2"/>
  <c r="G111" i="2"/>
  <c r="E111" i="2"/>
  <c r="C111" i="2"/>
  <c r="BJ110" i="2"/>
  <c r="BI110" i="2"/>
  <c r="BG110" i="2"/>
  <c r="BD110" i="2"/>
  <c r="BE111" i="2" s="1"/>
  <c r="BC110" i="2"/>
  <c r="BA110" i="2"/>
  <c r="AX110" i="2"/>
  <c r="AY111" i="2" s="1"/>
  <c r="AW110" i="2"/>
  <c r="AU110" i="2"/>
  <c r="AS110" i="2"/>
  <c r="AP110" i="2"/>
  <c r="AN110" i="2"/>
  <c r="AL110" i="2"/>
  <c r="AJ110" i="2"/>
  <c r="AH110" i="2"/>
  <c r="AF110" i="2"/>
  <c r="AD110" i="2"/>
  <c r="AB110" i="2"/>
  <c r="Z110" i="2"/>
  <c r="X110" i="2"/>
  <c r="U110" i="2"/>
  <c r="S110" i="2"/>
  <c r="Q110" i="2"/>
  <c r="O110" i="2"/>
  <c r="M110" i="2"/>
  <c r="K110" i="2"/>
  <c r="I110" i="2"/>
  <c r="G110" i="2"/>
  <c r="E110" i="2"/>
  <c r="C110" i="2"/>
  <c r="BJ109" i="2"/>
  <c r="BI109" i="2"/>
  <c r="BG109" i="2"/>
  <c r="BD109" i="2"/>
  <c r="BE109" i="2" s="1"/>
  <c r="BC109" i="2"/>
  <c r="BA109" i="2"/>
  <c r="AX109" i="2"/>
  <c r="AW109" i="2"/>
  <c r="AU109" i="2"/>
  <c r="AS109" i="2"/>
  <c r="AP109" i="2"/>
  <c r="AN109" i="2"/>
  <c r="AL109" i="2"/>
  <c r="AJ109" i="2"/>
  <c r="AH109" i="2"/>
  <c r="AF109" i="2"/>
  <c r="AD109" i="2"/>
  <c r="AB109" i="2"/>
  <c r="Z109" i="2"/>
  <c r="X109" i="2"/>
  <c r="U109" i="2"/>
  <c r="S109" i="2"/>
  <c r="Q109" i="2"/>
  <c r="O109" i="2"/>
  <c r="M109" i="2"/>
  <c r="K109" i="2"/>
  <c r="I109" i="2"/>
  <c r="G109" i="2"/>
  <c r="E109" i="2"/>
  <c r="C109" i="2"/>
  <c r="BJ108" i="2"/>
  <c r="BI108" i="2"/>
  <c r="BG108" i="2"/>
  <c r="BE108" i="2"/>
  <c r="BD108" i="2"/>
  <c r="BC108" i="2"/>
  <c r="BA108" i="2"/>
  <c r="AX108" i="2"/>
  <c r="AW108" i="2"/>
  <c r="AU108" i="2"/>
  <c r="AS108" i="2"/>
  <c r="AP108" i="2"/>
  <c r="AN108" i="2"/>
  <c r="AL108" i="2"/>
  <c r="AJ108" i="2"/>
  <c r="AH108" i="2"/>
  <c r="AF108" i="2"/>
  <c r="AD108" i="2"/>
  <c r="AB108" i="2"/>
  <c r="Z108" i="2"/>
  <c r="X108" i="2"/>
  <c r="U108" i="2"/>
  <c r="S108" i="2"/>
  <c r="Q108" i="2"/>
  <c r="O108" i="2"/>
  <c r="M108" i="2"/>
  <c r="K108" i="2"/>
  <c r="I108" i="2"/>
  <c r="G108" i="2"/>
  <c r="E108" i="2"/>
  <c r="C108" i="2"/>
  <c r="BJ107" i="2"/>
  <c r="BI107" i="2"/>
  <c r="BG107" i="2"/>
  <c r="BE107" i="2"/>
  <c r="BD107" i="2"/>
  <c r="BC107" i="2"/>
  <c r="BA107" i="2"/>
  <c r="AX107" i="2"/>
  <c r="AW107" i="2"/>
  <c r="AU107" i="2"/>
  <c r="AS107" i="2"/>
  <c r="AP107" i="2"/>
  <c r="AN107" i="2"/>
  <c r="AL107" i="2"/>
  <c r="AJ107" i="2"/>
  <c r="AH107" i="2"/>
  <c r="AF107" i="2"/>
  <c r="AD107" i="2"/>
  <c r="AB107" i="2"/>
  <c r="Z107" i="2"/>
  <c r="X107" i="2"/>
  <c r="U107" i="2"/>
  <c r="S107" i="2"/>
  <c r="Q107" i="2"/>
  <c r="O107" i="2"/>
  <c r="M107" i="2"/>
  <c r="K107" i="2"/>
  <c r="I107" i="2"/>
  <c r="G107" i="2"/>
  <c r="E107" i="2"/>
  <c r="C107" i="2"/>
  <c r="BJ106" i="2"/>
  <c r="BI106" i="2"/>
  <c r="BG106" i="2"/>
  <c r="BD106" i="2"/>
  <c r="BC106" i="2"/>
  <c r="BA106" i="2"/>
  <c r="AX106" i="2"/>
  <c r="AW106" i="2"/>
  <c r="AU106" i="2"/>
  <c r="AS106" i="2"/>
  <c r="AP106" i="2"/>
  <c r="AN106" i="2"/>
  <c r="AL106" i="2"/>
  <c r="AJ106" i="2"/>
  <c r="AH106" i="2"/>
  <c r="AF106" i="2"/>
  <c r="AD106" i="2"/>
  <c r="AB106" i="2"/>
  <c r="Z106" i="2"/>
  <c r="X106" i="2"/>
  <c r="U106" i="2"/>
  <c r="S106" i="2"/>
  <c r="Q106" i="2"/>
  <c r="O106" i="2"/>
  <c r="M106" i="2"/>
  <c r="K106" i="2"/>
  <c r="I106" i="2"/>
  <c r="G106" i="2"/>
  <c r="E106" i="2"/>
  <c r="C106" i="2"/>
  <c r="BJ105" i="2"/>
  <c r="BI105" i="2"/>
  <c r="BG105" i="2"/>
  <c r="BD105" i="2"/>
  <c r="BE106" i="2" s="1"/>
  <c r="BC105" i="2"/>
  <c r="BA105" i="2"/>
  <c r="AX105" i="2"/>
  <c r="AY106" i="2" s="1"/>
  <c r="AW105" i="2"/>
  <c r="AU105" i="2"/>
  <c r="AS105" i="2"/>
  <c r="AP105" i="2"/>
  <c r="AN105" i="2"/>
  <c r="AL105" i="2"/>
  <c r="AJ105" i="2"/>
  <c r="AH105" i="2"/>
  <c r="AF105" i="2"/>
  <c r="AD105" i="2"/>
  <c r="AB105" i="2"/>
  <c r="Z105" i="2"/>
  <c r="X105" i="2"/>
  <c r="U105" i="2"/>
  <c r="S105" i="2"/>
  <c r="Q105" i="2"/>
  <c r="O105" i="2"/>
  <c r="M105" i="2"/>
  <c r="K105" i="2"/>
  <c r="I105" i="2"/>
  <c r="G105" i="2"/>
  <c r="E105" i="2"/>
  <c r="C105" i="2"/>
  <c r="BJ104" i="2"/>
  <c r="BI104" i="2"/>
  <c r="BG104" i="2"/>
  <c r="BE104" i="2"/>
  <c r="BD104" i="2"/>
  <c r="BC104" i="2"/>
  <c r="BA104" i="2"/>
  <c r="AX104" i="2"/>
  <c r="AW104" i="2"/>
  <c r="AU104" i="2"/>
  <c r="AS104" i="2"/>
  <c r="AP104" i="2"/>
  <c r="AN104" i="2"/>
  <c r="AL104" i="2"/>
  <c r="AJ104" i="2"/>
  <c r="AH104" i="2"/>
  <c r="AF104" i="2"/>
  <c r="AD104" i="2"/>
  <c r="AB104" i="2"/>
  <c r="Z104" i="2"/>
  <c r="X104" i="2"/>
  <c r="U104" i="2"/>
  <c r="S104" i="2"/>
  <c r="Q104" i="2"/>
  <c r="O104" i="2"/>
  <c r="M104" i="2"/>
  <c r="K104" i="2"/>
  <c r="I104" i="2"/>
  <c r="G104" i="2"/>
  <c r="E104" i="2"/>
  <c r="C104" i="2"/>
  <c r="BJ103" i="2"/>
  <c r="BI103" i="2"/>
  <c r="BG103" i="2"/>
  <c r="BD103" i="2"/>
  <c r="BC103" i="2"/>
  <c r="BA103" i="2"/>
  <c r="AX103" i="2"/>
  <c r="AY104" i="2" s="1"/>
  <c r="AW103" i="2"/>
  <c r="AU103" i="2"/>
  <c r="AS103" i="2"/>
  <c r="AP103" i="2"/>
  <c r="AN103" i="2"/>
  <c r="AL103" i="2"/>
  <c r="AJ103" i="2"/>
  <c r="AH103" i="2"/>
  <c r="AF103" i="2"/>
  <c r="AD103" i="2"/>
  <c r="AB103" i="2"/>
  <c r="Z103" i="2"/>
  <c r="X103" i="2"/>
  <c r="U103" i="2"/>
  <c r="S103" i="2"/>
  <c r="Q103" i="2"/>
  <c r="O103" i="2"/>
  <c r="M103" i="2"/>
  <c r="K103" i="2"/>
  <c r="I103" i="2"/>
  <c r="G103" i="2"/>
  <c r="E103" i="2"/>
  <c r="C103" i="2"/>
  <c r="BJ102" i="2"/>
  <c r="BI102" i="2"/>
  <c r="BG102" i="2"/>
  <c r="BE102" i="2"/>
  <c r="BD102" i="2"/>
  <c r="BE103" i="2" s="1"/>
  <c r="BC102" i="2"/>
  <c r="BA102" i="2"/>
  <c r="AX102" i="2"/>
  <c r="AW102" i="2"/>
  <c r="AU102" i="2"/>
  <c r="AS102" i="2"/>
  <c r="AP102" i="2"/>
  <c r="AN102" i="2"/>
  <c r="AL102" i="2"/>
  <c r="AJ102" i="2"/>
  <c r="AH102" i="2"/>
  <c r="AF102" i="2"/>
  <c r="AD102" i="2"/>
  <c r="AB102" i="2"/>
  <c r="Z102" i="2"/>
  <c r="X102" i="2"/>
  <c r="U102" i="2"/>
  <c r="S102" i="2"/>
  <c r="Q102" i="2"/>
  <c r="O102" i="2"/>
  <c r="M102" i="2"/>
  <c r="K102" i="2"/>
  <c r="I102" i="2"/>
  <c r="G102" i="2"/>
  <c r="E102" i="2"/>
  <c r="C102" i="2"/>
  <c r="BJ101" i="2"/>
  <c r="BI101" i="2"/>
  <c r="BG101" i="2"/>
  <c r="BD101" i="2"/>
  <c r="BC101" i="2"/>
  <c r="BA101" i="2"/>
  <c r="AX101" i="2"/>
  <c r="AW101" i="2"/>
  <c r="AU101" i="2"/>
  <c r="AS101" i="2"/>
  <c r="AP101" i="2"/>
  <c r="AN101" i="2"/>
  <c r="AL101" i="2"/>
  <c r="AJ101" i="2"/>
  <c r="AH101" i="2"/>
  <c r="AF101" i="2"/>
  <c r="AD101" i="2"/>
  <c r="AB101" i="2"/>
  <c r="Z101" i="2"/>
  <c r="X101" i="2"/>
  <c r="U101" i="2"/>
  <c r="S101" i="2"/>
  <c r="Q101" i="2"/>
  <c r="O101" i="2"/>
  <c r="M101" i="2"/>
  <c r="K101" i="2"/>
  <c r="I101" i="2"/>
  <c r="G101" i="2"/>
  <c r="E101" i="2"/>
  <c r="C101" i="2"/>
  <c r="BJ100" i="2"/>
  <c r="BI100" i="2"/>
  <c r="BG100" i="2"/>
  <c r="BD100" i="2"/>
  <c r="BE101" i="2" s="1"/>
  <c r="BC100" i="2"/>
  <c r="BA100" i="2"/>
  <c r="AX100" i="2"/>
  <c r="AW100" i="2"/>
  <c r="AU100" i="2"/>
  <c r="AS100" i="2"/>
  <c r="AP100" i="2"/>
  <c r="AN100" i="2"/>
  <c r="AL100" i="2"/>
  <c r="AJ100" i="2"/>
  <c r="AH100" i="2"/>
  <c r="AF100" i="2"/>
  <c r="AD100" i="2"/>
  <c r="AB100" i="2"/>
  <c r="Z100" i="2"/>
  <c r="X100" i="2"/>
  <c r="U100" i="2"/>
  <c r="S100" i="2"/>
  <c r="Q100" i="2"/>
  <c r="O100" i="2"/>
  <c r="M100" i="2"/>
  <c r="K100" i="2"/>
  <c r="I100" i="2"/>
  <c r="G100" i="2"/>
  <c r="E100" i="2"/>
  <c r="C100" i="2"/>
  <c r="BJ99" i="2"/>
  <c r="BI99" i="2"/>
  <c r="BG99" i="2"/>
  <c r="BD99" i="2"/>
  <c r="BC99" i="2"/>
  <c r="BA99" i="2"/>
  <c r="AX99" i="2"/>
  <c r="AW99" i="2"/>
  <c r="AU99" i="2"/>
  <c r="AS99" i="2"/>
  <c r="AP99" i="2"/>
  <c r="AN99" i="2"/>
  <c r="AL99" i="2"/>
  <c r="AJ99" i="2"/>
  <c r="AH99" i="2"/>
  <c r="AF99" i="2"/>
  <c r="AD99" i="2"/>
  <c r="AB99" i="2"/>
  <c r="Z99" i="2"/>
  <c r="X99" i="2"/>
  <c r="U99" i="2"/>
  <c r="S99" i="2"/>
  <c r="Q99" i="2"/>
  <c r="O99" i="2"/>
  <c r="M99" i="2"/>
  <c r="K99" i="2"/>
  <c r="I99" i="2"/>
  <c r="G99" i="2"/>
  <c r="E99" i="2"/>
  <c r="C99" i="2"/>
  <c r="BJ98" i="2"/>
  <c r="BI98" i="2"/>
  <c r="BG98" i="2"/>
  <c r="BD98" i="2"/>
  <c r="BC98" i="2"/>
  <c r="BA98" i="2"/>
  <c r="AX98" i="2"/>
  <c r="AW98" i="2"/>
  <c r="AU98" i="2"/>
  <c r="AS98" i="2"/>
  <c r="AP98" i="2"/>
  <c r="AN98" i="2"/>
  <c r="AL98" i="2"/>
  <c r="AJ98" i="2"/>
  <c r="AH98" i="2"/>
  <c r="AF98" i="2"/>
  <c r="AD98" i="2"/>
  <c r="AB98" i="2"/>
  <c r="Z98" i="2"/>
  <c r="X98" i="2"/>
  <c r="U98" i="2"/>
  <c r="S98" i="2"/>
  <c r="Q98" i="2"/>
  <c r="O98" i="2"/>
  <c r="M98" i="2"/>
  <c r="K98" i="2"/>
  <c r="I98" i="2"/>
  <c r="G98" i="2"/>
  <c r="E98" i="2"/>
  <c r="C98" i="2"/>
  <c r="BJ97" i="2"/>
  <c r="BI97" i="2"/>
  <c r="BG97" i="2"/>
  <c r="BD97" i="2"/>
  <c r="BC97" i="2"/>
  <c r="BA97" i="2"/>
  <c r="AX97" i="2"/>
  <c r="AW97" i="2"/>
  <c r="AU97" i="2"/>
  <c r="AS97" i="2"/>
  <c r="AP97" i="2"/>
  <c r="AN97" i="2"/>
  <c r="AL97" i="2"/>
  <c r="AJ97" i="2"/>
  <c r="AH97" i="2"/>
  <c r="AF97" i="2"/>
  <c r="AD97" i="2"/>
  <c r="AB97" i="2"/>
  <c r="Z97" i="2"/>
  <c r="X97" i="2"/>
  <c r="U97" i="2"/>
  <c r="S97" i="2"/>
  <c r="Q97" i="2"/>
  <c r="O97" i="2"/>
  <c r="M97" i="2"/>
  <c r="K97" i="2"/>
  <c r="I97" i="2"/>
  <c r="G97" i="2"/>
  <c r="E97" i="2"/>
  <c r="C97" i="2"/>
  <c r="BJ96" i="2"/>
  <c r="BI96" i="2"/>
  <c r="BG96" i="2"/>
  <c r="BD96" i="2"/>
  <c r="BE97" i="2" s="1"/>
  <c r="BC96" i="2"/>
  <c r="BA96" i="2"/>
  <c r="AX96" i="2"/>
  <c r="AW96" i="2"/>
  <c r="AU96" i="2"/>
  <c r="AS96" i="2"/>
  <c r="AP96" i="2"/>
  <c r="AN96" i="2"/>
  <c r="AL96" i="2"/>
  <c r="AJ96" i="2"/>
  <c r="AH96" i="2"/>
  <c r="AF96" i="2"/>
  <c r="AD96" i="2"/>
  <c r="AB96" i="2"/>
  <c r="Z96" i="2"/>
  <c r="X96" i="2"/>
  <c r="U96" i="2"/>
  <c r="S96" i="2"/>
  <c r="Q96" i="2"/>
  <c r="O96" i="2"/>
  <c r="M96" i="2"/>
  <c r="K96" i="2"/>
  <c r="I96" i="2"/>
  <c r="G96" i="2"/>
  <c r="E96" i="2"/>
  <c r="C96" i="2"/>
  <c r="BJ95" i="2"/>
  <c r="BI95" i="2"/>
  <c r="BG95" i="2"/>
  <c r="BD95" i="2"/>
  <c r="BC95" i="2"/>
  <c r="BA95" i="2"/>
  <c r="AX95" i="2"/>
  <c r="AY96" i="2" s="1"/>
  <c r="AW95" i="2"/>
  <c r="AU95" i="2"/>
  <c r="AS95" i="2"/>
  <c r="AP95" i="2"/>
  <c r="AN95" i="2"/>
  <c r="AL95" i="2"/>
  <c r="AJ95" i="2"/>
  <c r="AH95" i="2"/>
  <c r="AF95" i="2"/>
  <c r="AD95" i="2"/>
  <c r="AB95" i="2"/>
  <c r="Z95" i="2"/>
  <c r="X95" i="2"/>
  <c r="U95" i="2"/>
  <c r="S95" i="2"/>
  <c r="Q95" i="2"/>
  <c r="O95" i="2"/>
  <c r="M95" i="2"/>
  <c r="K95" i="2"/>
  <c r="I95" i="2"/>
  <c r="G95" i="2"/>
  <c r="E95" i="2"/>
  <c r="C95" i="2"/>
  <c r="BJ94" i="2"/>
  <c r="BI94" i="2"/>
  <c r="BG94" i="2"/>
  <c r="BD94" i="2"/>
  <c r="BC94" i="2"/>
  <c r="BA94" i="2"/>
  <c r="AX94" i="2"/>
  <c r="AW94" i="2"/>
  <c r="AU94" i="2"/>
  <c r="AS94" i="2"/>
  <c r="AP94" i="2"/>
  <c r="AN94" i="2"/>
  <c r="AL94" i="2"/>
  <c r="AJ94" i="2"/>
  <c r="AH94" i="2"/>
  <c r="AF94" i="2"/>
  <c r="AD94" i="2"/>
  <c r="AB94" i="2"/>
  <c r="Z94" i="2"/>
  <c r="X94" i="2"/>
  <c r="U94" i="2"/>
  <c r="S94" i="2"/>
  <c r="Q94" i="2"/>
  <c r="O94" i="2"/>
  <c r="M94" i="2"/>
  <c r="K94" i="2"/>
  <c r="I94" i="2"/>
  <c r="G94" i="2"/>
  <c r="E94" i="2"/>
  <c r="C94" i="2"/>
  <c r="BJ93" i="2"/>
  <c r="BI93" i="2"/>
  <c r="BG93" i="2"/>
  <c r="BD93" i="2"/>
  <c r="BC93" i="2"/>
  <c r="BA93" i="2"/>
  <c r="AX93" i="2"/>
  <c r="AW93" i="2"/>
  <c r="AU93" i="2"/>
  <c r="AS93" i="2"/>
  <c r="AP93" i="2"/>
  <c r="AN93" i="2"/>
  <c r="AL93" i="2"/>
  <c r="AJ93" i="2"/>
  <c r="AH93" i="2"/>
  <c r="AF93" i="2"/>
  <c r="AD93" i="2"/>
  <c r="AB93" i="2"/>
  <c r="Z93" i="2"/>
  <c r="X93" i="2"/>
  <c r="U93" i="2"/>
  <c r="S93" i="2"/>
  <c r="Q93" i="2"/>
  <c r="O93" i="2"/>
  <c r="M93" i="2"/>
  <c r="K93" i="2"/>
  <c r="I93" i="2"/>
  <c r="G93" i="2"/>
  <c r="E93" i="2"/>
  <c r="C93" i="2"/>
  <c r="BJ92" i="2"/>
  <c r="BK92" i="2" s="1"/>
  <c r="BI92" i="2"/>
  <c r="BG92" i="2"/>
  <c r="BD92" i="2"/>
  <c r="BC92" i="2"/>
  <c r="BA92" i="2"/>
  <c r="AX92" i="2"/>
  <c r="AW92" i="2"/>
  <c r="AU92" i="2"/>
  <c r="AS92" i="2"/>
  <c r="AP92" i="2"/>
  <c r="AN92" i="2"/>
  <c r="AL92" i="2"/>
  <c r="AJ92" i="2"/>
  <c r="AH92" i="2"/>
  <c r="AF92" i="2"/>
  <c r="AD92" i="2"/>
  <c r="AB92" i="2"/>
  <c r="Z92" i="2"/>
  <c r="X92" i="2"/>
  <c r="U92" i="2"/>
  <c r="S92" i="2"/>
  <c r="Q92" i="2"/>
  <c r="O92" i="2"/>
  <c r="M92" i="2"/>
  <c r="K92" i="2"/>
  <c r="I92" i="2"/>
  <c r="G92" i="2"/>
  <c r="E92" i="2"/>
  <c r="C92" i="2"/>
  <c r="BJ91" i="2"/>
  <c r="BI91" i="2"/>
  <c r="BG91" i="2"/>
  <c r="BD91" i="2"/>
  <c r="BC91" i="2"/>
  <c r="BA91" i="2"/>
  <c r="AX91" i="2"/>
  <c r="AY92" i="2" s="1"/>
  <c r="AW91" i="2"/>
  <c r="AU91" i="2"/>
  <c r="AS91" i="2"/>
  <c r="AP91" i="2"/>
  <c r="AN91" i="2"/>
  <c r="AL91" i="2"/>
  <c r="AJ91" i="2"/>
  <c r="AH91" i="2"/>
  <c r="AF91" i="2"/>
  <c r="AD91" i="2"/>
  <c r="AB91" i="2"/>
  <c r="Z91" i="2"/>
  <c r="X91" i="2"/>
  <c r="U91" i="2"/>
  <c r="S91" i="2"/>
  <c r="Q91" i="2"/>
  <c r="O91" i="2"/>
  <c r="M91" i="2"/>
  <c r="K91" i="2"/>
  <c r="I91" i="2"/>
  <c r="G91" i="2"/>
  <c r="E91" i="2"/>
  <c r="C91" i="2"/>
  <c r="BJ90" i="2"/>
  <c r="BI90" i="2"/>
  <c r="BG90" i="2"/>
  <c r="BD90" i="2"/>
  <c r="BC90" i="2"/>
  <c r="BA90" i="2"/>
  <c r="AX90" i="2"/>
  <c r="AW90" i="2"/>
  <c r="AU90" i="2"/>
  <c r="AS90" i="2"/>
  <c r="AP90" i="2"/>
  <c r="AN90" i="2"/>
  <c r="AL90" i="2"/>
  <c r="AJ90" i="2"/>
  <c r="AH90" i="2"/>
  <c r="AF90" i="2"/>
  <c r="AD90" i="2"/>
  <c r="AB90" i="2"/>
  <c r="Z90" i="2"/>
  <c r="X90" i="2"/>
  <c r="U90" i="2"/>
  <c r="S90" i="2"/>
  <c r="Q90" i="2"/>
  <c r="O90" i="2"/>
  <c r="M90" i="2"/>
  <c r="K90" i="2"/>
  <c r="I90" i="2"/>
  <c r="G90" i="2"/>
  <c r="E90" i="2"/>
  <c r="C90" i="2"/>
  <c r="BJ89" i="2"/>
  <c r="BK89" i="2" s="1"/>
  <c r="BI89" i="2"/>
  <c r="BG89" i="2"/>
  <c r="BD89" i="2"/>
  <c r="BC89" i="2"/>
  <c r="BA89" i="2"/>
  <c r="AX89" i="2"/>
  <c r="AW89" i="2"/>
  <c r="AU89" i="2"/>
  <c r="AS89" i="2"/>
  <c r="AP89" i="2"/>
  <c r="AN89" i="2"/>
  <c r="AL89" i="2"/>
  <c r="AJ89" i="2"/>
  <c r="AH89" i="2"/>
  <c r="AF89" i="2"/>
  <c r="AD89" i="2"/>
  <c r="AB89" i="2"/>
  <c r="Z89" i="2"/>
  <c r="X89" i="2"/>
  <c r="U89" i="2"/>
  <c r="S89" i="2"/>
  <c r="Q89" i="2"/>
  <c r="O89" i="2"/>
  <c r="M89" i="2"/>
  <c r="K89" i="2"/>
  <c r="I89" i="2"/>
  <c r="G89" i="2"/>
  <c r="E89" i="2"/>
  <c r="C89" i="2"/>
  <c r="BJ88" i="2"/>
  <c r="BI88" i="2"/>
  <c r="BG88" i="2"/>
  <c r="BD88" i="2"/>
  <c r="BC88" i="2"/>
  <c r="BA88" i="2"/>
  <c r="AX88" i="2"/>
  <c r="AW88" i="2"/>
  <c r="AU88" i="2"/>
  <c r="AS88" i="2"/>
  <c r="AP88" i="2"/>
  <c r="AN88" i="2"/>
  <c r="AL88" i="2"/>
  <c r="AJ88" i="2"/>
  <c r="AH88" i="2"/>
  <c r="AF88" i="2"/>
  <c r="AD88" i="2"/>
  <c r="AB88" i="2"/>
  <c r="Z88" i="2"/>
  <c r="X88" i="2"/>
  <c r="U88" i="2"/>
  <c r="S88" i="2"/>
  <c r="Q88" i="2"/>
  <c r="O88" i="2"/>
  <c r="M88" i="2"/>
  <c r="K88" i="2"/>
  <c r="I88" i="2"/>
  <c r="G88" i="2"/>
  <c r="E88" i="2"/>
  <c r="C88" i="2"/>
  <c r="BJ87" i="2"/>
  <c r="BI87" i="2"/>
  <c r="BG87" i="2"/>
  <c r="BD87" i="2"/>
  <c r="BC87" i="2"/>
  <c r="BA87" i="2"/>
  <c r="AX87" i="2"/>
  <c r="AY88" i="2" s="1"/>
  <c r="AW87" i="2"/>
  <c r="AU87" i="2"/>
  <c r="AS87" i="2"/>
  <c r="AP87" i="2"/>
  <c r="AN87" i="2"/>
  <c r="AL87" i="2"/>
  <c r="AJ87" i="2"/>
  <c r="AH87" i="2"/>
  <c r="AF87" i="2"/>
  <c r="AD87" i="2"/>
  <c r="AB87" i="2"/>
  <c r="Z87" i="2"/>
  <c r="X87" i="2"/>
  <c r="U87" i="2"/>
  <c r="S87" i="2"/>
  <c r="Q87" i="2"/>
  <c r="O87" i="2"/>
  <c r="M87" i="2"/>
  <c r="K87" i="2"/>
  <c r="I87" i="2"/>
  <c r="G87" i="2"/>
  <c r="E87" i="2"/>
  <c r="C87" i="2"/>
  <c r="BJ86" i="2"/>
  <c r="BI86" i="2"/>
  <c r="BG86" i="2"/>
  <c r="BD86" i="2"/>
  <c r="BC86" i="2"/>
  <c r="BA86" i="2"/>
  <c r="AX86" i="2"/>
  <c r="AW86" i="2"/>
  <c r="AU86" i="2"/>
  <c r="AS86" i="2"/>
  <c r="AP86" i="2"/>
  <c r="AN86" i="2"/>
  <c r="AL86" i="2"/>
  <c r="AJ86" i="2"/>
  <c r="AH86" i="2"/>
  <c r="AF86" i="2"/>
  <c r="AD86" i="2"/>
  <c r="AB86" i="2"/>
  <c r="Z86" i="2"/>
  <c r="X86" i="2"/>
  <c r="U86" i="2"/>
  <c r="S86" i="2"/>
  <c r="Q86" i="2"/>
  <c r="O86" i="2"/>
  <c r="M86" i="2"/>
  <c r="K86" i="2"/>
  <c r="I86" i="2"/>
  <c r="G86" i="2"/>
  <c r="E86" i="2"/>
  <c r="C86" i="2"/>
  <c r="BJ85" i="2"/>
  <c r="BK85" i="2" s="1"/>
  <c r="BI85" i="2"/>
  <c r="BG85" i="2"/>
  <c r="BD85" i="2"/>
  <c r="BC85" i="2"/>
  <c r="BA85" i="2"/>
  <c r="AX85" i="2"/>
  <c r="AY86" i="2" s="1"/>
  <c r="AW85" i="2"/>
  <c r="AU85" i="2"/>
  <c r="AS85" i="2"/>
  <c r="AP85" i="2"/>
  <c r="AN85" i="2"/>
  <c r="AL85" i="2"/>
  <c r="AJ85" i="2"/>
  <c r="AH85" i="2"/>
  <c r="AF85" i="2"/>
  <c r="AD85" i="2"/>
  <c r="AB85" i="2"/>
  <c r="Z85" i="2"/>
  <c r="X85" i="2"/>
  <c r="U85" i="2"/>
  <c r="S85" i="2"/>
  <c r="Q85" i="2"/>
  <c r="O85" i="2"/>
  <c r="M85" i="2"/>
  <c r="K85" i="2"/>
  <c r="I85" i="2"/>
  <c r="G85" i="2"/>
  <c r="E85" i="2"/>
  <c r="C85" i="2"/>
  <c r="BJ84" i="2"/>
  <c r="BI84" i="2"/>
  <c r="BG84" i="2"/>
  <c r="BD84" i="2"/>
  <c r="BC84" i="2"/>
  <c r="BA84" i="2"/>
  <c r="AX84" i="2"/>
  <c r="AW84" i="2"/>
  <c r="AU84" i="2"/>
  <c r="AS84" i="2"/>
  <c r="AP84" i="2"/>
  <c r="AN84" i="2"/>
  <c r="AL84" i="2"/>
  <c r="AJ84" i="2"/>
  <c r="AH84" i="2"/>
  <c r="AF84" i="2"/>
  <c r="AD84" i="2"/>
  <c r="AB84" i="2"/>
  <c r="Z84" i="2"/>
  <c r="X84" i="2"/>
  <c r="U84" i="2"/>
  <c r="S84" i="2"/>
  <c r="Q84" i="2"/>
  <c r="O84" i="2"/>
  <c r="M84" i="2"/>
  <c r="K84" i="2"/>
  <c r="I84" i="2"/>
  <c r="G84" i="2"/>
  <c r="E84" i="2"/>
  <c r="C84" i="2"/>
  <c r="BJ83" i="2"/>
  <c r="BK83" i="2" s="1"/>
  <c r="BI83" i="2"/>
  <c r="BG83" i="2"/>
  <c r="BD83" i="2"/>
  <c r="BC83" i="2"/>
  <c r="BA83" i="2"/>
  <c r="AX83" i="2"/>
  <c r="AW83" i="2"/>
  <c r="AU83" i="2"/>
  <c r="AS83" i="2"/>
  <c r="AP83" i="2"/>
  <c r="AN83" i="2"/>
  <c r="AL83" i="2"/>
  <c r="AJ83" i="2"/>
  <c r="AH83" i="2"/>
  <c r="AF83" i="2"/>
  <c r="AD83" i="2"/>
  <c r="AB83" i="2"/>
  <c r="Z83" i="2"/>
  <c r="X83" i="2"/>
  <c r="U83" i="2"/>
  <c r="S83" i="2"/>
  <c r="Q83" i="2"/>
  <c r="O83" i="2"/>
  <c r="M83" i="2"/>
  <c r="K83" i="2"/>
  <c r="I83" i="2"/>
  <c r="G83" i="2"/>
  <c r="E83" i="2"/>
  <c r="C83" i="2"/>
  <c r="BJ82" i="2"/>
  <c r="BI82" i="2"/>
  <c r="BG82" i="2"/>
  <c r="BD82" i="2"/>
  <c r="BC82" i="2"/>
  <c r="BA82" i="2"/>
  <c r="AX82" i="2"/>
  <c r="AW82" i="2"/>
  <c r="AU82" i="2"/>
  <c r="AS82" i="2"/>
  <c r="AP82" i="2"/>
  <c r="AN82" i="2"/>
  <c r="AL82" i="2"/>
  <c r="AJ82" i="2"/>
  <c r="AH82" i="2"/>
  <c r="AF82" i="2"/>
  <c r="AD82" i="2"/>
  <c r="AB82" i="2"/>
  <c r="Z82" i="2"/>
  <c r="X82" i="2"/>
  <c r="U82" i="2"/>
  <c r="S82" i="2"/>
  <c r="Q82" i="2"/>
  <c r="O82" i="2"/>
  <c r="M82" i="2"/>
  <c r="K82" i="2"/>
  <c r="I82" i="2"/>
  <c r="G82" i="2"/>
  <c r="E82" i="2"/>
  <c r="C82" i="2"/>
  <c r="BJ81" i="2"/>
  <c r="BI81" i="2"/>
  <c r="BG81" i="2"/>
  <c r="BD81" i="2"/>
  <c r="BC81" i="2"/>
  <c r="BA81" i="2"/>
  <c r="AX81" i="2"/>
  <c r="AY82" i="2" s="1"/>
  <c r="AW81" i="2"/>
  <c r="AU81" i="2"/>
  <c r="AS81" i="2"/>
  <c r="AP81" i="2"/>
  <c r="AN81" i="2"/>
  <c r="AL81" i="2"/>
  <c r="AJ81" i="2"/>
  <c r="AH81" i="2"/>
  <c r="AF81" i="2"/>
  <c r="AD81" i="2"/>
  <c r="AB81" i="2"/>
  <c r="Z81" i="2"/>
  <c r="X81" i="2"/>
  <c r="U81" i="2"/>
  <c r="S81" i="2"/>
  <c r="Q81" i="2"/>
  <c r="O81" i="2"/>
  <c r="M81" i="2"/>
  <c r="K81" i="2"/>
  <c r="I81" i="2"/>
  <c r="G81" i="2"/>
  <c r="E81" i="2"/>
  <c r="C81" i="2"/>
  <c r="BJ80" i="2"/>
  <c r="BI80" i="2"/>
  <c r="BG80" i="2"/>
  <c r="BD80" i="2"/>
  <c r="BC80" i="2"/>
  <c r="BA80" i="2"/>
  <c r="AX80" i="2"/>
  <c r="AW80" i="2"/>
  <c r="AU80" i="2"/>
  <c r="AS80" i="2"/>
  <c r="AP80" i="2"/>
  <c r="AN80" i="2"/>
  <c r="AL80" i="2"/>
  <c r="AJ80" i="2"/>
  <c r="AH80" i="2"/>
  <c r="AF80" i="2"/>
  <c r="AD80" i="2"/>
  <c r="AB80" i="2"/>
  <c r="Z80" i="2"/>
  <c r="X80" i="2"/>
  <c r="U80" i="2"/>
  <c r="S80" i="2"/>
  <c r="Q80" i="2"/>
  <c r="O80" i="2"/>
  <c r="M80" i="2"/>
  <c r="K80" i="2"/>
  <c r="I80" i="2"/>
  <c r="G80" i="2"/>
  <c r="E80" i="2"/>
  <c r="C80" i="2"/>
  <c r="BJ79" i="2"/>
  <c r="BI79" i="2"/>
  <c r="BG79" i="2"/>
  <c r="BD79" i="2"/>
  <c r="BC79" i="2"/>
  <c r="BA79" i="2"/>
  <c r="AX79" i="2"/>
  <c r="AY80" i="2" s="1"/>
  <c r="AW79" i="2"/>
  <c r="AU79" i="2"/>
  <c r="AS79" i="2"/>
  <c r="AP79" i="2"/>
  <c r="AN79" i="2"/>
  <c r="AL79" i="2"/>
  <c r="AJ79" i="2"/>
  <c r="AH79" i="2"/>
  <c r="AF79" i="2"/>
  <c r="AD79" i="2"/>
  <c r="AB79" i="2"/>
  <c r="Z79" i="2"/>
  <c r="X79" i="2"/>
  <c r="U79" i="2"/>
  <c r="S79" i="2"/>
  <c r="Q79" i="2"/>
  <c r="O79" i="2"/>
  <c r="M79" i="2"/>
  <c r="K79" i="2"/>
  <c r="I79" i="2"/>
  <c r="G79" i="2"/>
  <c r="E79" i="2"/>
  <c r="C79" i="2"/>
  <c r="BJ78" i="2"/>
  <c r="BI78" i="2"/>
  <c r="BG78" i="2"/>
  <c r="BD78" i="2"/>
  <c r="BC78" i="2"/>
  <c r="BA78" i="2"/>
  <c r="AX78" i="2"/>
  <c r="AW78" i="2"/>
  <c r="AU78" i="2"/>
  <c r="AS78" i="2"/>
  <c r="AP78" i="2"/>
  <c r="AN78" i="2"/>
  <c r="AL78" i="2"/>
  <c r="AJ78" i="2"/>
  <c r="AH78" i="2"/>
  <c r="AF78" i="2"/>
  <c r="AD78" i="2"/>
  <c r="AB78" i="2"/>
  <c r="Z78" i="2"/>
  <c r="X78" i="2"/>
  <c r="U78" i="2"/>
  <c r="S78" i="2"/>
  <c r="Q78" i="2"/>
  <c r="O78" i="2"/>
  <c r="M78" i="2"/>
  <c r="K78" i="2"/>
  <c r="I78" i="2"/>
  <c r="G78" i="2"/>
  <c r="E78" i="2"/>
  <c r="C78" i="2"/>
  <c r="BJ77" i="2"/>
  <c r="BK77" i="2" s="1"/>
  <c r="BI77" i="2"/>
  <c r="BG77" i="2"/>
  <c r="BD77" i="2"/>
  <c r="BC77" i="2"/>
  <c r="BA77" i="2"/>
  <c r="AX77" i="2"/>
  <c r="AY77" i="2" s="1"/>
  <c r="AW77" i="2"/>
  <c r="AU77" i="2"/>
  <c r="AS77" i="2"/>
  <c r="AP77" i="2"/>
  <c r="AN77" i="2"/>
  <c r="AL77" i="2"/>
  <c r="AJ77" i="2"/>
  <c r="AH77" i="2"/>
  <c r="AF77" i="2"/>
  <c r="AD77" i="2"/>
  <c r="AB77" i="2"/>
  <c r="Z77" i="2"/>
  <c r="X77" i="2"/>
  <c r="U77" i="2"/>
  <c r="S77" i="2"/>
  <c r="Q77" i="2"/>
  <c r="O77" i="2"/>
  <c r="M77" i="2"/>
  <c r="K77" i="2"/>
  <c r="I77" i="2"/>
  <c r="G77" i="2"/>
  <c r="E77" i="2"/>
  <c r="C77" i="2"/>
  <c r="BJ76" i="2"/>
  <c r="BI76" i="2"/>
  <c r="BG76" i="2"/>
  <c r="BD76" i="2"/>
  <c r="BC76" i="2"/>
  <c r="BA76" i="2"/>
  <c r="AX76" i="2"/>
  <c r="AW76" i="2"/>
  <c r="AU76" i="2"/>
  <c r="AS76" i="2"/>
  <c r="AP76" i="2"/>
  <c r="AN76" i="2"/>
  <c r="AL76" i="2"/>
  <c r="AJ76" i="2"/>
  <c r="AH76" i="2"/>
  <c r="AF76" i="2"/>
  <c r="AD76" i="2"/>
  <c r="AB76" i="2"/>
  <c r="Z76" i="2"/>
  <c r="X76" i="2"/>
  <c r="U76" i="2"/>
  <c r="S76" i="2"/>
  <c r="Q76" i="2"/>
  <c r="O76" i="2"/>
  <c r="M76" i="2"/>
  <c r="K76" i="2"/>
  <c r="I76" i="2"/>
  <c r="G76" i="2"/>
  <c r="E76" i="2"/>
  <c r="C76" i="2"/>
  <c r="BJ75" i="2"/>
  <c r="BK75" i="2" s="1"/>
  <c r="BI75" i="2"/>
  <c r="BG75" i="2"/>
  <c r="BD75" i="2"/>
  <c r="BC75" i="2"/>
  <c r="BA75" i="2"/>
  <c r="AX75" i="2"/>
  <c r="AW75" i="2"/>
  <c r="AU75" i="2"/>
  <c r="AS75" i="2"/>
  <c r="AP75" i="2"/>
  <c r="AN75" i="2"/>
  <c r="AL75" i="2"/>
  <c r="AJ75" i="2"/>
  <c r="AH75" i="2"/>
  <c r="AF75" i="2"/>
  <c r="AD75" i="2"/>
  <c r="AB75" i="2"/>
  <c r="Z75" i="2"/>
  <c r="X75" i="2"/>
  <c r="U75" i="2"/>
  <c r="S75" i="2"/>
  <c r="Q75" i="2"/>
  <c r="O75" i="2"/>
  <c r="M75" i="2"/>
  <c r="K75" i="2"/>
  <c r="I75" i="2"/>
  <c r="G75" i="2"/>
  <c r="E75" i="2"/>
  <c r="C75" i="2"/>
  <c r="BJ74" i="2"/>
  <c r="BI74" i="2"/>
  <c r="BG74" i="2"/>
  <c r="BD74" i="2"/>
  <c r="BC74" i="2"/>
  <c r="BA74" i="2"/>
  <c r="AX74" i="2"/>
  <c r="AW74" i="2"/>
  <c r="AU74" i="2"/>
  <c r="AS74" i="2"/>
  <c r="AP74" i="2"/>
  <c r="AN74" i="2"/>
  <c r="AL74" i="2"/>
  <c r="AJ74" i="2"/>
  <c r="AH74" i="2"/>
  <c r="AF74" i="2"/>
  <c r="AD74" i="2"/>
  <c r="AB74" i="2"/>
  <c r="Z74" i="2"/>
  <c r="X74" i="2"/>
  <c r="U74" i="2"/>
  <c r="S74" i="2"/>
  <c r="Q74" i="2"/>
  <c r="O74" i="2"/>
  <c r="M74" i="2"/>
  <c r="K74" i="2"/>
  <c r="I74" i="2"/>
  <c r="G74" i="2"/>
  <c r="E74" i="2"/>
  <c r="C74" i="2"/>
  <c r="BJ73" i="2"/>
  <c r="BI73" i="2"/>
  <c r="BG73" i="2"/>
  <c r="BD73" i="2"/>
  <c r="BC73" i="2"/>
  <c r="BA73" i="2"/>
  <c r="AX73" i="2"/>
  <c r="AY74" i="2" s="1"/>
  <c r="AW73" i="2"/>
  <c r="AU73" i="2"/>
  <c r="AS73" i="2"/>
  <c r="AP73" i="2"/>
  <c r="AN73" i="2"/>
  <c r="AL73" i="2"/>
  <c r="AJ73" i="2"/>
  <c r="AH73" i="2"/>
  <c r="AF73" i="2"/>
  <c r="AD73" i="2"/>
  <c r="AB73" i="2"/>
  <c r="Z73" i="2"/>
  <c r="X73" i="2"/>
  <c r="U73" i="2"/>
  <c r="S73" i="2"/>
  <c r="Q73" i="2"/>
  <c r="O73" i="2"/>
  <c r="M73" i="2"/>
  <c r="K73" i="2"/>
  <c r="I73" i="2"/>
  <c r="G73" i="2"/>
  <c r="E73" i="2"/>
  <c r="C73" i="2"/>
  <c r="BJ72" i="2"/>
  <c r="BK72" i="2" s="1"/>
  <c r="BI72" i="2"/>
  <c r="BG72" i="2"/>
  <c r="BD72" i="2"/>
  <c r="BC72" i="2"/>
  <c r="BA72" i="2"/>
  <c r="AX72" i="2"/>
  <c r="AW72" i="2"/>
  <c r="AU72" i="2"/>
  <c r="AS72" i="2"/>
  <c r="AP72" i="2"/>
  <c r="AN72" i="2"/>
  <c r="AL72" i="2"/>
  <c r="AJ72" i="2"/>
  <c r="AH72" i="2"/>
  <c r="AF72" i="2"/>
  <c r="AD72" i="2"/>
  <c r="AB72" i="2"/>
  <c r="Z72" i="2"/>
  <c r="X72" i="2"/>
  <c r="U72" i="2"/>
  <c r="S72" i="2"/>
  <c r="Q72" i="2"/>
  <c r="O72" i="2"/>
  <c r="M72" i="2"/>
  <c r="K72" i="2"/>
  <c r="I72" i="2"/>
  <c r="G72" i="2"/>
  <c r="E72" i="2"/>
  <c r="C72" i="2"/>
  <c r="BJ71" i="2"/>
  <c r="BI71" i="2"/>
  <c r="BG71" i="2"/>
  <c r="BD71" i="2"/>
  <c r="BC71" i="2"/>
  <c r="BA71" i="2"/>
  <c r="AX71" i="2"/>
  <c r="AY72" i="2" s="1"/>
  <c r="AW71" i="2"/>
  <c r="AU71" i="2"/>
  <c r="AS71" i="2"/>
  <c r="AP71" i="2"/>
  <c r="AN71" i="2"/>
  <c r="AL71" i="2"/>
  <c r="AJ71" i="2"/>
  <c r="AH71" i="2"/>
  <c r="AF71" i="2"/>
  <c r="AD71" i="2"/>
  <c r="AB71" i="2"/>
  <c r="Z71" i="2"/>
  <c r="X71" i="2"/>
  <c r="U71" i="2"/>
  <c r="S71" i="2"/>
  <c r="Q71" i="2"/>
  <c r="O71" i="2"/>
  <c r="M71" i="2"/>
  <c r="K71" i="2"/>
  <c r="I71" i="2"/>
  <c r="G71" i="2"/>
  <c r="E71" i="2"/>
  <c r="C71" i="2"/>
  <c r="BJ70" i="2"/>
  <c r="BI70" i="2"/>
  <c r="BG70" i="2"/>
  <c r="BD70" i="2"/>
  <c r="BC70" i="2"/>
  <c r="BA70" i="2"/>
  <c r="AX70" i="2"/>
  <c r="AW70" i="2"/>
  <c r="AU70" i="2"/>
  <c r="AS70" i="2"/>
  <c r="AP70" i="2"/>
  <c r="AN70" i="2"/>
  <c r="AL70" i="2"/>
  <c r="AJ70" i="2"/>
  <c r="AH70" i="2"/>
  <c r="AF70" i="2"/>
  <c r="AD70" i="2"/>
  <c r="AB70" i="2"/>
  <c r="Z70" i="2"/>
  <c r="X70" i="2"/>
  <c r="U70" i="2"/>
  <c r="S70" i="2"/>
  <c r="Q70" i="2"/>
  <c r="O70" i="2"/>
  <c r="M70" i="2"/>
  <c r="K70" i="2"/>
  <c r="I70" i="2"/>
  <c r="G70" i="2"/>
  <c r="E70" i="2"/>
  <c r="C70" i="2"/>
  <c r="BJ69" i="2"/>
  <c r="BI69" i="2"/>
  <c r="BG69" i="2"/>
  <c r="BD69" i="2"/>
  <c r="BC69" i="2"/>
  <c r="BA69" i="2"/>
  <c r="AX69" i="2"/>
  <c r="AW69" i="2"/>
  <c r="AU69" i="2"/>
  <c r="AS69" i="2"/>
  <c r="AP69" i="2"/>
  <c r="AN69" i="2"/>
  <c r="AL69" i="2"/>
  <c r="AJ69" i="2"/>
  <c r="AH69" i="2"/>
  <c r="AF69" i="2"/>
  <c r="AD69" i="2"/>
  <c r="AB69" i="2"/>
  <c r="Z69" i="2"/>
  <c r="X69" i="2"/>
  <c r="U69" i="2"/>
  <c r="S69" i="2"/>
  <c r="Q69" i="2"/>
  <c r="O69" i="2"/>
  <c r="M69" i="2"/>
  <c r="K69" i="2"/>
  <c r="I69" i="2"/>
  <c r="G69" i="2"/>
  <c r="E69" i="2"/>
  <c r="C69" i="2"/>
  <c r="BJ68" i="2"/>
  <c r="BI68" i="2"/>
  <c r="BG68" i="2"/>
  <c r="BD68" i="2"/>
  <c r="BC68" i="2"/>
  <c r="BA68" i="2"/>
  <c r="AX68" i="2"/>
  <c r="AW68" i="2"/>
  <c r="AU68" i="2"/>
  <c r="AS68" i="2"/>
  <c r="AP68" i="2"/>
  <c r="AN68" i="2"/>
  <c r="AL68" i="2"/>
  <c r="AJ68" i="2"/>
  <c r="AH68" i="2"/>
  <c r="AF68" i="2"/>
  <c r="AD68" i="2"/>
  <c r="AB68" i="2"/>
  <c r="Z68" i="2"/>
  <c r="X68" i="2"/>
  <c r="U68" i="2"/>
  <c r="S68" i="2"/>
  <c r="Q68" i="2"/>
  <c r="O68" i="2"/>
  <c r="M68" i="2"/>
  <c r="K68" i="2"/>
  <c r="I68" i="2"/>
  <c r="G68" i="2"/>
  <c r="E68" i="2"/>
  <c r="C68" i="2"/>
  <c r="BJ67" i="2"/>
  <c r="BK67" i="2" s="1"/>
  <c r="BI67" i="2"/>
  <c r="BG67" i="2"/>
  <c r="BD67" i="2"/>
  <c r="BC67" i="2"/>
  <c r="BA67" i="2"/>
  <c r="AX67" i="2"/>
  <c r="AW67" i="2"/>
  <c r="AU67" i="2"/>
  <c r="AS67" i="2"/>
  <c r="AP67" i="2"/>
  <c r="AN67" i="2"/>
  <c r="AL67" i="2"/>
  <c r="AJ67" i="2"/>
  <c r="AH67" i="2"/>
  <c r="AF67" i="2"/>
  <c r="AD67" i="2"/>
  <c r="AB67" i="2"/>
  <c r="Z67" i="2"/>
  <c r="X67" i="2"/>
  <c r="U67" i="2"/>
  <c r="S67" i="2"/>
  <c r="Q67" i="2"/>
  <c r="O67" i="2"/>
  <c r="M67" i="2"/>
  <c r="K67" i="2"/>
  <c r="I67" i="2"/>
  <c r="G67" i="2"/>
  <c r="E67" i="2"/>
  <c r="C67" i="2"/>
  <c r="BJ66" i="2"/>
  <c r="BI66" i="2"/>
  <c r="BG66" i="2"/>
  <c r="BD66" i="2"/>
  <c r="BC66" i="2"/>
  <c r="BA66" i="2"/>
  <c r="AX66" i="2"/>
  <c r="AW66" i="2"/>
  <c r="AU66" i="2"/>
  <c r="AS66" i="2"/>
  <c r="AP66" i="2"/>
  <c r="AN66" i="2"/>
  <c r="AL66" i="2"/>
  <c r="AJ66" i="2"/>
  <c r="AH66" i="2"/>
  <c r="AF66" i="2"/>
  <c r="AD66" i="2"/>
  <c r="AB66" i="2"/>
  <c r="Z66" i="2"/>
  <c r="X66" i="2"/>
  <c r="U66" i="2"/>
  <c r="S66" i="2"/>
  <c r="Q66" i="2"/>
  <c r="O66" i="2"/>
  <c r="M66" i="2"/>
  <c r="K66" i="2"/>
  <c r="I66" i="2"/>
  <c r="G66" i="2"/>
  <c r="E66" i="2"/>
  <c r="C66" i="2"/>
  <c r="BJ65" i="2"/>
  <c r="BI65" i="2"/>
  <c r="BG65" i="2"/>
  <c r="BD65" i="2"/>
  <c r="BC65" i="2"/>
  <c r="BA65" i="2"/>
  <c r="AX65" i="2"/>
  <c r="AY66" i="2" s="1"/>
  <c r="AW65" i="2"/>
  <c r="AU65" i="2"/>
  <c r="AS65" i="2"/>
  <c r="AP65" i="2"/>
  <c r="AN65" i="2"/>
  <c r="AL65" i="2"/>
  <c r="AJ65" i="2"/>
  <c r="AH65" i="2"/>
  <c r="AF65" i="2"/>
  <c r="AD65" i="2"/>
  <c r="AB65" i="2"/>
  <c r="Z65" i="2"/>
  <c r="X65" i="2"/>
  <c r="U65" i="2"/>
  <c r="S65" i="2"/>
  <c r="Q65" i="2"/>
  <c r="O65" i="2"/>
  <c r="M65" i="2"/>
  <c r="K65" i="2"/>
  <c r="I65" i="2"/>
  <c r="G65" i="2"/>
  <c r="E65" i="2"/>
  <c r="C65" i="2"/>
  <c r="BJ64" i="2"/>
  <c r="BK64" i="2" s="1"/>
  <c r="BI64" i="2"/>
  <c r="BG64" i="2"/>
  <c r="BD64" i="2"/>
  <c r="BC64" i="2"/>
  <c r="BA64" i="2"/>
  <c r="AX64" i="2"/>
  <c r="AW64" i="2"/>
  <c r="AU64" i="2"/>
  <c r="AS64" i="2"/>
  <c r="AP64" i="2"/>
  <c r="AN64" i="2"/>
  <c r="AL64" i="2"/>
  <c r="AJ64" i="2"/>
  <c r="AH64" i="2"/>
  <c r="AF64" i="2"/>
  <c r="AD64" i="2"/>
  <c r="AB64" i="2"/>
  <c r="Z64" i="2"/>
  <c r="X64" i="2"/>
  <c r="U64" i="2"/>
  <c r="S64" i="2"/>
  <c r="Q64" i="2"/>
  <c r="O64" i="2"/>
  <c r="M64" i="2"/>
  <c r="K64" i="2"/>
  <c r="I64" i="2"/>
  <c r="G64" i="2"/>
  <c r="E64" i="2"/>
  <c r="C64" i="2"/>
  <c r="BJ63" i="2"/>
  <c r="BI63" i="2"/>
  <c r="BG63" i="2"/>
  <c r="BD63" i="2"/>
  <c r="BC63" i="2"/>
  <c r="BA63" i="2"/>
  <c r="AX63" i="2"/>
  <c r="AY64" i="2" s="1"/>
  <c r="AW63" i="2"/>
  <c r="AU63" i="2"/>
  <c r="AS63" i="2"/>
  <c r="AP63" i="2"/>
  <c r="AN63" i="2"/>
  <c r="AL63" i="2"/>
  <c r="AJ63" i="2"/>
  <c r="AH63" i="2"/>
  <c r="AF63" i="2"/>
  <c r="AD63" i="2"/>
  <c r="AB63" i="2"/>
  <c r="Z63" i="2"/>
  <c r="X63" i="2"/>
  <c r="U63" i="2"/>
  <c r="S63" i="2"/>
  <c r="Q63" i="2"/>
  <c r="O63" i="2"/>
  <c r="M63" i="2"/>
  <c r="K63" i="2"/>
  <c r="I63" i="2"/>
  <c r="G63" i="2"/>
  <c r="E63" i="2"/>
  <c r="C63" i="2"/>
  <c r="BJ62" i="2"/>
  <c r="BI62" i="2"/>
  <c r="BG62" i="2"/>
  <c r="BD62" i="2"/>
  <c r="BC62" i="2"/>
  <c r="BA62" i="2"/>
  <c r="AX62" i="2"/>
  <c r="AW62" i="2"/>
  <c r="AU62" i="2"/>
  <c r="AS62" i="2"/>
  <c r="AP62" i="2"/>
  <c r="AN62" i="2"/>
  <c r="AL62" i="2"/>
  <c r="AJ62" i="2"/>
  <c r="AH62" i="2"/>
  <c r="AF62" i="2"/>
  <c r="AD62" i="2"/>
  <c r="AB62" i="2"/>
  <c r="Z62" i="2"/>
  <c r="X62" i="2"/>
  <c r="U62" i="2"/>
  <c r="S62" i="2"/>
  <c r="Q62" i="2"/>
  <c r="O62" i="2"/>
  <c r="M62" i="2"/>
  <c r="K62" i="2"/>
  <c r="I62" i="2"/>
  <c r="G62" i="2"/>
  <c r="E62" i="2"/>
  <c r="C62" i="2"/>
  <c r="BJ61" i="2"/>
  <c r="BK61" i="2" s="1"/>
  <c r="BI61" i="2"/>
  <c r="BG61" i="2"/>
  <c r="BD61" i="2"/>
  <c r="BC61" i="2"/>
  <c r="BA61" i="2"/>
  <c r="AX61" i="2"/>
  <c r="AW61" i="2"/>
  <c r="AU61" i="2"/>
  <c r="AS61" i="2"/>
  <c r="AP61" i="2"/>
  <c r="AN61" i="2"/>
  <c r="AL61" i="2"/>
  <c r="AJ61" i="2"/>
  <c r="AH61" i="2"/>
  <c r="AF61" i="2"/>
  <c r="AD61" i="2"/>
  <c r="AB61" i="2"/>
  <c r="Z61" i="2"/>
  <c r="X61" i="2"/>
  <c r="U61" i="2"/>
  <c r="S61" i="2"/>
  <c r="Q61" i="2"/>
  <c r="O61" i="2"/>
  <c r="M61" i="2"/>
  <c r="K61" i="2"/>
  <c r="I61" i="2"/>
  <c r="G61" i="2"/>
  <c r="E61" i="2"/>
  <c r="C61" i="2"/>
  <c r="BJ60" i="2"/>
  <c r="BI60" i="2"/>
  <c r="BG60" i="2"/>
  <c r="BD60" i="2"/>
  <c r="BC60" i="2"/>
  <c r="BA60" i="2"/>
  <c r="AX60" i="2"/>
  <c r="AW60" i="2"/>
  <c r="AU60" i="2"/>
  <c r="AS60" i="2"/>
  <c r="AP60" i="2"/>
  <c r="AN60" i="2"/>
  <c r="AL60" i="2"/>
  <c r="AJ60" i="2"/>
  <c r="AH60" i="2"/>
  <c r="AF60" i="2"/>
  <c r="AD60" i="2"/>
  <c r="AB60" i="2"/>
  <c r="Z60" i="2"/>
  <c r="X60" i="2"/>
  <c r="U60" i="2"/>
  <c r="S60" i="2"/>
  <c r="Q60" i="2"/>
  <c r="O60" i="2"/>
  <c r="M60" i="2"/>
  <c r="K60" i="2"/>
  <c r="I60" i="2"/>
  <c r="G60" i="2"/>
  <c r="E60" i="2"/>
  <c r="C60" i="2"/>
  <c r="BJ59" i="2"/>
  <c r="BK59" i="2" s="1"/>
  <c r="BI59" i="2"/>
  <c r="BG59" i="2"/>
  <c r="BD59" i="2"/>
  <c r="BC59" i="2"/>
  <c r="BA59" i="2"/>
  <c r="AX59" i="2"/>
  <c r="AY60" i="2" s="1"/>
  <c r="AW59" i="2"/>
  <c r="AU59" i="2"/>
  <c r="AS59" i="2"/>
  <c r="AP59" i="2"/>
  <c r="AN59" i="2"/>
  <c r="AL59" i="2"/>
  <c r="AJ59" i="2"/>
  <c r="AH59" i="2"/>
  <c r="AF59" i="2"/>
  <c r="AD59" i="2"/>
  <c r="AB59" i="2"/>
  <c r="Z59" i="2"/>
  <c r="X59" i="2"/>
  <c r="U59" i="2"/>
  <c r="S59" i="2"/>
  <c r="Q59" i="2"/>
  <c r="O59" i="2"/>
  <c r="M59" i="2"/>
  <c r="K59" i="2"/>
  <c r="I59" i="2"/>
  <c r="G59" i="2"/>
  <c r="E59" i="2"/>
  <c r="C59" i="2"/>
  <c r="BJ58" i="2"/>
  <c r="BI58" i="2"/>
  <c r="BG58" i="2"/>
  <c r="BD58" i="2"/>
  <c r="BC58" i="2"/>
  <c r="BA58" i="2"/>
  <c r="AX58" i="2"/>
  <c r="AW58" i="2"/>
  <c r="AU58" i="2"/>
  <c r="AS58" i="2"/>
  <c r="AP58" i="2"/>
  <c r="AN58" i="2"/>
  <c r="AL58" i="2"/>
  <c r="AJ58" i="2"/>
  <c r="AH58" i="2"/>
  <c r="AF58" i="2"/>
  <c r="AD58" i="2"/>
  <c r="AB58" i="2"/>
  <c r="Z58" i="2"/>
  <c r="X58" i="2"/>
  <c r="U58" i="2"/>
  <c r="S58" i="2"/>
  <c r="Q58" i="2"/>
  <c r="O58" i="2"/>
  <c r="M58" i="2"/>
  <c r="K58" i="2"/>
  <c r="I58" i="2"/>
  <c r="G58" i="2"/>
  <c r="E58" i="2"/>
  <c r="C58" i="2"/>
  <c r="BJ57" i="2"/>
  <c r="BI57" i="2"/>
  <c r="BG57" i="2"/>
  <c r="BD57" i="2"/>
  <c r="BC57" i="2"/>
  <c r="BA57" i="2"/>
  <c r="AX57" i="2"/>
  <c r="AY58" i="2" s="1"/>
  <c r="AW57" i="2"/>
  <c r="AU57" i="2"/>
  <c r="AS57" i="2"/>
  <c r="AP57" i="2"/>
  <c r="AN57" i="2"/>
  <c r="AL57" i="2"/>
  <c r="AJ57" i="2"/>
  <c r="AH57" i="2"/>
  <c r="AF57" i="2"/>
  <c r="AD57" i="2"/>
  <c r="AB57" i="2"/>
  <c r="Z57" i="2"/>
  <c r="X57" i="2"/>
  <c r="U57" i="2"/>
  <c r="S57" i="2"/>
  <c r="Q57" i="2"/>
  <c r="O57" i="2"/>
  <c r="M57" i="2"/>
  <c r="K57" i="2"/>
  <c r="I57" i="2"/>
  <c r="G57" i="2"/>
  <c r="E57" i="2"/>
  <c r="C57" i="2"/>
  <c r="BJ56" i="2"/>
  <c r="BK56" i="2" s="1"/>
  <c r="BI56" i="2"/>
  <c r="BG56" i="2"/>
  <c r="BD56" i="2"/>
  <c r="BC56" i="2"/>
  <c r="BA56" i="2"/>
  <c r="AX56" i="2"/>
  <c r="AW56" i="2"/>
  <c r="AU56" i="2"/>
  <c r="AS56" i="2"/>
  <c r="AP56" i="2"/>
  <c r="AN56" i="2"/>
  <c r="AL56" i="2"/>
  <c r="AJ56" i="2"/>
  <c r="AH56" i="2"/>
  <c r="AF56" i="2"/>
  <c r="AD56" i="2"/>
  <c r="AB56" i="2"/>
  <c r="Z56" i="2"/>
  <c r="X56" i="2"/>
  <c r="U56" i="2"/>
  <c r="S56" i="2"/>
  <c r="Q56" i="2"/>
  <c r="O56" i="2"/>
  <c r="M56" i="2"/>
  <c r="K56" i="2"/>
  <c r="I56" i="2"/>
  <c r="G56" i="2"/>
  <c r="E56" i="2"/>
  <c r="C56" i="2"/>
  <c r="BJ55" i="2"/>
  <c r="BI55" i="2"/>
  <c r="BG55" i="2"/>
  <c r="BD55" i="2"/>
  <c r="BC55" i="2"/>
  <c r="BA55" i="2"/>
  <c r="AX55" i="2"/>
  <c r="AW55" i="2"/>
  <c r="AU55" i="2"/>
  <c r="AS55" i="2"/>
  <c r="AP55" i="2"/>
  <c r="AN55" i="2"/>
  <c r="AL55" i="2"/>
  <c r="AJ55" i="2"/>
  <c r="AH55" i="2"/>
  <c r="AF55" i="2"/>
  <c r="AD55" i="2"/>
  <c r="AB55" i="2"/>
  <c r="Z55" i="2"/>
  <c r="X55" i="2"/>
  <c r="U55" i="2"/>
  <c r="S55" i="2"/>
  <c r="Q55" i="2"/>
  <c r="O55" i="2"/>
  <c r="M55" i="2"/>
  <c r="K55" i="2"/>
  <c r="I55" i="2"/>
  <c r="G55" i="2"/>
  <c r="E55" i="2"/>
  <c r="C55" i="2"/>
  <c r="BJ54" i="2"/>
  <c r="BI54" i="2"/>
  <c r="BG54" i="2"/>
  <c r="BD54" i="2"/>
  <c r="BC54" i="2"/>
  <c r="BA54" i="2"/>
  <c r="AX54" i="2"/>
  <c r="AY55" i="2" s="1"/>
  <c r="AW54" i="2"/>
  <c r="AU54" i="2"/>
  <c r="AS54" i="2"/>
  <c r="AP54" i="2"/>
  <c r="AN54" i="2"/>
  <c r="AL54" i="2"/>
  <c r="AJ54" i="2"/>
  <c r="AH54" i="2"/>
  <c r="AF54" i="2"/>
  <c r="AD54" i="2"/>
  <c r="AB54" i="2"/>
  <c r="Z54" i="2"/>
  <c r="X54" i="2"/>
  <c r="U54" i="2"/>
  <c r="S54" i="2"/>
  <c r="Q54" i="2"/>
  <c r="O54" i="2"/>
  <c r="M54" i="2"/>
  <c r="K54" i="2"/>
  <c r="I54" i="2"/>
  <c r="G54" i="2"/>
  <c r="E54" i="2"/>
  <c r="C54" i="2"/>
  <c r="BJ53" i="2"/>
  <c r="BK53" i="2" s="1"/>
  <c r="BI53" i="2"/>
  <c r="BG53" i="2"/>
  <c r="BD53" i="2"/>
  <c r="BC53" i="2"/>
  <c r="BA53" i="2"/>
  <c r="AX53" i="2"/>
  <c r="AW53" i="2"/>
  <c r="AU53" i="2"/>
  <c r="AS53" i="2"/>
  <c r="AP53" i="2"/>
  <c r="AN53" i="2"/>
  <c r="AL53" i="2"/>
  <c r="AJ53" i="2"/>
  <c r="AH53" i="2"/>
  <c r="AF53" i="2"/>
  <c r="AD53" i="2"/>
  <c r="AB53" i="2"/>
  <c r="Z53" i="2"/>
  <c r="X53" i="2"/>
  <c r="U53" i="2"/>
  <c r="S53" i="2"/>
  <c r="Q53" i="2"/>
  <c r="O53" i="2"/>
  <c r="M53" i="2"/>
  <c r="K53" i="2"/>
  <c r="I53" i="2"/>
  <c r="G53" i="2"/>
  <c r="E53" i="2"/>
  <c r="C53" i="2"/>
  <c r="BJ52" i="2"/>
  <c r="BI52" i="2"/>
  <c r="BG52" i="2"/>
  <c r="BD52" i="2"/>
  <c r="BC52" i="2"/>
  <c r="BA52" i="2"/>
  <c r="AX52" i="2"/>
  <c r="AW52" i="2"/>
  <c r="AU52" i="2"/>
  <c r="AS52" i="2"/>
  <c r="AP52" i="2"/>
  <c r="AN52" i="2"/>
  <c r="AL52" i="2"/>
  <c r="AJ52" i="2"/>
  <c r="AH52" i="2"/>
  <c r="AF52" i="2"/>
  <c r="AD52" i="2"/>
  <c r="AB52" i="2"/>
  <c r="Z52" i="2"/>
  <c r="X52" i="2"/>
  <c r="U52" i="2"/>
  <c r="S52" i="2"/>
  <c r="Q52" i="2"/>
  <c r="O52" i="2"/>
  <c r="M52" i="2"/>
  <c r="K52" i="2"/>
  <c r="I52" i="2"/>
  <c r="G52" i="2"/>
  <c r="E52" i="2"/>
  <c r="C52" i="2"/>
  <c r="BJ51" i="2"/>
  <c r="BK51" i="2" s="1"/>
  <c r="BI51" i="2"/>
  <c r="BG51" i="2"/>
  <c r="BD51" i="2"/>
  <c r="BC51" i="2"/>
  <c r="BA51" i="2"/>
  <c r="AX51" i="2"/>
  <c r="AY52" i="2" s="1"/>
  <c r="AW51" i="2"/>
  <c r="AU51" i="2"/>
  <c r="AS51" i="2"/>
  <c r="AP51" i="2"/>
  <c r="AN51" i="2"/>
  <c r="AL51" i="2"/>
  <c r="AJ51" i="2"/>
  <c r="AH51" i="2"/>
  <c r="AF51" i="2"/>
  <c r="AD51" i="2"/>
  <c r="AB51" i="2"/>
  <c r="Z51" i="2"/>
  <c r="X51" i="2"/>
  <c r="U51" i="2"/>
  <c r="S51" i="2"/>
  <c r="Q51" i="2"/>
  <c r="O51" i="2"/>
  <c r="M51" i="2"/>
  <c r="K51" i="2"/>
  <c r="I51" i="2"/>
  <c r="G51" i="2"/>
  <c r="E51" i="2"/>
  <c r="C51" i="2"/>
  <c r="BJ50" i="2"/>
  <c r="BI50" i="2"/>
  <c r="BG50" i="2"/>
  <c r="BD50" i="2"/>
  <c r="BC50" i="2"/>
  <c r="BA50" i="2"/>
  <c r="AX50" i="2"/>
  <c r="AW50" i="2"/>
  <c r="AU50" i="2"/>
  <c r="AS50" i="2"/>
  <c r="AP50" i="2"/>
  <c r="AN50" i="2"/>
  <c r="AL50" i="2"/>
  <c r="AJ50" i="2"/>
  <c r="AH50" i="2"/>
  <c r="AF50" i="2"/>
  <c r="AD50" i="2"/>
  <c r="AB50" i="2"/>
  <c r="Z50" i="2"/>
  <c r="X50" i="2"/>
  <c r="U50" i="2"/>
  <c r="S50" i="2"/>
  <c r="Q50" i="2"/>
  <c r="O50" i="2"/>
  <c r="M50" i="2"/>
  <c r="K50" i="2"/>
  <c r="I50" i="2"/>
  <c r="G50" i="2"/>
  <c r="E50" i="2"/>
  <c r="C50" i="2"/>
  <c r="BJ49" i="2"/>
  <c r="BI49" i="2"/>
  <c r="BG49" i="2"/>
  <c r="BD49" i="2"/>
  <c r="BC49" i="2"/>
  <c r="BA49" i="2"/>
  <c r="AX49" i="2"/>
  <c r="AY50" i="2" s="1"/>
  <c r="AW49" i="2"/>
  <c r="AU49" i="2"/>
  <c r="AS49" i="2"/>
  <c r="AP49" i="2"/>
  <c r="AN49" i="2"/>
  <c r="AL49" i="2"/>
  <c r="AJ49" i="2"/>
  <c r="AH49" i="2"/>
  <c r="AF49" i="2"/>
  <c r="AD49" i="2"/>
  <c r="AB49" i="2"/>
  <c r="Z49" i="2"/>
  <c r="X49" i="2"/>
  <c r="U49" i="2"/>
  <c r="S49" i="2"/>
  <c r="Q49" i="2"/>
  <c r="O49" i="2"/>
  <c r="M49" i="2"/>
  <c r="K49" i="2"/>
  <c r="I49" i="2"/>
  <c r="G49" i="2"/>
  <c r="E49" i="2"/>
  <c r="C49" i="2"/>
  <c r="BJ48" i="2"/>
  <c r="BK48" i="2" s="1"/>
  <c r="BI48" i="2"/>
  <c r="BG48" i="2"/>
  <c r="BD48" i="2"/>
  <c r="BC48" i="2"/>
  <c r="BA48" i="2"/>
  <c r="AX48" i="2"/>
  <c r="AW48" i="2"/>
  <c r="AU48" i="2"/>
  <c r="AS48" i="2"/>
  <c r="AP48" i="2"/>
  <c r="AN48" i="2"/>
  <c r="AL48" i="2"/>
  <c r="AJ48" i="2"/>
  <c r="AH48" i="2"/>
  <c r="AF48" i="2"/>
  <c r="AD48" i="2"/>
  <c r="AB48" i="2"/>
  <c r="Z48" i="2"/>
  <c r="X48" i="2"/>
  <c r="U48" i="2"/>
  <c r="S48" i="2"/>
  <c r="Q48" i="2"/>
  <c r="O48" i="2"/>
  <c r="M48" i="2"/>
  <c r="K48" i="2"/>
  <c r="I48" i="2"/>
  <c r="G48" i="2"/>
  <c r="E48" i="2"/>
  <c r="C48" i="2"/>
  <c r="BJ47" i="2"/>
  <c r="BK47" i="2" s="1"/>
  <c r="BI47" i="2"/>
  <c r="BG47" i="2"/>
  <c r="BD47" i="2"/>
  <c r="BC47" i="2"/>
  <c r="BA47" i="2"/>
  <c r="AX47" i="2"/>
  <c r="AY48" i="2" s="1"/>
  <c r="AW47" i="2"/>
  <c r="AU47" i="2"/>
  <c r="AS47" i="2"/>
  <c r="AP47" i="2"/>
  <c r="AN47" i="2"/>
  <c r="AL47" i="2"/>
  <c r="AJ47" i="2"/>
  <c r="AH47" i="2"/>
  <c r="AF47" i="2"/>
  <c r="AD47" i="2"/>
  <c r="AB47" i="2"/>
  <c r="Z47" i="2"/>
  <c r="X47" i="2"/>
  <c r="U47" i="2"/>
  <c r="S47" i="2"/>
  <c r="Q47" i="2"/>
  <c r="O47" i="2"/>
  <c r="M47" i="2"/>
  <c r="K47" i="2"/>
  <c r="I47" i="2"/>
  <c r="G47" i="2"/>
  <c r="E47" i="2"/>
  <c r="C47" i="2"/>
  <c r="BJ46" i="2"/>
  <c r="BI46" i="2"/>
  <c r="BG46" i="2"/>
  <c r="BD46" i="2"/>
  <c r="BC46" i="2"/>
  <c r="BA46" i="2"/>
  <c r="AX46" i="2"/>
  <c r="AW46" i="2"/>
  <c r="AU46" i="2"/>
  <c r="AS46" i="2"/>
  <c r="AP46" i="2"/>
  <c r="AN46" i="2"/>
  <c r="AL46" i="2"/>
  <c r="AJ46" i="2"/>
  <c r="AH46" i="2"/>
  <c r="AF46" i="2"/>
  <c r="AD46" i="2"/>
  <c r="AB46" i="2"/>
  <c r="Z46" i="2"/>
  <c r="X46" i="2"/>
  <c r="U46" i="2"/>
  <c r="S46" i="2"/>
  <c r="Q46" i="2"/>
  <c r="O46" i="2"/>
  <c r="M46" i="2"/>
  <c r="K46" i="2"/>
  <c r="I46" i="2"/>
  <c r="G46" i="2"/>
  <c r="E46" i="2"/>
  <c r="C46" i="2"/>
  <c r="BJ45" i="2"/>
  <c r="BK45" i="2" s="1"/>
  <c r="BI45" i="2"/>
  <c r="BG45" i="2"/>
  <c r="BD45" i="2"/>
  <c r="BC45" i="2"/>
  <c r="BA45" i="2"/>
  <c r="AY45" i="2"/>
  <c r="AX45" i="2"/>
  <c r="AW45" i="2"/>
  <c r="AU45" i="2"/>
  <c r="AS45" i="2"/>
  <c r="AP45" i="2"/>
  <c r="AN45" i="2"/>
  <c r="AL45" i="2"/>
  <c r="AJ45" i="2"/>
  <c r="AH45" i="2"/>
  <c r="AF45" i="2"/>
  <c r="AD45" i="2"/>
  <c r="AB45" i="2"/>
  <c r="Z45" i="2"/>
  <c r="X45" i="2"/>
  <c r="U45" i="2"/>
  <c r="S45" i="2"/>
  <c r="Q45" i="2"/>
  <c r="O45" i="2"/>
  <c r="M45" i="2"/>
  <c r="K45" i="2"/>
  <c r="I45" i="2"/>
  <c r="G45" i="2"/>
  <c r="E45" i="2"/>
  <c r="C45" i="2"/>
  <c r="BJ44" i="2"/>
  <c r="BI44" i="2"/>
  <c r="BG44" i="2"/>
  <c r="BD44" i="2"/>
  <c r="BC44" i="2"/>
  <c r="BA44" i="2"/>
  <c r="AX44" i="2"/>
  <c r="AW44" i="2"/>
  <c r="AU44" i="2"/>
  <c r="AS44" i="2"/>
  <c r="AP44" i="2"/>
  <c r="AN44" i="2"/>
  <c r="AL44" i="2"/>
  <c r="AJ44" i="2"/>
  <c r="AH44" i="2"/>
  <c r="AF44" i="2"/>
  <c r="AD44" i="2"/>
  <c r="AB44" i="2"/>
  <c r="Z44" i="2"/>
  <c r="X44" i="2"/>
  <c r="U44" i="2"/>
  <c r="S44" i="2"/>
  <c r="Q44" i="2"/>
  <c r="O44" i="2"/>
  <c r="M44" i="2"/>
  <c r="K44" i="2"/>
  <c r="I44" i="2"/>
  <c r="G44" i="2"/>
  <c r="E44" i="2"/>
  <c r="C44" i="2"/>
  <c r="BJ43" i="2"/>
  <c r="BI43" i="2"/>
  <c r="BG43" i="2"/>
  <c r="BD43" i="2"/>
  <c r="BC43" i="2"/>
  <c r="BA43" i="2"/>
  <c r="AX43" i="2"/>
  <c r="AY44" i="2" s="1"/>
  <c r="AW43" i="2"/>
  <c r="AU43" i="2"/>
  <c r="AS43" i="2"/>
  <c r="AP43" i="2"/>
  <c r="AN43" i="2"/>
  <c r="AL43" i="2"/>
  <c r="AJ43" i="2"/>
  <c r="AH43" i="2"/>
  <c r="AF43" i="2"/>
  <c r="AD43" i="2"/>
  <c r="AB43" i="2"/>
  <c r="Z43" i="2"/>
  <c r="X43" i="2"/>
  <c r="U43" i="2"/>
  <c r="S43" i="2"/>
  <c r="Q43" i="2"/>
  <c r="O43" i="2"/>
  <c r="M43" i="2"/>
  <c r="K43" i="2"/>
  <c r="I43" i="2"/>
  <c r="G43" i="2"/>
  <c r="E43" i="2"/>
  <c r="C43" i="2"/>
  <c r="BJ42" i="2"/>
  <c r="BI42" i="2"/>
  <c r="BG42" i="2"/>
  <c r="BD42" i="2"/>
  <c r="BC42" i="2"/>
  <c r="BA42" i="2"/>
  <c r="AX42" i="2"/>
  <c r="AW42" i="2"/>
  <c r="AU42" i="2"/>
  <c r="AS42" i="2"/>
  <c r="AP42" i="2"/>
  <c r="AN42" i="2"/>
  <c r="AL42" i="2"/>
  <c r="AJ42" i="2"/>
  <c r="AH42" i="2"/>
  <c r="AF42" i="2"/>
  <c r="AD42" i="2"/>
  <c r="AB42" i="2"/>
  <c r="Z42" i="2"/>
  <c r="X42" i="2"/>
  <c r="U42" i="2"/>
  <c r="S42" i="2"/>
  <c r="Q42" i="2"/>
  <c r="O42" i="2"/>
  <c r="M42" i="2"/>
  <c r="K42" i="2"/>
  <c r="I42" i="2"/>
  <c r="G42" i="2"/>
  <c r="E42" i="2"/>
  <c r="C42" i="2"/>
  <c r="BJ41" i="2"/>
  <c r="BI41" i="2"/>
  <c r="BG41" i="2"/>
  <c r="BD41" i="2"/>
  <c r="BC41" i="2"/>
  <c r="BA41" i="2"/>
  <c r="AX41" i="2"/>
  <c r="AY42" i="2" s="1"/>
  <c r="AW41" i="2"/>
  <c r="AU41" i="2"/>
  <c r="AS41" i="2"/>
  <c r="AP41" i="2"/>
  <c r="AN41" i="2"/>
  <c r="AL41" i="2"/>
  <c r="AJ41" i="2"/>
  <c r="AH41" i="2"/>
  <c r="AF41" i="2"/>
  <c r="AD41" i="2"/>
  <c r="AB41" i="2"/>
  <c r="Z41" i="2"/>
  <c r="X41" i="2"/>
  <c r="U41" i="2"/>
  <c r="S41" i="2"/>
  <c r="Q41" i="2"/>
  <c r="O41" i="2"/>
  <c r="M41" i="2"/>
  <c r="K41" i="2"/>
  <c r="I41" i="2"/>
  <c r="G41" i="2"/>
  <c r="E41" i="2"/>
  <c r="C41" i="2"/>
  <c r="BJ40" i="2"/>
  <c r="BI40" i="2"/>
  <c r="BG40" i="2"/>
  <c r="BD40" i="2"/>
  <c r="BC40" i="2"/>
  <c r="BA40" i="2"/>
  <c r="AX40" i="2"/>
  <c r="AW40" i="2"/>
  <c r="AU40" i="2"/>
  <c r="AS40" i="2"/>
  <c r="AP40" i="2"/>
  <c r="AN40" i="2"/>
  <c r="AL40" i="2"/>
  <c r="AJ40" i="2"/>
  <c r="AH40" i="2"/>
  <c r="AF40" i="2"/>
  <c r="AD40" i="2"/>
  <c r="AB40" i="2"/>
  <c r="Z40" i="2"/>
  <c r="X40" i="2"/>
  <c r="U40" i="2"/>
  <c r="S40" i="2"/>
  <c r="Q40" i="2"/>
  <c r="O40" i="2"/>
  <c r="M40" i="2"/>
  <c r="K40" i="2"/>
  <c r="I40" i="2"/>
  <c r="G40" i="2"/>
  <c r="E40" i="2"/>
  <c r="C40" i="2"/>
  <c r="BJ39" i="2"/>
  <c r="BK39" i="2" s="1"/>
  <c r="BI39" i="2"/>
  <c r="BG39" i="2"/>
  <c r="BD39" i="2"/>
  <c r="BC39" i="2"/>
  <c r="BA39" i="2"/>
  <c r="AX39" i="2"/>
  <c r="AW39" i="2"/>
  <c r="AU39" i="2"/>
  <c r="AS39" i="2"/>
  <c r="AP39" i="2"/>
  <c r="AN39" i="2"/>
  <c r="AL39" i="2"/>
  <c r="AJ39" i="2"/>
  <c r="AH39" i="2"/>
  <c r="AF39" i="2"/>
  <c r="AD39" i="2"/>
  <c r="AB39" i="2"/>
  <c r="Z39" i="2"/>
  <c r="X39" i="2"/>
  <c r="U39" i="2"/>
  <c r="S39" i="2"/>
  <c r="Q39" i="2"/>
  <c r="O39" i="2"/>
  <c r="M39" i="2"/>
  <c r="K39" i="2"/>
  <c r="I39" i="2"/>
  <c r="G39" i="2"/>
  <c r="E39" i="2"/>
  <c r="C39" i="2"/>
  <c r="BJ38" i="2"/>
  <c r="BI38" i="2"/>
  <c r="BG38" i="2"/>
  <c r="BD38" i="2"/>
  <c r="BC38" i="2"/>
  <c r="BA38" i="2"/>
  <c r="AX38" i="2"/>
  <c r="AW38" i="2"/>
  <c r="AU38" i="2"/>
  <c r="AS38" i="2"/>
  <c r="AP38" i="2"/>
  <c r="AN38" i="2"/>
  <c r="AL38" i="2"/>
  <c r="AJ38" i="2"/>
  <c r="AH38" i="2"/>
  <c r="AF38" i="2"/>
  <c r="AD38" i="2"/>
  <c r="AB38" i="2"/>
  <c r="Z38" i="2"/>
  <c r="X38" i="2"/>
  <c r="U38" i="2"/>
  <c r="S38" i="2"/>
  <c r="Q38" i="2"/>
  <c r="O38" i="2"/>
  <c r="M38" i="2"/>
  <c r="K38" i="2"/>
  <c r="I38" i="2"/>
  <c r="G38" i="2"/>
  <c r="E38" i="2"/>
  <c r="C38" i="2"/>
  <c r="BJ37" i="2"/>
  <c r="BK37" i="2" s="1"/>
  <c r="BI37" i="2"/>
  <c r="BG37" i="2"/>
  <c r="BD37" i="2"/>
  <c r="BC37" i="2"/>
  <c r="BA37" i="2"/>
  <c r="AX37" i="2"/>
  <c r="AW37" i="2"/>
  <c r="AU37" i="2"/>
  <c r="AS37" i="2"/>
  <c r="AP37" i="2"/>
  <c r="AN37" i="2"/>
  <c r="AL37" i="2"/>
  <c r="AJ37" i="2"/>
  <c r="AH37" i="2"/>
  <c r="AF37" i="2"/>
  <c r="AD37" i="2"/>
  <c r="AB37" i="2"/>
  <c r="Z37" i="2"/>
  <c r="X37" i="2"/>
  <c r="U37" i="2"/>
  <c r="S37" i="2"/>
  <c r="Q37" i="2"/>
  <c r="O37" i="2"/>
  <c r="M37" i="2"/>
  <c r="K37" i="2"/>
  <c r="I37" i="2"/>
  <c r="G37" i="2"/>
  <c r="E37" i="2"/>
  <c r="C37" i="2"/>
  <c r="BJ36" i="2"/>
  <c r="BI36" i="2"/>
  <c r="BG36" i="2"/>
  <c r="BD36" i="2"/>
  <c r="BC36" i="2"/>
  <c r="BA36" i="2"/>
  <c r="AX36" i="2"/>
  <c r="AW36" i="2"/>
  <c r="AU36" i="2"/>
  <c r="AS36" i="2"/>
  <c r="AP36" i="2"/>
  <c r="AN36" i="2"/>
  <c r="AL36" i="2"/>
  <c r="AJ36" i="2"/>
  <c r="AH36" i="2"/>
  <c r="AF36" i="2"/>
  <c r="AD36" i="2"/>
  <c r="AB36" i="2"/>
  <c r="Z36" i="2"/>
  <c r="X36" i="2"/>
  <c r="U36" i="2"/>
  <c r="S36" i="2"/>
  <c r="Q36" i="2"/>
  <c r="O36" i="2"/>
  <c r="M36" i="2"/>
  <c r="K36" i="2"/>
  <c r="I36" i="2"/>
  <c r="G36" i="2"/>
  <c r="E36" i="2"/>
  <c r="C36" i="2"/>
  <c r="BJ35" i="2"/>
  <c r="BI35" i="2"/>
  <c r="BG35" i="2"/>
  <c r="BD35" i="2"/>
  <c r="BC35" i="2"/>
  <c r="BA35" i="2"/>
  <c r="AX35" i="2"/>
  <c r="AY36" i="2" s="1"/>
  <c r="AW35" i="2"/>
  <c r="AU35" i="2"/>
  <c r="AS35" i="2"/>
  <c r="AP35" i="2"/>
  <c r="AN35" i="2"/>
  <c r="AL35" i="2"/>
  <c r="AJ35" i="2"/>
  <c r="AH35" i="2"/>
  <c r="AF35" i="2"/>
  <c r="AD35" i="2"/>
  <c r="AB35" i="2"/>
  <c r="Z35" i="2"/>
  <c r="X35" i="2"/>
  <c r="U35" i="2"/>
  <c r="S35" i="2"/>
  <c r="Q35" i="2"/>
  <c r="O35" i="2"/>
  <c r="M35" i="2"/>
  <c r="K35" i="2"/>
  <c r="I35" i="2"/>
  <c r="G35" i="2"/>
  <c r="E35" i="2"/>
  <c r="C35" i="2"/>
  <c r="BJ34" i="2"/>
  <c r="BI34" i="2"/>
  <c r="BG34" i="2"/>
  <c r="BD34" i="2"/>
  <c r="BC34" i="2"/>
  <c r="BA34" i="2"/>
  <c r="AX34" i="2"/>
  <c r="AW34" i="2"/>
  <c r="AU34" i="2"/>
  <c r="AS34" i="2"/>
  <c r="AP34" i="2"/>
  <c r="AN34" i="2"/>
  <c r="AL34" i="2"/>
  <c r="AJ34" i="2"/>
  <c r="AH34" i="2"/>
  <c r="AF34" i="2"/>
  <c r="AD34" i="2"/>
  <c r="AB34" i="2"/>
  <c r="Z34" i="2"/>
  <c r="X34" i="2"/>
  <c r="U34" i="2"/>
  <c r="S34" i="2"/>
  <c r="Q34" i="2"/>
  <c r="O34" i="2"/>
  <c r="M34" i="2"/>
  <c r="K34" i="2"/>
  <c r="I34" i="2"/>
  <c r="G34" i="2"/>
  <c r="E34" i="2"/>
  <c r="C34" i="2"/>
  <c r="BJ33" i="2"/>
  <c r="BI33" i="2"/>
  <c r="BG33" i="2"/>
  <c r="BD33" i="2"/>
  <c r="BC33" i="2"/>
  <c r="BA33" i="2"/>
  <c r="AX33" i="2"/>
  <c r="AY34" i="2" s="1"/>
  <c r="AW33" i="2"/>
  <c r="AU33" i="2"/>
  <c r="AS33" i="2"/>
  <c r="AP33" i="2"/>
  <c r="AN33" i="2"/>
  <c r="AL33" i="2"/>
  <c r="AJ33" i="2"/>
  <c r="AH33" i="2"/>
  <c r="AF33" i="2"/>
  <c r="AD33" i="2"/>
  <c r="AB33" i="2"/>
  <c r="Z33" i="2"/>
  <c r="X33" i="2"/>
  <c r="U33" i="2"/>
  <c r="S33" i="2"/>
  <c r="Q33" i="2"/>
  <c r="O33" i="2"/>
  <c r="M33" i="2"/>
  <c r="K33" i="2"/>
  <c r="I33" i="2"/>
  <c r="G33" i="2"/>
  <c r="E33" i="2"/>
  <c r="C33" i="2"/>
  <c r="BJ32" i="2"/>
  <c r="BI32" i="2"/>
  <c r="BG32" i="2"/>
  <c r="BD32" i="2"/>
  <c r="BC32" i="2"/>
  <c r="BA32" i="2"/>
  <c r="AX32" i="2"/>
  <c r="AW32" i="2"/>
  <c r="AU32" i="2"/>
  <c r="AS32" i="2"/>
  <c r="AP32" i="2"/>
  <c r="AN32" i="2"/>
  <c r="AL32" i="2"/>
  <c r="AJ32" i="2"/>
  <c r="AH32" i="2"/>
  <c r="AF32" i="2"/>
  <c r="AD32" i="2"/>
  <c r="AB32" i="2"/>
  <c r="Z32" i="2"/>
  <c r="X32" i="2"/>
  <c r="U32" i="2"/>
  <c r="S32" i="2"/>
  <c r="Q32" i="2"/>
  <c r="O32" i="2"/>
  <c r="M32" i="2"/>
  <c r="K32" i="2"/>
  <c r="I32" i="2"/>
  <c r="G32" i="2"/>
  <c r="E32" i="2"/>
  <c r="C32" i="2"/>
  <c r="BJ31" i="2"/>
  <c r="BK31" i="2" s="1"/>
  <c r="BI31" i="2"/>
  <c r="BG31" i="2"/>
  <c r="BD31" i="2"/>
  <c r="BC31" i="2"/>
  <c r="BA31" i="2"/>
  <c r="AX31" i="2"/>
  <c r="AW31" i="2"/>
  <c r="AU31" i="2"/>
  <c r="AS31" i="2"/>
  <c r="AP31" i="2"/>
  <c r="AN31" i="2"/>
  <c r="AL31" i="2"/>
  <c r="AJ31" i="2"/>
  <c r="AH31" i="2"/>
  <c r="AF31" i="2"/>
  <c r="AD31" i="2"/>
  <c r="AB31" i="2"/>
  <c r="Z31" i="2"/>
  <c r="X31" i="2"/>
  <c r="U31" i="2"/>
  <c r="S31" i="2"/>
  <c r="Q31" i="2"/>
  <c r="O31" i="2"/>
  <c r="M31" i="2"/>
  <c r="K31" i="2"/>
  <c r="I31" i="2"/>
  <c r="G31" i="2"/>
  <c r="E31" i="2"/>
  <c r="C31" i="2"/>
  <c r="BJ30" i="2"/>
  <c r="BI30" i="2"/>
  <c r="BG30" i="2"/>
  <c r="BD30" i="2"/>
  <c r="BC30" i="2"/>
  <c r="BA30" i="2"/>
  <c r="AX30" i="2"/>
  <c r="AW30" i="2"/>
  <c r="AU30" i="2"/>
  <c r="AS30" i="2"/>
  <c r="AP30" i="2"/>
  <c r="AN30" i="2"/>
  <c r="AL30" i="2"/>
  <c r="AJ30" i="2"/>
  <c r="AH30" i="2"/>
  <c r="AF30" i="2"/>
  <c r="AD30" i="2"/>
  <c r="AB30" i="2"/>
  <c r="Z30" i="2"/>
  <c r="X30" i="2"/>
  <c r="U30" i="2"/>
  <c r="S30" i="2"/>
  <c r="Q30" i="2"/>
  <c r="O30" i="2"/>
  <c r="M30" i="2"/>
  <c r="K30" i="2"/>
  <c r="I30" i="2"/>
  <c r="G30" i="2"/>
  <c r="E30" i="2"/>
  <c r="C30" i="2"/>
  <c r="BJ29" i="2"/>
  <c r="BK29" i="2" s="1"/>
  <c r="BI29" i="2"/>
  <c r="BG29" i="2"/>
  <c r="BD29" i="2"/>
  <c r="BC29" i="2"/>
  <c r="BA29" i="2"/>
  <c r="AX29" i="2"/>
  <c r="AW29" i="2"/>
  <c r="AU29" i="2"/>
  <c r="AS29" i="2"/>
  <c r="AP29" i="2"/>
  <c r="AN29" i="2"/>
  <c r="AL29" i="2"/>
  <c r="AJ29" i="2"/>
  <c r="AH29" i="2"/>
  <c r="AF29" i="2"/>
  <c r="AD29" i="2"/>
  <c r="AB29" i="2"/>
  <c r="Z29" i="2"/>
  <c r="X29" i="2"/>
  <c r="U29" i="2"/>
  <c r="S29" i="2"/>
  <c r="Q29" i="2"/>
  <c r="O29" i="2"/>
  <c r="M29" i="2"/>
  <c r="K29" i="2"/>
  <c r="I29" i="2"/>
  <c r="G29" i="2"/>
  <c r="E29" i="2"/>
  <c r="C29" i="2"/>
  <c r="BJ28" i="2"/>
  <c r="BI28" i="2"/>
  <c r="BG28" i="2"/>
  <c r="BD28" i="2"/>
  <c r="BC28" i="2"/>
  <c r="BA28" i="2"/>
  <c r="AX28" i="2"/>
  <c r="AW28" i="2"/>
  <c r="AU28" i="2"/>
  <c r="AS28" i="2"/>
  <c r="AP28" i="2"/>
  <c r="AN28" i="2"/>
  <c r="AL28" i="2"/>
  <c r="AJ28" i="2"/>
  <c r="AH28" i="2"/>
  <c r="AF28" i="2"/>
  <c r="AD28" i="2"/>
  <c r="AB28" i="2"/>
  <c r="Z28" i="2"/>
  <c r="X28" i="2"/>
  <c r="U28" i="2"/>
  <c r="S28" i="2"/>
  <c r="Q28" i="2"/>
  <c r="O28" i="2"/>
  <c r="M28" i="2"/>
  <c r="K28" i="2"/>
  <c r="I28" i="2"/>
  <c r="G28" i="2"/>
  <c r="E28" i="2"/>
  <c r="C28" i="2"/>
  <c r="BJ27" i="2"/>
  <c r="BI27" i="2"/>
  <c r="BG27" i="2"/>
  <c r="BD27" i="2"/>
  <c r="BC27" i="2"/>
  <c r="BA27" i="2"/>
  <c r="AX27" i="2"/>
  <c r="AY28" i="2" s="1"/>
  <c r="AW27" i="2"/>
  <c r="AU27" i="2"/>
  <c r="AS27" i="2"/>
  <c r="AP27" i="2"/>
  <c r="AN27" i="2"/>
  <c r="AL27" i="2"/>
  <c r="AJ27" i="2"/>
  <c r="AH27" i="2"/>
  <c r="AF27" i="2"/>
  <c r="AD27" i="2"/>
  <c r="AB27" i="2"/>
  <c r="Z27" i="2"/>
  <c r="X27" i="2"/>
  <c r="U27" i="2"/>
  <c r="S27" i="2"/>
  <c r="Q27" i="2"/>
  <c r="O27" i="2"/>
  <c r="M27" i="2"/>
  <c r="K27" i="2"/>
  <c r="I27" i="2"/>
  <c r="G27" i="2"/>
  <c r="E27" i="2"/>
  <c r="C27" i="2"/>
  <c r="BJ26" i="2"/>
  <c r="BI26" i="2"/>
  <c r="BG26" i="2"/>
  <c r="BD26" i="2"/>
  <c r="BC26" i="2"/>
  <c r="BA26" i="2"/>
  <c r="AX26" i="2"/>
  <c r="AW26" i="2"/>
  <c r="AU26" i="2"/>
  <c r="AS26" i="2"/>
  <c r="AP26" i="2"/>
  <c r="AN26" i="2"/>
  <c r="AL26" i="2"/>
  <c r="AJ26" i="2"/>
  <c r="AH26" i="2"/>
  <c r="AF26" i="2"/>
  <c r="AD26" i="2"/>
  <c r="AB26" i="2"/>
  <c r="Z26" i="2"/>
  <c r="X26" i="2"/>
  <c r="U26" i="2"/>
  <c r="S26" i="2"/>
  <c r="Q26" i="2"/>
  <c r="O26" i="2"/>
  <c r="M26" i="2"/>
  <c r="K26" i="2"/>
  <c r="I26" i="2"/>
  <c r="G26" i="2"/>
  <c r="E26" i="2"/>
  <c r="C26" i="2"/>
  <c r="BJ25" i="2"/>
  <c r="BI25" i="2"/>
  <c r="BG25" i="2"/>
  <c r="BD25" i="2"/>
  <c r="BC25" i="2"/>
  <c r="BA25" i="2"/>
  <c r="AX25" i="2"/>
  <c r="AY26" i="2" s="1"/>
  <c r="AW25" i="2"/>
  <c r="AU25" i="2"/>
  <c r="AS25" i="2"/>
  <c r="AP25" i="2"/>
  <c r="AN25" i="2"/>
  <c r="AL25" i="2"/>
  <c r="AJ25" i="2"/>
  <c r="AH25" i="2"/>
  <c r="AF25" i="2"/>
  <c r="AD25" i="2"/>
  <c r="AB25" i="2"/>
  <c r="Z25" i="2"/>
  <c r="X25" i="2"/>
  <c r="U25" i="2"/>
  <c r="S25" i="2"/>
  <c r="Q25" i="2"/>
  <c r="O25" i="2"/>
  <c r="M25" i="2"/>
  <c r="K25" i="2"/>
  <c r="I25" i="2"/>
  <c r="G25" i="2"/>
  <c r="E25" i="2"/>
  <c r="C25" i="2"/>
  <c r="BJ24" i="2"/>
  <c r="BK24" i="2" s="1"/>
  <c r="BI24" i="2"/>
  <c r="BG24" i="2"/>
  <c r="BD24" i="2"/>
  <c r="BC24" i="2"/>
  <c r="BA24" i="2"/>
  <c r="AX24" i="2"/>
  <c r="AW24" i="2"/>
  <c r="AU24" i="2"/>
  <c r="AS24" i="2"/>
  <c r="AP24" i="2"/>
  <c r="AN24" i="2"/>
  <c r="AL24" i="2"/>
  <c r="AJ24" i="2"/>
  <c r="AH24" i="2"/>
  <c r="AF24" i="2"/>
  <c r="AD24" i="2"/>
  <c r="AB24" i="2"/>
  <c r="Z24" i="2"/>
  <c r="X24" i="2"/>
  <c r="U24" i="2"/>
  <c r="S24" i="2"/>
  <c r="Q24" i="2"/>
  <c r="O24" i="2"/>
  <c r="M24" i="2"/>
  <c r="K24" i="2"/>
  <c r="I24" i="2"/>
  <c r="G24" i="2"/>
  <c r="E24" i="2"/>
  <c r="C24" i="2"/>
  <c r="BJ23" i="2"/>
  <c r="BI23" i="2"/>
  <c r="BG23" i="2"/>
  <c r="BD23" i="2"/>
  <c r="BC23" i="2"/>
  <c r="BA23" i="2"/>
  <c r="AX23" i="2"/>
  <c r="AW23" i="2"/>
  <c r="AU23" i="2"/>
  <c r="AS23" i="2"/>
  <c r="AP23" i="2"/>
  <c r="AN23" i="2"/>
  <c r="AL23" i="2"/>
  <c r="AJ23" i="2"/>
  <c r="AH23" i="2"/>
  <c r="AF23" i="2"/>
  <c r="AD23" i="2"/>
  <c r="AB23" i="2"/>
  <c r="Z23" i="2"/>
  <c r="X23" i="2"/>
  <c r="U23" i="2"/>
  <c r="S23" i="2"/>
  <c r="Q23" i="2"/>
  <c r="O23" i="2"/>
  <c r="M23" i="2"/>
  <c r="K23" i="2"/>
  <c r="I23" i="2"/>
  <c r="G23" i="2"/>
  <c r="E23" i="2"/>
  <c r="C23" i="2"/>
  <c r="BJ22" i="2"/>
  <c r="BI22" i="2"/>
  <c r="BG22" i="2"/>
  <c r="BD22" i="2"/>
  <c r="BC22" i="2"/>
  <c r="BA22" i="2"/>
  <c r="AX22" i="2"/>
  <c r="AW22" i="2"/>
  <c r="AU22" i="2"/>
  <c r="AS22" i="2"/>
  <c r="AP22" i="2"/>
  <c r="AN22" i="2"/>
  <c r="AL22" i="2"/>
  <c r="AJ22" i="2"/>
  <c r="AH22" i="2"/>
  <c r="AF22" i="2"/>
  <c r="AD22" i="2"/>
  <c r="AB22" i="2"/>
  <c r="Z22" i="2"/>
  <c r="X22" i="2"/>
  <c r="U22" i="2"/>
  <c r="S22" i="2"/>
  <c r="Q22" i="2"/>
  <c r="O22" i="2"/>
  <c r="M22" i="2"/>
  <c r="K22" i="2"/>
  <c r="I22" i="2"/>
  <c r="G22" i="2"/>
  <c r="E22" i="2"/>
  <c r="C22" i="2"/>
  <c r="BJ21" i="2"/>
  <c r="BK21" i="2" s="1"/>
  <c r="BI21" i="2"/>
  <c r="BG21" i="2"/>
  <c r="BD21" i="2"/>
  <c r="BC21" i="2"/>
  <c r="BA21" i="2"/>
  <c r="AX21" i="2"/>
  <c r="AW21" i="2"/>
  <c r="AU21" i="2"/>
  <c r="AS21" i="2"/>
  <c r="AP21" i="2"/>
  <c r="AN21" i="2"/>
  <c r="AL21" i="2"/>
  <c r="AJ21" i="2"/>
  <c r="AH21" i="2"/>
  <c r="AF21" i="2"/>
  <c r="AD21" i="2"/>
  <c r="AB21" i="2"/>
  <c r="Z21" i="2"/>
  <c r="X21" i="2"/>
  <c r="U21" i="2"/>
  <c r="S21" i="2"/>
  <c r="Q21" i="2"/>
  <c r="O21" i="2"/>
  <c r="M21" i="2"/>
  <c r="K21" i="2"/>
  <c r="I21" i="2"/>
  <c r="G21" i="2"/>
  <c r="E21" i="2"/>
  <c r="C21" i="2"/>
  <c r="BJ20" i="2"/>
  <c r="BK20" i="2" s="1"/>
  <c r="BI20" i="2"/>
  <c r="BG20" i="2"/>
  <c r="BD20" i="2"/>
  <c r="BC20" i="2"/>
  <c r="BA20" i="2"/>
  <c r="AX20" i="2"/>
  <c r="AW20" i="2"/>
  <c r="AU20" i="2"/>
  <c r="AS20" i="2"/>
  <c r="AP20" i="2"/>
  <c r="AN20" i="2"/>
  <c r="AL20" i="2"/>
  <c r="AJ20" i="2"/>
  <c r="AH20" i="2"/>
  <c r="AF20" i="2"/>
  <c r="AD20" i="2"/>
  <c r="AB20" i="2"/>
  <c r="Z20" i="2"/>
  <c r="X20" i="2"/>
  <c r="U20" i="2"/>
  <c r="S20" i="2"/>
  <c r="Q20" i="2"/>
  <c r="O20" i="2"/>
  <c r="M20" i="2"/>
  <c r="K20" i="2"/>
  <c r="I20" i="2"/>
  <c r="G20" i="2"/>
  <c r="E20" i="2"/>
  <c r="C20" i="2"/>
  <c r="BJ19" i="2"/>
  <c r="BI19" i="2"/>
  <c r="BG19" i="2"/>
  <c r="BD19" i="2"/>
  <c r="BC19" i="2"/>
  <c r="BA19" i="2"/>
  <c r="AX19" i="2"/>
  <c r="AY20" i="2" s="1"/>
  <c r="AW19" i="2"/>
  <c r="AU19" i="2"/>
  <c r="AS19" i="2"/>
  <c r="AP19" i="2"/>
  <c r="AN19" i="2"/>
  <c r="AL19" i="2"/>
  <c r="AJ19" i="2"/>
  <c r="AH19" i="2"/>
  <c r="AF19" i="2"/>
  <c r="AD19" i="2"/>
  <c r="AB19" i="2"/>
  <c r="Z19" i="2"/>
  <c r="X19" i="2"/>
  <c r="U19" i="2"/>
  <c r="S19" i="2"/>
  <c r="Q19" i="2"/>
  <c r="O19" i="2"/>
  <c r="M19" i="2"/>
  <c r="K19" i="2"/>
  <c r="I19" i="2"/>
  <c r="G19" i="2"/>
  <c r="E19" i="2"/>
  <c r="C19" i="2"/>
  <c r="BJ18" i="2"/>
  <c r="BI18" i="2"/>
  <c r="BG18" i="2"/>
  <c r="BD18" i="2"/>
  <c r="BC18" i="2"/>
  <c r="BA18" i="2"/>
  <c r="AX18" i="2"/>
  <c r="AW18" i="2"/>
  <c r="AU18" i="2"/>
  <c r="AS18" i="2"/>
  <c r="AP18" i="2"/>
  <c r="AN18" i="2"/>
  <c r="AL18" i="2"/>
  <c r="AJ18" i="2"/>
  <c r="AH18" i="2"/>
  <c r="AF18" i="2"/>
  <c r="AD18" i="2"/>
  <c r="AB18" i="2"/>
  <c r="Z18" i="2"/>
  <c r="X18" i="2"/>
  <c r="U18" i="2"/>
  <c r="S18" i="2"/>
  <c r="Q18" i="2"/>
  <c r="O18" i="2"/>
  <c r="M18" i="2"/>
  <c r="K18" i="2"/>
  <c r="I18" i="2"/>
  <c r="G18" i="2"/>
  <c r="E18" i="2"/>
  <c r="C18" i="2"/>
  <c r="BJ17" i="2"/>
  <c r="BI17" i="2"/>
  <c r="BG17" i="2"/>
  <c r="BD17" i="2"/>
  <c r="BC17" i="2"/>
  <c r="BA17" i="2"/>
  <c r="AX17" i="2"/>
  <c r="AW17" i="2"/>
  <c r="AU17" i="2"/>
  <c r="AS17" i="2"/>
  <c r="AP17" i="2"/>
  <c r="AN17" i="2"/>
  <c r="AL17" i="2"/>
  <c r="AJ17" i="2"/>
  <c r="AH17" i="2"/>
  <c r="AF17" i="2"/>
  <c r="AD17" i="2"/>
  <c r="AB17" i="2"/>
  <c r="Z17" i="2"/>
  <c r="X17" i="2"/>
  <c r="U17" i="2"/>
  <c r="S17" i="2"/>
  <c r="Q17" i="2"/>
  <c r="O17" i="2"/>
  <c r="M17" i="2"/>
  <c r="K17" i="2"/>
  <c r="I17" i="2"/>
  <c r="G17" i="2"/>
  <c r="E17" i="2"/>
  <c r="C17" i="2"/>
  <c r="BJ16" i="2"/>
  <c r="BI16" i="2"/>
  <c r="BG16" i="2"/>
  <c r="BD16" i="2"/>
  <c r="BC16" i="2"/>
  <c r="BA16" i="2"/>
  <c r="AX16" i="2"/>
  <c r="AW16" i="2"/>
  <c r="AU16" i="2"/>
  <c r="AS16" i="2"/>
  <c r="AP16" i="2"/>
  <c r="AN16" i="2"/>
  <c r="AL16" i="2"/>
  <c r="AJ16" i="2"/>
  <c r="AH16" i="2"/>
  <c r="AF16" i="2"/>
  <c r="AD16" i="2"/>
  <c r="AB16" i="2"/>
  <c r="Z16" i="2"/>
  <c r="X16" i="2"/>
  <c r="U16" i="2"/>
  <c r="S16" i="2"/>
  <c r="Q16" i="2"/>
  <c r="O16" i="2"/>
  <c r="M16" i="2"/>
  <c r="K16" i="2"/>
  <c r="I16" i="2"/>
  <c r="G16" i="2"/>
  <c r="E16" i="2"/>
  <c r="C16" i="2"/>
  <c r="BJ15" i="2"/>
  <c r="BK15" i="2" s="1"/>
  <c r="BI15" i="2"/>
  <c r="BG15" i="2"/>
  <c r="BD15" i="2"/>
  <c r="BC15" i="2"/>
  <c r="BA15" i="2"/>
  <c r="AX15" i="2"/>
  <c r="AW15" i="2"/>
  <c r="AU15" i="2"/>
  <c r="AS15" i="2"/>
  <c r="AP15" i="2"/>
  <c r="AN15" i="2"/>
  <c r="AL15" i="2"/>
  <c r="AJ15" i="2"/>
  <c r="AH15" i="2"/>
  <c r="AF15" i="2"/>
  <c r="AD15" i="2"/>
  <c r="AB15" i="2"/>
  <c r="Z15" i="2"/>
  <c r="X15" i="2"/>
  <c r="U15" i="2"/>
  <c r="S15" i="2"/>
  <c r="Q15" i="2"/>
  <c r="O15" i="2"/>
  <c r="M15" i="2"/>
  <c r="K15" i="2"/>
  <c r="I15" i="2"/>
  <c r="G15" i="2"/>
  <c r="E15" i="2"/>
  <c r="C15" i="2"/>
  <c r="BJ14" i="2"/>
  <c r="BI14" i="2"/>
  <c r="BG14" i="2"/>
  <c r="BD14" i="2"/>
  <c r="BC14" i="2"/>
  <c r="BA14" i="2"/>
  <c r="AX14" i="2"/>
  <c r="AW14" i="2"/>
  <c r="AU14" i="2"/>
  <c r="AS14" i="2"/>
  <c r="AP14" i="2"/>
  <c r="AN14" i="2"/>
  <c r="AL14" i="2"/>
  <c r="AJ14" i="2"/>
  <c r="AH14" i="2"/>
  <c r="AF14" i="2"/>
  <c r="AD14" i="2"/>
  <c r="AB14" i="2"/>
  <c r="Z14" i="2"/>
  <c r="X14" i="2"/>
  <c r="U14" i="2"/>
  <c r="S14" i="2"/>
  <c r="Q14" i="2"/>
  <c r="O14" i="2"/>
  <c r="M14" i="2"/>
  <c r="K14" i="2"/>
  <c r="I14" i="2"/>
  <c r="G14" i="2"/>
  <c r="E14" i="2"/>
  <c r="C14" i="2"/>
  <c r="BJ13" i="2"/>
  <c r="BK13" i="2" s="1"/>
  <c r="BI13" i="2"/>
  <c r="BG13" i="2"/>
  <c r="BD13" i="2"/>
  <c r="BE14" i="2" s="1"/>
  <c r="BC13" i="2"/>
  <c r="BA13" i="2"/>
  <c r="AX13" i="2"/>
  <c r="AY14" i="2" s="1"/>
  <c r="AW13" i="2"/>
  <c r="AU13" i="2"/>
  <c r="AS13" i="2"/>
  <c r="AP13" i="2"/>
  <c r="AN13" i="2"/>
  <c r="AL13" i="2"/>
  <c r="AJ13" i="2"/>
  <c r="AH13" i="2"/>
  <c r="AF13" i="2"/>
  <c r="AD13" i="2"/>
  <c r="AB13" i="2"/>
  <c r="Z13" i="2"/>
  <c r="X13" i="2"/>
  <c r="U13" i="2"/>
  <c r="S13" i="2"/>
  <c r="Q13" i="2"/>
  <c r="O13" i="2"/>
  <c r="M13" i="2"/>
  <c r="K13" i="2"/>
  <c r="I13" i="2"/>
  <c r="G13" i="2"/>
  <c r="E13" i="2"/>
  <c r="C13" i="2"/>
  <c r="BJ12" i="2"/>
  <c r="BI12" i="2"/>
  <c r="BG12" i="2"/>
  <c r="BD12" i="2"/>
  <c r="BC12" i="2"/>
  <c r="BA12" i="2"/>
  <c r="AX12" i="2"/>
  <c r="AW12" i="2"/>
  <c r="AU12" i="2"/>
  <c r="AS12" i="2"/>
  <c r="AP12" i="2"/>
  <c r="AN12" i="2"/>
  <c r="AL12" i="2"/>
  <c r="AJ12" i="2"/>
  <c r="AH12" i="2"/>
  <c r="AF12" i="2"/>
  <c r="AD12" i="2"/>
  <c r="AB12" i="2"/>
  <c r="Z12" i="2"/>
  <c r="X12" i="2"/>
  <c r="U12" i="2"/>
  <c r="S12" i="2"/>
  <c r="Q12" i="2"/>
  <c r="O12" i="2"/>
  <c r="M12" i="2"/>
  <c r="K12" i="2"/>
  <c r="I12" i="2"/>
  <c r="G12" i="2"/>
  <c r="E12" i="2"/>
  <c r="C12" i="2"/>
  <c r="BJ11" i="2"/>
  <c r="BI11" i="2"/>
  <c r="BG11" i="2"/>
  <c r="BD11" i="2"/>
  <c r="BE12" i="2" s="1"/>
  <c r="BC11" i="2"/>
  <c r="BA11" i="2"/>
  <c r="AX11" i="2"/>
  <c r="AY12" i="2" s="1"/>
  <c r="AW11" i="2"/>
  <c r="AU11" i="2"/>
  <c r="AS11" i="2"/>
  <c r="AP11" i="2"/>
  <c r="AN11" i="2"/>
  <c r="AL11" i="2"/>
  <c r="AJ11" i="2"/>
  <c r="AH11" i="2"/>
  <c r="AF11" i="2"/>
  <c r="AD11" i="2"/>
  <c r="AB11" i="2"/>
  <c r="Z11" i="2"/>
  <c r="X11" i="2"/>
  <c r="U11" i="2"/>
  <c r="S11" i="2"/>
  <c r="Q11" i="2"/>
  <c r="O11" i="2"/>
  <c r="M11" i="2"/>
  <c r="K11" i="2"/>
  <c r="I11" i="2"/>
  <c r="G11" i="2"/>
  <c r="E11" i="2"/>
  <c r="C11" i="2"/>
  <c r="BJ10" i="2"/>
  <c r="BK10" i="2" s="1"/>
  <c r="BI10" i="2"/>
  <c r="BG10" i="2"/>
  <c r="BD10" i="2"/>
  <c r="BC10" i="2"/>
  <c r="BA10" i="2"/>
  <c r="AX10" i="2"/>
  <c r="AW10" i="2"/>
  <c r="AU10" i="2"/>
  <c r="AS10" i="2"/>
  <c r="AP10" i="2"/>
  <c r="AN10" i="2"/>
  <c r="AL10" i="2"/>
  <c r="AJ10" i="2"/>
  <c r="AH10" i="2"/>
  <c r="AF10" i="2"/>
  <c r="AD10" i="2"/>
  <c r="AB10" i="2"/>
  <c r="Z10" i="2"/>
  <c r="X10" i="2"/>
  <c r="U10" i="2"/>
  <c r="S10" i="2"/>
  <c r="Q10" i="2"/>
  <c r="O10" i="2"/>
  <c r="M10" i="2"/>
  <c r="K10" i="2"/>
  <c r="I10" i="2"/>
  <c r="G10" i="2"/>
  <c r="E10" i="2"/>
  <c r="C10" i="2"/>
  <c r="BJ9" i="2"/>
  <c r="BK9" i="2" s="1"/>
  <c r="BI9" i="2"/>
  <c r="BG9" i="2"/>
  <c r="BD9" i="2"/>
  <c r="BC9" i="2"/>
  <c r="BA9" i="2"/>
  <c r="AX9" i="2"/>
  <c r="AY10" i="2" s="1"/>
  <c r="AW9" i="2"/>
  <c r="AU9" i="2"/>
  <c r="AS9" i="2"/>
  <c r="AP9" i="2"/>
  <c r="AN9" i="2"/>
  <c r="AL9" i="2"/>
  <c r="AJ9" i="2"/>
  <c r="AH9" i="2"/>
  <c r="AF9" i="2"/>
  <c r="AD9" i="2"/>
  <c r="AB9" i="2"/>
  <c r="Z9" i="2"/>
  <c r="X9" i="2"/>
  <c r="U9" i="2"/>
  <c r="S9" i="2"/>
  <c r="Q9" i="2"/>
  <c r="O9" i="2"/>
  <c r="M9" i="2"/>
  <c r="K9" i="2"/>
  <c r="I9" i="2"/>
  <c r="G9" i="2"/>
  <c r="E9" i="2"/>
  <c r="C9" i="2"/>
  <c r="BJ8" i="2"/>
  <c r="BK8" i="2" s="1"/>
  <c r="BI8" i="2"/>
  <c r="BG8" i="2"/>
  <c r="BD8" i="2"/>
  <c r="BE8" i="2" s="1"/>
  <c r="BC8" i="2"/>
  <c r="BA8" i="2"/>
  <c r="AX8" i="2"/>
  <c r="AY8" i="2" s="1"/>
  <c r="AW8" i="2"/>
  <c r="AU8" i="2"/>
  <c r="AS8" i="2"/>
  <c r="AP8" i="2"/>
  <c r="AN8" i="2"/>
  <c r="AL8" i="2"/>
  <c r="AJ8" i="2"/>
  <c r="AH8" i="2"/>
  <c r="AF8" i="2"/>
  <c r="AD8" i="2"/>
  <c r="AB8" i="2"/>
  <c r="Z8" i="2"/>
  <c r="X8" i="2"/>
  <c r="U8" i="2"/>
  <c r="S8" i="2"/>
  <c r="Q8" i="2"/>
  <c r="O8" i="2"/>
  <c r="M8" i="2"/>
  <c r="K8" i="2"/>
  <c r="I8" i="2"/>
  <c r="G8" i="2"/>
  <c r="E8" i="2"/>
  <c r="C8" i="2"/>
  <c r="BK7" i="2"/>
  <c r="BK6" i="2"/>
  <c r="BJ4" i="2"/>
  <c r="BI4" i="2"/>
  <c r="BG4" i="2"/>
  <c r="BD4" i="2"/>
  <c r="BE4" i="2" s="1"/>
  <c r="BC4" i="2"/>
  <c r="BA4" i="2"/>
  <c r="AX4" i="2"/>
  <c r="AW4" i="2"/>
  <c r="AU4" i="2"/>
  <c r="AS4" i="2"/>
  <c r="AP4" i="2"/>
  <c r="AN4" i="2"/>
  <c r="AL4" i="2"/>
  <c r="AJ4" i="2"/>
  <c r="AH4" i="2"/>
  <c r="AF4" i="2"/>
  <c r="AD4" i="2"/>
  <c r="AB4" i="2"/>
  <c r="Z4" i="2"/>
  <c r="X4" i="2"/>
  <c r="U4" i="2"/>
  <c r="S4" i="2"/>
  <c r="Q4" i="2"/>
  <c r="O4" i="2"/>
  <c r="M4" i="2"/>
  <c r="K4" i="2"/>
  <c r="I4" i="2"/>
  <c r="G4" i="2"/>
  <c r="E4" i="2"/>
  <c r="C4" i="2"/>
  <c r="BJ3" i="2"/>
  <c r="BD3" i="2"/>
  <c r="AX3" i="2"/>
  <c r="AZ4" i="1"/>
  <c r="AR4" i="1"/>
  <c r="AO4" i="1"/>
  <c r="AM4" i="1"/>
  <c r="AK4" i="1"/>
  <c r="AI4" i="1"/>
  <c r="AG4" i="1"/>
  <c r="AE4" i="1"/>
  <c r="AC4" i="1"/>
  <c r="A4" i="1"/>
  <c r="A5" i="1" s="1"/>
  <c r="BH3" i="1"/>
  <c r="BF3" i="1"/>
  <c r="BB3" i="1"/>
  <c r="AZ3" i="1"/>
  <c r="AV3" i="1"/>
  <c r="AT3" i="1"/>
  <c r="AR3" i="1"/>
  <c r="AO3" i="1"/>
  <c r="AM3" i="1"/>
  <c r="AK3" i="1"/>
  <c r="AI3" i="1"/>
  <c r="AG3" i="1"/>
  <c r="AE3" i="1"/>
  <c r="AC3" i="1"/>
  <c r="AA3" i="1"/>
  <c r="Y3" i="1"/>
  <c r="W3" i="1"/>
  <c r="T3" i="1"/>
  <c r="R3" i="1"/>
  <c r="P3" i="1"/>
  <c r="N3" i="1"/>
  <c r="L3" i="1"/>
  <c r="J3" i="1"/>
  <c r="H3" i="1"/>
  <c r="F3" i="1"/>
  <c r="D3" i="1"/>
  <c r="B3" i="1"/>
  <c r="C79" i="6" l="1"/>
  <c r="C167" i="6"/>
  <c r="AY592" i="2"/>
  <c r="C109" i="6"/>
  <c r="B44" i="6"/>
  <c r="BE100" i="2"/>
  <c r="C88" i="6"/>
  <c r="C162" i="6"/>
  <c r="BE197" i="2"/>
  <c r="BE196" i="2"/>
  <c r="AY380" i="2"/>
  <c r="B9" i="6"/>
  <c r="B75" i="6"/>
  <c r="B207" i="6"/>
  <c r="BK73" i="2"/>
  <c r="AY79" i="2"/>
  <c r="BK81" i="2"/>
  <c r="BE118" i="2"/>
  <c r="BE136" i="2"/>
  <c r="BE288" i="2"/>
  <c r="AY613" i="2"/>
  <c r="C23" i="6"/>
  <c r="B39" i="6"/>
  <c r="B61" i="6"/>
  <c r="C75" i="6"/>
  <c r="C89" i="6"/>
  <c r="B105" i="6"/>
  <c r="C119" i="6"/>
  <c r="B149" i="6"/>
  <c r="B171" i="6"/>
  <c r="C185" i="6"/>
  <c r="B193" i="6"/>
  <c r="B215" i="6"/>
  <c r="AY25" i="2"/>
  <c r="BK27" i="2"/>
  <c r="BK35" i="2"/>
  <c r="BK65" i="2"/>
  <c r="BE99" i="2"/>
  <c r="BE98" i="2"/>
  <c r="AY129" i="2"/>
  <c r="BE131" i="2"/>
  <c r="AY178" i="2"/>
  <c r="BK201" i="2"/>
  <c r="BK246" i="2"/>
  <c r="BK259" i="2"/>
  <c r="AY294" i="2"/>
  <c r="BE299" i="2"/>
  <c r="BK369" i="2"/>
  <c r="AY375" i="2"/>
  <c r="AY376" i="2"/>
  <c r="BE432" i="2"/>
  <c r="BE512" i="2"/>
  <c r="AY608" i="2"/>
  <c r="AY668" i="2"/>
  <c r="AY669" i="2"/>
  <c r="BK670" i="2"/>
  <c r="D750" i="5"/>
  <c r="D920" i="5"/>
  <c r="BK491" i="2"/>
  <c r="C101" i="6"/>
  <c r="AY115" i="2"/>
  <c r="B161" i="6"/>
  <c r="C168" i="6"/>
  <c r="B168" i="6"/>
  <c r="B198" i="6"/>
  <c r="C22" i="6"/>
  <c r="C140" i="6"/>
  <c r="AY490" i="2"/>
  <c r="B45" i="6"/>
  <c r="B177" i="6"/>
  <c r="AY33" i="2"/>
  <c r="BE312" i="2"/>
  <c r="AY495" i="2"/>
  <c r="BK554" i="2"/>
  <c r="BK582" i="2"/>
  <c r="D872" i="5"/>
  <c r="B17" i="6"/>
  <c r="C45" i="6"/>
  <c r="C67" i="6"/>
  <c r="C97" i="6"/>
  <c r="B127" i="6"/>
  <c r="C141" i="6"/>
  <c r="C155" i="6"/>
  <c r="C177" i="6"/>
  <c r="C207" i="6"/>
  <c r="AY18" i="2"/>
  <c r="BK19" i="2"/>
  <c r="BK46" i="2"/>
  <c r="AY56" i="2"/>
  <c r="AY94" i="2"/>
  <c r="BE153" i="2"/>
  <c r="BK172" i="2"/>
  <c r="BE213" i="2"/>
  <c r="BK230" i="2"/>
  <c r="BE291" i="2"/>
  <c r="BK343" i="2"/>
  <c r="BE372" i="2"/>
  <c r="BE402" i="2"/>
  <c r="AY430" i="2"/>
  <c r="BK455" i="2"/>
  <c r="BK507" i="2"/>
  <c r="BK642" i="2"/>
  <c r="BE673" i="2"/>
  <c r="D709" i="5"/>
  <c r="D714" i="5"/>
  <c r="D766" i="5"/>
  <c r="D883" i="5"/>
  <c r="D888" i="5"/>
  <c r="D899" i="5"/>
  <c r="D931" i="5"/>
  <c r="BE217" i="2"/>
  <c r="BE216" i="2"/>
  <c r="AY545" i="2"/>
  <c r="AY544" i="2"/>
  <c r="AY90" i="2"/>
  <c r="AY89" i="2"/>
  <c r="AY251" i="2"/>
  <c r="B197" i="6"/>
  <c r="B29" i="6"/>
  <c r="C197" i="6"/>
  <c r="C21" i="6"/>
  <c r="C36" i="6"/>
  <c r="B36" i="6"/>
  <c r="C80" i="6"/>
  <c r="B80" i="6"/>
  <c r="C212" i="6"/>
  <c r="B212" i="6"/>
  <c r="C66" i="6"/>
  <c r="C110" i="6"/>
  <c r="C125" i="6"/>
  <c r="B125" i="6"/>
  <c r="C169" i="6"/>
  <c r="B169" i="6"/>
  <c r="D675" i="5"/>
  <c r="C16" i="6"/>
  <c r="B16" i="6"/>
  <c r="C38" i="6"/>
  <c r="B38" i="6"/>
  <c r="C60" i="6"/>
  <c r="B60" i="6"/>
  <c r="C82" i="6"/>
  <c r="B82" i="6"/>
  <c r="C104" i="6"/>
  <c r="B104" i="6"/>
  <c r="D777" i="5"/>
  <c r="D776" i="5"/>
  <c r="B67" i="6"/>
  <c r="B119" i="6"/>
  <c r="BK154" i="2"/>
  <c r="AY220" i="2"/>
  <c r="BK309" i="2"/>
  <c r="AY414" i="2"/>
  <c r="AY525" i="2"/>
  <c r="BK533" i="2"/>
  <c r="BK532" i="2"/>
  <c r="AY570" i="2"/>
  <c r="BE600" i="2"/>
  <c r="C9" i="6"/>
  <c r="C31" i="6"/>
  <c r="C53" i="6"/>
  <c r="B83" i="6"/>
  <c r="C111" i="6"/>
  <c r="C133" i="6"/>
  <c r="C163" i="6"/>
  <c r="C199" i="6"/>
  <c r="BK30" i="2"/>
  <c r="BK38" i="2"/>
  <c r="BK57" i="2"/>
  <c r="BK68" i="2"/>
  <c r="BE121" i="2"/>
  <c r="BK136" i="2"/>
  <c r="BE162" i="2"/>
  <c r="BK167" i="2"/>
  <c r="BK288" i="2"/>
  <c r="BK289" i="2"/>
  <c r="BK335" i="2"/>
  <c r="BE401" i="2"/>
  <c r="AY538" i="2"/>
  <c r="BK547" i="2"/>
  <c r="AY565" i="2"/>
  <c r="BK590" i="2"/>
  <c r="BE623" i="2"/>
  <c r="D703" i="5"/>
  <c r="D814" i="5"/>
  <c r="D857" i="5"/>
  <c r="D878" i="5"/>
  <c r="C2" i="6"/>
  <c r="B10" i="6"/>
  <c r="C24" i="6"/>
  <c r="B32" i="6"/>
  <c r="C46" i="6"/>
  <c r="B54" i="6"/>
  <c r="C68" i="6"/>
  <c r="B76" i="6"/>
  <c r="C90" i="6"/>
  <c r="B98" i="6"/>
  <c r="C112" i="6"/>
  <c r="B120" i="6"/>
  <c r="C134" i="6"/>
  <c r="B142" i="6"/>
  <c r="C156" i="6"/>
  <c r="B164" i="6"/>
  <c r="C178" i="6"/>
  <c r="B186" i="6"/>
  <c r="C200" i="6"/>
  <c r="B208" i="6"/>
  <c r="B216" i="6"/>
  <c r="C57" i="6"/>
  <c r="C123" i="6"/>
  <c r="C65" i="6"/>
  <c r="B205" i="6"/>
  <c r="B22" i="6"/>
  <c r="C30" i="6"/>
  <c r="C59" i="6"/>
  <c r="B59" i="6"/>
  <c r="C176" i="6"/>
  <c r="BK612" i="2"/>
  <c r="D696" i="5"/>
  <c r="C214" i="6"/>
  <c r="B214" i="6"/>
  <c r="AY427" i="2"/>
  <c r="AY428" i="2"/>
  <c r="BK514" i="2"/>
  <c r="BE610" i="2"/>
  <c r="B163" i="6"/>
  <c r="BE178" i="2"/>
  <c r="BK552" i="2"/>
  <c r="D836" i="5"/>
  <c r="B18" i="6"/>
  <c r="C76" i="6"/>
  <c r="B128" i="6"/>
  <c r="B150" i="6"/>
  <c r="C164" i="6"/>
  <c r="B172" i="6"/>
  <c r="C186" i="6"/>
  <c r="AY32" i="2"/>
  <c r="AY40" i="2"/>
  <c r="BK41" i="2"/>
  <c r="AY70" i="2"/>
  <c r="AY110" i="2"/>
  <c r="AY109" i="2"/>
  <c r="BK152" i="2"/>
  <c r="BE155" i="2"/>
  <c r="BK191" i="2"/>
  <c r="BK212" i="2"/>
  <c r="AY218" i="2"/>
  <c r="AY250" i="2"/>
  <c r="BK338" i="2"/>
  <c r="BK356" i="2"/>
  <c r="BK357" i="2"/>
  <c r="BK372" i="2"/>
  <c r="AY425" i="2"/>
  <c r="BE435" i="2"/>
  <c r="BK490" i="2"/>
  <c r="AY503" i="2"/>
  <c r="BE520" i="2"/>
  <c r="AY523" i="2"/>
  <c r="BE550" i="2"/>
  <c r="AY568" i="2"/>
  <c r="BK628" i="2"/>
  <c r="BK636" i="2"/>
  <c r="C3" i="6"/>
  <c r="B3" i="6"/>
  <c r="C10" i="6"/>
  <c r="C25" i="6"/>
  <c r="B25" i="6"/>
  <c r="C32" i="6"/>
  <c r="C47" i="6"/>
  <c r="B47" i="6"/>
  <c r="C54" i="6"/>
  <c r="C69" i="6"/>
  <c r="B69" i="6"/>
  <c r="C91" i="6"/>
  <c r="B91" i="6"/>
  <c r="C113" i="6"/>
  <c r="B113" i="6"/>
  <c r="C135" i="6"/>
  <c r="B135" i="6"/>
  <c r="C157" i="6"/>
  <c r="B157" i="6"/>
  <c r="C179" i="6"/>
  <c r="B179" i="6"/>
  <c r="C201" i="6"/>
  <c r="B201" i="6"/>
  <c r="BE209" i="2"/>
  <c r="BE208" i="2"/>
  <c r="AY395" i="2"/>
  <c r="B153" i="6"/>
  <c r="C175" i="6"/>
  <c r="C190" i="6"/>
  <c r="B190" i="6"/>
  <c r="C184" i="6"/>
  <c r="AY536" i="2"/>
  <c r="AY535" i="2"/>
  <c r="C192" i="6"/>
  <c r="B192" i="6"/>
  <c r="B185" i="6"/>
  <c r="BK22" i="2"/>
  <c r="BE445" i="2"/>
  <c r="AY621" i="2"/>
  <c r="AY658" i="2"/>
  <c r="B62" i="6"/>
  <c r="B84" i="6"/>
  <c r="C120" i="6"/>
  <c r="C142" i="6"/>
  <c r="B194" i="6"/>
  <c r="BE10" i="2"/>
  <c r="AY24" i="2"/>
  <c r="BK33" i="2"/>
  <c r="AY69" i="2"/>
  <c r="BK71" i="2"/>
  <c r="BK79" i="2"/>
  <c r="BK90" i="2"/>
  <c r="AY127" i="2"/>
  <c r="AY176" i="2"/>
  <c r="BE203" i="2"/>
  <c r="BE202" i="2"/>
  <c r="BE247" i="2"/>
  <c r="AY271" i="2"/>
  <c r="BK315" i="2"/>
  <c r="BK320" i="2"/>
  <c r="AY323" i="2"/>
  <c r="AY434" i="2"/>
  <c r="AY433" i="2"/>
  <c r="BK482" i="2"/>
  <c r="BK500" i="2"/>
  <c r="BK505" i="2"/>
  <c r="AY513" i="2"/>
  <c r="AY554" i="2"/>
  <c r="AY553" i="2"/>
  <c r="AY586" i="2"/>
  <c r="BK623" i="2"/>
  <c r="BE663" i="2"/>
  <c r="D768" i="5"/>
  <c r="D805" i="5"/>
  <c r="D944" i="5"/>
  <c r="B11" i="6"/>
  <c r="B33" i="6"/>
  <c r="B55" i="6"/>
  <c r="B77" i="6"/>
  <c r="B99" i="6"/>
  <c r="B121" i="6"/>
  <c r="B143" i="6"/>
  <c r="B165" i="6"/>
  <c r="B187" i="6"/>
  <c r="B209" i="6"/>
  <c r="C211" i="6"/>
  <c r="B95" i="6"/>
  <c r="C14" i="6"/>
  <c r="B14" i="6"/>
  <c r="BE198" i="2"/>
  <c r="B66" i="6"/>
  <c r="AY361" i="2"/>
  <c r="C8" i="6"/>
  <c r="C96" i="6"/>
  <c r="C103" i="6"/>
  <c r="B103" i="6"/>
  <c r="C147" i="6"/>
  <c r="B147" i="6"/>
  <c r="AY204" i="2"/>
  <c r="C170" i="6"/>
  <c r="B170" i="6"/>
  <c r="BE230" i="2"/>
  <c r="AY530" i="2"/>
  <c r="D813" i="5"/>
  <c r="B111" i="6"/>
  <c r="AY78" i="2"/>
  <c r="BE608" i="2"/>
  <c r="BE9" i="2"/>
  <c r="BK25" i="2"/>
  <c r="AY62" i="2"/>
  <c r="BK63" i="2"/>
  <c r="AY158" i="2"/>
  <c r="BK170" i="2"/>
  <c r="AY193" i="2"/>
  <c r="BK199" i="2"/>
  <c r="BK228" i="2"/>
  <c r="BK265" i="2"/>
  <c r="BK273" i="2"/>
  <c r="AY300" i="2"/>
  <c r="BE305" i="2"/>
  <c r="BE354" i="2"/>
  <c r="BK359" i="2"/>
  <c r="BK469" i="2"/>
  <c r="AY558" i="2"/>
  <c r="AY563" i="2"/>
  <c r="AY576" i="2"/>
  <c r="BK618" i="2"/>
  <c r="AY666" i="2"/>
  <c r="C4" i="6"/>
  <c r="B4" i="6"/>
  <c r="C11" i="6"/>
  <c r="C19" i="6"/>
  <c r="C26" i="6"/>
  <c r="B26" i="6"/>
  <c r="C33" i="6"/>
  <c r="C41" i="6"/>
  <c r="C48" i="6"/>
  <c r="B48" i="6"/>
  <c r="C55" i="6"/>
  <c r="C63" i="6"/>
  <c r="C70" i="6"/>
  <c r="B70" i="6"/>
  <c r="C77" i="6"/>
  <c r="C85" i="6"/>
  <c r="C92" i="6"/>
  <c r="B92" i="6"/>
  <c r="C99" i="6"/>
  <c r="C107" i="6"/>
  <c r="C114" i="6"/>
  <c r="B114" i="6"/>
  <c r="C121" i="6"/>
  <c r="C129" i="6"/>
  <c r="C136" i="6"/>
  <c r="B136" i="6"/>
  <c r="C143" i="6"/>
  <c r="C151" i="6"/>
  <c r="C158" i="6"/>
  <c r="B158" i="6"/>
  <c r="C165" i="6"/>
  <c r="C173" i="6"/>
  <c r="C180" i="6"/>
  <c r="B180" i="6"/>
  <c r="C187" i="6"/>
  <c r="C195" i="6"/>
  <c r="C202" i="6"/>
  <c r="B202" i="6"/>
  <c r="C209" i="6"/>
  <c r="AY635" i="2"/>
  <c r="AY636" i="2"/>
  <c r="C13" i="6"/>
  <c r="C189" i="6"/>
  <c r="B73" i="6"/>
  <c r="B117" i="6"/>
  <c r="C131" i="6"/>
  <c r="BE232" i="2"/>
  <c r="C43" i="6"/>
  <c r="C58" i="6"/>
  <c r="B58" i="6"/>
  <c r="C102" i="6"/>
  <c r="B102" i="6"/>
  <c r="C124" i="6"/>
  <c r="B124" i="6"/>
  <c r="BE110" i="2"/>
  <c r="B154" i="6"/>
  <c r="C52" i="6"/>
  <c r="C81" i="6"/>
  <c r="B81" i="6"/>
  <c r="C132" i="6"/>
  <c r="C191" i="6"/>
  <c r="B191" i="6"/>
  <c r="BE146" i="2"/>
  <c r="AP758" i="2"/>
  <c r="D733" i="5"/>
  <c r="C126" i="6"/>
  <c r="B126" i="6"/>
  <c r="BK43" i="2"/>
  <c r="B23" i="6"/>
  <c r="B89" i="6"/>
  <c r="B133" i="6"/>
  <c r="AY160" i="2"/>
  <c r="BE273" i="2"/>
  <c r="AY508" i="2"/>
  <c r="BK535" i="2"/>
  <c r="B106" i="6"/>
  <c r="F4" i="1"/>
  <c r="AY16" i="2"/>
  <c r="BK17" i="2"/>
  <c r="AY54" i="2"/>
  <c r="BK74" i="2"/>
  <c r="BK82" i="2"/>
  <c r="BK139" i="2"/>
  <c r="BE219" i="2"/>
  <c r="AY327" i="2"/>
  <c r="BE349" i="2"/>
  <c r="BK485" i="2"/>
  <c r="BK561" i="2"/>
  <c r="BE581" i="2"/>
  <c r="BK588" i="2"/>
  <c r="BK593" i="2"/>
  <c r="AY596" i="2"/>
  <c r="BK599" i="2"/>
  <c r="AY648" i="2"/>
  <c r="BE658" i="2"/>
  <c r="D683" i="5"/>
  <c r="AY457" i="2"/>
  <c r="AY458" i="2"/>
  <c r="B43" i="6"/>
  <c r="C145" i="6"/>
  <c r="B183" i="6"/>
  <c r="AY35" i="2"/>
  <c r="BE105" i="2"/>
  <c r="B110" i="6"/>
  <c r="C206" i="6"/>
  <c r="BE206" i="2"/>
  <c r="BE207" i="2"/>
  <c r="BE377" i="2"/>
  <c r="BE378" i="2"/>
  <c r="B97" i="6"/>
  <c r="BE375" i="2"/>
  <c r="BE376" i="2"/>
  <c r="T4" i="1"/>
  <c r="BK28" i="2"/>
  <c r="AY46" i="2"/>
  <c r="BK55" i="2"/>
  <c r="BK66" i="2"/>
  <c r="BE137" i="2"/>
  <c r="AY184" i="2"/>
  <c r="AY201" i="2"/>
  <c r="AY200" i="2"/>
  <c r="AY217" i="2"/>
  <c r="BK223" i="2"/>
  <c r="AY245" i="2"/>
  <c r="BK247" i="2"/>
  <c r="BK276" i="2"/>
  <c r="BK277" i="2"/>
  <c r="BE323" i="2"/>
  <c r="AY326" i="2"/>
  <c r="AY571" i="2"/>
  <c r="BK598" i="2"/>
  <c r="D753" i="5"/>
  <c r="D810" i="5"/>
  <c r="C5" i="6"/>
  <c r="B5" i="6"/>
  <c r="C27" i="6"/>
  <c r="B27" i="6"/>
  <c r="C49" i="6"/>
  <c r="B49" i="6"/>
  <c r="C71" i="6"/>
  <c r="B71" i="6"/>
  <c r="C93" i="6"/>
  <c r="B93" i="6"/>
  <c r="C115" i="6"/>
  <c r="B115" i="6"/>
  <c r="C137" i="6"/>
  <c r="B137" i="6"/>
  <c r="C159" i="6"/>
  <c r="B159" i="6"/>
  <c r="C181" i="6"/>
  <c r="B181" i="6"/>
  <c r="C203" i="6"/>
  <c r="B203" i="6"/>
  <c r="C35" i="6"/>
  <c r="B131" i="6"/>
  <c r="C153" i="6"/>
  <c r="B176" i="6"/>
  <c r="C15" i="6"/>
  <c r="B15" i="6"/>
  <c r="C37" i="6"/>
  <c r="B37" i="6"/>
  <c r="C118" i="6"/>
  <c r="C213" i="6"/>
  <c r="B213" i="6"/>
  <c r="BE115" i="2"/>
  <c r="C148" i="6"/>
  <c r="B148" i="6"/>
  <c r="B141" i="6"/>
  <c r="AY4" i="2"/>
  <c r="BK11" i="2"/>
  <c r="BE359" i="2"/>
  <c r="BE618" i="2"/>
  <c r="C98" i="6"/>
  <c r="W4" i="1"/>
  <c r="AY76" i="2"/>
  <c r="AY84" i="2"/>
  <c r="BE193" i="2"/>
  <c r="AY209" i="2"/>
  <c r="BK529" i="2"/>
  <c r="BK538" i="2"/>
  <c r="AY678" i="2"/>
  <c r="AY677" i="2"/>
  <c r="B12" i="6"/>
  <c r="B20" i="6"/>
  <c r="B34" i="6"/>
  <c r="B42" i="6"/>
  <c r="B56" i="6"/>
  <c r="B64" i="6"/>
  <c r="B78" i="6"/>
  <c r="B86" i="6"/>
  <c r="B100" i="6"/>
  <c r="B108" i="6"/>
  <c r="B122" i="6"/>
  <c r="B130" i="6"/>
  <c r="B144" i="6"/>
  <c r="B152" i="6"/>
  <c r="B166" i="6"/>
  <c r="B174" i="6"/>
  <c r="B188" i="6"/>
  <c r="B196" i="6"/>
  <c r="B175" i="6"/>
  <c r="B7" i="6"/>
  <c r="C87" i="6"/>
  <c r="BE191" i="2"/>
  <c r="BE190" i="2"/>
  <c r="C146" i="6"/>
  <c r="B146" i="6"/>
  <c r="BK584" i="2"/>
  <c r="BK585" i="2"/>
  <c r="B132" i="6"/>
  <c r="AY196" i="2"/>
  <c r="C74" i="6"/>
  <c r="C154" i="6"/>
  <c r="AY385" i="2"/>
  <c r="D728" i="5"/>
  <c r="BK460" i="2"/>
  <c r="B31" i="6"/>
  <c r="B155" i="6"/>
  <c r="AY400" i="2"/>
  <c r="AY399" i="2"/>
  <c r="BE639" i="2"/>
  <c r="Y4" i="1"/>
  <c r="AY38" i="2"/>
  <c r="AY68" i="2"/>
  <c r="AY225" i="2"/>
  <c r="BK622" i="2"/>
  <c r="BK621" i="2"/>
  <c r="AY652" i="2"/>
  <c r="B219" i="6"/>
  <c r="C218" i="6"/>
  <c r="B218" i="6"/>
  <c r="C217" i="6"/>
  <c r="B217" i="6"/>
  <c r="B206" i="6"/>
  <c r="B195" i="6"/>
  <c r="B184" i="6"/>
  <c r="B173" i="6"/>
  <c r="B162" i="6"/>
  <c r="B151" i="6"/>
  <c r="B140" i="6"/>
  <c r="B129" i="6"/>
  <c r="B118" i="6"/>
  <c r="B107" i="6"/>
  <c r="B96" i="6"/>
  <c r="B85" i="6"/>
  <c r="B74" i="6"/>
  <c r="B63" i="6"/>
  <c r="B52" i="6"/>
  <c r="B41" i="6"/>
  <c r="B30" i="6"/>
  <c r="B19" i="6"/>
  <c r="B8" i="6"/>
  <c r="C216" i="6"/>
  <c r="C205" i="6"/>
  <c r="C194" i="6"/>
  <c r="C183" i="6"/>
  <c r="C172" i="6"/>
  <c r="C161" i="6"/>
  <c r="C150" i="6"/>
  <c r="C139" i="6"/>
  <c r="C128" i="6"/>
  <c r="C117" i="6"/>
  <c r="C106" i="6"/>
  <c r="C95" i="6"/>
  <c r="C84" i="6"/>
  <c r="C73" i="6"/>
  <c r="C62" i="6"/>
  <c r="C51" i="6"/>
  <c r="C40" i="6"/>
  <c r="C29" i="6"/>
  <c r="C18" i="6"/>
  <c r="C7" i="6"/>
  <c r="D816" i="5"/>
  <c r="B6" i="6"/>
  <c r="C12" i="6"/>
  <c r="C20" i="6"/>
  <c r="B28" i="6"/>
  <c r="C34" i="6"/>
  <c r="C42" i="6"/>
  <c r="B50" i="6"/>
  <c r="C56" i="6"/>
  <c r="C64" i="6"/>
  <c r="B72" i="6"/>
  <c r="C78" i="6"/>
  <c r="C86" i="6"/>
  <c r="B94" i="6"/>
  <c r="C100" i="6"/>
  <c r="C108" i="6"/>
  <c r="B116" i="6"/>
  <c r="C122" i="6"/>
  <c r="C130" i="6"/>
  <c r="B138" i="6"/>
  <c r="C144" i="6"/>
  <c r="C152" i="6"/>
  <c r="B160" i="6"/>
  <c r="C166" i="6"/>
  <c r="C174" i="6"/>
  <c r="B182" i="6"/>
  <c r="C188" i="6"/>
  <c r="C196" i="6"/>
  <c r="B204" i="6"/>
  <c r="C210" i="6"/>
  <c r="C219" i="6"/>
  <c r="B51" i="6"/>
  <c r="B139" i="6"/>
  <c r="BE427" i="2"/>
  <c r="BE426" i="2"/>
  <c r="D829" i="5"/>
  <c r="D828" i="5"/>
  <c r="BE419" i="2"/>
  <c r="BE418" i="2"/>
  <c r="B88" i="6"/>
  <c r="C44" i="6"/>
  <c r="C198" i="6"/>
  <c r="D781" i="5"/>
  <c r="BK214" i="2"/>
  <c r="AY351" i="2"/>
  <c r="B53" i="6"/>
  <c r="B199" i="6"/>
  <c r="BK49" i="2"/>
  <c r="BK87" i="2"/>
  <c r="AY255" i="2"/>
  <c r="AY30" i="2"/>
  <c r="AA4" i="1"/>
  <c r="BK12" i="2"/>
  <c r="AY22" i="2"/>
  <c r="BK23" i="2"/>
  <c r="BK69" i="2"/>
  <c r="BE200" i="2"/>
  <c r="AY270" i="2"/>
  <c r="AY371" i="2"/>
  <c r="AY379" i="2"/>
  <c r="BK407" i="2"/>
  <c r="BE446" i="2"/>
  <c r="AY465" i="2"/>
  <c r="BE471" i="2"/>
  <c r="BE526" i="2"/>
  <c r="AY612" i="2"/>
  <c r="AY651" i="2"/>
  <c r="D875" i="5"/>
  <c r="BE352" i="2"/>
  <c r="AY404" i="2"/>
  <c r="D702" i="5"/>
  <c r="D748" i="5"/>
  <c r="D775" i="5"/>
  <c r="D780" i="5"/>
  <c r="D827" i="5"/>
  <c r="D831" i="5"/>
  <c r="D852" i="5"/>
  <c r="D942" i="5"/>
  <c r="AY155" i="2"/>
  <c r="AY191" i="2"/>
  <c r="BK209" i="2"/>
  <c r="AY229" i="2"/>
  <c r="BK235" i="2"/>
  <c r="BE239" i="2"/>
  <c r="BK243" i="2"/>
  <c r="BK266" i="2"/>
  <c r="BE269" i="2"/>
  <c r="AY272" i="2"/>
  <c r="BK299" i="2"/>
  <c r="BK312" i="2"/>
  <c r="BE315" i="2"/>
  <c r="BK332" i="2"/>
  <c r="BE335" i="2"/>
  <c r="AY356" i="2"/>
  <c r="BE365" i="2"/>
  <c r="BK390" i="2"/>
  <c r="BE393" i="2"/>
  <c r="BK400" i="2"/>
  <c r="BK415" i="2"/>
  <c r="BE442" i="2"/>
  <c r="AY455" i="2"/>
  <c r="BK462" i="2"/>
  <c r="BE493" i="2"/>
  <c r="AY498" i="2"/>
  <c r="BE500" i="2"/>
  <c r="BE516" i="2"/>
  <c r="BK518" i="2"/>
  <c r="AY528" i="2"/>
  <c r="BE537" i="2"/>
  <c r="BK548" i="2"/>
  <c r="BE592" i="2"/>
  <c r="BE613" i="2"/>
  <c r="BK658" i="2"/>
  <c r="I758" i="2"/>
  <c r="D722" i="5"/>
  <c r="D769" i="5"/>
  <c r="D795" i="5"/>
  <c r="D800" i="5"/>
  <c r="D847" i="5"/>
  <c r="D894" i="5"/>
  <c r="B2" i="6"/>
  <c r="B13" i="6"/>
  <c r="B24" i="6"/>
  <c r="B35" i="6"/>
  <c r="B46" i="6"/>
  <c r="B57" i="6"/>
  <c r="B68" i="6"/>
  <c r="B79" i="6"/>
  <c r="B90" i="6"/>
  <c r="B101" i="6"/>
  <c r="B112" i="6"/>
  <c r="B123" i="6"/>
  <c r="B134" i="6"/>
  <c r="B145" i="6"/>
  <c r="B156" i="6"/>
  <c r="B167" i="6"/>
  <c r="B178" i="6"/>
  <c r="B189" i="6"/>
  <c r="B200" i="6"/>
  <c r="B211" i="6"/>
  <c r="AY102" i="2"/>
  <c r="AY126" i="2"/>
  <c r="AY170" i="2"/>
  <c r="AY180" i="2"/>
  <c r="BK192" i="2"/>
  <c r="BE221" i="2"/>
  <c r="BE279" i="2"/>
  <c r="AY283" i="2"/>
  <c r="BE289" i="2"/>
  <c r="BE330" i="2"/>
  <c r="BK370" i="2"/>
  <c r="AY411" i="2"/>
  <c r="BK432" i="2"/>
  <c r="BE447" i="2"/>
  <c r="BK502" i="2"/>
  <c r="AY551" i="2"/>
  <c r="BE606" i="2"/>
  <c r="BK671" i="2"/>
  <c r="BK676" i="2"/>
  <c r="B743" i="5"/>
  <c r="D743" i="5" s="1"/>
  <c r="D837" i="5"/>
  <c r="D858" i="5"/>
  <c r="D905" i="5"/>
  <c r="D910" i="5"/>
  <c r="BK294" i="2"/>
  <c r="BE297" i="2"/>
  <c r="BE310" i="2"/>
  <c r="BE350" i="2"/>
  <c r="BK352" i="2"/>
  <c r="BE388" i="2"/>
  <c r="BE398" i="2"/>
  <c r="BE403" i="2"/>
  <c r="BK420" i="2"/>
  <c r="AY464" i="2"/>
  <c r="BE628" i="2"/>
  <c r="AY631" i="2"/>
  <c r="BK638" i="2"/>
  <c r="AY650" i="2"/>
  <c r="AY659" i="2"/>
  <c r="AY664" i="2"/>
  <c r="D681" i="5"/>
  <c r="D707" i="5"/>
  <c r="D712" i="5"/>
  <c r="D759" i="5"/>
  <c r="D764" i="5"/>
  <c r="D812" i="5"/>
  <c r="D879" i="5"/>
  <c r="AY112" i="2"/>
  <c r="BK147" i="2"/>
  <c r="AY153" i="2"/>
  <c r="BK157" i="2"/>
  <c r="BE171" i="2"/>
  <c r="AY173" i="2"/>
  <c r="BK195" i="2"/>
  <c r="BK207" i="2"/>
  <c r="BE229" i="2"/>
  <c r="AY248" i="2"/>
  <c r="AY262" i="2"/>
  <c r="AY276" i="2"/>
  <c r="BK279" i="2"/>
  <c r="AY296" i="2"/>
  <c r="AY308" i="2"/>
  <c r="BK325" i="2"/>
  <c r="BK330" i="2"/>
  <c r="AY341" i="2"/>
  <c r="AY353" i="2"/>
  <c r="BK360" i="2"/>
  <c r="AY421" i="2"/>
  <c r="BE429" i="2"/>
  <c r="BE440" i="2"/>
  <c r="BK447" i="2"/>
  <c r="AY453" i="2"/>
  <c r="AY479" i="2"/>
  <c r="BE481" i="2"/>
  <c r="BE560" i="2"/>
  <c r="BK575" i="2"/>
  <c r="AY626" i="2"/>
  <c r="BE637" i="2"/>
  <c r="BK651" i="2"/>
  <c r="BE669" i="2"/>
  <c r="D671" i="5"/>
  <c r="D676" i="5"/>
  <c r="D770" i="5"/>
  <c r="D869" i="5"/>
  <c r="AY100" i="2"/>
  <c r="AY124" i="2"/>
  <c r="AY140" i="2"/>
  <c r="AY227" i="2"/>
  <c r="BE237" i="2"/>
  <c r="BE244" i="2"/>
  <c r="BK249" i="2"/>
  <c r="BK254" i="2"/>
  <c r="AY257" i="2"/>
  <c r="BE267" i="2"/>
  <c r="BE282" i="2"/>
  <c r="BK297" i="2"/>
  <c r="BK310" i="2"/>
  <c r="BE313" i="2"/>
  <c r="AY316" i="2"/>
  <c r="BE328" i="2"/>
  <c r="BE333" i="2"/>
  <c r="AY366" i="2"/>
  <c r="BE391" i="2"/>
  <c r="BK403" i="2"/>
  <c r="BK423" i="2"/>
  <c r="BK487" i="2"/>
  <c r="BE533" i="2"/>
  <c r="BK574" i="2"/>
  <c r="BE604" i="2"/>
  <c r="BE631" i="2"/>
  <c r="BE649" i="2"/>
  <c r="BE664" i="2"/>
  <c r="D791" i="5"/>
  <c r="D817" i="5"/>
  <c r="D822" i="5"/>
  <c r="D859" i="5"/>
  <c r="D938" i="5"/>
  <c r="D949" i="5"/>
  <c r="BE141" i="2"/>
  <c r="BK145" i="2"/>
  <c r="BK185" i="2"/>
  <c r="AY235" i="2"/>
  <c r="AY242" i="2"/>
  <c r="AY261" i="2"/>
  <c r="AY265" i="2"/>
  <c r="AY274" i="2"/>
  <c r="BK292" i="2"/>
  <c r="AY340" i="2"/>
  <c r="BE386" i="2"/>
  <c r="AY390" i="2"/>
  <c r="BK428" i="2"/>
  <c r="BE459" i="2"/>
  <c r="AY462" i="2"/>
  <c r="BE467" i="2"/>
  <c r="AY470" i="2"/>
  <c r="AY487" i="2"/>
  <c r="BE531" i="2"/>
  <c r="BE540" i="2"/>
  <c r="BK542" i="2"/>
  <c r="BE570" i="2"/>
  <c r="BK573" i="2"/>
  <c r="BE577" i="2"/>
  <c r="BK605" i="2"/>
  <c r="AY624" i="2"/>
  <c r="AY630" i="2"/>
  <c r="BE644" i="2"/>
  <c r="BK649" i="2"/>
  <c r="BK654" i="2"/>
  <c r="AY675" i="2"/>
  <c r="D677" i="5"/>
  <c r="D771" i="5"/>
  <c r="D896" i="5"/>
  <c r="AY98" i="2"/>
  <c r="AY122" i="2"/>
  <c r="BE149" i="2"/>
  <c r="AY151" i="2"/>
  <c r="BK165" i="2"/>
  <c r="BE169" i="2"/>
  <c r="BE189" i="2"/>
  <c r="BK193" i="2"/>
  <c r="BE227" i="2"/>
  <c r="BK323" i="2"/>
  <c r="AY339" i="2"/>
  <c r="BK363" i="2"/>
  <c r="BE374" i="2"/>
  <c r="AY408" i="2"/>
  <c r="BE409" i="2"/>
  <c r="AY419" i="2"/>
  <c r="AY442" i="2"/>
  <c r="BE449" i="2"/>
  <c r="BK496" i="2"/>
  <c r="BK527" i="2"/>
  <c r="BK579" i="2"/>
  <c r="BE602" i="2"/>
  <c r="BE615" i="2"/>
  <c r="BE635" i="2"/>
  <c r="BE652" i="2"/>
  <c r="BE668" i="2"/>
  <c r="AY670" i="2"/>
  <c r="D693" i="5"/>
  <c r="D698" i="5"/>
  <c r="D746" i="5"/>
  <c r="D792" i="5"/>
  <c r="D819" i="5"/>
  <c r="D824" i="5"/>
  <c r="D891" i="5"/>
  <c r="D923" i="5"/>
  <c r="D939" i="5"/>
  <c r="D951" i="5"/>
  <c r="BK91" i="2"/>
  <c r="AY108" i="2"/>
  <c r="AY131" i="2"/>
  <c r="AY166" i="2"/>
  <c r="AY195" i="2"/>
  <c r="AY207" i="2"/>
  <c r="BE235" i="2"/>
  <c r="BK240" i="2"/>
  <c r="AY254" i="2"/>
  <c r="BK257" i="2"/>
  <c r="AY268" i="2"/>
  <c r="BK295" i="2"/>
  <c r="AY301" i="2"/>
  <c r="BE306" i="2"/>
  <c r="BK316" i="2"/>
  <c r="AY334" i="2"/>
  <c r="BK341" i="2"/>
  <c r="BK353" i="2"/>
  <c r="AY377" i="2"/>
  <c r="BE384" i="2"/>
  <c r="BK386" i="2"/>
  <c r="AY398" i="2"/>
  <c r="BE399" i="2"/>
  <c r="BE425" i="2"/>
  <c r="BE436" i="2"/>
  <c r="BK474" i="2"/>
  <c r="BE487" i="2"/>
  <c r="BK540" i="2"/>
  <c r="BK571" i="2"/>
  <c r="BE575" i="2"/>
  <c r="BK586" i="2"/>
  <c r="BE629" i="2"/>
  <c r="BE648" i="2"/>
  <c r="BE675" i="2"/>
  <c r="D704" i="5"/>
  <c r="D731" i="5"/>
  <c r="D736" i="5"/>
  <c r="D783" i="5"/>
  <c r="D787" i="5"/>
  <c r="D856" i="5"/>
  <c r="D876" i="5"/>
  <c r="D902" i="5"/>
  <c r="D918" i="5"/>
  <c r="D945" i="5"/>
  <c r="AY136" i="2"/>
  <c r="BK148" i="2"/>
  <c r="BK178" i="2"/>
  <c r="BK203" i="2"/>
  <c r="AY215" i="2"/>
  <c r="BK226" i="2"/>
  <c r="BE260" i="2"/>
  <c r="BK270" i="2"/>
  <c r="BK275" i="2"/>
  <c r="AY288" i="2"/>
  <c r="BK303" i="2"/>
  <c r="BK336" i="2"/>
  <c r="BE356" i="2"/>
  <c r="AY373" i="2"/>
  <c r="BK458" i="2"/>
  <c r="BK466" i="2"/>
  <c r="BE499" i="2"/>
  <c r="BE508" i="2"/>
  <c r="BK570" i="2"/>
  <c r="BK603" i="2"/>
  <c r="BE619" i="2"/>
  <c r="AY628" i="2"/>
  <c r="BE642" i="2"/>
  <c r="BK653" i="2"/>
  <c r="D751" i="5"/>
  <c r="D756" i="5"/>
  <c r="D808" i="5"/>
  <c r="D851" i="5"/>
  <c r="BE225" i="2"/>
  <c r="AY232" i="2"/>
  <c r="AY318" i="2"/>
  <c r="BK414" i="2"/>
  <c r="AY440" i="2"/>
  <c r="AY641" i="2"/>
  <c r="BK662" i="2"/>
  <c r="D695" i="5"/>
  <c r="D893" i="5"/>
  <c r="D952" i="5"/>
  <c r="D672" i="5"/>
  <c r="D892" i="5"/>
  <c r="D694" i="5"/>
  <c r="D716" i="5"/>
  <c r="D738" i="5"/>
  <c r="D760" i="5"/>
  <c r="D782" i="5"/>
  <c r="D804" i="5"/>
  <c r="D826" i="5"/>
  <c r="D848" i="5"/>
  <c r="D870" i="5"/>
  <c r="D686" i="5"/>
  <c r="D708" i="5"/>
  <c r="D730" i="5"/>
  <c r="D752" i="5"/>
  <c r="D774" i="5"/>
  <c r="D796" i="5"/>
  <c r="D818" i="5"/>
  <c r="D840" i="5"/>
  <c r="D862" i="5"/>
  <c r="D884" i="5"/>
  <c r="D906" i="5"/>
  <c r="D928" i="5"/>
  <c r="D950" i="5"/>
  <c r="AX3" i="1"/>
  <c r="D936" i="5"/>
  <c r="D669" i="5"/>
  <c r="D691" i="5"/>
  <c r="D713" i="5"/>
  <c r="D735" i="5"/>
  <c r="D757" i="5"/>
  <c r="D779" i="5"/>
  <c r="D801" i="5"/>
  <c r="D823" i="5"/>
  <c r="D845" i="5"/>
  <c r="D867" i="5"/>
  <c r="D889" i="5"/>
  <c r="D911" i="5"/>
  <c r="D933" i="5"/>
  <c r="D915" i="5"/>
  <c r="BD3" i="1"/>
  <c r="BJ3" i="1"/>
  <c r="D916" i="5"/>
  <c r="D903" i="5"/>
  <c r="D925" i="5"/>
  <c r="D947" i="5"/>
  <c r="D679" i="5"/>
  <c r="D701" i="5"/>
  <c r="D723" i="5"/>
  <c r="D745" i="5"/>
  <c r="D767" i="5"/>
  <c r="D789" i="5"/>
  <c r="D811" i="5"/>
  <c r="D833" i="5"/>
  <c r="D855" i="5"/>
  <c r="D921" i="5"/>
  <c r="D943" i="5"/>
  <c r="AY75" i="2"/>
  <c r="AY39" i="2"/>
  <c r="AY223" i="2"/>
  <c r="AY222" i="2"/>
  <c r="BE242" i="2"/>
  <c r="BE243" i="2"/>
  <c r="AY21" i="2"/>
  <c r="BE32" i="2"/>
  <c r="BE31" i="2"/>
  <c r="BK54" i="2"/>
  <c r="AY65" i="2"/>
  <c r="BE76" i="2"/>
  <c r="BE75" i="2"/>
  <c r="BK108" i="2"/>
  <c r="BK107" i="2"/>
  <c r="AY117" i="2"/>
  <c r="AY67" i="2"/>
  <c r="AY57" i="2"/>
  <c r="BE68" i="2"/>
  <c r="BE67" i="2"/>
  <c r="BK123" i="2"/>
  <c r="BK124" i="2"/>
  <c r="BE94" i="2"/>
  <c r="BE93" i="2"/>
  <c r="AY103" i="2"/>
  <c r="BE214" i="2"/>
  <c r="AY11" i="2"/>
  <c r="BE13" i="2"/>
  <c r="BK36" i="2"/>
  <c r="AY47" i="2"/>
  <c r="BE58" i="2"/>
  <c r="BE57" i="2"/>
  <c r="BK80" i="2"/>
  <c r="AY91" i="2"/>
  <c r="BK122" i="2"/>
  <c r="BK121" i="2"/>
  <c r="BK155" i="2"/>
  <c r="BK177" i="2"/>
  <c r="AY190" i="2"/>
  <c r="AY212" i="2"/>
  <c r="BK219" i="2"/>
  <c r="AY405" i="2"/>
  <c r="BE78" i="2"/>
  <c r="BE77" i="2"/>
  <c r="BK126" i="2"/>
  <c r="BK125" i="2"/>
  <c r="AY393" i="2"/>
  <c r="BE16" i="2"/>
  <c r="BE15" i="2"/>
  <c r="BK239" i="2"/>
  <c r="BE24" i="2"/>
  <c r="BE23" i="2"/>
  <c r="BK216" i="2"/>
  <c r="BK217" i="2"/>
  <c r="BE50" i="2"/>
  <c r="BE49" i="2"/>
  <c r="AY83" i="2"/>
  <c r="BK18" i="2"/>
  <c r="AY29" i="2"/>
  <c r="BE40" i="2"/>
  <c r="BE39" i="2"/>
  <c r="BK62" i="2"/>
  <c r="AY73" i="2"/>
  <c r="BE84" i="2"/>
  <c r="BE83" i="2"/>
  <c r="BK94" i="2"/>
  <c r="BK93" i="2"/>
  <c r="AY101" i="2"/>
  <c r="BE44" i="2"/>
  <c r="BE43" i="2"/>
  <c r="AY15" i="2"/>
  <c r="AY59" i="2"/>
  <c r="BE42" i="2"/>
  <c r="BE41" i="2"/>
  <c r="BK26" i="2"/>
  <c r="AY37" i="2"/>
  <c r="BK70" i="2"/>
  <c r="BK643" i="2"/>
  <c r="AY9" i="2"/>
  <c r="BE11" i="2"/>
  <c r="AY19" i="2"/>
  <c r="BE30" i="2"/>
  <c r="BE29" i="2"/>
  <c r="BK52" i="2"/>
  <c r="AY63" i="2"/>
  <c r="BE74" i="2"/>
  <c r="BE73" i="2"/>
  <c r="AY99" i="2"/>
  <c r="AY266" i="2"/>
  <c r="AY291" i="2"/>
  <c r="AY13" i="2"/>
  <c r="AY31" i="2"/>
  <c r="BK88" i="2"/>
  <c r="BE48" i="2"/>
  <c r="BE47" i="2"/>
  <c r="BK120" i="2"/>
  <c r="BK119" i="2"/>
  <c r="BK34" i="2"/>
  <c r="BE56" i="2"/>
  <c r="BE55" i="2"/>
  <c r="BK78" i="2"/>
  <c r="BK104" i="2"/>
  <c r="BK103" i="2"/>
  <c r="AY211" i="2"/>
  <c r="AY210" i="2"/>
  <c r="AY360" i="2"/>
  <c r="AY359" i="2"/>
  <c r="BK128" i="2"/>
  <c r="BK127" i="2"/>
  <c r="AY107" i="2"/>
  <c r="BE152" i="2"/>
  <c r="AY41" i="2"/>
  <c r="BE96" i="2"/>
  <c r="BE95" i="2"/>
  <c r="AY313" i="2"/>
  <c r="BK110" i="2"/>
  <c r="BK109" i="2"/>
  <c r="AY119" i="2"/>
  <c r="BE172" i="2"/>
  <c r="AY192" i="2"/>
  <c r="AY81" i="2"/>
  <c r="BK16" i="2"/>
  <c r="AY27" i="2"/>
  <c r="BE38" i="2"/>
  <c r="BE37" i="2"/>
  <c r="BK60" i="2"/>
  <c r="AY71" i="2"/>
  <c r="BE82" i="2"/>
  <c r="BE81" i="2"/>
  <c r="BK118" i="2"/>
  <c r="BK117" i="2"/>
  <c r="BE264" i="2"/>
  <c r="BE265" i="2"/>
  <c r="BE52" i="2"/>
  <c r="BE51" i="2"/>
  <c r="BE194" i="2"/>
  <c r="BE92" i="2"/>
  <c r="BE91" i="2"/>
  <c r="BE20" i="2"/>
  <c r="BE19" i="2"/>
  <c r="BK42" i="2"/>
  <c r="AY53" i="2"/>
  <c r="BE64" i="2"/>
  <c r="BE63" i="2"/>
  <c r="BK86" i="2"/>
  <c r="AY97" i="2"/>
  <c r="BE475" i="2"/>
  <c r="BE474" i="2"/>
  <c r="BK112" i="2"/>
  <c r="BK111" i="2"/>
  <c r="AY49" i="2"/>
  <c r="AY93" i="2"/>
  <c r="BE46" i="2"/>
  <c r="BE45" i="2"/>
  <c r="BE90" i="2"/>
  <c r="BE89" i="2"/>
  <c r="BK102" i="2"/>
  <c r="BK101" i="2"/>
  <c r="BE144" i="2"/>
  <c r="BE145" i="2"/>
  <c r="BE211" i="2"/>
  <c r="BE210" i="2"/>
  <c r="BK471" i="2"/>
  <c r="BK472" i="2"/>
  <c r="AY478" i="2"/>
  <c r="AY477" i="2"/>
  <c r="BK138" i="2"/>
  <c r="BK137" i="2"/>
  <c r="AY105" i="2"/>
  <c r="AY17" i="2"/>
  <c r="BE28" i="2"/>
  <c r="BE27" i="2"/>
  <c r="BK50" i="2"/>
  <c r="AY61" i="2"/>
  <c r="BE72" i="2"/>
  <c r="BE71" i="2"/>
  <c r="BK116" i="2"/>
  <c r="BK115" i="2"/>
  <c r="AY125" i="2"/>
  <c r="AY132" i="2"/>
  <c r="BE88" i="2"/>
  <c r="BE87" i="2"/>
  <c r="BE70" i="2"/>
  <c r="BE69" i="2"/>
  <c r="BE174" i="2"/>
  <c r="BE22" i="2"/>
  <c r="BE21" i="2"/>
  <c r="BK106" i="2"/>
  <c r="BK105" i="2"/>
  <c r="BK32" i="2"/>
  <c r="AY43" i="2"/>
  <c r="BE54" i="2"/>
  <c r="BE53" i="2"/>
  <c r="BK76" i="2"/>
  <c r="AY87" i="2"/>
  <c r="BK129" i="2"/>
  <c r="BK130" i="2"/>
  <c r="BE228" i="2"/>
  <c r="AY358" i="2"/>
  <c r="AY357" i="2"/>
  <c r="AY85" i="2"/>
  <c r="AY121" i="2"/>
  <c r="AY23" i="2"/>
  <c r="BE34" i="2"/>
  <c r="BE33" i="2"/>
  <c r="BE60" i="2"/>
  <c r="BE59" i="2"/>
  <c r="BE86" i="2"/>
  <c r="BE85" i="2"/>
  <c r="BK96" i="2"/>
  <c r="BK95" i="2"/>
  <c r="BE150" i="2"/>
  <c r="BK44" i="2"/>
  <c r="BE66" i="2"/>
  <c r="BE65" i="2"/>
  <c r="BK5" i="2"/>
  <c r="BK4" i="2"/>
  <c r="BK14" i="2"/>
  <c r="BE36" i="2"/>
  <c r="BE35" i="2"/>
  <c r="BK58" i="2"/>
  <c r="BE80" i="2"/>
  <c r="BE79" i="2"/>
  <c r="BK100" i="2"/>
  <c r="BK99" i="2"/>
  <c r="BK144" i="2"/>
  <c r="AY336" i="2"/>
  <c r="AY335" i="2"/>
  <c r="BK409" i="2"/>
  <c r="BK410" i="2"/>
  <c r="BE457" i="2"/>
  <c r="BE456" i="2"/>
  <c r="BE26" i="2"/>
  <c r="BE25" i="2"/>
  <c r="BK98" i="2"/>
  <c r="BK97" i="2"/>
  <c r="BE18" i="2"/>
  <c r="BE17" i="2"/>
  <c r="BK40" i="2"/>
  <c r="AY51" i="2"/>
  <c r="BE62" i="2"/>
  <c r="BE61" i="2"/>
  <c r="BK84" i="2"/>
  <c r="AY95" i="2"/>
  <c r="BK114" i="2"/>
  <c r="BK113" i="2"/>
  <c r="AY123" i="2"/>
  <c r="AY130" i="2"/>
  <c r="BK233" i="2"/>
  <c r="AY364" i="2"/>
  <c r="AY365" i="2"/>
  <c r="BE148" i="2"/>
  <c r="BE170" i="2"/>
  <c r="AY188" i="2"/>
  <c r="BE192" i="2"/>
  <c r="BE212" i="2"/>
  <c r="AY224" i="2"/>
  <c r="AY392" i="2"/>
  <c r="AY391" i="2"/>
  <c r="BE410" i="2"/>
  <c r="BE411" i="2"/>
  <c r="AY449" i="2"/>
  <c r="AY460" i="2"/>
  <c r="AY459" i="2"/>
  <c r="AY468" i="2"/>
  <c r="AY467" i="2"/>
  <c r="BK616" i="2"/>
  <c r="BK617" i="2"/>
  <c r="BK133" i="2"/>
  <c r="BE226" i="2"/>
  <c r="AY238" i="2"/>
  <c r="BE262" i="2"/>
  <c r="BE263" i="2"/>
  <c r="AY403" i="2"/>
  <c r="AY243" i="2"/>
  <c r="AY436" i="2"/>
  <c r="AY435" i="2"/>
  <c r="AY447" i="2"/>
  <c r="BE140" i="2"/>
  <c r="BK146" i="2"/>
  <c r="AY149" i="2"/>
  <c r="BK168" i="2"/>
  <c r="AY171" i="2"/>
  <c r="BK190" i="2"/>
  <c r="BE238" i="2"/>
  <c r="BE248" i="2"/>
  <c r="AY259" i="2"/>
  <c r="AY258" i="2"/>
  <c r="BE270" i="2"/>
  <c r="AY281" i="2"/>
  <c r="AY280" i="2"/>
  <c r="AY309" i="2"/>
  <c r="AY389" i="2"/>
  <c r="BE396" i="2"/>
  <c r="BK398" i="2"/>
  <c r="BE541" i="2"/>
  <c r="BE542" i="2"/>
  <c r="AY236" i="2"/>
  <c r="BE164" i="2"/>
  <c r="BE186" i="2"/>
  <c r="BK210" i="2"/>
  <c r="AY263" i="2"/>
  <c r="AY285" i="2"/>
  <c r="BK306" i="2"/>
  <c r="BE367" i="2"/>
  <c r="AY446" i="2"/>
  <c r="AY445" i="2"/>
  <c r="BK262" i="2"/>
  <c r="AY147" i="2"/>
  <c r="BK166" i="2"/>
  <c r="AY169" i="2"/>
  <c r="BK188" i="2"/>
  <c r="BE222" i="2"/>
  <c r="BK224" i="2"/>
  <c r="AY234" i="2"/>
  <c r="AY241" i="2"/>
  <c r="BE292" i="2"/>
  <c r="AY303" i="2"/>
  <c r="AY302" i="2"/>
  <c r="AY331" i="2"/>
  <c r="BE453" i="2"/>
  <c r="BE452" i="2"/>
  <c r="BK567" i="2"/>
  <c r="BK566" i="2"/>
  <c r="AY287" i="2"/>
  <c r="AY333" i="2"/>
  <c r="BE142" i="2"/>
  <c r="AY202" i="2"/>
  <c r="BE236" i="2"/>
  <c r="BK238" i="2"/>
  <c r="AY295" i="2"/>
  <c r="AY307" i="2"/>
  <c r="BK328" i="2"/>
  <c r="AY388" i="2"/>
  <c r="AY387" i="2"/>
  <c r="BE389" i="2"/>
  <c r="BK442" i="2"/>
  <c r="BE483" i="2"/>
  <c r="BE484" i="2"/>
  <c r="AY338" i="2"/>
  <c r="AY145" i="2"/>
  <c r="BK153" i="2"/>
  <c r="BK164" i="2"/>
  <c r="AY167" i="2"/>
  <c r="BK175" i="2"/>
  <c r="BK186" i="2"/>
  <c r="BK197" i="2"/>
  <c r="BK208" i="2"/>
  <c r="BK215" i="2"/>
  <c r="BE314" i="2"/>
  <c r="AY325" i="2"/>
  <c r="AY324" i="2"/>
  <c r="BE585" i="2"/>
  <c r="BE586" i="2"/>
  <c r="BK602" i="2"/>
  <c r="AY143" i="2"/>
  <c r="BK222" i="2"/>
  <c r="BK229" i="2"/>
  <c r="BE241" i="2"/>
  <c r="AY329" i="2"/>
  <c r="BK377" i="2"/>
  <c r="BK378" i="2"/>
  <c r="AY444" i="2"/>
  <c r="AY443" i="2"/>
  <c r="AY141" i="2"/>
  <c r="BK162" i="2"/>
  <c r="AY165" i="2"/>
  <c r="BK184" i="2"/>
  <c r="AY187" i="2"/>
  <c r="BK206" i="2"/>
  <c r="BE234" i="2"/>
  <c r="BK236" i="2"/>
  <c r="BE336" i="2"/>
  <c r="BE469" i="2"/>
  <c r="BE468" i="2"/>
  <c r="BK565" i="2"/>
  <c r="BK564" i="2"/>
  <c r="AY139" i="2"/>
  <c r="BK213" i="2"/>
  <c r="AY244" i="2"/>
  <c r="BK350" i="2"/>
  <c r="BE381" i="2"/>
  <c r="BE380" i="2"/>
  <c r="BE392" i="2"/>
  <c r="AY432" i="2"/>
  <c r="AY431" i="2"/>
  <c r="BE491" i="2"/>
  <c r="BE492" i="2"/>
  <c r="BK494" i="2"/>
  <c r="BK493" i="2"/>
  <c r="BE166" i="2"/>
  <c r="BE188" i="2"/>
  <c r="AY206" i="2"/>
  <c r="BE224" i="2"/>
  <c r="AY304" i="2"/>
  <c r="AY137" i="2"/>
  <c r="BK160" i="2"/>
  <c r="AY163" i="2"/>
  <c r="BK182" i="2"/>
  <c r="AY185" i="2"/>
  <c r="BK204" i="2"/>
  <c r="BE218" i="2"/>
  <c r="BK220" i="2"/>
  <c r="AY230" i="2"/>
  <c r="AY298" i="2"/>
  <c r="BK375" i="2"/>
  <c r="AY407" i="2"/>
  <c r="BE634" i="2"/>
  <c r="BK284" i="2"/>
  <c r="BE589" i="2"/>
  <c r="BE590" i="2"/>
  <c r="AY135" i="2"/>
  <c r="BK234" i="2"/>
  <c r="BE249" i="2"/>
  <c r="BK365" i="2"/>
  <c r="BK366" i="2"/>
  <c r="BK421" i="2"/>
  <c r="BK422" i="2"/>
  <c r="AY133" i="2"/>
  <c r="BK158" i="2"/>
  <c r="AY161" i="2"/>
  <c r="BK180" i="2"/>
  <c r="AY183" i="2"/>
  <c r="BK202" i="2"/>
  <c r="AY214" i="2"/>
  <c r="AY247" i="2"/>
  <c r="AY269" i="2"/>
  <c r="AY320" i="2"/>
  <c r="BE358" i="2"/>
  <c r="BE369" i="2"/>
  <c r="BE368" i="2"/>
  <c r="BE373" i="2"/>
  <c r="BK477" i="2"/>
  <c r="BK476" i="2"/>
  <c r="AY346" i="2"/>
  <c r="BE571" i="2"/>
  <c r="BE572" i="2"/>
  <c r="BK601" i="2"/>
  <c r="BK600" i="2"/>
  <c r="AY672" i="2"/>
  <c r="AY671" i="2"/>
  <c r="AY355" i="2"/>
  <c r="BK419" i="2"/>
  <c r="BK454" i="2"/>
  <c r="BE496" i="2"/>
  <c r="BK619" i="2"/>
  <c r="BK663" i="2"/>
  <c r="BE258" i="2"/>
  <c r="BE280" i="2"/>
  <c r="BE302" i="2"/>
  <c r="BE324" i="2"/>
  <c r="BE346" i="2"/>
  <c r="BK368" i="2"/>
  <c r="BK260" i="2"/>
  <c r="BK282" i="2"/>
  <c r="BK304" i="2"/>
  <c r="BK326" i="2"/>
  <c r="BK348" i="2"/>
  <c r="BE422" i="2"/>
  <c r="BK424" i="2"/>
  <c r="BE462" i="2"/>
  <c r="BE472" i="2"/>
  <c r="BK479" i="2"/>
  <c r="BK528" i="2"/>
  <c r="BE256" i="2"/>
  <c r="BE278" i="2"/>
  <c r="BE300" i="2"/>
  <c r="BE322" i="2"/>
  <c r="BE344" i="2"/>
  <c r="BE364" i="2"/>
  <c r="AY369" i="2"/>
  <c r="BK373" i="2"/>
  <c r="BE387" i="2"/>
  <c r="BK258" i="2"/>
  <c r="BK280" i="2"/>
  <c r="BK302" i="2"/>
  <c r="BK324" i="2"/>
  <c r="BK346" i="2"/>
  <c r="BK380" i="2"/>
  <c r="BK452" i="2"/>
  <c r="BK457" i="2"/>
  <c r="BK562" i="2"/>
  <c r="BE254" i="2"/>
  <c r="BE276" i="2"/>
  <c r="BE298" i="2"/>
  <c r="BE320" i="2"/>
  <c r="BE342" i="2"/>
  <c r="BE421" i="2"/>
  <c r="BE420" i="2"/>
  <c r="BK256" i="2"/>
  <c r="BK278" i="2"/>
  <c r="BK300" i="2"/>
  <c r="BK322" i="2"/>
  <c r="BK344" i="2"/>
  <c r="BK364" i="2"/>
  <c r="AY367" i="2"/>
  <c r="BE385" i="2"/>
  <c r="BK408" i="2"/>
  <c r="BE460" i="2"/>
  <c r="BK560" i="2"/>
  <c r="BE645" i="2"/>
  <c r="BK652" i="2"/>
  <c r="BE252" i="2"/>
  <c r="BE274" i="2"/>
  <c r="BE296" i="2"/>
  <c r="BE318" i="2"/>
  <c r="BE340" i="2"/>
  <c r="BE362" i="2"/>
  <c r="BE406" i="2"/>
  <c r="BK450" i="2"/>
  <c r="BK467" i="2"/>
  <c r="BK468" i="2"/>
  <c r="BE579" i="2"/>
  <c r="BE580" i="2"/>
  <c r="BE588" i="2"/>
  <c r="BE383" i="2"/>
  <c r="BK443" i="2"/>
  <c r="BE529" i="2"/>
  <c r="BE530" i="2"/>
  <c r="BE545" i="2"/>
  <c r="BE546" i="2"/>
  <c r="BK559" i="2"/>
  <c r="BK558" i="2"/>
  <c r="BE250" i="2"/>
  <c r="BE272" i="2"/>
  <c r="BE294" i="2"/>
  <c r="BE316" i="2"/>
  <c r="BE338" i="2"/>
  <c r="BE360" i="2"/>
  <c r="AY437" i="2"/>
  <c r="AY463" i="2"/>
  <c r="BK470" i="2"/>
  <c r="BK252" i="2"/>
  <c r="BK274" i="2"/>
  <c r="BK296" i="2"/>
  <c r="BK318" i="2"/>
  <c r="BK340" i="2"/>
  <c r="BK362" i="2"/>
  <c r="AY372" i="2"/>
  <c r="BK399" i="2"/>
  <c r="BE404" i="2"/>
  <c r="BK523" i="2"/>
  <c r="BK522" i="2"/>
  <c r="BK659" i="2"/>
  <c r="BE527" i="2"/>
  <c r="BE528" i="2"/>
  <c r="BK401" i="2"/>
  <c r="BK445" i="2"/>
  <c r="BE454" i="2"/>
  <c r="AY461" i="2"/>
  <c r="BK465" i="2"/>
  <c r="BE470" i="2"/>
  <c r="AY482" i="2"/>
  <c r="BK520" i="2"/>
  <c r="BE534" i="2"/>
  <c r="BK557" i="2"/>
  <c r="BK556" i="2"/>
  <c r="BE624" i="2"/>
  <c r="BE636" i="2"/>
  <c r="BK395" i="2"/>
  <c r="BK439" i="2"/>
  <c r="BK463" i="2"/>
  <c r="AY480" i="2"/>
  <c r="BK393" i="2"/>
  <c r="BK437" i="2"/>
  <c r="BE450" i="2"/>
  <c r="AY473" i="2"/>
  <c r="BE494" i="2"/>
  <c r="BK516" i="2"/>
  <c r="BK572" i="2"/>
  <c r="BK610" i="2"/>
  <c r="BK391" i="2"/>
  <c r="BK435" i="2"/>
  <c r="BE501" i="2"/>
  <c r="BE502" i="2"/>
  <c r="BK629" i="2"/>
  <c r="BK630" i="2"/>
  <c r="BK641" i="2"/>
  <c r="BK674" i="2"/>
  <c r="BK389" i="2"/>
  <c r="BK433" i="2"/>
  <c r="BE448" i="2"/>
  <c r="BK461" i="2"/>
  <c r="BK608" i="2"/>
  <c r="AY637" i="2"/>
  <c r="AY638" i="2"/>
  <c r="BK387" i="2"/>
  <c r="BK431" i="2"/>
  <c r="BK475" i="2"/>
  <c r="BE584" i="2"/>
  <c r="BK385" i="2"/>
  <c r="BK429" i="2"/>
  <c r="BK513" i="2"/>
  <c r="BK512" i="2"/>
  <c r="BK606" i="2"/>
  <c r="BK383" i="2"/>
  <c r="BK427" i="2"/>
  <c r="BK459" i="2"/>
  <c r="BE464" i="2"/>
  <c r="BE485" i="2"/>
  <c r="BE486" i="2"/>
  <c r="BK530" i="2"/>
  <c r="BE535" i="2"/>
  <c r="BE536" i="2"/>
  <c r="BE544" i="2"/>
  <c r="BE582" i="2"/>
  <c r="BK620" i="2"/>
  <c r="BK632" i="2"/>
  <c r="BK381" i="2"/>
  <c r="BK425" i="2"/>
  <c r="AY469" i="2"/>
  <c r="BK473" i="2"/>
  <c r="AY483" i="2"/>
  <c r="AY488" i="2"/>
  <c r="BE490" i="2"/>
  <c r="BE497" i="2"/>
  <c r="BE498" i="2"/>
  <c r="BK568" i="2"/>
  <c r="BE573" i="2"/>
  <c r="BE574" i="2"/>
  <c r="BK604" i="2"/>
  <c r="AY616" i="2"/>
  <c r="BE625" i="2"/>
  <c r="BE677" i="2"/>
  <c r="BE678" i="2"/>
  <c r="BK668" i="2"/>
  <c r="BE479" i="2"/>
  <c r="BE523" i="2"/>
  <c r="BE567" i="2"/>
  <c r="BE611" i="2"/>
  <c r="BK648" i="2"/>
  <c r="BK677" i="2"/>
  <c r="BE477" i="2"/>
  <c r="BE521" i="2"/>
  <c r="BE565" i="2"/>
  <c r="BE609" i="2"/>
  <c r="BK615" i="2"/>
  <c r="BK657" i="2"/>
  <c r="AY660" i="2"/>
  <c r="BE519" i="2"/>
  <c r="BE563" i="2"/>
  <c r="BE607" i="2"/>
  <c r="BK637" i="2"/>
  <c r="BK666" i="2"/>
  <c r="BE517" i="2"/>
  <c r="BE561" i="2"/>
  <c r="BE605" i="2"/>
  <c r="BK646" i="2"/>
  <c r="AY649" i="2"/>
  <c r="BE515" i="2"/>
  <c r="BE559" i="2"/>
  <c r="BE603" i="2"/>
  <c r="AY618" i="2"/>
  <c r="BK626" i="2"/>
  <c r="AY640" i="2"/>
  <c r="BK655" i="2"/>
  <c r="AY667" i="2"/>
  <c r="AY676" i="2"/>
  <c r="BE513" i="2"/>
  <c r="BE557" i="2"/>
  <c r="BE601" i="2"/>
  <c r="BK635" i="2"/>
  <c r="BE511" i="2"/>
  <c r="BE555" i="2"/>
  <c r="BE599" i="2"/>
  <c r="BE620" i="2"/>
  <c r="BK624" i="2"/>
  <c r="AY629" i="2"/>
  <c r="AY656" i="2"/>
  <c r="AY665" i="2"/>
  <c r="BK758" i="2"/>
  <c r="BE509" i="2"/>
  <c r="BE553" i="2"/>
  <c r="BE597" i="2"/>
  <c r="AY627" i="2"/>
  <c r="AY674" i="2"/>
  <c r="BE507" i="2"/>
  <c r="BE551" i="2"/>
  <c r="BE595" i="2"/>
  <c r="AY645" i="2"/>
  <c r="AY654" i="2"/>
  <c r="BE667" i="2"/>
  <c r="BE505" i="2"/>
  <c r="BE549" i="2"/>
  <c r="BE593" i="2"/>
  <c r="AY663" i="2"/>
  <c r="BE503" i="2"/>
  <c r="BE547" i="2"/>
  <c r="BE591" i="2"/>
  <c r="BE614" i="2"/>
  <c r="AY623" i="2"/>
  <c r="AY634" i="2"/>
  <c r="AY643" i="2"/>
  <c r="BE647" i="2"/>
  <c r="BE656" i="2"/>
  <c r="BE674" i="2"/>
  <c r="AD758" i="2"/>
  <c r="AT5" i="1"/>
  <c r="AZ5" i="1"/>
  <c r="AR5" i="1"/>
  <c r="T5" i="1"/>
  <c r="P5" i="1"/>
  <c r="BF5" i="1"/>
  <c r="F5" i="1"/>
  <c r="D5" i="1"/>
  <c r="AO5" i="1"/>
  <c r="AM5" i="1"/>
  <c r="H5" i="1"/>
  <c r="AK5" i="1"/>
  <c r="A6" i="1"/>
  <c r="AI5" i="1"/>
  <c r="AV5" i="1"/>
  <c r="AG5" i="1"/>
  <c r="J5" i="1"/>
  <c r="B5" i="1"/>
  <c r="AE5" i="1"/>
  <c r="AC5" i="1"/>
  <c r="R5" i="1"/>
  <c r="N5" i="1"/>
  <c r="AA5" i="1"/>
  <c r="BB5" i="1"/>
  <c r="Y5" i="1"/>
  <c r="L5" i="1"/>
  <c r="W5" i="1"/>
  <c r="BH5" i="1"/>
  <c r="AT4" i="1"/>
  <c r="B4" i="1"/>
  <c r="AV4" i="1"/>
  <c r="D4" i="1"/>
  <c r="H4" i="1"/>
  <c r="BB4" i="1"/>
  <c r="BD4" i="1" s="1"/>
  <c r="J4" i="1"/>
  <c r="L4" i="1"/>
  <c r="BF4" i="1"/>
  <c r="N4" i="1"/>
  <c r="BH4" i="1"/>
  <c r="P4" i="1"/>
  <c r="R4" i="1"/>
  <c r="D744" i="5" l="1"/>
  <c r="AA6" i="1"/>
  <c r="AK6" i="1"/>
  <c r="Y6" i="1"/>
  <c r="AC6" i="1"/>
  <c r="W6" i="1"/>
  <c r="T6" i="1"/>
  <c r="AR6" i="1"/>
  <c r="AO6" i="1"/>
  <c r="A7" i="1"/>
  <c r="R6" i="1"/>
  <c r="P6" i="1"/>
  <c r="BH6" i="1"/>
  <c r="N6" i="1"/>
  <c r="AV6" i="1"/>
  <c r="AM6" i="1"/>
  <c r="AI6" i="1"/>
  <c r="AG6" i="1"/>
  <c r="AE6" i="1"/>
  <c r="BF6" i="1"/>
  <c r="BJ6" i="1" s="1"/>
  <c r="L6" i="1"/>
  <c r="J6" i="1"/>
  <c r="BB6" i="1"/>
  <c r="H6" i="1"/>
  <c r="B6" i="1"/>
  <c r="AT6" i="1"/>
  <c r="AZ6" i="1"/>
  <c r="F6" i="1"/>
  <c r="D6" i="1"/>
  <c r="AX4" i="1"/>
  <c r="BJ5" i="1"/>
  <c r="BJ4" i="1"/>
  <c r="BD5" i="1"/>
  <c r="AX5" i="1"/>
  <c r="BB7" i="1" l="1"/>
  <c r="H7" i="1"/>
  <c r="AZ7" i="1"/>
  <c r="BD7" i="1" s="1"/>
  <c r="F7" i="1"/>
  <c r="R7" i="1"/>
  <c r="P7" i="1"/>
  <c r="D7" i="1"/>
  <c r="AV7" i="1"/>
  <c r="B7" i="1"/>
  <c r="AT7" i="1"/>
  <c r="AR7" i="1"/>
  <c r="BH7" i="1"/>
  <c r="L7" i="1"/>
  <c r="AO7" i="1"/>
  <c r="AM7" i="1"/>
  <c r="AA7" i="1"/>
  <c r="AK7" i="1"/>
  <c r="AI7" i="1"/>
  <c r="Y7" i="1"/>
  <c r="A8" i="1"/>
  <c r="J7" i="1"/>
  <c r="AG7" i="1"/>
  <c r="AC7" i="1"/>
  <c r="W7" i="1"/>
  <c r="N7" i="1"/>
  <c r="BF7" i="1"/>
  <c r="AE7" i="1"/>
  <c r="T7" i="1"/>
  <c r="AX6" i="1"/>
  <c r="BD6" i="1"/>
  <c r="AX7" i="1" l="1"/>
  <c r="BJ7" i="1"/>
  <c r="AI8" i="1"/>
  <c r="AG8" i="1"/>
  <c r="AE8" i="1"/>
  <c r="AC8" i="1"/>
  <c r="B8" i="1"/>
  <c r="AT8" i="1"/>
  <c r="AM8" i="1"/>
  <c r="AA8" i="1"/>
  <c r="D8" i="1"/>
  <c r="AR8" i="1"/>
  <c r="AO8" i="1"/>
  <c r="AK8" i="1"/>
  <c r="Y8" i="1"/>
  <c r="W8" i="1"/>
  <c r="T8" i="1"/>
  <c r="A9" i="1"/>
  <c r="R8" i="1"/>
  <c r="J8" i="1"/>
  <c r="P8" i="1"/>
  <c r="AV8" i="1"/>
  <c r="BH8" i="1"/>
  <c r="N8" i="1"/>
  <c r="H8" i="1"/>
  <c r="AZ8" i="1"/>
  <c r="BF8" i="1"/>
  <c r="L8" i="1"/>
  <c r="BB8" i="1"/>
  <c r="F8" i="1"/>
  <c r="AX8" i="1" l="1"/>
  <c r="P9" i="1"/>
  <c r="BH9" i="1"/>
  <c r="N9" i="1"/>
  <c r="BF9" i="1"/>
  <c r="BJ9" i="1" s="1"/>
  <c r="L9" i="1"/>
  <c r="J9" i="1"/>
  <c r="W9" i="1"/>
  <c r="BB9" i="1"/>
  <c r="H9" i="1"/>
  <c r="AG9" i="1"/>
  <c r="AC9" i="1"/>
  <c r="AA9" i="1"/>
  <c r="T9" i="1"/>
  <c r="AZ9" i="1"/>
  <c r="BD9" i="1" s="1"/>
  <c r="F9" i="1"/>
  <c r="D9" i="1"/>
  <c r="AI9" i="1"/>
  <c r="AV9" i="1"/>
  <c r="B9" i="1"/>
  <c r="AT9" i="1"/>
  <c r="AX9" i="1" s="1"/>
  <c r="AR9" i="1"/>
  <c r="AE9" i="1"/>
  <c r="AO9" i="1"/>
  <c r="Y9" i="1"/>
  <c r="R9" i="1"/>
  <c r="AM9" i="1"/>
  <c r="AK9" i="1"/>
  <c r="BD8" i="1"/>
  <c r="BJ8" i="1"/>
</calcChain>
</file>

<file path=xl/sharedStrings.xml><?xml version="1.0" encoding="utf-8"?>
<sst xmlns="http://schemas.openxmlformats.org/spreadsheetml/2006/main" count="109" uniqueCount="31">
  <si>
    <t xml:space="preserve">Soybean Oil </t>
  </si>
  <si>
    <t>Soybean Meal</t>
  </si>
  <si>
    <t>Corn</t>
  </si>
  <si>
    <t>Total OI</t>
  </si>
  <si>
    <t>MM Long</t>
  </si>
  <si>
    <t>MM Short</t>
  </si>
  <si>
    <t>MM Net</t>
  </si>
  <si>
    <t>C Long</t>
  </si>
  <si>
    <t>C Short</t>
  </si>
  <si>
    <t>C Net</t>
  </si>
  <si>
    <t>P Long</t>
  </si>
  <si>
    <t>P Short</t>
  </si>
  <si>
    <t>P Net</t>
  </si>
  <si>
    <t>Soybean Oil</t>
  </si>
  <si>
    <t>Date</t>
  </si>
  <si>
    <t>OI Change</t>
  </si>
  <si>
    <t>Long Change</t>
  </si>
  <si>
    <t>Short Change</t>
  </si>
  <si>
    <t>Net Change</t>
  </si>
  <si>
    <t xml:space="preserve">USE THE CONTINUOUS NEARBY CONTRACT FOR THE CHART DATA. </t>
  </si>
  <si>
    <t>24/06/2024</t>
  </si>
  <si>
    <t>Implied Fund Net Oil Share Position</t>
  </si>
  <si>
    <t>Nearby Soybean Oil Futures</t>
  </si>
  <si>
    <t>Change in Fund Position</t>
  </si>
  <si>
    <t>Month</t>
  </si>
  <si>
    <t>Year</t>
  </si>
  <si>
    <t xml:space="preserve">USE THE CONTINUOUS NEARBY CONTRACT FROM THE WEEKLY TIMEFRAME FOR THE CHART DATA. </t>
  </si>
  <si>
    <t>Avg Position</t>
  </si>
  <si>
    <t>Avg. Cont. Nearby Futs. (expiry roll)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</si>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</sst>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;@"/>
    <numFmt numFmtId="165" formatCode="[$-409]d\-mmm\-yy;@"/>
    <numFmt numFmtId="166" formatCode="0.00_);[Red]\(0.00\)"/>
    <numFmt numFmtId="167" formatCode="0_);[Red]\(0\)"/>
  </numFmts>
  <fonts count="8"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28"/>
      <color theme="1"/>
      <name val="Arial Narrow"/>
      <family val="2"/>
    </font>
    <font>
      <sz val="8"/>
      <color theme="1"/>
      <name val="Brown"/>
    </font>
    <font>
      <sz val="9"/>
      <color theme="1"/>
      <name val="Brow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38" fontId="2" fillId="0" borderId="0" xfId="0" applyNumberFormat="1" applyFont="1"/>
    <xf numFmtId="0" fontId="3" fillId="0" borderId="0" xfId="0" applyFont="1"/>
    <xf numFmtId="165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38" fontId="1" fillId="0" borderId="0" xfId="0" applyNumberFormat="1" applyFont="1"/>
    <xf numFmtId="165" fontId="5" fillId="2" borderId="0" xfId="0" applyNumberFormat="1" applyFont="1" applyFill="1"/>
    <xf numFmtId="0" fontId="1" fillId="2" borderId="0" xfId="0" applyFont="1" applyFill="1"/>
    <xf numFmtId="165" fontId="1" fillId="2" borderId="0" xfId="0" applyNumberFormat="1" applyFont="1" applyFill="1"/>
    <xf numFmtId="166" fontId="1" fillId="2" borderId="0" xfId="0" applyNumberFormat="1" applyFont="1" applyFill="1"/>
    <xf numFmtId="166" fontId="1" fillId="0" borderId="0" xfId="0" applyNumberFormat="1" applyFont="1"/>
    <xf numFmtId="165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165" fontId="7" fillId="0" borderId="0" xfId="0" applyNumberFormat="1" applyFont="1"/>
    <xf numFmtId="38" fontId="7" fillId="0" borderId="0" xfId="0" applyNumberFormat="1" applyFont="1"/>
    <xf numFmtId="40" fontId="7" fillId="0" borderId="0" xfId="0" applyNumberFormat="1" applyFont="1" applyAlignment="1">
      <alignment horizontal="right"/>
    </xf>
    <xf numFmtId="167" fontId="7" fillId="0" borderId="0" xfId="0" applyNumberFormat="1" applyFont="1"/>
    <xf numFmtId="0" fontId="7" fillId="2" borderId="0" xfId="0" applyFont="1" applyFill="1"/>
    <xf numFmtId="38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4" fontId="7" fillId="0" borderId="0" xfId="0" applyNumberFormat="1" applyFont="1"/>
    <xf numFmtId="40" fontId="7" fillId="0" borderId="0" xfId="0" applyNumberFormat="1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prophetx.rtdserver">
      <tp t="e">
        <v>#N/A</v>
        <stp/>
        <stp>HISTORY</stp>
        <stp>@BO@C</stp>
        <stp>WEEKLY</stp>
        <stp>1</stp>
        <stp>24/06/2024</stp>
        <stp>0</stp>
        <stp>Low</stp>
        <stp>0</stp>
        <tr r="P1903" s="2"/>
      </tp>
      <tp t="e">
        <v>#N/A</v>
        <stp/>
        <stp>HISTORY</stp>
        <stp>@BO@C</stp>
        <stp>WEEKLY</stp>
        <stp>1</stp>
        <stp>45636</stp>
        <stp>0</stp>
        <stp>Close</stp>
        <stp>0</stp>
        <tr r="C952" s="5"/>
      </tp>
      <tp t="e">
        <v>#N/A</v>
        <stp/>
        <stp>HISTORY</stp>
        <stp>@BO@C</stp>
        <stp>WEEKLY</stp>
        <stp>1</stp>
        <stp>24/06/2024</stp>
        <stp>0</stp>
        <stp>High</stp>
        <stp>0</stp>
        <tr r="O1903" s="2"/>
      </tp>
      <tp t="e">
        <v>#N/A</v>
        <stp/>
        <stp>HISTORY</stp>
        <stp>@BO@C</stp>
        <stp>WEEKLY</stp>
        <stp>1</stp>
        <stp>24/06/2024</stp>
        <stp>0</stp>
        <stp>Open</stp>
        <stp>0</stp>
        <tr r="N1903" s="2"/>
      </tp>
      <tp t="e">
        <v>#N/A</v>
        <stp/>
        <stp>HISTORY</stp>
        <stp>@BO@C</stp>
        <stp>WEEKLY</stp>
        <stp>1</stp>
        <stp>24/06/2024</stp>
        <stp>0</stp>
        <stp>Close</stp>
        <stp>0</stp>
        <tr r="Q1903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volatileDependencies" Target="volatileDependenci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chartsheet" Target="chartsheets/sheet7.xml"/><Relationship Id="rId5" Type="http://schemas.openxmlformats.org/officeDocument/2006/relationships/worksheet" Target="worksheets/sheet3.xml"/><Relationship Id="rId15" Type="http://schemas.openxmlformats.org/officeDocument/2006/relationships/chartsheet" Target="chartsheets/sheet11.xml"/><Relationship Id="rId10" Type="http://schemas.openxmlformats.org/officeDocument/2006/relationships/chartsheet" Target="chartsheets/sheet6.xml"/><Relationship Id="rId19" Type="http://schemas.openxmlformats.org/officeDocument/2006/relationships/calcChain" Target="calcChain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2400"/>
              <a:t>Speculators</a:t>
            </a:r>
            <a:r>
              <a:rPr lang="en-GB" sz="2400" baseline="0"/>
              <a:t> Could Drive Buying As Oil Share Rises</a:t>
            </a:r>
            <a:endParaRPr lang="en-GB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1132449946390541"/>
          <c:y val="0.10477697470865192"/>
          <c:w val="0.78412559275701221"/>
          <c:h val="0.7233633684846994"/>
        </c:manualLayout>
      </c:layout>
      <c:areaChart>
        <c:grouping val="standard"/>
        <c:varyColors val="0"/>
        <c:ser>
          <c:idx val="0"/>
          <c:order val="0"/>
          <c:tx>
            <c:strRef>
              <c:f>'Oil Share Data'!$B$1</c:f>
              <c:strCache>
                <c:ptCount val="1"/>
                <c:pt idx="0">
                  <c:v>Implied Fund Net Oil Share Position</c:v>
                </c:pt>
              </c:strCache>
            </c:strRef>
          </c:tx>
          <c:spPr>
            <a:solidFill>
              <a:schemeClr val="bg2"/>
            </a:solidFill>
            <a:ln w="3175">
              <a:solidFill>
                <a:schemeClr val="tx1"/>
              </a:solidFill>
            </a:ln>
            <a:effectLst/>
          </c:spPr>
          <c:cat>
            <c:numRef>
              <c:f>'Oil Share Data'!$A$2:$A$999</c:f>
              <c:numCache>
                <c:formatCode>[$-409]d\-mmm\-yy;@</c:formatCode>
                <c:ptCount val="998"/>
                <c:pt idx="0">
                  <c:v>38965</c:v>
                </c:pt>
                <c:pt idx="1">
                  <c:v>38972</c:v>
                </c:pt>
                <c:pt idx="2">
                  <c:v>38979</c:v>
                </c:pt>
                <c:pt idx="3">
                  <c:v>38986</c:v>
                </c:pt>
                <c:pt idx="4">
                  <c:v>38993</c:v>
                </c:pt>
                <c:pt idx="5">
                  <c:v>39000</c:v>
                </c:pt>
                <c:pt idx="6">
                  <c:v>39007</c:v>
                </c:pt>
                <c:pt idx="7">
                  <c:v>39014</c:v>
                </c:pt>
                <c:pt idx="8">
                  <c:v>39021</c:v>
                </c:pt>
                <c:pt idx="9">
                  <c:v>39028</c:v>
                </c:pt>
                <c:pt idx="10">
                  <c:v>39035</c:v>
                </c:pt>
                <c:pt idx="11">
                  <c:v>39042</c:v>
                </c:pt>
                <c:pt idx="12">
                  <c:v>39049</c:v>
                </c:pt>
                <c:pt idx="13">
                  <c:v>39056</c:v>
                </c:pt>
                <c:pt idx="14">
                  <c:v>39063</c:v>
                </c:pt>
                <c:pt idx="15">
                  <c:v>39070</c:v>
                </c:pt>
                <c:pt idx="16">
                  <c:v>39077</c:v>
                </c:pt>
                <c:pt idx="17">
                  <c:v>39084</c:v>
                </c:pt>
                <c:pt idx="18">
                  <c:v>39091</c:v>
                </c:pt>
                <c:pt idx="19">
                  <c:v>39098</c:v>
                </c:pt>
                <c:pt idx="20">
                  <c:v>39105</c:v>
                </c:pt>
                <c:pt idx="21">
                  <c:v>39112</c:v>
                </c:pt>
                <c:pt idx="22">
                  <c:v>39119</c:v>
                </c:pt>
                <c:pt idx="23">
                  <c:v>39126</c:v>
                </c:pt>
                <c:pt idx="24">
                  <c:v>39133</c:v>
                </c:pt>
                <c:pt idx="25">
                  <c:v>39140</c:v>
                </c:pt>
                <c:pt idx="26">
                  <c:v>39147</c:v>
                </c:pt>
                <c:pt idx="27">
                  <c:v>39154</c:v>
                </c:pt>
                <c:pt idx="28">
                  <c:v>39161</c:v>
                </c:pt>
                <c:pt idx="29">
                  <c:v>39168</c:v>
                </c:pt>
                <c:pt idx="30">
                  <c:v>39175</c:v>
                </c:pt>
                <c:pt idx="31">
                  <c:v>39182</c:v>
                </c:pt>
                <c:pt idx="32">
                  <c:v>39189</c:v>
                </c:pt>
                <c:pt idx="33">
                  <c:v>39196</c:v>
                </c:pt>
                <c:pt idx="34">
                  <c:v>39203</c:v>
                </c:pt>
                <c:pt idx="35">
                  <c:v>39210</c:v>
                </c:pt>
                <c:pt idx="36">
                  <c:v>39217</c:v>
                </c:pt>
                <c:pt idx="37">
                  <c:v>39224</c:v>
                </c:pt>
                <c:pt idx="38">
                  <c:v>39231</c:v>
                </c:pt>
                <c:pt idx="39">
                  <c:v>39238</c:v>
                </c:pt>
                <c:pt idx="40">
                  <c:v>39245</c:v>
                </c:pt>
                <c:pt idx="41">
                  <c:v>39252</c:v>
                </c:pt>
                <c:pt idx="42">
                  <c:v>39259</c:v>
                </c:pt>
                <c:pt idx="43">
                  <c:v>39266</c:v>
                </c:pt>
                <c:pt idx="44">
                  <c:v>39273</c:v>
                </c:pt>
                <c:pt idx="45">
                  <c:v>39280</c:v>
                </c:pt>
                <c:pt idx="46">
                  <c:v>39287</c:v>
                </c:pt>
                <c:pt idx="47">
                  <c:v>39294</c:v>
                </c:pt>
                <c:pt idx="48">
                  <c:v>39301</c:v>
                </c:pt>
                <c:pt idx="49">
                  <c:v>39308</c:v>
                </c:pt>
                <c:pt idx="50">
                  <c:v>39315</c:v>
                </c:pt>
                <c:pt idx="51">
                  <c:v>39322</c:v>
                </c:pt>
                <c:pt idx="52">
                  <c:v>39329</c:v>
                </c:pt>
                <c:pt idx="53">
                  <c:v>39336</c:v>
                </c:pt>
                <c:pt idx="54">
                  <c:v>39343</c:v>
                </c:pt>
                <c:pt idx="55">
                  <c:v>39350</c:v>
                </c:pt>
                <c:pt idx="56">
                  <c:v>39357</c:v>
                </c:pt>
                <c:pt idx="57">
                  <c:v>39364</c:v>
                </c:pt>
                <c:pt idx="58">
                  <c:v>39371</c:v>
                </c:pt>
                <c:pt idx="59">
                  <c:v>39378</c:v>
                </c:pt>
                <c:pt idx="60">
                  <c:v>39385</c:v>
                </c:pt>
                <c:pt idx="61">
                  <c:v>39392</c:v>
                </c:pt>
                <c:pt idx="62">
                  <c:v>39399</c:v>
                </c:pt>
                <c:pt idx="63">
                  <c:v>39406</c:v>
                </c:pt>
                <c:pt idx="64">
                  <c:v>39413</c:v>
                </c:pt>
                <c:pt idx="65">
                  <c:v>39420</c:v>
                </c:pt>
                <c:pt idx="66">
                  <c:v>39427</c:v>
                </c:pt>
                <c:pt idx="67">
                  <c:v>39434</c:v>
                </c:pt>
                <c:pt idx="68">
                  <c:v>39455</c:v>
                </c:pt>
                <c:pt idx="69">
                  <c:v>39462</c:v>
                </c:pt>
                <c:pt idx="70">
                  <c:v>39469</c:v>
                </c:pt>
                <c:pt idx="71">
                  <c:v>39476</c:v>
                </c:pt>
                <c:pt idx="72">
                  <c:v>39483</c:v>
                </c:pt>
                <c:pt idx="73">
                  <c:v>39490</c:v>
                </c:pt>
                <c:pt idx="74">
                  <c:v>39497</c:v>
                </c:pt>
                <c:pt idx="75">
                  <c:v>39504</c:v>
                </c:pt>
                <c:pt idx="76">
                  <c:v>39511</c:v>
                </c:pt>
                <c:pt idx="77">
                  <c:v>39518</c:v>
                </c:pt>
                <c:pt idx="78">
                  <c:v>39525</c:v>
                </c:pt>
                <c:pt idx="79">
                  <c:v>39532</c:v>
                </c:pt>
                <c:pt idx="80">
                  <c:v>39539</c:v>
                </c:pt>
                <c:pt idx="81">
                  <c:v>39546</c:v>
                </c:pt>
                <c:pt idx="82">
                  <c:v>39553</c:v>
                </c:pt>
                <c:pt idx="83">
                  <c:v>39560</c:v>
                </c:pt>
                <c:pt idx="84">
                  <c:v>39567</c:v>
                </c:pt>
                <c:pt idx="85">
                  <c:v>39574</c:v>
                </c:pt>
                <c:pt idx="86">
                  <c:v>39581</c:v>
                </c:pt>
                <c:pt idx="87">
                  <c:v>39588</c:v>
                </c:pt>
                <c:pt idx="88">
                  <c:v>39595</c:v>
                </c:pt>
                <c:pt idx="89">
                  <c:v>39602</c:v>
                </c:pt>
                <c:pt idx="90">
                  <c:v>39609</c:v>
                </c:pt>
                <c:pt idx="91">
                  <c:v>39616</c:v>
                </c:pt>
                <c:pt idx="92">
                  <c:v>39623</c:v>
                </c:pt>
                <c:pt idx="93">
                  <c:v>39630</c:v>
                </c:pt>
                <c:pt idx="94">
                  <c:v>39637</c:v>
                </c:pt>
                <c:pt idx="95">
                  <c:v>39644</c:v>
                </c:pt>
                <c:pt idx="96">
                  <c:v>39651</c:v>
                </c:pt>
                <c:pt idx="97">
                  <c:v>39658</c:v>
                </c:pt>
                <c:pt idx="98">
                  <c:v>39665</c:v>
                </c:pt>
                <c:pt idx="99">
                  <c:v>39672</c:v>
                </c:pt>
                <c:pt idx="100">
                  <c:v>39679</c:v>
                </c:pt>
                <c:pt idx="101">
                  <c:v>39686</c:v>
                </c:pt>
                <c:pt idx="102">
                  <c:v>39693</c:v>
                </c:pt>
                <c:pt idx="103">
                  <c:v>39700</c:v>
                </c:pt>
                <c:pt idx="104">
                  <c:v>39707</c:v>
                </c:pt>
                <c:pt idx="105">
                  <c:v>39714</c:v>
                </c:pt>
                <c:pt idx="106">
                  <c:v>39721</c:v>
                </c:pt>
                <c:pt idx="107">
                  <c:v>39728</c:v>
                </c:pt>
                <c:pt idx="108">
                  <c:v>39735</c:v>
                </c:pt>
                <c:pt idx="109">
                  <c:v>39742</c:v>
                </c:pt>
                <c:pt idx="110">
                  <c:v>39749</c:v>
                </c:pt>
                <c:pt idx="111">
                  <c:v>39756</c:v>
                </c:pt>
                <c:pt idx="112">
                  <c:v>39763</c:v>
                </c:pt>
                <c:pt idx="113">
                  <c:v>39770</c:v>
                </c:pt>
                <c:pt idx="114">
                  <c:v>39777</c:v>
                </c:pt>
                <c:pt idx="115">
                  <c:v>39784</c:v>
                </c:pt>
                <c:pt idx="116">
                  <c:v>39791</c:v>
                </c:pt>
                <c:pt idx="117">
                  <c:v>39798</c:v>
                </c:pt>
                <c:pt idx="118">
                  <c:v>39812</c:v>
                </c:pt>
                <c:pt idx="119">
                  <c:v>39819</c:v>
                </c:pt>
                <c:pt idx="120">
                  <c:v>39826</c:v>
                </c:pt>
                <c:pt idx="121">
                  <c:v>39833</c:v>
                </c:pt>
                <c:pt idx="122">
                  <c:v>39840</c:v>
                </c:pt>
                <c:pt idx="123">
                  <c:v>39847</c:v>
                </c:pt>
                <c:pt idx="124">
                  <c:v>39854</c:v>
                </c:pt>
                <c:pt idx="125">
                  <c:v>39861</c:v>
                </c:pt>
                <c:pt idx="126">
                  <c:v>39868</c:v>
                </c:pt>
                <c:pt idx="127">
                  <c:v>39875</c:v>
                </c:pt>
                <c:pt idx="128">
                  <c:v>39882</c:v>
                </c:pt>
                <c:pt idx="129">
                  <c:v>39889</c:v>
                </c:pt>
                <c:pt idx="130">
                  <c:v>39896</c:v>
                </c:pt>
                <c:pt idx="131">
                  <c:v>39903</c:v>
                </c:pt>
                <c:pt idx="132">
                  <c:v>39910</c:v>
                </c:pt>
                <c:pt idx="133">
                  <c:v>39917</c:v>
                </c:pt>
                <c:pt idx="134">
                  <c:v>39924</c:v>
                </c:pt>
                <c:pt idx="135">
                  <c:v>39931</c:v>
                </c:pt>
                <c:pt idx="136">
                  <c:v>39938</c:v>
                </c:pt>
                <c:pt idx="137">
                  <c:v>39945</c:v>
                </c:pt>
                <c:pt idx="138">
                  <c:v>39952</c:v>
                </c:pt>
                <c:pt idx="139">
                  <c:v>39959</c:v>
                </c:pt>
                <c:pt idx="140">
                  <c:v>39966</c:v>
                </c:pt>
                <c:pt idx="141">
                  <c:v>39973</c:v>
                </c:pt>
                <c:pt idx="142">
                  <c:v>39980</c:v>
                </c:pt>
                <c:pt idx="143">
                  <c:v>39987</c:v>
                </c:pt>
                <c:pt idx="144">
                  <c:v>39994</c:v>
                </c:pt>
                <c:pt idx="145">
                  <c:v>40001</c:v>
                </c:pt>
                <c:pt idx="146">
                  <c:v>40008</c:v>
                </c:pt>
                <c:pt idx="147">
                  <c:v>40015</c:v>
                </c:pt>
                <c:pt idx="148">
                  <c:v>40022</c:v>
                </c:pt>
                <c:pt idx="149">
                  <c:v>40029</c:v>
                </c:pt>
                <c:pt idx="150">
                  <c:v>40036</c:v>
                </c:pt>
                <c:pt idx="151">
                  <c:v>40043</c:v>
                </c:pt>
                <c:pt idx="152">
                  <c:v>40050</c:v>
                </c:pt>
                <c:pt idx="153">
                  <c:v>40057</c:v>
                </c:pt>
                <c:pt idx="154">
                  <c:v>40064</c:v>
                </c:pt>
                <c:pt idx="155">
                  <c:v>40071</c:v>
                </c:pt>
                <c:pt idx="156">
                  <c:v>40078</c:v>
                </c:pt>
                <c:pt idx="157">
                  <c:v>40085</c:v>
                </c:pt>
                <c:pt idx="158">
                  <c:v>40092</c:v>
                </c:pt>
                <c:pt idx="159">
                  <c:v>40099</c:v>
                </c:pt>
                <c:pt idx="160">
                  <c:v>40106</c:v>
                </c:pt>
                <c:pt idx="161">
                  <c:v>40113</c:v>
                </c:pt>
                <c:pt idx="162">
                  <c:v>40120</c:v>
                </c:pt>
                <c:pt idx="163">
                  <c:v>40127</c:v>
                </c:pt>
                <c:pt idx="164">
                  <c:v>40134</c:v>
                </c:pt>
                <c:pt idx="165">
                  <c:v>40141</c:v>
                </c:pt>
                <c:pt idx="166">
                  <c:v>40148</c:v>
                </c:pt>
                <c:pt idx="167">
                  <c:v>40155</c:v>
                </c:pt>
                <c:pt idx="168">
                  <c:v>40162</c:v>
                </c:pt>
                <c:pt idx="169">
                  <c:v>40169</c:v>
                </c:pt>
                <c:pt idx="170">
                  <c:v>40176</c:v>
                </c:pt>
                <c:pt idx="171">
                  <c:v>40183</c:v>
                </c:pt>
                <c:pt idx="172">
                  <c:v>40190</c:v>
                </c:pt>
                <c:pt idx="173">
                  <c:v>40197</c:v>
                </c:pt>
                <c:pt idx="174">
                  <c:v>40204</c:v>
                </c:pt>
                <c:pt idx="175">
                  <c:v>40211</c:v>
                </c:pt>
                <c:pt idx="176">
                  <c:v>40218</c:v>
                </c:pt>
                <c:pt idx="177">
                  <c:v>40225</c:v>
                </c:pt>
                <c:pt idx="178">
                  <c:v>40232</c:v>
                </c:pt>
                <c:pt idx="179">
                  <c:v>40239</c:v>
                </c:pt>
                <c:pt idx="180">
                  <c:v>40246</c:v>
                </c:pt>
                <c:pt idx="181">
                  <c:v>40253</c:v>
                </c:pt>
                <c:pt idx="182">
                  <c:v>40260</c:v>
                </c:pt>
                <c:pt idx="183">
                  <c:v>40267</c:v>
                </c:pt>
                <c:pt idx="184">
                  <c:v>40274</c:v>
                </c:pt>
                <c:pt idx="185">
                  <c:v>40281</c:v>
                </c:pt>
                <c:pt idx="186">
                  <c:v>40288</c:v>
                </c:pt>
                <c:pt idx="187">
                  <c:v>40295</c:v>
                </c:pt>
                <c:pt idx="188">
                  <c:v>40302</c:v>
                </c:pt>
                <c:pt idx="189">
                  <c:v>40309</c:v>
                </c:pt>
                <c:pt idx="190">
                  <c:v>40316</c:v>
                </c:pt>
                <c:pt idx="191">
                  <c:v>40323</c:v>
                </c:pt>
                <c:pt idx="192">
                  <c:v>40330</c:v>
                </c:pt>
                <c:pt idx="193">
                  <c:v>40337</c:v>
                </c:pt>
                <c:pt idx="194">
                  <c:v>40344</c:v>
                </c:pt>
                <c:pt idx="195">
                  <c:v>40351</c:v>
                </c:pt>
                <c:pt idx="196">
                  <c:v>40358</c:v>
                </c:pt>
                <c:pt idx="197">
                  <c:v>40365</c:v>
                </c:pt>
                <c:pt idx="198">
                  <c:v>40372</c:v>
                </c:pt>
                <c:pt idx="199">
                  <c:v>40379</c:v>
                </c:pt>
                <c:pt idx="200">
                  <c:v>40386</c:v>
                </c:pt>
                <c:pt idx="201">
                  <c:v>40393</c:v>
                </c:pt>
                <c:pt idx="202">
                  <c:v>40400</c:v>
                </c:pt>
                <c:pt idx="203">
                  <c:v>40407</c:v>
                </c:pt>
                <c:pt idx="204">
                  <c:v>40414</c:v>
                </c:pt>
                <c:pt idx="205">
                  <c:v>40421</c:v>
                </c:pt>
                <c:pt idx="206">
                  <c:v>40428</c:v>
                </c:pt>
                <c:pt idx="207">
                  <c:v>40435</c:v>
                </c:pt>
                <c:pt idx="208">
                  <c:v>40442</c:v>
                </c:pt>
                <c:pt idx="209">
                  <c:v>40449</c:v>
                </c:pt>
                <c:pt idx="210">
                  <c:v>40456</c:v>
                </c:pt>
                <c:pt idx="211">
                  <c:v>40463</c:v>
                </c:pt>
                <c:pt idx="212">
                  <c:v>40470</c:v>
                </c:pt>
                <c:pt idx="213">
                  <c:v>40477</c:v>
                </c:pt>
                <c:pt idx="214">
                  <c:v>40484</c:v>
                </c:pt>
                <c:pt idx="215">
                  <c:v>40491</c:v>
                </c:pt>
                <c:pt idx="216">
                  <c:v>40498</c:v>
                </c:pt>
                <c:pt idx="217">
                  <c:v>40505</c:v>
                </c:pt>
                <c:pt idx="218">
                  <c:v>40512</c:v>
                </c:pt>
                <c:pt idx="219">
                  <c:v>40519</c:v>
                </c:pt>
                <c:pt idx="220">
                  <c:v>40526</c:v>
                </c:pt>
                <c:pt idx="221">
                  <c:v>40533</c:v>
                </c:pt>
                <c:pt idx="222">
                  <c:v>40540</c:v>
                </c:pt>
                <c:pt idx="223">
                  <c:v>40547</c:v>
                </c:pt>
                <c:pt idx="224">
                  <c:v>40554</c:v>
                </c:pt>
                <c:pt idx="225">
                  <c:v>40561</c:v>
                </c:pt>
                <c:pt idx="226">
                  <c:v>40568</c:v>
                </c:pt>
                <c:pt idx="227">
                  <c:v>40575</c:v>
                </c:pt>
                <c:pt idx="228">
                  <c:v>40582</c:v>
                </c:pt>
                <c:pt idx="229">
                  <c:v>40589</c:v>
                </c:pt>
                <c:pt idx="230">
                  <c:v>40596</c:v>
                </c:pt>
                <c:pt idx="231">
                  <c:v>40603</c:v>
                </c:pt>
                <c:pt idx="232">
                  <c:v>40610</c:v>
                </c:pt>
                <c:pt idx="233">
                  <c:v>40617</c:v>
                </c:pt>
                <c:pt idx="234">
                  <c:v>40624</c:v>
                </c:pt>
                <c:pt idx="235">
                  <c:v>40631</c:v>
                </c:pt>
                <c:pt idx="236">
                  <c:v>40638</c:v>
                </c:pt>
                <c:pt idx="237">
                  <c:v>40645</c:v>
                </c:pt>
                <c:pt idx="238">
                  <c:v>40652</c:v>
                </c:pt>
                <c:pt idx="239">
                  <c:v>40659</c:v>
                </c:pt>
                <c:pt idx="240">
                  <c:v>40666</c:v>
                </c:pt>
                <c:pt idx="241">
                  <c:v>40673</c:v>
                </c:pt>
                <c:pt idx="242">
                  <c:v>40680</c:v>
                </c:pt>
                <c:pt idx="243">
                  <c:v>40687</c:v>
                </c:pt>
                <c:pt idx="244">
                  <c:v>40694</c:v>
                </c:pt>
                <c:pt idx="245">
                  <c:v>40701</c:v>
                </c:pt>
                <c:pt idx="246">
                  <c:v>40708</c:v>
                </c:pt>
                <c:pt idx="247">
                  <c:v>40715</c:v>
                </c:pt>
                <c:pt idx="248">
                  <c:v>40722</c:v>
                </c:pt>
                <c:pt idx="249">
                  <c:v>40729</c:v>
                </c:pt>
                <c:pt idx="250">
                  <c:v>40736</c:v>
                </c:pt>
                <c:pt idx="251">
                  <c:v>40743</c:v>
                </c:pt>
                <c:pt idx="252">
                  <c:v>40750</c:v>
                </c:pt>
                <c:pt idx="253">
                  <c:v>40757</c:v>
                </c:pt>
                <c:pt idx="254">
                  <c:v>40764</c:v>
                </c:pt>
                <c:pt idx="255">
                  <c:v>40771</c:v>
                </c:pt>
                <c:pt idx="256">
                  <c:v>40778</c:v>
                </c:pt>
                <c:pt idx="257">
                  <c:v>40785</c:v>
                </c:pt>
                <c:pt idx="258">
                  <c:v>40792</c:v>
                </c:pt>
                <c:pt idx="259">
                  <c:v>40799</c:v>
                </c:pt>
                <c:pt idx="260">
                  <c:v>40806</c:v>
                </c:pt>
                <c:pt idx="261">
                  <c:v>40813</c:v>
                </c:pt>
                <c:pt idx="262">
                  <c:v>40820</c:v>
                </c:pt>
                <c:pt idx="263">
                  <c:v>40827</c:v>
                </c:pt>
                <c:pt idx="264">
                  <c:v>40834</c:v>
                </c:pt>
                <c:pt idx="265">
                  <c:v>40841</c:v>
                </c:pt>
                <c:pt idx="266">
                  <c:v>40848</c:v>
                </c:pt>
                <c:pt idx="267">
                  <c:v>40855</c:v>
                </c:pt>
                <c:pt idx="268">
                  <c:v>40862</c:v>
                </c:pt>
                <c:pt idx="269">
                  <c:v>40869</c:v>
                </c:pt>
                <c:pt idx="270">
                  <c:v>40876</c:v>
                </c:pt>
                <c:pt idx="271">
                  <c:v>40883</c:v>
                </c:pt>
                <c:pt idx="272">
                  <c:v>40890</c:v>
                </c:pt>
                <c:pt idx="273">
                  <c:v>40897</c:v>
                </c:pt>
                <c:pt idx="274">
                  <c:v>40904</c:v>
                </c:pt>
                <c:pt idx="275">
                  <c:v>40911</c:v>
                </c:pt>
                <c:pt idx="276">
                  <c:v>40918</c:v>
                </c:pt>
                <c:pt idx="277">
                  <c:v>40925</c:v>
                </c:pt>
                <c:pt idx="278">
                  <c:v>40932</c:v>
                </c:pt>
                <c:pt idx="279">
                  <c:v>40939</c:v>
                </c:pt>
                <c:pt idx="280">
                  <c:v>40946</c:v>
                </c:pt>
                <c:pt idx="281">
                  <c:v>40953</c:v>
                </c:pt>
                <c:pt idx="282">
                  <c:v>40960</c:v>
                </c:pt>
                <c:pt idx="283">
                  <c:v>40967</c:v>
                </c:pt>
                <c:pt idx="284">
                  <c:v>40974</c:v>
                </c:pt>
                <c:pt idx="285">
                  <c:v>40981</c:v>
                </c:pt>
                <c:pt idx="286">
                  <c:v>40988</c:v>
                </c:pt>
                <c:pt idx="287">
                  <c:v>40995</c:v>
                </c:pt>
                <c:pt idx="288">
                  <c:v>41002</c:v>
                </c:pt>
                <c:pt idx="289">
                  <c:v>41009</c:v>
                </c:pt>
                <c:pt idx="290">
                  <c:v>41016</c:v>
                </c:pt>
                <c:pt idx="291">
                  <c:v>41023</c:v>
                </c:pt>
                <c:pt idx="292">
                  <c:v>41030</c:v>
                </c:pt>
                <c:pt idx="293">
                  <c:v>41037</c:v>
                </c:pt>
                <c:pt idx="294">
                  <c:v>41044</c:v>
                </c:pt>
                <c:pt idx="295">
                  <c:v>41051</c:v>
                </c:pt>
                <c:pt idx="296">
                  <c:v>41058</c:v>
                </c:pt>
                <c:pt idx="297">
                  <c:v>41065</c:v>
                </c:pt>
                <c:pt idx="298">
                  <c:v>41072</c:v>
                </c:pt>
                <c:pt idx="299">
                  <c:v>41079</c:v>
                </c:pt>
                <c:pt idx="300">
                  <c:v>41086</c:v>
                </c:pt>
                <c:pt idx="301">
                  <c:v>41093</c:v>
                </c:pt>
                <c:pt idx="302">
                  <c:v>41100</c:v>
                </c:pt>
                <c:pt idx="303">
                  <c:v>41107</c:v>
                </c:pt>
                <c:pt idx="304">
                  <c:v>41114</c:v>
                </c:pt>
                <c:pt idx="305">
                  <c:v>41121</c:v>
                </c:pt>
                <c:pt idx="306">
                  <c:v>41128</c:v>
                </c:pt>
                <c:pt idx="307">
                  <c:v>41135</c:v>
                </c:pt>
                <c:pt idx="308">
                  <c:v>41142</c:v>
                </c:pt>
                <c:pt idx="309">
                  <c:v>41149</c:v>
                </c:pt>
                <c:pt idx="310">
                  <c:v>41156</c:v>
                </c:pt>
                <c:pt idx="311">
                  <c:v>41163</c:v>
                </c:pt>
                <c:pt idx="312">
                  <c:v>41170</c:v>
                </c:pt>
                <c:pt idx="313">
                  <c:v>41177</c:v>
                </c:pt>
                <c:pt idx="314">
                  <c:v>41184</c:v>
                </c:pt>
                <c:pt idx="315">
                  <c:v>41191</c:v>
                </c:pt>
                <c:pt idx="316">
                  <c:v>41198</c:v>
                </c:pt>
                <c:pt idx="317">
                  <c:v>41205</c:v>
                </c:pt>
                <c:pt idx="318">
                  <c:v>41212</c:v>
                </c:pt>
                <c:pt idx="319">
                  <c:v>41219</c:v>
                </c:pt>
                <c:pt idx="320">
                  <c:v>41226</c:v>
                </c:pt>
                <c:pt idx="321">
                  <c:v>41233</c:v>
                </c:pt>
                <c:pt idx="322">
                  <c:v>41240</c:v>
                </c:pt>
                <c:pt idx="323">
                  <c:v>41247</c:v>
                </c:pt>
                <c:pt idx="324">
                  <c:v>41254</c:v>
                </c:pt>
                <c:pt idx="325">
                  <c:v>41261</c:v>
                </c:pt>
                <c:pt idx="326">
                  <c:v>41268</c:v>
                </c:pt>
                <c:pt idx="327">
                  <c:v>41275</c:v>
                </c:pt>
                <c:pt idx="328">
                  <c:v>41282</c:v>
                </c:pt>
                <c:pt idx="329">
                  <c:v>41289</c:v>
                </c:pt>
                <c:pt idx="330">
                  <c:v>41296</c:v>
                </c:pt>
                <c:pt idx="331">
                  <c:v>41303</c:v>
                </c:pt>
                <c:pt idx="332">
                  <c:v>41310</c:v>
                </c:pt>
                <c:pt idx="333">
                  <c:v>41317</c:v>
                </c:pt>
                <c:pt idx="334">
                  <c:v>41324</c:v>
                </c:pt>
                <c:pt idx="335">
                  <c:v>41331</c:v>
                </c:pt>
                <c:pt idx="336">
                  <c:v>41338</c:v>
                </c:pt>
                <c:pt idx="337">
                  <c:v>41345</c:v>
                </c:pt>
                <c:pt idx="338">
                  <c:v>41352</c:v>
                </c:pt>
                <c:pt idx="339">
                  <c:v>41359</c:v>
                </c:pt>
                <c:pt idx="340">
                  <c:v>41366</c:v>
                </c:pt>
                <c:pt idx="341">
                  <c:v>41373</c:v>
                </c:pt>
                <c:pt idx="342">
                  <c:v>41380</c:v>
                </c:pt>
                <c:pt idx="343">
                  <c:v>41387</c:v>
                </c:pt>
                <c:pt idx="344">
                  <c:v>41394</c:v>
                </c:pt>
                <c:pt idx="345">
                  <c:v>41401</c:v>
                </c:pt>
                <c:pt idx="346">
                  <c:v>41408</c:v>
                </c:pt>
                <c:pt idx="347">
                  <c:v>41415</c:v>
                </c:pt>
                <c:pt idx="348">
                  <c:v>41422</c:v>
                </c:pt>
                <c:pt idx="349">
                  <c:v>41429</c:v>
                </c:pt>
                <c:pt idx="350">
                  <c:v>41436</c:v>
                </c:pt>
                <c:pt idx="351">
                  <c:v>41443</c:v>
                </c:pt>
                <c:pt idx="352">
                  <c:v>41450</c:v>
                </c:pt>
                <c:pt idx="353">
                  <c:v>41457</c:v>
                </c:pt>
                <c:pt idx="354">
                  <c:v>41464</c:v>
                </c:pt>
                <c:pt idx="355">
                  <c:v>41471</c:v>
                </c:pt>
                <c:pt idx="356">
                  <c:v>41478</c:v>
                </c:pt>
                <c:pt idx="357">
                  <c:v>41485</c:v>
                </c:pt>
                <c:pt idx="358">
                  <c:v>41492</c:v>
                </c:pt>
                <c:pt idx="359">
                  <c:v>41499</c:v>
                </c:pt>
                <c:pt idx="360">
                  <c:v>41506</c:v>
                </c:pt>
                <c:pt idx="361">
                  <c:v>41513</c:v>
                </c:pt>
                <c:pt idx="362">
                  <c:v>41520</c:v>
                </c:pt>
                <c:pt idx="363">
                  <c:v>41527</c:v>
                </c:pt>
                <c:pt idx="364">
                  <c:v>41534</c:v>
                </c:pt>
                <c:pt idx="365">
                  <c:v>41541</c:v>
                </c:pt>
                <c:pt idx="366">
                  <c:v>41548</c:v>
                </c:pt>
                <c:pt idx="367">
                  <c:v>41555</c:v>
                </c:pt>
                <c:pt idx="368">
                  <c:v>41562</c:v>
                </c:pt>
                <c:pt idx="369">
                  <c:v>41569</c:v>
                </c:pt>
                <c:pt idx="370">
                  <c:v>41576</c:v>
                </c:pt>
                <c:pt idx="371">
                  <c:v>41583</c:v>
                </c:pt>
                <c:pt idx="372">
                  <c:v>41590</c:v>
                </c:pt>
                <c:pt idx="373">
                  <c:v>41597</c:v>
                </c:pt>
                <c:pt idx="374">
                  <c:v>41604</c:v>
                </c:pt>
                <c:pt idx="375">
                  <c:v>41611</c:v>
                </c:pt>
                <c:pt idx="376">
                  <c:v>41618</c:v>
                </c:pt>
                <c:pt idx="377">
                  <c:v>41625</c:v>
                </c:pt>
                <c:pt idx="378">
                  <c:v>41632</c:v>
                </c:pt>
                <c:pt idx="379">
                  <c:v>41639</c:v>
                </c:pt>
                <c:pt idx="380">
                  <c:v>41646</c:v>
                </c:pt>
                <c:pt idx="381">
                  <c:v>41653</c:v>
                </c:pt>
                <c:pt idx="382">
                  <c:v>41660</c:v>
                </c:pt>
                <c:pt idx="383">
                  <c:v>41667</c:v>
                </c:pt>
                <c:pt idx="384">
                  <c:v>41674</c:v>
                </c:pt>
                <c:pt idx="385">
                  <c:v>41681</c:v>
                </c:pt>
                <c:pt idx="386">
                  <c:v>41688</c:v>
                </c:pt>
                <c:pt idx="387">
                  <c:v>41695</c:v>
                </c:pt>
                <c:pt idx="388">
                  <c:v>41702</c:v>
                </c:pt>
                <c:pt idx="389">
                  <c:v>41709</c:v>
                </c:pt>
                <c:pt idx="390">
                  <c:v>41716</c:v>
                </c:pt>
                <c:pt idx="391">
                  <c:v>41723</c:v>
                </c:pt>
                <c:pt idx="392">
                  <c:v>41730</c:v>
                </c:pt>
                <c:pt idx="393">
                  <c:v>41737</c:v>
                </c:pt>
                <c:pt idx="394">
                  <c:v>41744</c:v>
                </c:pt>
                <c:pt idx="395">
                  <c:v>41751</c:v>
                </c:pt>
                <c:pt idx="396">
                  <c:v>41758</c:v>
                </c:pt>
                <c:pt idx="397">
                  <c:v>41765</c:v>
                </c:pt>
                <c:pt idx="398">
                  <c:v>41772</c:v>
                </c:pt>
                <c:pt idx="399">
                  <c:v>41779</c:v>
                </c:pt>
                <c:pt idx="400">
                  <c:v>41786</c:v>
                </c:pt>
                <c:pt idx="401">
                  <c:v>41793</c:v>
                </c:pt>
                <c:pt idx="402">
                  <c:v>41800</c:v>
                </c:pt>
                <c:pt idx="403">
                  <c:v>41807</c:v>
                </c:pt>
                <c:pt idx="404">
                  <c:v>41814</c:v>
                </c:pt>
                <c:pt idx="405">
                  <c:v>41821</c:v>
                </c:pt>
                <c:pt idx="406">
                  <c:v>41828</c:v>
                </c:pt>
                <c:pt idx="407">
                  <c:v>41835</c:v>
                </c:pt>
                <c:pt idx="408">
                  <c:v>41842</c:v>
                </c:pt>
                <c:pt idx="409">
                  <c:v>41849</c:v>
                </c:pt>
                <c:pt idx="410">
                  <c:v>41856</c:v>
                </c:pt>
                <c:pt idx="411">
                  <c:v>41863</c:v>
                </c:pt>
                <c:pt idx="412">
                  <c:v>41870</c:v>
                </c:pt>
                <c:pt idx="413">
                  <c:v>41877</c:v>
                </c:pt>
                <c:pt idx="414">
                  <c:v>41884</c:v>
                </c:pt>
                <c:pt idx="415">
                  <c:v>41891</c:v>
                </c:pt>
                <c:pt idx="416">
                  <c:v>41898</c:v>
                </c:pt>
                <c:pt idx="417">
                  <c:v>41905</c:v>
                </c:pt>
                <c:pt idx="418">
                  <c:v>41912</c:v>
                </c:pt>
                <c:pt idx="419">
                  <c:v>41919</c:v>
                </c:pt>
                <c:pt idx="420">
                  <c:v>41926</c:v>
                </c:pt>
                <c:pt idx="421">
                  <c:v>41933</c:v>
                </c:pt>
                <c:pt idx="422">
                  <c:v>41940</c:v>
                </c:pt>
                <c:pt idx="423">
                  <c:v>41947</c:v>
                </c:pt>
                <c:pt idx="424">
                  <c:v>41954</c:v>
                </c:pt>
                <c:pt idx="425">
                  <c:v>41961</c:v>
                </c:pt>
                <c:pt idx="426">
                  <c:v>41968</c:v>
                </c:pt>
                <c:pt idx="427">
                  <c:v>41975</c:v>
                </c:pt>
                <c:pt idx="428">
                  <c:v>41982</c:v>
                </c:pt>
                <c:pt idx="429">
                  <c:v>41989</c:v>
                </c:pt>
                <c:pt idx="430">
                  <c:v>41996</c:v>
                </c:pt>
                <c:pt idx="431">
                  <c:v>42003</c:v>
                </c:pt>
                <c:pt idx="432">
                  <c:v>42010</c:v>
                </c:pt>
                <c:pt idx="433">
                  <c:v>42017</c:v>
                </c:pt>
                <c:pt idx="434">
                  <c:v>42024</c:v>
                </c:pt>
                <c:pt idx="435">
                  <c:v>42031</c:v>
                </c:pt>
                <c:pt idx="436">
                  <c:v>42038</c:v>
                </c:pt>
                <c:pt idx="437">
                  <c:v>42045</c:v>
                </c:pt>
                <c:pt idx="438">
                  <c:v>42052</c:v>
                </c:pt>
                <c:pt idx="439">
                  <c:v>42059</c:v>
                </c:pt>
                <c:pt idx="440">
                  <c:v>42066</c:v>
                </c:pt>
                <c:pt idx="441">
                  <c:v>42073</c:v>
                </c:pt>
                <c:pt idx="442">
                  <c:v>42080</c:v>
                </c:pt>
                <c:pt idx="443">
                  <c:v>42087</c:v>
                </c:pt>
                <c:pt idx="444">
                  <c:v>42094</c:v>
                </c:pt>
                <c:pt idx="445">
                  <c:v>42101</c:v>
                </c:pt>
                <c:pt idx="446">
                  <c:v>42108</c:v>
                </c:pt>
                <c:pt idx="447">
                  <c:v>42115</c:v>
                </c:pt>
                <c:pt idx="448">
                  <c:v>42122</c:v>
                </c:pt>
                <c:pt idx="449">
                  <c:v>42129</c:v>
                </c:pt>
                <c:pt idx="450">
                  <c:v>42136</c:v>
                </c:pt>
                <c:pt idx="451">
                  <c:v>42143</c:v>
                </c:pt>
                <c:pt idx="452">
                  <c:v>42150</c:v>
                </c:pt>
                <c:pt idx="453">
                  <c:v>42157</c:v>
                </c:pt>
                <c:pt idx="454">
                  <c:v>42164</c:v>
                </c:pt>
                <c:pt idx="455">
                  <c:v>42171</c:v>
                </c:pt>
                <c:pt idx="456">
                  <c:v>42178</c:v>
                </c:pt>
                <c:pt idx="457">
                  <c:v>42185</c:v>
                </c:pt>
                <c:pt idx="458">
                  <c:v>42192</c:v>
                </c:pt>
                <c:pt idx="459">
                  <c:v>42199</c:v>
                </c:pt>
                <c:pt idx="460">
                  <c:v>42206</c:v>
                </c:pt>
                <c:pt idx="461">
                  <c:v>42213</c:v>
                </c:pt>
                <c:pt idx="462">
                  <c:v>42220</c:v>
                </c:pt>
                <c:pt idx="463">
                  <c:v>42227</c:v>
                </c:pt>
                <c:pt idx="464">
                  <c:v>42234</c:v>
                </c:pt>
                <c:pt idx="465">
                  <c:v>42241</c:v>
                </c:pt>
                <c:pt idx="466">
                  <c:v>42248</c:v>
                </c:pt>
                <c:pt idx="467">
                  <c:v>42255</c:v>
                </c:pt>
                <c:pt idx="468">
                  <c:v>42262</c:v>
                </c:pt>
                <c:pt idx="469">
                  <c:v>42269</c:v>
                </c:pt>
                <c:pt idx="470">
                  <c:v>42276</c:v>
                </c:pt>
                <c:pt idx="471">
                  <c:v>42283</c:v>
                </c:pt>
                <c:pt idx="472">
                  <c:v>42290</c:v>
                </c:pt>
                <c:pt idx="473">
                  <c:v>42297</c:v>
                </c:pt>
                <c:pt idx="474">
                  <c:v>42304</c:v>
                </c:pt>
                <c:pt idx="475">
                  <c:v>42311</c:v>
                </c:pt>
                <c:pt idx="476">
                  <c:v>42318</c:v>
                </c:pt>
                <c:pt idx="477">
                  <c:v>42325</c:v>
                </c:pt>
                <c:pt idx="478">
                  <c:v>42332</c:v>
                </c:pt>
                <c:pt idx="479">
                  <c:v>42339</c:v>
                </c:pt>
                <c:pt idx="480">
                  <c:v>42346</c:v>
                </c:pt>
                <c:pt idx="481">
                  <c:v>42353</c:v>
                </c:pt>
                <c:pt idx="482">
                  <c:v>42360</c:v>
                </c:pt>
                <c:pt idx="483">
                  <c:v>42367</c:v>
                </c:pt>
                <c:pt idx="484">
                  <c:v>42374</c:v>
                </c:pt>
                <c:pt idx="485">
                  <c:v>42381</c:v>
                </c:pt>
                <c:pt idx="486">
                  <c:v>42388</c:v>
                </c:pt>
                <c:pt idx="487">
                  <c:v>42395</c:v>
                </c:pt>
                <c:pt idx="488">
                  <c:v>42402</c:v>
                </c:pt>
                <c:pt idx="489">
                  <c:v>42409</c:v>
                </c:pt>
                <c:pt idx="490">
                  <c:v>42416</c:v>
                </c:pt>
                <c:pt idx="491">
                  <c:v>42423</c:v>
                </c:pt>
                <c:pt idx="492">
                  <c:v>42430</c:v>
                </c:pt>
                <c:pt idx="493">
                  <c:v>42437</c:v>
                </c:pt>
                <c:pt idx="494">
                  <c:v>42444</c:v>
                </c:pt>
                <c:pt idx="495">
                  <c:v>42451</c:v>
                </c:pt>
                <c:pt idx="496">
                  <c:v>42458</c:v>
                </c:pt>
                <c:pt idx="497">
                  <c:v>42465</c:v>
                </c:pt>
                <c:pt idx="498">
                  <c:v>42472</c:v>
                </c:pt>
                <c:pt idx="499">
                  <c:v>42479</c:v>
                </c:pt>
                <c:pt idx="500">
                  <c:v>42486</c:v>
                </c:pt>
                <c:pt idx="501">
                  <c:v>42493</c:v>
                </c:pt>
                <c:pt idx="502">
                  <c:v>42500</c:v>
                </c:pt>
                <c:pt idx="503">
                  <c:v>42507</c:v>
                </c:pt>
                <c:pt idx="504">
                  <c:v>42514</c:v>
                </c:pt>
                <c:pt idx="505">
                  <c:v>42521</c:v>
                </c:pt>
                <c:pt idx="506">
                  <c:v>42528</c:v>
                </c:pt>
                <c:pt idx="507">
                  <c:v>42535</c:v>
                </c:pt>
                <c:pt idx="508">
                  <c:v>42542</c:v>
                </c:pt>
                <c:pt idx="509">
                  <c:v>42549</c:v>
                </c:pt>
                <c:pt idx="510">
                  <c:v>42556</c:v>
                </c:pt>
                <c:pt idx="511">
                  <c:v>42563</c:v>
                </c:pt>
                <c:pt idx="512">
                  <c:v>42570</c:v>
                </c:pt>
                <c:pt idx="513">
                  <c:v>42577</c:v>
                </c:pt>
                <c:pt idx="514">
                  <c:v>42584</c:v>
                </c:pt>
                <c:pt idx="515">
                  <c:v>42591</c:v>
                </c:pt>
                <c:pt idx="516">
                  <c:v>42598</c:v>
                </c:pt>
                <c:pt idx="517">
                  <c:v>42605</c:v>
                </c:pt>
                <c:pt idx="518">
                  <c:v>42612</c:v>
                </c:pt>
                <c:pt idx="519">
                  <c:v>42619</c:v>
                </c:pt>
                <c:pt idx="520">
                  <c:v>42626</c:v>
                </c:pt>
                <c:pt idx="521">
                  <c:v>42633</c:v>
                </c:pt>
                <c:pt idx="522">
                  <c:v>42640</c:v>
                </c:pt>
                <c:pt idx="523">
                  <c:v>42647</c:v>
                </c:pt>
                <c:pt idx="524">
                  <c:v>42654</c:v>
                </c:pt>
                <c:pt idx="525">
                  <c:v>42661</c:v>
                </c:pt>
                <c:pt idx="526">
                  <c:v>42668</c:v>
                </c:pt>
                <c:pt idx="527">
                  <c:v>42675</c:v>
                </c:pt>
                <c:pt idx="528">
                  <c:v>42682</c:v>
                </c:pt>
                <c:pt idx="529">
                  <c:v>42689</c:v>
                </c:pt>
                <c:pt idx="530">
                  <c:v>42696</c:v>
                </c:pt>
                <c:pt idx="531">
                  <c:v>42703</c:v>
                </c:pt>
                <c:pt idx="532">
                  <c:v>42710</c:v>
                </c:pt>
                <c:pt idx="533">
                  <c:v>42717</c:v>
                </c:pt>
                <c:pt idx="534">
                  <c:v>42724</c:v>
                </c:pt>
                <c:pt idx="535">
                  <c:v>42731</c:v>
                </c:pt>
                <c:pt idx="536">
                  <c:v>42738</c:v>
                </c:pt>
                <c:pt idx="537">
                  <c:v>42745</c:v>
                </c:pt>
                <c:pt idx="538">
                  <c:v>42752</c:v>
                </c:pt>
                <c:pt idx="539">
                  <c:v>42759</c:v>
                </c:pt>
                <c:pt idx="540">
                  <c:v>42766</c:v>
                </c:pt>
                <c:pt idx="541">
                  <c:v>42773</c:v>
                </c:pt>
                <c:pt idx="542">
                  <c:v>42780</c:v>
                </c:pt>
                <c:pt idx="543">
                  <c:v>42787</c:v>
                </c:pt>
                <c:pt idx="544">
                  <c:v>42794</c:v>
                </c:pt>
                <c:pt idx="545">
                  <c:v>42801</c:v>
                </c:pt>
                <c:pt idx="546">
                  <c:v>42808</c:v>
                </c:pt>
                <c:pt idx="547">
                  <c:v>42815</c:v>
                </c:pt>
                <c:pt idx="548">
                  <c:v>42822</c:v>
                </c:pt>
                <c:pt idx="549">
                  <c:v>42829</c:v>
                </c:pt>
                <c:pt idx="550">
                  <c:v>42836</c:v>
                </c:pt>
                <c:pt idx="551">
                  <c:v>42843</c:v>
                </c:pt>
                <c:pt idx="552">
                  <c:v>42850</c:v>
                </c:pt>
                <c:pt idx="553">
                  <c:v>42857</c:v>
                </c:pt>
                <c:pt idx="554">
                  <c:v>42864</c:v>
                </c:pt>
                <c:pt idx="555">
                  <c:v>42871</c:v>
                </c:pt>
                <c:pt idx="556">
                  <c:v>42878</c:v>
                </c:pt>
                <c:pt idx="557">
                  <c:v>42885</c:v>
                </c:pt>
                <c:pt idx="558">
                  <c:v>42892</c:v>
                </c:pt>
                <c:pt idx="559">
                  <c:v>42899</c:v>
                </c:pt>
                <c:pt idx="560">
                  <c:v>42906</c:v>
                </c:pt>
                <c:pt idx="561">
                  <c:v>42913</c:v>
                </c:pt>
                <c:pt idx="562">
                  <c:v>42920</c:v>
                </c:pt>
                <c:pt idx="563">
                  <c:v>42927</c:v>
                </c:pt>
                <c:pt idx="564">
                  <c:v>42934</c:v>
                </c:pt>
                <c:pt idx="565">
                  <c:v>42941</c:v>
                </c:pt>
                <c:pt idx="566">
                  <c:v>42948</c:v>
                </c:pt>
                <c:pt idx="567">
                  <c:v>42955</c:v>
                </c:pt>
                <c:pt idx="568">
                  <c:v>42962</c:v>
                </c:pt>
                <c:pt idx="569">
                  <c:v>42969</c:v>
                </c:pt>
                <c:pt idx="570">
                  <c:v>42976</c:v>
                </c:pt>
                <c:pt idx="571">
                  <c:v>42983</c:v>
                </c:pt>
                <c:pt idx="572">
                  <c:v>42990</c:v>
                </c:pt>
                <c:pt idx="573">
                  <c:v>42997</c:v>
                </c:pt>
                <c:pt idx="574">
                  <c:v>43004</c:v>
                </c:pt>
                <c:pt idx="575">
                  <c:v>43011</c:v>
                </c:pt>
                <c:pt idx="576">
                  <c:v>43018</c:v>
                </c:pt>
                <c:pt idx="577">
                  <c:v>43025</c:v>
                </c:pt>
                <c:pt idx="578">
                  <c:v>43032</c:v>
                </c:pt>
                <c:pt idx="579">
                  <c:v>43039</c:v>
                </c:pt>
                <c:pt idx="580">
                  <c:v>43046</c:v>
                </c:pt>
                <c:pt idx="581">
                  <c:v>43053</c:v>
                </c:pt>
                <c:pt idx="582">
                  <c:v>43060</c:v>
                </c:pt>
                <c:pt idx="583">
                  <c:v>43067</c:v>
                </c:pt>
                <c:pt idx="584">
                  <c:v>43074</c:v>
                </c:pt>
                <c:pt idx="585">
                  <c:v>43081</c:v>
                </c:pt>
                <c:pt idx="586">
                  <c:v>43088</c:v>
                </c:pt>
                <c:pt idx="587">
                  <c:v>43095</c:v>
                </c:pt>
                <c:pt idx="588">
                  <c:v>43102</c:v>
                </c:pt>
                <c:pt idx="589">
                  <c:v>43109</c:v>
                </c:pt>
                <c:pt idx="590">
                  <c:v>43116</c:v>
                </c:pt>
                <c:pt idx="591">
                  <c:v>43123</c:v>
                </c:pt>
                <c:pt idx="592">
                  <c:v>43130</c:v>
                </c:pt>
                <c:pt idx="593">
                  <c:v>43137</c:v>
                </c:pt>
                <c:pt idx="594">
                  <c:v>43144</c:v>
                </c:pt>
                <c:pt idx="595">
                  <c:v>43151</c:v>
                </c:pt>
                <c:pt idx="596">
                  <c:v>43158</c:v>
                </c:pt>
                <c:pt idx="597">
                  <c:v>43165</c:v>
                </c:pt>
                <c:pt idx="598">
                  <c:v>43172</c:v>
                </c:pt>
                <c:pt idx="599">
                  <c:v>43179</c:v>
                </c:pt>
                <c:pt idx="600">
                  <c:v>43186</c:v>
                </c:pt>
                <c:pt idx="601">
                  <c:v>43193</c:v>
                </c:pt>
                <c:pt idx="602">
                  <c:v>43200</c:v>
                </c:pt>
                <c:pt idx="603">
                  <c:v>43207</c:v>
                </c:pt>
                <c:pt idx="604">
                  <c:v>43214</c:v>
                </c:pt>
                <c:pt idx="605">
                  <c:v>43221</c:v>
                </c:pt>
                <c:pt idx="606">
                  <c:v>43228</c:v>
                </c:pt>
                <c:pt idx="607">
                  <c:v>43235</c:v>
                </c:pt>
                <c:pt idx="608">
                  <c:v>43242</c:v>
                </c:pt>
                <c:pt idx="609">
                  <c:v>43249</c:v>
                </c:pt>
                <c:pt idx="610">
                  <c:v>43256</c:v>
                </c:pt>
                <c:pt idx="611">
                  <c:v>43263</c:v>
                </c:pt>
                <c:pt idx="612">
                  <c:v>43270</c:v>
                </c:pt>
                <c:pt idx="613">
                  <c:v>43277</c:v>
                </c:pt>
                <c:pt idx="614">
                  <c:v>43284</c:v>
                </c:pt>
                <c:pt idx="615">
                  <c:v>43291</c:v>
                </c:pt>
                <c:pt idx="616">
                  <c:v>43298</c:v>
                </c:pt>
                <c:pt idx="617">
                  <c:v>43305</c:v>
                </c:pt>
                <c:pt idx="618">
                  <c:v>43312</c:v>
                </c:pt>
                <c:pt idx="619">
                  <c:v>43319</c:v>
                </c:pt>
                <c:pt idx="620">
                  <c:v>43326</c:v>
                </c:pt>
                <c:pt idx="621">
                  <c:v>43333</c:v>
                </c:pt>
                <c:pt idx="622">
                  <c:v>43340</c:v>
                </c:pt>
                <c:pt idx="623">
                  <c:v>43347</c:v>
                </c:pt>
                <c:pt idx="624">
                  <c:v>43354</c:v>
                </c:pt>
                <c:pt idx="625">
                  <c:v>43361</c:v>
                </c:pt>
                <c:pt idx="626">
                  <c:v>43368</c:v>
                </c:pt>
                <c:pt idx="627">
                  <c:v>43375</c:v>
                </c:pt>
                <c:pt idx="628">
                  <c:v>43382</c:v>
                </c:pt>
                <c:pt idx="629">
                  <c:v>43389</c:v>
                </c:pt>
                <c:pt idx="630">
                  <c:v>43396</c:v>
                </c:pt>
                <c:pt idx="631">
                  <c:v>43403</c:v>
                </c:pt>
                <c:pt idx="632">
                  <c:v>43410</c:v>
                </c:pt>
                <c:pt idx="633">
                  <c:v>43417</c:v>
                </c:pt>
                <c:pt idx="634">
                  <c:v>43424</c:v>
                </c:pt>
                <c:pt idx="635">
                  <c:v>43431</c:v>
                </c:pt>
                <c:pt idx="636">
                  <c:v>43438</c:v>
                </c:pt>
                <c:pt idx="637">
                  <c:v>43445</c:v>
                </c:pt>
                <c:pt idx="638">
                  <c:v>43452</c:v>
                </c:pt>
                <c:pt idx="639">
                  <c:v>43459</c:v>
                </c:pt>
                <c:pt idx="640">
                  <c:v>43466</c:v>
                </c:pt>
                <c:pt idx="641">
                  <c:v>43473</c:v>
                </c:pt>
                <c:pt idx="642">
                  <c:v>43480</c:v>
                </c:pt>
                <c:pt idx="643">
                  <c:v>43487</c:v>
                </c:pt>
                <c:pt idx="644">
                  <c:v>43494</c:v>
                </c:pt>
                <c:pt idx="645">
                  <c:v>43501</c:v>
                </c:pt>
                <c:pt idx="646">
                  <c:v>43508</c:v>
                </c:pt>
                <c:pt idx="647">
                  <c:v>43515</c:v>
                </c:pt>
                <c:pt idx="648">
                  <c:v>43522</c:v>
                </c:pt>
                <c:pt idx="649">
                  <c:v>43529</c:v>
                </c:pt>
                <c:pt idx="650">
                  <c:v>43536</c:v>
                </c:pt>
                <c:pt idx="651">
                  <c:v>43543</c:v>
                </c:pt>
                <c:pt idx="652">
                  <c:v>43550</c:v>
                </c:pt>
                <c:pt idx="653">
                  <c:v>43557</c:v>
                </c:pt>
                <c:pt idx="654">
                  <c:v>43564</c:v>
                </c:pt>
                <c:pt idx="655">
                  <c:v>43571</c:v>
                </c:pt>
                <c:pt idx="656">
                  <c:v>43578</c:v>
                </c:pt>
                <c:pt idx="657">
                  <c:v>43585</c:v>
                </c:pt>
                <c:pt idx="658">
                  <c:v>43592</c:v>
                </c:pt>
                <c:pt idx="659">
                  <c:v>43599</c:v>
                </c:pt>
                <c:pt idx="660">
                  <c:v>43606</c:v>
                </c:pt>
                <c:pt idx="661">
                  <c:v>43613</c:v>
                </c:pt>
                <c:pt idx="662">
                  <c:v>43620</c:v>
                </c:pt>
                <c:pt idx="663">
                  <c:v>43627</c:v>
                </c:pt>
                <c:pt idx="664">
                  <c:v>43634</c:v>
                </c:pt>
                <c:pt idx="665">
                  <c:v>43641</c:v>
                </c:pt>
                <c:pt idx="666">
                  <c:v>43648</c:v>
                </c:pt>
                <c:pt idx="667">
                  <c:v>43655</c:v>
                </c:pt>
                <c:pt idx="668">
                  <c:v>43662</c:v>
                </c:pt>
                <c:pt idx="669">
                  <c:v>43669</c:v>
                </c:pt>
                <c:pt idx="670">
                  <c:v>43676</c:v>
                </c:pt>
                <c:pt idx="671">
                  <c:v>43683</c:v>
                </c:pt>
                <c:pt idx="672">
                  <c:v>43690</c:v>
                </c:pt>
                <c:pt idx="673">
                  <c:v>43697</c:v>
                </c:pt>
                <c:pt idx="674">
                  <c:v>43704</c:v>
                </c:pt>
                <c:pt idx="675">
                  <c:v>43711</c:v>
                </c:pt>
                <c:pt idx="676">
                  <c:v>43718</c:v>
                </c:pt>
                <c:pt idx="677">
                  <c:v>43725</c:v>
                </c:pt>
                <c:pt idx="678">
                  <c:v>43732</c:v>
                </c:pt>
                <c:pt idx="679">
                  <c:v>43739</c:v>
                </c:pt>
                <c:pt idx="680">
                  <c:v>43746</c:v>
                </c:pt>
                <c:pt idx="681">
                  <c:v>43753</c:v>
                </c:pt>
                <c:pt idx="682">
                  <c:v>43760</c:v>
                </c:pt>
                <c:pt idx="683">
                  <c:v>43767</c:v>
                </c:pt>
                <c:pt idx="684">
                  <c:v>43774</c:v>
                </c:pt>
                <c:pt idx="685">
                  <c:v>43781</c:v>
                </c:pt>
                <c:pt idx="686">
                  <c:v>43788</c:v>
                </c:pt>
                <c:pt idx="687">
                  <c:v>43795</c:v>
                </c:pt>
                <c:pt idx="688">
                  <c:v>43802</c:v>
                </c:pt>
                <c:pt idx="689">
                  <c:v>43809</c:v>
                </c:pt>
                <c:pt idx="690">
                  <c:v>43816</c:v>
                </c:pt>
                <c:pt idx="691">
                  <c:v>43823</c:v>
                </c:pt>
                <c:pt idx="692">
                  <c:v>43830</c:v>
                </c:pt>
                <c:pt idx="693">
                  <c:v>43837</c:v>
                </c:pt>
                <c:pt idx="694">
                  <c:v>43844</c:v>
                </c:pt>
                <c:pt idx="695">
                  <c:v>43851</c:v>
                </c:pt>
                <c:pt idx="696">
                  <c:v>43858</c:v>
                </c:pt>
                <c:pt idx="697">
                  <c:v>43865</c:v>
                </c:pt>
                <c:pt idx="698">
                  <c:v>43872</c:v>
                </c:pt>
                <c:pt idx="699">
                  <c:v>43879</c:v>
                </c:pt>
                <c:pt idx="700">
                  <c:v>43886</c:v>
                </c:pt>
                <c:pt idx="701">
                  <c:v>43893</c:v>
                </c:pt>
                <c:pt idx="702">
                  <c:v>43900</c:v>
                </c:pt>
                <c:pt idx="703">
                  <c:v>43907</c:v>
                </c:pt>
                <c:pt idx="704">
                  <c:v>43914</c:v>
                </c:pt>
                <c:pt idx="705">
                  <c:v>43921</c:v>
                </c:pt>
                <c:pt idx="706">
                  <c:v>43928</c:v>
                </c:pt>
                <c:pt idx="707">
                  <c:v>43935</c:v>
                </c:pt>
                <c:pt idx="708">
                  <c:v>43942</c:v>
                </c:pt>
                <c:pt idx="709">
                  <c:v>43949</c:v>
                </c:pt>
                <c:pt idx="710">
                  <c:v>43956</c:v>
                </c:pt>
                <c:pt idx="711">
                  <c:v>43963</c:v>
                </c:pt>
                <c:pt idx="712">
                  <c:v>43970</c:v>
                </c:pt>
                <c:pt idx="713">
                  <c:v>43977</c:v>
                </c:pt>
                <c:pt idx="714">
                  <c:v>43984</c:v>
                </c:pt>
                <c:pt idx="715">
                  <c:v>43991</c:v>
                </c:pt>
                <c:pt idx="716">
                  <c:v>43998</c:v>
                </c:pt>
                <c:pt idx="717">
                  <c:v>44005</c:v>
                </c:pt>
                <c:pt idx="718">
                  <c:v>44012</c:v>
                </c:pt>
                <c:pt idx="719">
                  <c:v>44019</c:v>
                </c:pt>
                <c:pt idx="720">
                  <c:v>44026</c:v>
                </c:pt>
                <c:pt idx="721">
                  <c:v>44033</c:v>
                </c:pt>
                <c:pt idx="722">
                  <c:v>44040</c:v>
                </c:pt>
                <c:pt idx="723">
                  <c:v>44047</c:v>
                </c:pt>
                <c:pt idx="724">
                  <c:v>44054</c:v>
                </c:pt>
                <c:pt idx="725">
                  <c:v>44061</c:v>
                </c:pt>
                <c:pt idx="726">
                  <c:v>44068</c:v>
                </c:pt>
                <c:pt idx="727">
                  <c:v>44075</c:v>
                </c:pt>
                <c:pt idx="728">
                  <c:v>44082</c:v>
                </c:pt>
                <c:pt idx="729">
                  <c:v>44089</c:v>
                </c:pt>
                <c:pt idx="730">
                  <c:v>44096</c:v>
                </c:pt>
                <c:pt idx="731">
                  <c:v>44103</c:v>
                </c:pt>
                <c:pt idx="732">
                  <c:v>44110</c:v>
                </c:pt>
                <c:pt idx="733">
                  <c:v>44117</c:v>
                </c:pt>
                <c:pt idx="734">
                  <c:v>44124</c:v>
                </c:pt>
                <c:pt idx="735">
                  <c:v>44131</c:v>
                </c:pt>
                <c:pt idx="736">
                  <c:v>44138</c:v>
                </c:pt>
                <c:pt idx="737">
                  <c:v>44145</c:v>
                </c:pt>
                <c:pt idx="738">
                  <c:v>44152</c:v>
                </c:pt>
                <c:pt idx="739">
                  <c:v>44159</c:v>
                </c:pt>
                <c:pt idx="740">
                  <c:v>44166</c:v>
                </c:pt>
                <c:pt idx="741">
                  <c:v>44173</c:v>
                </c:pt>
                <c:pt idx="742">
                  <c:v>44180</c:v>
                </c:pt>
                <c:pt idx="743">
                  <c:v>44187</c:v>
                </c:pt>
                <c:pt idx="744">
                  <c:v>44194</c:v>
                </c:pt>
                <c:pt idx="745">
                  <c:v>44201</c:v>
                </c:pt>
                <c:pt idx="746">
                  <c:v>44208</c:v>
                </c:pt>
                <c:pt idx="747">
                  <c:v>44215</c:v>
                </c:pt>
                <c:pt idx="748">
                  <c:v>44222</c:v>
                </c:pt>
                <c:pt idx="749">
                  <c:v>44229</c:v>
                </c:pt>
                <c:pt idx="750">
                  <c:v>44236</c:v>
                </c:pt>
                <c:pt idx="751">
                  <c:v>44243</c:v>
                </c:pt>
                <c:pt idx="752">
                  <c:v>44250</c:v>
                </c:pt>
                <c:pt idx="753">
                  <c:v>44257</c:v>
                </c:pt>
                <c:pt idx="754">
                  <c:v>44264</c:v>
                </c:pt>
                <c:pt idx="755">
                  <c:v>44271</c:v>
                </c:pt>
                <c:pt idx="756">
                  <c:v>44278</c:v>
                </c:pt>
                <c:pt idx="757">
                  <c:v>44285</c:v>
                </c:pt>
                <c:pt idx="758">
                  <c:v>44292</c:v>
                </c:pt>
                <c:pt idx="759">
                  <c:v>44299</c:v>
                </c:pt>
                <c:pt idx="760">
                  <c:v>44306</c:v>
                </c:pt>
                <c:pt idx="761">
                  <c:v>44313</c:v>
                </c:pt>
                <c:pt idx="762">
                  <c:v>44320</c:v>
                </c:pt>
                <c:pt idx="763">
                  <c:v>44327</c:v>
                </c:pt>
                <c:pt idx="764">
                  <c:v>44334</c:v>
                </c:pt>
                <c:pt idx="765">
                  <c:v>44341</c:v>
                </c:pt>
                <c:pt idx="766">
                  <c:v>44348</c:v>
                </c:pt>
                <c:pt idx="767">
                  <c:v>44355</c:v>
                </c:pt>
                <c:pt idx="768">
                  <c:v>44362</c:v>
                </c:pt>
                <c:pt idx="769">
                  <c:v>44369</c:v>
                </c:pt>
                <c:pt idx="770">
                  <c:v>44376</c:v>
                </c:pt>
                <c:pt idx="771">
                  <c:v>44383</c:v>
                </c:pt>
                <c:pt idx="772">
                  <c:v>44390</c:v>
                </c:pt>
                <c:pt idx="773">
                  <c:v>44397</c:v>
                </c:pt>
                <c:pt idx="774">
                  <c:v>44404</c:v>
                </c:pt>
                <c:pt idx="775">
                  <c:v>44411</c:v>
                </c:pt>
                <c:pt idx="776">
                  <c:v>44418</c:v>
                </c:pt>
                <c:pt idx="777">
                  <c:v>44425</c:v>
                </c:pt>
                <c:pt idx="778">
                  <c:v>44432</c:v>
                </c:pt>
                <c:pt idx="779">
                  <c:v>44439</c:v>
                </c:pt>
                <c:pt idx="780">
                  <c:v>44446</c:v>
                </c:pt>
                <c:pt idx="781">
                  <c:v>44453</c:v>
                </c:pt>
                <c:pt idx="782">
                  <c:v>44460</c:v>
                </c:pt>
                <c:pt idx="783">
                  <c:v>44467</c:v>
                </c:pt>
                <c:pt idx="784">
                  <c:v>44474</c:v>
                </c:pt>
                <c:pt idx="785">
                  <c:v>44481</c:v>
                </c:pt>
                <c:pt idx="786">
                  <c:v>44488</c:v>
                </c:pt>
                <c:pt idx="787">
                  <c:v>44495</c:v>
                </c:pt>
                <c:pt idx="788">
                  <c:v>44502</c:v>
                </c:pt>
                <c:pt idx="789">
                  <c:v>44509</c:v>
                </c:pt>
                <c:pt idx="790">
                  <c:v>44516</c:v>
                </c:pt>
                <c:pt idx="791">
                  <c:v>44523</c:v>
                </c:pt>
                <c:pt idx="792">
                  <c:v>44530</c:v>
                </c:pt>
                <c:pt idx="793">
                  <c:v>44537</c:v>
                </c:pt>
                <c:pt idx="794">
                  <c:v>44544</c:v>
                </c:pt>
                <c:pt idx="795">
                  <c:v>44551</c:v>
                </c:pt>
                <c:pt idx="796">
                  <c:v>44558</c:v>
                </c:pt>
                <c:pt idx="797">
                  <c:v>44565</c:v>
                </c:pt>
                <c:pt idx="798">
                  <c:v>44572</c:v>
                </c:pt>
                <c:pt idx="799">
                  <c:v>44579</c:v>
                </c:pt>
                <c:pt idx="800">
                  <c:v>44586</c:v>
                </c:pt>
                <c:pt idx="801">
                  <c:v>44593</c:v>
                </c:pt>
                <c:pt idx="802">
                  <c:v>44600</c:v>
                </c:pt>
                <c:pt idx="803">
                  <c:v>44607</c:v>
                </c:pt>
                <c:pt idx="804">
                  <c:v>44614</c:v>
                </c:pt>
                <c:pt idx="805">
                  <c:v>44621</c:v>
                </c:pt>
                <c:pt idx="806">
                  <c:v>44628</c:v>
                </c:pt>
                <c:pt idx="807">
                  <c:v>44635</c:v>
                </c:pt>
                <c:pt idx="808">
                  <c:v>44642</c:v>
                </c:pt>
                <c:pt idx="809">
                  <c:v>44649</c:v>
                </c:pt>
                <c:pt idx="810">
                  <c:v>44656</c:v>
                </c:pt>
                <c:pt idx="811">
                  <c:v>44663</c:v>
                </c:pt>
                <c:pt idx="812">
                  <c:v>44670</c:v>
                </c:pt>
                <c:pt idx="813">
                  <c:v>44677</c:v>
                </c:pt>
                <c:pt idx="814">
                  <c:v>44684</c:v>
                </c:pt>
                <c:pt idx="815">
                  <c:v>44691</c:v>
                </c:pt>
                <c:pt idx="816">
                  <c:v>44698</c:v>
                </c:pt>
                <c:pt idx="817">
                  <c:v>44705</c:v>
                </c:pt>
                <c:pt idx="818">
                  <c:v>44712</c:v>
                </c:pt>
                <c:pt idx="819">
                  <c:v>44719</c:v>
                </c:pt>
                <c:pt idx="820">
                  <c:v>44726</c:v>
                </c:pt>
                <c:pt idx="821">
                  <c:v>44733</c:v>
                </c:pt>
                <c:pt idx="822">
                  <c:v>44740</c:v>
                </c:pt>
                <c:pt idx="823">
                  <c:v>44747</c:v>
                </c:pt>
                <c:pt idx="824">
                  <c:v>44754</c:v>
                </c:pt>
                <c:pt idx="825">
                  <c:v>44761</c:v>
                </c:pt>
                <c:pt idx="826">
                  <c:v>44768</c:v>
                </c:pt>
                <c:pt idx="827">
                  <c:v>44775</c:v>
                </c:pt>
                <c:pt idx="828">
                  <c:v>44782</c:v>
                </c:pt>
                <c:pt idx="829">
                  <c:v>44789</c:v>
                </c:pt>
                <c:pt idx="830">
                  <c:v>44796</c:v>
                </c:pt>
                <c:pt idx="831">
                  <c:v>44803</c:v>
                </c:pt>
                <c:pt idx="832">
                  <c:v>44810</c:v>
                </c:pt>
                <c:pt idx="833">
                  <c:v>44817</c:v>
                </c:pt>
                <c:pt idx="834">
                  <c:v>44824</c:v>
                </c:pt>
                <c:pt idx="835">
                  <c:v>44831</c:v>
                </c:pt>
                <c:pt idx="836">
                  <c:v>44838</c:v>
                </c:pt>
                <c:pt idx="837">
                  <c:v>44845</c:v>
                </c:pt>
                <c:pt idx="838">
                  <c:v>44852</c:v>
                </c:pt>
                <c:pt idx="839">
                  <c:v>44859</c:v>
                </c:pt>
                <c:pt idx="840">
                  <c:v>44866</c:v>
                </c:pt>
                <c:pt idx="841">
                  <c:v>44873</c:v>
                </c:pt>
                <c:pt idx="842">
                  <c:v>44880</c:v>
                </c:pt>
                <c:pt idx="843">
                  <c:v>44887</c:v>
                </c:pt>
                <c:pt idx="844">
                  <c:v>44894</c:v>
                </c:pt>
                <c:pt idx="845">
                  <c:v>44901</c:v>
                </c:pt>
                <c:pt idx="846">
                  <c:v>44908</c:v>
                </c:pt>
                <c:pt idx="847">
                  <c:v>44915</c:v>
                </c:pt>
                <c:pt idx="848">
                  <c:v>44922</c:v>
                </c:pt>
                <c:pt idx="849">
                  <c:v>44929</c:v>
                </c:pt>
                <c:pt idx="850">
                  <c:v>44936</c:v>
                </c:pt>
                <c:pt idx="851">
                  <c:v>44943</c:v>
                </c:pt>
                <c:pt idx="852">
                  <c:v>44950</c:v>
                </c:pt>
                <c:pt idx="853">
                  <c:v>44957</c:v>
                </c:pt>
                <c:pt idx="854">
                  <c:v>44964</c:v>
                </c:pt>
                <c:pt idx="855">
                  <c:v>44971</c:v>
                </c:pt>
                <c:pt idx="856">
                  <c:v>44978</c:v>
                </c:pt>
                <c:pt idx="857">
                  <c:v>44985</c:v>
                </c:pt>
                <c:pt idx="858">
                  <c:v>44992</c:v>
                </c:pt>
                <c:pt idx="859">
                  <c:v>44999</c:v>
                </c:pt>
                <c:pt idx="860">
                  <c:v>45006</c:v>
                </c:pt>
                <c:pt idx="861">
                  <c:v>45013</c:v>
                </c:pt>
                <c:pt idx="862">
                  <c:v>45020</c:v>
                </c:pt>
                <c:pt idx="863">
                  <c:v>45027</c:v>
                </c:pt>
                <c:pt idx="864">
                  <c:v>45034</c:v>
                </c:pt>
                <c:pt idx="865">
                  <c:v>45041</c:v>
                </c:pt>
                <c:pt idx="866">
                  <c:v>45048</c:v>
                </c:pt>
                <c:pt idx="867">
                  <c:v>45055</c:v>
                </c:pt>
                <c:pt idx="868">
                  <c:v>45062</c:v>
                </c:pt>
                <c:pt idx="869">
                  <c:v>45069</c:v>
                </c:pt>
                <c:pt idx="870">
                  <c:v>45076</c:v>
                </c:pt>
                <c:pt idx="871">
                  <c:v>45083</c:v>
                </c:pt>
                <c:pt idx="872">
                  <c:v>45090</c:v>
                </c:pt>
                <c:pt idx="873">
                  <c:v>45097</c:v>
                </c:pt>
                <c:pt idx="874">
                  <c:v>45104</c:v>
                </c:pt>
                <c:pt idx="875">
                  <c:v>45111</c:v>
                </c:pt>
                <c:pt idx="876">
                  <c:v>45118</c:v>
                </c:pt>
                <c:pt idx="877">
                  <c:v>45125</c:v>
                </c:pt>
                <c:pt idx="878">
                  <c:v>45132</c:v>
                </c:pt>
                <c:pt idx="879">
                  <c:v>45139</c:v>
                </c:pt>
                <c:pt idx="880">
                  <c:v>45146</c:v>
                </c:pt>
                <c:pt idx="881">
                  <c:v>45153</c:v>
                </c:pt>
                <c:pt idx="882">
                  <c:v>45160</c:v>
                </c:pt>
                <c:pt idx="883">
                  <c:v>45167</c:v>
                </c:pt>
                <c:pt idx="884">
                  <c:v>45174</c:v>
                </c:pt>
                <c:pt idx="885">
                  <c:v>45181</c:v>
                </c:pt>
                <c:pt idx="886">
                  <c:v>45188</c:v>
                </c:pt>
                <c:pt idx="887">
                  <c:v>45195</c:v>
                </c:pt>
                <c:pt idx="888">
                  <c:v>45202</c:v>
                </c:pt>
                <c:pt idx="889">
                  <c:v>45209</c:v>
                </c:pt>
                <c:pt idx="890">
                  <c:v>45216</c:v>
                </c:pt>
                <c:pt idx="891">
                  <c:v>45223</c:v>
                </c:pt>
                <c:pt idx="892">
                  <c:v>45230</c:v>
                </c:pt>
                <c:pt idx="893">
                  <c:v>45237</c:v>
                </c:pt>
                <c:pt idx="894">
                  <c:v>45244</c:v>
                </c:pt>
                <c:pt idx="895">
                  <c:v>45251</c:v>
                </c:pt>
                <c:pt idx="896">
                  <c:v>45258</c:v>
                </c:pt>
                <c:pt idx="897">
                  <c:v>45265</c:v>
                </c:pt>
                <c:pt idx="898">
                  <c:v>45272</c:v>
                </c:pt>
                <c:pt idx="899">
                  <c:v>45279</c:v>
                </c:pt>
                <c:pt idx="900">
                  <c:v>45286</c:v>
                </c:pt>
                <c:pt idx="901">
                  <c:v>45293</c:v>
                </c:pt>
                <c:pt idx="902">
                  <c:v>45300</c:v>
                </c:pt>
                <c:pt idx="903">
                  <c:v>45307</c:v>
                </c:pt>
                <c:pt idx="904">
                  <c:v>45314</c:v>
                </c:pt>
                <c:pt idx="905">
                  <c:v>45321</c:v>
                </c:pt>
                <c:pt idx="906">
                  <c:v>45328</c:v>
                </c:pt>
                <c:pt idx="907">
                  <c:v>45335</c:v>
                </c:pt>
                <c:pt idx="908">
                  <c:v>45342</c:v>
                </c:pt>
                <c:pt idx="909">
                  <c:v>45349</c:v>
                </c:pt>
                <c:pt idx="910">
                  <c:v>45356</c:v>
                </c:pt>
                <c:pt idx="911">
                  <c:v>45363</c:v>
                </c:pt>
                <c:pt idx="912">
                  <c:v>45370</c:v>
                </c:pt>
                <c:pt idx="913">
                  <c:v>45377</c:v>
                </c:pt>
                <c:pt idx="914">
                  <c:v>45384</c:v>
                </c:pt>
                <c:pt idx="915">
                  <c:v>45391</c:v>
                </c:pt>
                <c:pt idx="916">
                  <c:v>45398</c:v>
                </c:pt>
                <c:pt idx="917">
                  <c:v>45405</c:v>
                </c:pt>
                <c:pt idx="918">
                  <c:v>45412</c:v>
                </c:pt>
                <c:pt idx="919">
                  <c:v>45419</c:v>
                </c:pt>
                <c:pt idx="920">
                  <c:v>45426</c:v>
                </c:pt>
                <c:pt idx="921">
                  <c:v>45433</c:v>
                </c:pt>
                <c:pt idx="922">
                  <c:v>45440</c:v>
                </c:pt>
                <c:pt idx="923">
                  <c:v>45447</c:v>
                </c:pt>
                <c:pt idx="924">
                  <c:v>45454</c:v>
                </c:pt>
                <c:pt idx="925">
                  <c:v>45461</c:v>
                </c:pt>
                <c:pt idx="926">
                  <c:v>45468</c:v>
                </c:pt>
                <c:pt idx="927">
                  <c:v>45475</c:v>
                </c:pt>
                <c:pt idx="928">
                  <c:v>45482</c:v>
                </c:pt>
                <c:pt idx="929">
                  <c:v>45489</c:v>
                </c:pt>
                <c:pt idx="930">
                  <c:v>45496</c:v>
                </c:pt>
                <c:pt idx="931">
                  <c:v>45503</c:v>
                </c:pt>
                <c:pt idx="932">
                  <c:v>45510</c:v>
                </c:pt>
                <c:pt idx="933">
                  <c:v>45517</c:v>
                </c:pt>
                <c:pt idx="934">
                  <c:v>45524</c:v>
                </c:pt>
                <c:pt idx="935">
                  <c:v>45531</c:v>
                </c:pt>
                <c:pt idx="936">
                  <c:v>45538</c:v>
                </c:pt>
                <c:pt idx="937">
                  <c:v>45545</c:v>
                </c:pt>
                <c:pt idx="938">
                  <c:v>45552</c:v>
                </c:pt>
                <c:pt idx="939">
                  <c:v>45559</c:v>
                </c:pt>
                <c:pt idx="940">
                  <c:v>45566</c:v>
                </c:pt>
                <c:pt idx="941">
                  <c:v>45573</c:v>
                </c:pt>
                <c:pt idx="942">
                  <c:v>45580</c:v>
                </c:pt>
                <c:pt idx="943">
                  <c:v>45587</c:v>
                </c:pt>
                <c:pt idx="944">
                  <c:v>45594</c:v>
                </c:pt>
                <c:pt idx="945">
                  <c:v>45601</c:v>
                </c:pt>
                <c:pt idx="946">
                  <c:v>45608</c:v>
                </c:pt>
                <c:pt idx="947">
                  <c:v>45615</c:v>
                </c:pt>
                <c:pt idx="948">
                  <c:v>45622</c:v>
                </c:pt>
                <c:pt idx="949">
                  <c:v>45629</c:v>
                </c:pt>
                <c:pt idx="950">
                  <c:v>45636</c:v>
                </c:pt>
              </c:numCache>
            </c:numRef>
          </c:cat>
          <c:val>
            <c:numRef>
              <c:f>'Oil Share Data'!$B$2:$B$999</c:f>
              <c:numCache>
                <c:formatCode>#,##0_);[Red]\(#,##0\)</c:formatCode>
                <c:ptCount val="998"/>
                <c:pt idx="0">
                  <c:v>64334</c:v>
                </c:pt>
                <c:pt idx="1">
                  <c:v>56254</c:v>
                </c:pt>
                <c:pt idx="2">
                  <c:v>54118</c:v>
                </c:pt>
                <c:pt idx="3">
                  <c:v>38095</c:v>
                </c:pt>
                <c:pt idx="4">
                  <c:v>24801</c:v>
                </c:pt>
                <c:pt idx="5">
                  <c:v>19577</c:v>
                </c:pt>
                <c:pt idx="6">
                  <c:v>16395</c:v>
                </c:pt>
                <c:pt idx="7">
                  <c:v>11576</c:v>
                </c:pt>
                <c:pt idx="8">
                  <c:v>29029</c:v>
                </c:pt>
                <c:pt idx="9">
                  <c:v>18114</c:v>
                </c:pt>
                <c:pt idx="10">
                  <c:v>17052</c:v>
                </c:pt>
                <c:pt idx="11">
                  <c:v>30101</c:v>
                </c:pt>
                <c:pt idx="12">
                  <c:v>33873</c:v>
                </c:pt>
                <c:pt idx="13">
                  <c:v>32061</c:v>
                </c:pt>
                <c:pt idx="14">
                  <c:v>42729</c:v>
                </c:pt>
                <c:pt idx="15">
                  <c:v>40034</c:v>
                </c:pt>
                <c:pt idx="16">
                  <c:v>39856</c:v>
                </c:pt>
                <c:pt idx="17">
                  <c:v>34723</c:v>
                </c:pt>
                <c:pt idx="18">
                  <c:v>34731</c:v>
                </c:pt>
                <c:pt idx="19">
                  <c:v>24206</c:v>
                </c:pt>
                <c:pt idx="20">
                  <c:v>25878</c:v>
                </c:pt>
                <c:pt idx="21">
                  <c:v>26310</c:v>
                </c:pt>
                <c:pt idx="22">
                  <c:v>29340</c:v>
                </c:pt>
                <c:pt idx="23">
                  <c:v>12215</c:v>
                </c:pt>
                <c:pt idx="24">
                  <c:v>5752</c:v>
                </c:pt>
                <c:pt idx="25">
                  <c:v>15794</c:v>
                </c:pt>
                <c:pt idx="26">
                  <c:v>18536</c:v>
                </c:pt>
                <c:pt idx="27">
                  <c:v>24301</c:v>
                </c:pt>
                <c:pt idx="28">
                  <c:v>30042</c:v>
                </c:pt>
                <c:pt idx="29">
                  <c:v>48608</c:v>
                </c:pt>
                <c:pt idx="30">
                  <c:v>56819</c:v>
                </c:pt>
                <c:pt idx="31">
                  <c:v>65930</c:v>
                </c:pt>
                <c:pt idx="32">
                  <c:v>63619</c:v>
                </c:pt>
                <c:pt idx="33">
                  <c:v>53967</c:v>
                </c:pt>
                <c:pt idx="34">
                  <c:v>61961</c:v>
                </c:pt>
                <c:pt idx="35">
                  <c:v>63127</c:v>
                </c:pt>
                <c:pt idx="36">
                  <c:v>66869</c:v>
                </c:pt>
                <c:pt idx="37">
                  <c:v>58930</c:v>
                </c:pt>
                <c:pt idx="38">
                  <c:v>53962</c:v>
                </c:pt>
                <c:pt idx="39">
                  <c:v>46877</c:v>
                </c:pt>
                <c:pt idx="40">
                  <c:v>39969</c:v>
                </c:pt>
                <c:pt idx="41">
                  <c:v>36391</c:v>
                </c:pt>
                <c:pt idx="42">
                  <c:v>24061</c:v>
                </c:pt>
                <c:pt idx="43">
                  <c:v>25654</c:v>
                </c:pt>
                <c:pt idx="44">
                  <c:v>20766</c:v>
                </c:pt>
                <c:pt idx="45">
                  <c:v>16639</c:v>
                </c:pt>
                <c:pt idx="46">
                  <c:v>25434</c:v>
                </c:pt>
                <c:pt idx="47">
                  <c:v>31252</c:v>
                </c:pt>
                <c:pt idx="48">
                  <c:v>18273</c:v>
                </c:pt>
                <c:pt idx="49">
                  <c:v>6736</c:v>
                </c:pt>
                <c:pt idx="50">
                  <c:v>-9773</c:v>
                </c:pt>
                <c:pt idx="51">
                  <c:v>-18362</c:v>
                </c:pt>
                <c:pt idx="52">
                  <c:v>-11765</c:v>
                </c:pt>
                <c:pt idx="53">
                  <c:v>-3547</c:v>
                </c:pt>
                <c:pt idx="54">
                  <c:v>-2990</c:v>
                </c:pt>
                <c:pt idx="55">
                  <c:v>-3258</c:v>
                </c:pt>
                <c:pt idx="56">
                  <c:v>-4326</c:v>
                </c:pt>
                <c:pt idx="57">
                  <c:v>-2263</c:v>
                </c:pt>
                <c:pt idx="58">
                  <c:v>-1286</c:v>
                </c:pt>
                <c:pt idx="59">
                  <c:v>-5666</c:v>
                </c:pt>
                <c:pt idx="60">
                  <c:v>-5863</c:v>
                </c:pt>
                <c:pt idx="61">
                  <c:v>-6873</c:v>
                </c:pt>
                <c:pt idx="62">
                  <c:v>-8980</c:v>
                </c:pt>
                <c:pt idx="63">
                  <c:v>-7659</c:v>
                </c:pt>
                <c:pt idx="64">
                  <c:v>-7216</c:v>
                </c:pt>
                <c:pt idx="65">
                  <c:v>-11767</c:v>
                </c:pt>
                <c:pt idx="66">
                  <c:v>-26075</c:v>
                </c:pt>
                <c:pt idx="67">
                  <c:v>-26527</c:v>
                </c:pt>
                <c:pt idx="68">
                  <c:v>-9432</c:v>
                </c:pt>
                <c:pt idx="69">
                  <c:v>-6157</c:v>
                </c:pt>
                <c:pt idx="70">
                  <c:v>-2338</c:v>
                </c:pt>
                <c:pt idx="71">
                  <c:v>-2496</c:v>
                </c:pt>
                <c:pt idx="72">
                  <c:v>-691</c:v>
                </c:pt>
                <c:pt idx="73">
                  <c:v>-797</c:v>
                </c:pt>
                <c:pt idx="74">
                  <c:v>-5727</c:v>
                </c:pt>
                <c:pt idx="75">
                  <c:v>-5069</c:v>
                </c:pt>
                <c:pt idx="76">
                  <c:v>-14305</c:v>
                </c:pt>
                <c:pt idx="77">
                  <c:v>-4340</c:v>
                </c:pt>
                <c:pt idx="78">
                  <c:v>-5930</c:v>
                </c:pt>
                <c:pt idx="79">
                  <c:v>-5258</c:v>
                </c:pt>
                <c:pt idx="80">
                  <c:v>-10627</c:v>
                </c:pt>
                <c:pt idx="81">
                  <c:v>-17826</c:v>
                </c:pt>
                <c:pt idx="82">
                  <c:v>-9130</c:v>
                </c:pt>
                <c:pt idx="83">
                  <c:v>-5950</c:v>
                </c:pt>
                <c:pt idx="84">
                  <c:v>-5544</c:v>
                </c:pt>
                <c:pt idx="85">
                  <c:v>-7123</c:v>
                </c:pt>
                <c:pt idx="86">
                  <c:v>-4585</c:v>
                </c:pt>
                <c:pt idx="87">
                  <c:v>-8525</c:v>
                </c:pt>
                <c:pt idx="88">
                  <c:v>-10481</c:v>
                </c:pt>
                <c:pt idx="89">
                  <c:v>-13698</c:v>
                </c:pt>
                <c:pt idx="90">
                  <c:v>-21982</c:v>
                </c:pt>
                <c:pt idx="91">
                  <c:v>-27074</c:v>
                </c:pt>
                <c:pt idx="92">
                  <c:v>-31944</c:v>
                </c:pt>
                <c:pt idx="93">
                  <c:v>-25780</c:v>
                </c:pt>
                <c:pt idx="94">
                  <c:v>-27251</c:v>
                </c:pt>
                <c:pt idx="95">
                  <c:v>-28665</c:v>
                </c:pt>
                <c:pt idx="96">
                  <c:v>-24297</c:v>
                </c:pt>
                <c:pt idx="97">
                  <c:v>-24005</c:v>
                </c:pt>
                <c:pt idx="98">
                  <c:v>-23627</c:v>
                </c:pt>
                <c:pt idx="99">
                  <c:v>-27641</c:v>
                </c:pt>
                <c:pt idx="100">
                  <c:v>-25323</c:v>
                </c:pt>
                <c:pt idx="101">
                  <c:v>-27651</c:v>
                </c:pt>
                <c:pt idx="102">
                  <c:v>-26951</c:v>
                </c:pt>
                <c:pt idx="103">
                  <c:v>-27623</c:v>
                </c:pt>
                <c:pt idx="104">
                  <c:v>-25715</c:v>
                </c:pt>
                <c:pt idx="105">
                  <c:v>-20650</c:v>
                </c:pt>
                <c:pt idx="106">
                  <c:v>-11971</c:v>
                </c:pt>
                <c:pt idx="107">
                  <c:v>-7252</c:v>
                </c:pt>
                <c:pt idx="108">
                  <c:v>-3423</c:v>
                </c:pt>
                <c:pt idx="109">
                  <c:v>-11543</c:v>
                </c:pt>
                <c:pt idx="110">
                  <c:v>-13576</c:v>
                </c:pt>
                <c:pt idx="111">
                  <c:v>-10846</c:v>
                </c:pt>
                <c:pt idx="112">
                  <c:v>-9117</c:v>
                </c:pt>
                <c:pt idx="113">
                  <c:v>-11356</c:v>
                </c:pt>
                <c:pt idx="114">
                  <c:v>-12216</c:v>
                </c:pt>
                <c:pt idx="115">
                  <c:v>-11923</c:v>
                </c:pt>
                <c:pt idx="116">
                  <c:v>-12822</c:v>
                </c:pt>
                <c:pt idx="117">
                  <c:v>-9619</c:v>
                </c:pt>
                <c:pt idx="118">
                  <c:v>-14839</c:v>
                </c:pt>
                <c:pt idx="119">
                  <c:v>-12313</c:v>
                </c:pt>
                <c:pt idx="120">
                  <c:v>-9932</c:v>
                </c:pt>
                <c:pt idx="121">
                  <c:v>-15203</c:v>
                </c:pt>
                <c:pt idx="122">
                  <c:v>-22933</c:v>
                </c:pt>
                <c:pt idx="123">
                  <c:v>-26445</c:v>
                </c:pt>
                <c:pt idx="124">
                  <c:v>-27532</c:v>
                </c:pt>
                <c:pt idx="125">
                  <c:v>-25903</c:v>
                </c:pt>
                <c:pt idx="126">
                  <c:v>-21830</c:v>
                </c:pt>
                <c:pt idx="127">
                  <c:v>-23011</c:v>
                </c:pt>
                <c:pt idx="128">
                  <c:v>-21223</c:v>
                </c:pt>
                <c:pt idx="129">
                  <c:v>-32577</c:v>
                </c:pt>
                <c:pt idx="130">
                  <c:v>-33156</c:v>
                </c:pt>
                <c:pt idx="131">
                  <c:v>-26679</c:v>
                </c:pt>
                <c:pt idx="132">
                  <c:v>-17962</c:v>
                </c:pt>
                <c:pt idx="133">
                  <c:v>-17654</c:v>
                </c:pt>
                <c:pt idx="134">
                  <c:v>-25781</c:v>
                </c:pt>
                <c:pt idx="135">
                  <c:v>-23054</c:v>
                </c:pt>
                <c:pt idx="136">
                  <c:v>-26657</c:v>
                </c:pt>
                <c:pt idx="137">
                  <c:v>-17976</c:v>
                </c:pt>
                <c:pt idx="138">
                  <c:v>-32777</c:v>
                </c:pt>
                <c:pt idx="139">
                  <c:v>-41631</c:v>
                </c:pt>
                <c:pt idx="140">
                  <c:v>-34942</c:v>
                </c:pt>
                <c:pt idx="141">
                  <c:v>-36138</c:v>
                </c:pt>
                <c:pt idx="142">
                  <c:v>-55213</c:v>
                </c:pt>
                <c:pt idx="143">
                  <c:v>-50109</c:v>
                </c:pt>
                <c:pt idx="144">
                  <c:v>-56635</c:v>
                </c:pt>
                <c:pt idx="145">
                  <c:v>-55373</c:v>
                </c:pt>
                <c:pt idx="146">
                  <c:v>-52763</c:v>
                </c:pt>
                <c:pt idx="147">
                  <c:v>-49993</c:v>
                </c:pt>
                <c:pt idx="148">
                  <c:v>-51773</c:v>
                </c:pt>
                <c:pt idx="149">
                  <c:v>-44254</c:v>
                </c:pt>
                <c:pt idx="150">
                  <c:v>-38623</c:v>
                </c:pt>
                <c:pt idx="151">
                  <c:v>-33579</c:v>
                </c:pt>
                <c:pt idx="152">
                  <c:v>-30045</c:v>
                </c:pt>
                <c:pt idx="153">
                  <c:v>-47248</c:v>
                </c:pt>
                <c:pt idx="154">
                  <c:v>-50871</c:v>
                </c:pt>
                <c:pt idx="155">
                  <c:v>-53034</c:v>
                </c:pt>
                <c:pt idx="156">
                  <c:v>-48144</c:v>
                </c:pt>
                <c:pt idx="157">
                  <c:v>-52465</c:v>
                </c:pt>
                <c:pt idx="158">
                  <c:v>-47837</c:v>
                </c:pt>
                <c:pt idx="159">
                  <c:v>-40156</c:v>
                </c:pt>
                <c:pt idx="160">
                  <c:v>-20254</c:v>
                </c:pt>
                <c:pt idx="161">
                  <c:v>-477</c:v>
                </c:pt>
                <c:pt idx="162">
                  <c:v>-16796</c:v>
                </c:pt>
                <c:pt idx="163">
                  <c:v>-11553</c:v>
                </c:pt>
                <c:pt idx="164">
                  <c:v>6680</c:v>
                </c:pt>
                <c:pt idx="165">
                  <c:v>10216</c:v>
                </c:pt>
                <c:pt idx="166">
                  <c:v>8287</c:v>
                </c:pt>
                <c:pt idx="167">
                  <c:v>11483</c:v>
                </c:pt>
                <c:pt idx="168">
                  <c:v>3135</c:v>
                </c:pt>
                <c:pt idx="169">
                  <c:v>-5630</c:v>
                </c:pt>
                <c:pt idx="170">
                  <c:v>3135</c:v>
                </c:pt>
                <c:pt idx="171">
                  <c:v>467</c:v>
                </c:pt>
                <c:pt idx="172">
                  <c:v>-6219</c:v>
                </c:pt>
                <c:pt idx="173">
                  <c:v>-21308</c:v>
                </c:pt>
                <c:pt idx="174">
                  <c:v>-29833</c:v>
                </c:pt>
                <c:pt idx="175">
                  <c:v>-23250</c:v>
                </c:pt>
                <c:pt idx="176">
                  <c:v>-10915</c:v>
                </c:pt>
                <c:pt idx="177">
                  <c:v>-1344</c:v>
                </c:pt>
                <c:pt idx="178">
                  <c:v>-3019</c:v>
                </c:pt>
                <c:pt idx="179">
                  <c:v>10428</c:v>
                </c:pt>
                <c:pt idx="180">
                  <c:v>25481</c:v>
                </c:pt>
                <c:pt idx="181">
                  <c:v>18324</c:v>
                </c:pt>
                <c:pt idx="182">
                  <c:v>5182</c:v>
                </c:pt>
                <c:pt idx="183">
                  <c:v>-16934</c:v>
                </c:pt>
                <c:pt idx="184">
                  <c:v>20</c:v>
                </c:pt>
                <c:pt idx="185">
                  <c:v>11570</c:v>
                </c:pt>
                <c:pt idx="186">
                  <c:v>-12596</c:v>
                </c:pt>
                <c:pt idx="187">
                  <c:v>-35361</c:v>
                </c:pt>
                <c:pt idx="188">
                  <c:v>-54146</c:v>
                </c:pt>
                <c:pt idx="189">
                  <c:v>-48545</c:v>
                </c:pt>
                <c:pt idx="190">
                  <c:v>-57780</c:v>
                </c:pt>
                <c:pt idx="191">
                  <c:v>-64928</c:v>
                </c:pt>
                <c:pt idx="192">
                  <c:v>-50414</c:v>
                </c:pt>
                <c:pt idx="193">
                  <c:v>-65312</c:v>
                </c:pt>
                <c:pt idx="194">
                  <c:v>-67812</c:v>
                </c:pt>
                <c:pt idx="195">
                  <c:v>-60653</c:v>
                </c:pt>
                <c:pt idx="196">
                  <c:v>-86409</c:v>
                </c:pt>
                <c:pt idx="197">
                  <c:v>-89162</c:v>
                </c:pt>
                <c:pt idx="198">
                  <c:v>-80380</c:v>
                </c:pt>
                <c:pt idx="199">
                  <c:v>-66226</c:v>
                </c:pt>
                <c:pt idx="200">
                  <c:v>-52762</c:v>
                </c:pt>
                <c:pt idx="201">
                  <c:v>-30058</c:v>
                </c:pt>
                <c:pt idx="202">
                  <c:v>-22881</c:v>
                </c:pt>
                <c:pt idx="203">
                  <c:v>-16243</c:v>
                </c:pt>
                <c:pt idx="204">
                  <c:v>-31068</c:v>
                </c:pt>
                <c:pt idx="205">
                  <c:v>-49117</c:v>
                </c:pt>
                <c:pt idx="206">
                  <c:v>-46080</c:v>
                </c:pt>
                <c:pt idx="207">
                  <c:v>-25075</c:v>
                </c:pt>
                <c:pt idx="208">
                  <c:v>-30226</c:v>
                </c:pt>
                <c:pt idx="209">
                  <c:v>3063</c:v>
                </c:pt>
                <c:pt idx="210">
                  <c:v>33650</c:v>
                </c:pt>
                <c:pt idx="211">
                  <c:v>27661</c:v>
                </c:pt>
                <c:pt idx="212">
                  <c:v>27833</c:v>
                </c:pt>
                <c:pt idx="213">
                  <c:v>26336</c:v>
                </c:pt>
                <c:pt idx="214">
                  <c:v>29155</c:v>
                </c:pt>
                <c:pt idx="215">
                  <c:v>13597</c:v>
                </c:pt>
                <c:pt idx="216">
                  <c:v>17233</c:v>
                </c:pt>
                <c:pt idx="217">
                  <c:v>10088</c:v>
                </c:pt>
                <c:pt idx="218">
                  <c:v>10310</c:v>
                </c:pt>
                <c:pt idx="219">
                  <c:v>15823</c:v>
                </c:pt>
                <c:pt idx="220">
                  <c:v>22489</c:v>
                </c:pt>
                <c:pt idx="221">
                  <c:v>18387</c:v>
                </c:pt>
                <c:pt idx="222">
                  <c:v>16832</c:v>
                </c:pt>
                <c:pt idx="223">
                  <c:v>15154</c:v>
                </c:pt>
                <c:pt idx="224">
                  <c:v>16150</c:v>
                </c:pt>
                <c:pt idx="225">
                  <c:v>17908</c:v>
                </c:pt>
                <c:pt idx="226">
                  <c:v>9237</c:v>
                </c:pt>
                <c:pt idx="227">
                  <c:v>25457</c:v>
                </c:pt>
                <c:pt idx="228">
                  <c:v>33816</c:v>
                </c:pt>
                <c:pt idx="229">
                  <c:v>27815</c:v>
                </c:pt>
                <c:pt idx="230">
                  <c:v>23500</c:v>
                </c:pt>
                <c:pt idx="231">
                  <c:v>37701</c:v>
                </c:pt>
                <c:pt idx="232">
                  <c:v>45727</c:v>
                </c:pt>
                <c:pt idx="233">
                  <c:v>26802</c:v>
                </c:pt>
                <c:pt idx="234">
                  <c:v>16550</c:v>
                </c:pt>
                <c:pt idx="235">
                  <c:v>25193</c:v>
                </c:pt>
                <c:pt idx="236">
                  <c:v>40778</c:v>
                </c:pt>
                <c:pt idx="237">
                  <c:v>45117</c:v>
                </c:pt>
                <c:pt idx="238">
                  <c:v>47913</c:v>
                </c:pt>
                <c:pt idx="239">
                  <c:v>37365</c:v>
                </c:pt>
                <c:pt idx="240">
                  <c:v>30748</c:v>
                </c:pt>
                <c:pt idx="241">
                  <c:v>13309</c:v>
                </c:pt>
                <c:pt idx="242">
                  <c:v>10190</c:v>
                </c:pt>
                <c:pt idx="243">
                  <c:v>14755</c:v>
                </c:pt>
                <c:pt idx="244">
                  <c:v>30881</c:v>
                </c:pt>
                <c:pt idx="245">
                  <c:v>25635</c:v>
                </c:pt>
                <c:pt idx="246">
                  <c:v>10925</c:v>
                </c:pt>
                <c:pt idx="247">
                  <c:v>12142</c:v>
                </c:pt>
                <c:pt idx="248">
                  <c:v>19248</c:v>
                </c:pt>
                <c:pt idx="249">
                  <c:v>10493</c:v>
                </c:pt>
                <c:pt idx="250">
                  <c:v>15505</c:v>
                </c:pt>
                <c:pt idx="251">
                  <c:v>6316</c:v>
                </c:pt>
                <c:pt idx="252">
                  <c:v>-12266</c:v>
                </c:pt>
                <c:pt idx="253">
                  <c:v>-9311</c:v>
                </c:pt>
                <c:pt idx="254">
                  <c:v>-30426</c:v>
                </c:pt>
                <c:pt idx="255">
                  <c:v>-23450</c:v>
                </c:pt>
                <c:pt idx="256">
                  <c:v>-25955</c:v>
                </c:pt>
                <c:pt idx="257">
                  <c:v>-7317</c:v>
                </c:pt>
                <c:pt idx="258">
                  <c:v>-9893</c:v>
                </c:pt>
                <c:pt idx="259">
                  <c:v>-2587</c:v>
                </c:pt>
                <c:pt idx="260">
                  <c:v>7690</c:v>
                </c:pt>
                <c:pt idx="261">
                  <c:v>2046</c:v>
                </c:pt>
                <c:pt idx="262">
                  <c:v>827</c:v>
                </c:pt>
                <c:pt idx="263">
                  <c:v>2764</c:v>
                </c:pt>
                <c:pt idx="264">
                  <c:v>11296</c:v>
                </c:pt>
                <c:pt idx="265">
                  <c:v>-3515</c:v>
                </c:pt>
                <c:pt idx="266">
                  <c:v>1302</c:v>
                </c:pt>
                <c:pt idx="267">
                  <c:v>742</c:v>
                </c:pt>
                <c:pt idx="268">
                  <c:v>20627</c:v>
                </c:pt>
                <c:pt idx="269">
                  <c:v>11421</c:v>
                </c:pt>
                <c:pt idx="270">
                  <c:v>8556</c:v>
                </c:pt>
                <c:pt idx="271">
                  <c:v>17292</c:v>
                </c:pt>
                <c:pt idx="272">
                  <c:v>18209</c:v>
                </c:pt>
                <c:pt idx="273">
                  <c:v>11423</c:v>
                </c:pt>
                <c:pt idx="274">
                  <c:v>13129</c:v>
                </c:pt>
                <c:pt idx="275">
                  <c:v>24183</c:v>
                </c:pt>
                <c:pt idx="276">
                  <c:v>22169</c:v>
                </c:pt>
                <c:pt idx="277">
                  <c:v>6394</c:v>
                </c:pt>
                <c:pt idx="278">
                  <c:v>-3782</c:v>
                </c:pt>
                <c:pt idx="279">
                  <c:v>-11635</c:v>
                </c:pt>
                <c:pt idx="280">
                  <c:v>-5066</c:v>
                </c:pt>
                <c:pt idx="281">
                  <c:v>10578</c:v>
                </c:pt>
                <c:pt idx="282">
                  <c:v>12802</c:v>
                </c:pt>
                <c:pt idx="283">
                  <c:v>8668</c:v>
                </c:pt>
                <c:pt idx="284">
                  <c:v>-30471</c:v>
                </c:pt>
                <c:pt idx="285">
                  <c:v>-37528</c:v>
                </c:pt>
                <c:pt idx="286">
                  <c:v>-40162</c:v>
                </c:pt>
                <c:pt idx="287">
                  <c:v>-47392</c:v>
                </c:pt>
                <c:pt idx="288">
                  <c:v>-46817</c:v>
                </c:pt>
                <c:pt idx="289">
                  <c:v>-34243</c:v>
                </c:pt>
                <c:pt idx="290">
                  <c:v>-44264</c:v>
                </c:pt>
                <c:pt idx="291">
                  <c:v>-58682</c:v>
                </c:pt>
                <c:pt idx="292">
                  <c:v>-73342</c:v>
                </c:pt>
                <c:pt idx="293">
                  <c:v>-85623</c:v>
                </c:pt>
                <c:pt idx="294">
                  <c:v>-101171</c:v>
                </c:pt>
                <c:pt idx="295">
                  <c:v>-105170</c:v>
                </c:pt>
                <c:pt idx="296">
                  <c:v>-107611</c:v>
                </c:pt>
                <c:pt idx="297">
                  <c:v>-101381</c:v>
                </c:pt>
                <c:pt idx="298">
                  <c:v>-107083</c:v>
                </c:pt>
                <c:pt idx="299">
                  <c:v>-109418</c:v>
                </c:pt>
                <c:pt idx="300">
                  <c:v>-106159</c:v>
                </c:pt>
                <c:pt idx="301">
                  <c:v>-103214</c:v>
                </c:pt>
                <c:pt idx="302">
                  <c:v>-75148</c:v>
                </c:pt>
                <c:pt idx="303">
                  <c:v>-70058</c:v>
                </c:pt>
                <c:pt idx="304">
                  <c:v>-66934</c:v>
                </c:pt>
                <c:pt idx="305">
                  <c:v>-56577</c:v>
                </c:pt>
                <c:pt idx="306">
                  <c:v>-62565</c:v>
                </c:pt>
                <c:pt idx="307">
                  <c:v>-56559</c:v>
                </c:pt>
                <c:pt idx="308">
                  <c:v>-45270</c:v>
                </c:pt>
                <c:pt idx="309">
                  <c:v>-27495</c:v>
                </c:pt>
                <c:pt idx="310">
                  <c:v>-19535</c:v>
                </c:pt>
                <c:pt idx="311">
                  <c:v>-15314</c:v>
                </c:pt>
                <c:pt idx="312">
                  <c:v>-11791</c:v>
                </c:pt>
                <c:pt idx="313">
                  <c:v>-13772</c:v>
                </c:pt>
                <c:pt idx="314">
                  <c:v>-28057</c:v>
                </c:pt>
                <c:pt idx="315">
                  <c:v>-37616</c:v>
                </c:pt>
                <c:pt idx="316">
                  <c:v>-55387</c:v>
                </c:pt>
                <c:pt idx="317">
                  <c:v>-58559</c:v>
                </c:pt>
                <c:pt idx="318">
                  <c:v>-71872</c:v>
                </c:pt>
                <c:pt idx="319">
                  <c:v>-82199</c:v>
                </c:pt>
                <c:pt idx="320">
                  <c:v>-73519</c:v>
                </c:pt>
                <c:pt idx="321">
                  <c:v>-80947</c:v>
                </c:pt>
                <c:pt idx="322">
                  <c:v>-72870</c:v>
                </c:pt>
                <c:pt idx="323">
                  <c:v>-70727</c:v>
                </c:pt>
                <c:pt idx="324">
                  <c:v>-66563</c:v>
                </c:pt>
                <c:pt idx="325">
                  <c:v>-78086</c:v>
                </c:pt>
                <c:pt idx="326">
                  <c:v>-83913</c:v>
                </c:pt>
                <c:pt idx="327">
                  <c:v>-79935</c:v>
                </c:pt>
                <c:pt idx="328">
                  <c:v>-73204</c:v>
                </c:pt>
                <c:pt idx="329">
                  <c:v>-59069</c:v>
                </c:pt>
                <c:pt idx="330">
                  <c:v>-46354</c:v>
                </c:pt>
                <c:pt idx="331">
                  <c:v>-38666</c:v>
                </c:pt>
                <c:pt idx="332">
                  <c:v>-38092</c:v>
                </c:pt>
                <c:pt idx="333">
                  <c:v>-59362</c:v>
                </c:pt>
                <c:pt idx="334">
                  <c:v>-54285</c:v>
                </c:pt>
                <c:pt idx="335">
                  <c:v>-89537</c:v>
                </c:pt>
                <c:pt idx="336">
                  <c:v>-111538</c:v>
                </c:pt>
                <c:pt idx="337">
                  <c:v>-113779</c:v>
                </c:pt>
                <c:pt idx="338">
                  <c:v>-99684</c:v>
                </c:pt>
                <c:pt idx="339">
                  <c:v>-73545</c:v>
                </c:pt>
                <c:pt idx="340">
                  <c:v>-60542</c:v>
                </c:pt>
                <c:pt idx="341">
                  <c:v>-59631</c:v>
                </c:pt>
                <c:pt idx="342">
                  <c:v>-66271</c:v>
                </c:pt>
                <c:pt idx="343">
                  <c:v>-59134</c:v>
                </c:pt>
                <c:pt idx="344">
                  <c:v>-55334</c:v>
                </c:pt>
                <c:pt idx="345">
                  <c:v>-50536</c:v>
                </c:pt>
                <c:pt idx="346">
                  <c:v>-49661</c:v>
                </c:pt>
                <c:pt idx="347">
                  <c:v>-57261</c:v>
                </c:pt>
                <c:pt idx="348">
                  <c:v>-59944</c:v>
                </c:pt>
                <c:pt idx="349">
                  <c:v>-81637</c:v>
                </c:pt>
                <c:pt idx="350">
                  <c:v>-88993</c:v>
                </c:pt>
                <c:pt idx="351">
                  <c:v>-86863</c:v>
                </c:pt>
                <c:pt idx="352">
                  <c:v>-89584</c:v>
                </c:pt>
                <c:pt idx="353">
                  <c:v>-88958</c:v>
                </c:pt>
                <c:pt idx="354">
                  <c:v>-86358</c:v>
                </c:pt>
                <c:pt idx="355">
                  <c:v>-87464</c:v>
                </c:pt>
                <c:pt idx="356">
                  <c:v>-94241</c:v>
                </c:pt>
                <c:pt idx="357">
                  <c:v>-76470</c:v>
                </c:pt>
                <c:pt idx="358">
                  <c:v>-77889</c:v>
                </c:pt>
                <c:pt idx="359">
                  <c:v>-74066</c:v>
                </c:pt>
                <c:pt idx="360">
                  <c:v>-79587</c:v>
                </c:pt>
                <c:pt idx="361">
                  <c:v>-74597</c:v>
                </c:pt>
                <c:pt idx="362">
                  <c:v>-80484</c:v>
                </c:pt>
                <c:pt idx="363">
                  <c:v>-86257</c:v>
                </c:pt>
                <c:pt idx="364">
                  <c:v>-86163</c:v>
                </c:pt>
                <c:pt idx="365">
                  <c:v>-85879</c:v>
                </c:pt>
                <c:pt idx="366">
                  <c:v>-82341</c:v>
                </c:pt>
                <c:pt idx="367">
                  <c:v>-77138</c:v>
                </c:pt>
                <c:pt idx="368">
                  <c:v>-76225</c:v>
                </c:pt>
                <c:pt idx="369">
                  <c:v>-73598</c:v>
                </c:pt>
                <c:pt idx="370">
                  <c:v>-76034</c:v>
                </c:pt>
                <c:pt idx="371">
                  <c:v>-61442</c:v>
                </c:pt>
                <c:pt idx="372">
                  <c:v>-74452</c:v>
                </c:pt>
                <c:pt idx="373">
                  <c:v>-81704</c:v>
                </c:pt>
                <c:pt idx="374">
                  <c:v>-80699</c:v>
                </c:pt>
                <c:pt idx="375">
                  <c:v>-94485</c:v>
                </c:pt>
                <c:pt idx="376">
                  <c:v>-105174</c:v>
                </c:pt>
                <c:pt idx="377">
                  <c:v>-105312</c:v>
                </c:pt>
                <c:pt idx="378">
                  <c:v>-104323</c:v>
                </c:pt>
                <c:pt idx="379">
                  <c:v>-104580</c:v>
                </c:pt>
                <c:pt idx="380">
                  <c:v>-102653</c:v>
                </c:pt>
                <c:pt idx="381">
                  <c:v>-119416</c:v>
                </c:pt>
                <c:pt idx="382">
                  <c:v>-124061</c:v>
                </c:pt>
                <c:pt idx="383">
                  <c:v>-121838</c:v>
                </c:pt>
                <c:pt idx="384">
                  <c:v>-125415</c:v>
                </c:pt>
                <c:pt idx="385">
                  <c:v>-119010</c:v>
                </c:pt>
                <c:pt idx="386">
                  <c:v>-108549</c:v>
                </c:pt>
                <c:pt idx="387">
                  <c:v>-91355</c:v>
                </c:pt>
                <c:pt idx="388">
                  <c:v>-74115</c:v>
                </c:pt>
                <c:pt idx="389">
                  <c:v>-44547</c:v>
                </c:pt>
                <c:pt idx="390">
                  <c:v>-36560</c:v>
                </c:pt>
                <c:pt idx="391">
                  <c:v>-48875</c:v>
                </c:pt>
                <c:pt idx="392">
                  <c:v>-60815</c:v>
                </c:pt>
                <c:pt idx="393">
                  <c:v>-61718</c:v>
                </c:pt>
                <c:pt idx="394">
                  <c:v>-52004</c:v>
                </c:pt>
                <c:pt idx="395">
                  <c:v>-43559</c:v>
                </c:pt>
                <c:pt idx="396">
                  <c:v>-40480</c:v>
                </c:pt>
                <c:pt idx="397">
                  <c:v>-42462</c:v>
                </c:pt>
                <c:pt idx="398">
                  <c:v>-53981</c:v>
                </c:pt>
                <c:pt idx="399">
                  <c:v>-69889</c:v>
                </c:pt>
                <c:pt idx="400">
                  <c:v>-70665</c:v>
                </c:pt>
                <c:pt idx="401">
                  <c:v>-84747</c:v>
                </c:pt>
                <c:pt idx="402">
                  <c:v>-87821</c:v>
                </c:pt>
                <c:pt idx="403">
                  <c:v>-74737</c:v>
                </c:pt>
                <c:pt idx="404">
                  <c:v>-43728</c:v>
                </c:pt>
                <c:pt idx="405">
                  <c:v>-22566</c:v>
                </c:pt>
                <c:pt idx="406">
                  <c:v>-22411</c:v>
                </c:pt>
                <c:pt idx="407">
                  <c:v>-27410</c:v>
                </c:pt>
                <c:pt idx="408">
                  <c:v>-35656</c:v>
                </c:pt>
                <c:pt idx="409">
                  <c:v>-38278</c:v>
                </c:pt>
                <c:pt idx="410">
                  <c:v>-32145</c:v>
                </c:pt>
                <c:pt idx="411">
                  <c:v>-51810</c:v>
                </c:pt>
                <c:pt idx="412">
                  <c:v>-57798</c:v>
                </c:pt>
                <c:pt idx="413">
                  <c:v>-48984</c:v>
                </c:pt>
                <c:pt idx="414">
                  <c:v>-65945</c:v>
                </c:pt>
                <c:pt idx="415">
                  <c:v>-55843</c:v>
                </c:pt>
                <c:pt idx="416">
                  <c:v>-40321</c:v>
                </c:pt>
                <c:pt idx="417">
                  <c:v>-30475</c:v>
                </c:pt>
                <c:pt idx="418">
                  <c:v>-28536</c:v>
                </c:pt>
                <c:pt idx="419">
                  <c:v>-15439</c:v>
                </c:pt>
                <c:pt idx="420">
                  <c:v>-22515</c:v>
                </c:pt>
                <c:pt idx="421">
                  <c:v>-33732</c:v>
                </c:pt>
                <c:pt idx="422">
                  <c:v>-31972</c:v>
                </c:pt>
                <c:pt idx="423">
                  <c:v>-35371</c:v>
                </c:pt>
                <c:pt idx="424">
                  <c:v>-56048</c:v>
                </c:pt>
                <c:pt idx="425">
                  <c:v>-50630</c:v>
                </c:pt>
                <c:pt idx="426">
                  <c:v>-36986</c:v>
                </c:pt>
                <c:pt idx="427">
                  <c:v>-39871</c:v>
                </c:pt>
                <c:pt idx="428">
                  <c:v>-36934</c:v>
                </c:pt>
                <c:pt idx="429">
                  <c:v>-23798</c:v>
                </c:pt>
                <c:pt idx="430">
                  <c:v>-29657</c:v>
                </c:pt>
                <c:pt idx="431">
                  <c:v>-19085</c:v>
                </c:pt>
                <c:pt idx="432">
                  <c:v>-9150</c:v>
                </c:pt>
                <c:pt idx="433">
                  <c:v>17720</c:v>
                </c:pt>
                <c:pt idx="434">
                  <c:v>23385</c:v>
                </c:pt>
                <c:pt idx="435">
                  <c:v>-11518</c:v>
                </c:pt>
                <c:pt idx="436">
                  <c:v>-30397</c:v>
                </c:pt>
                <c:pt idx="437">
                  <c:v>-6397</c:v>
                </c:pt>
                <c:pt idx="438">
                  <c:v>4006</c:v>
                </c:pt>
                <c:pt idx="439">
                  <c:v>-7785</c:v>
                </c:pt>
                <c:pt idx="440">
                  <c:v>19200</c:v>
                </c:pt>
                <c:pt idx="441">
                  <c:v>-5444</c:v>
                </c:pt>
                <c:pt idx="442">
                  <c:v>-7433</c:v>
                </c:pt>
                <c:pt idx="443">
                  <c:v>-1949</c:v>
                </c:pt>
                <c:pt idx="444">
                  <c:v>-16251</c:v>
                </c:pt>
                <c:pt idx="445">
                  <c:v>7663</c:v>
                </c:pt>
                <c:pt idx="446">
                  <c:v>37377</c:v>
                </c:pt>
                <c:pt idx="447">
                  <c:v>33639</c:v>
                </c:pt>
                <c:pt idx="448">
                  <c:v>15003</c:v>
                </c:pt>
                <c:pt idx="449">
                  <c:v>38387</c:v>
                </c:pt>
                <c:pt idx="450">
                  <c:v>52507</c:v>
                </c:pt>
                <c:pt idx="451">
                  <c:v>37031</c:v>
                </c:pt>
                <c:pt idx="452">
                  <c:v>37890</c:v>
                </c:pt>
                <c:pt idx="453">
                  <c:v>67958</c:v>
                </c:pt>
                <c:pt idx="454">
                  <c:v>65510</c:v>
                </c:pt>
                <c:pt idx="455">
                  <c:v>29580</c:v>
                </c:pt>
                <c:pt idx="456">
                  <c:v>-7814</c:v>
                </c:pt>
                <c:pt idx="457">
                  <c:v>-9838</c:v>
                </c:pt>
                <c:pt idx="458">
                  <c:v>-29994</c:v>
                </c:pt>
                <c:pt idx="459">
                  <c:v>-27112</c:v>
                </c:pt>
                <c:pt idx="460">
                  <c:v>-44427</c:v>
                </c:pt>
                <c:pt idx="461">
                  <c:v>-59092</c:v>
                </c:pt>
                <c:pt idx="462">
                  <c:v>-70549</c:v>
                </c:pt>
                <c:pt idx="463">
                  <c:v>-63842</c:v>
                </c:pt>
                <c:pt idx="464">
                  <c:v>-52342</c:v>
                </c:pt>
                <c:pt idx="465">
                  <c:v>-54135</c:v>
                </c:pt>
                <c:pt idx="466">
                  <c:v>-41871</c:v>
                </c:pt>
                <c:pt idx="467">
                  <c:v>-41072</c:v>
                </c:pt>
                <c:pt idx="468">
                  <c:v>-53855</c:v>
                </c:pt>
                <c:pt idx="469">
                  <c:v>-36996</c:v>
                </c:pt>
                <c:pt idx="470">
                  <c:v>-23137</c:v>
                </c:pt>
                <c:pt idx="471">
                  <c:v>-6357</c:v>
                </c:pt>
                <c:pt idx="472">
                  <c:v>-12147</c:v>
                </c:pt>
                <c:pt idx="473">
                  <c:v>-2073</c:v>
                </c:pt>
                <c:pt idx="474">
                  <c:v>12118</c:v>
                </c:pt>
                <c:pt idx="475">
                  <c:v>12593</c:v>
                </c:pt>
                <c:pt idx="476">
                  <c:v>5974</c:v>
                </c:pt>
                <c:pt idx="477">
                  <c:v>17775</c:v>
                </c:pt>
                <c:pt idx="478">
                  <c:v>45801</c:v>
                </c:pt>
                <c:pt idx="479">
                  <c:v>62851</c:v>
                </c:pt>
                <c:pt idx="480">
                  <c:v>84239</c:v>
                </c:pt>
                <c:pt idx="481">
                  <c:v>103647</c:v>
                </c:pt>
                <c:pt idx="482">
                  <c:v>99468</c:v>
                </c:pt>
                <c:pt idx="483">
                  <c:v>101738</c:v>
                </c:pt>
                <c:pt idx="484">
                  <c:v>96768</c:v>
                </c:pt>
                <c:pt idx="485">
                  <c:v>78923</c:v>
                </c:pt>
                <c:pt idx="486">
                  <c:v>86813</c:v>
                </c:pt>
                <c:pt idx="487">
                  <c:v>86871</c:v>
                </c:pt>
                <c:pt idx="488">
                  <c:v>83610</c:v>
                </c:pt>
                <c:pt idx="489">
                  <c:v>96119</c:v>
                </c:pt>
                <c:pt idx="490">
                  <c:v>102723</c:v>
                </c:pt>
                <c:pt idx="491">
                  <c:v>97230</c:v>
                </c:pt>
                <c:pt idx="492">
                  <c:v>90280</c:v>
                </c:pt>
                <c:pt idx="493">
                  <c:v>63331</c:v>
                </c:pt>
                <c:pt idx="494">
                  <c:v>97899</c:v>
                </c:pt>
                <c:pt idx="495">
                  <c:v>121450</c:v>
                </c:pt>
                <c:pt idx="496">
                  <c:v>118833</c:v>
                </c:pt>
                <c:pt idx="497">
                  <c:v>128936</c:v>
                </c:pt>
                <c:pt idx="498">
                  <c:v>103132</c:v>
                </c:pt>
                <c:pt idx="499">
                  <c:v>79589</c:v>
                </c:pt>
                <c:pt idx="500">
                  <c:v>63227</c:v>
                </c:pt>
                <c:pt idx="501">
                  <c:v>28167</c:v>
                </c:pt>
                <c:pt idx="502">
                  <c:v>8142</c:v>
                </c:pt>
                <c:pt idx="503">
                  <c:v>4208</c:v>
                </c:pt>
                <c:pt idx="504">
                  <c:v>-24248</c:v>
                </c:pt>
                <c:pt idx="505">
                  <c:v>-38244</c:v>
                </c:pt>
                <c:pt idx="506">
                  <c:v>-33045</c:v>
                </c:pt>
                <c:pt idx="507">
                  <c:v>-16652</c:v>
                </c:pt>
                <c:pt idx="508">
                  <c:v>-31030</c:v>
                </c:pt>
                <c:pt idx="509">
                  <c:v>-42269</c:v>
                </c:pt>
                <c:pt idx="510">
                  <c:v>-59521</c:v>
                </c:pt>
                <c:pt idx="511">
                  <c:v>-61376</c:v>
                </c:pt>
                <c:pt idx="512">
                  <c:v>-60569</c:v>
                </c:pt>
                <c:pt idx="513">
                  <c:v>-73654</c:v>
                </c:pt>
                <c:pt idx="514">
                  <c:v>-73591</c:v>
                </c:pt>
                <c:pt idx="515">
                  <c:v>-45046</c:v>
                </c:pt>
                <c:pt idx="516">
                  <c:v>-8449</c:v>
                </c:pt>
                <c:pt idx="517">
                  <c:v>26115</c:v>
                </c:pt>
                <c:pt idx="518">
                  <c:v>39864</c:v>
                </c:pt>
                <c:pt idx="519">
                  <c:v>48093</c:v>
                </c:pt>
                <c:pt idx="520">
                  <c:v>36041</c:v>
                </c:pt>
                <c:pt idx="521">
                  <c:v>51093</c:v>
                </c:pt>
                <c:pt idx="522">
                  <c:v>82492</c:v>
                </c:pt>
                <c:pt idx="523">
                  <c:v>77912</c:v>
                </c:pt>
                <c:pt idx="524">
                  <c:v>69291</c:v>
                </c:pt>
                <c:pt idx="525">
                  <c:v>87549</c:v>
                </c:pt>
                <c:pt idx="526">
                  <c:v>100666</c:v>
                </c:pt>
                <c:pt idx="527">
                  <c:v>105522</c:v>
                </c:pt>
                <c:pt idx="528">
                  <c:v>102522</c:v>
                </c:pt>
                <c:pt idx="529">
                  <c:v>83637</c:v>
                </c:pt>
                <c:pt idx="530">
                  <c:v>76156</c:v>
                </c:pt>
                <c:pt idx="531">
                  <c:v>92592</c:v>
                </c:pt>
                <c:pt idx="532">
                  <c:v>86593</c:v>
                </c:pt>
                <c:pt idx="533">
                  <c:v>82802</c:v>
                </c:pt>
                <c:pt idx="534">
                  <c:v>81905</c:v>
                </c:pt>
                <c:pt idx="535">
                  <c:v>65985</c:v>
                </c:pt>
                <c:pt idx="536">
                  <c:v>52277</c:v>
                </c:pt>
                <c:pt idx="537">
                  <c:v>55615</c:v>
                </c:pt>
                <c:pt idx="538">
                  <c:v>35787</c:v>
                </c:pt>
                <c:pt idx="539">
                  <c:v>27520</c:v>
                </c:pt>
                <c:pt idx="540">
                  <c:v>961</c:v>
                </c:pt>
                <c:pt idx="541">
                  <c:v>2027</c:v>
                </c:pt>
                <c:pt idx="542">
                  <c:v>2031</c:v>
                </c:pt>
                <c:pt idx="543">
                  <c:v>-28567</c:v>
                </c:pt>
                <c:pt idx="544">
                  <c:v>-43436</c:v>
                </c:pt>
                <c:pt idx="545">
                  <c:v>-35169</c:v>
                </c:pt>
                <c:pt idx="546">
                  <c:v>-59160</c:v>
                </c:pt>
                <c:pt idx="547">
                  <c:v>-84499</c:v>
                </c:pt>
                <c:pt idx="548">
                  <c:v>-49281</c:v>
                </c:pt>
                <c:pt idx="549">
                  <c:v>-52738</c:v>
                </c:pt>
                <c:pt idx="550">
                  <c:v>-58242</c:v>
                </c:pt>
                <c:pt idx="551">
                  <c:v>-49935</c:v>
                </c:pt>
                <c:pt idx="552">
                  <c:v>-35208</c:v>
                </c:pt>
                <c:pt idx="553">
                  <c:v>-24445</c:v>
                </c:pt>
                <c:pt idx="554">
                  <c:v>-12814</c:v>
                </c:pt>
                <c:pt idx="555">
                  <c:v>5680</c:v>
                </c:pt>
                <c:pt idx="556">
                  <c:v>26840</c:v>
                </c:pt>
                <c:pt idx="557">
                  <c:v>22187</c:v>
                </c:pt>
                <c:pt idx="558">
                  <c:v>16640</c:v>
                </c:pt>
                <c:pt idx="559">
                  <c:v>27906</c:v>
                </c:pt>
                <c:pt idx="560">
                  <c:v>49879</c:v>
                </c:pt>
                <c:pt idx="561">
                  <c:v>64941</c:v>
                </c:pt>
                <c:pt idx="562">
                  <c:v>62685</c:v>
                </c:pt>
                <c:pt idx="563">
                  <c:v>50206</c:v>
                </c:pt>
                <c:pt idx="564">
                  <c:v>49584</c:v>
                </c:pt>
                <c:pt idx="565">
                  <c:v>67009</c:v>
                </c:pt>
                <c:pt idx="566">
                  <c:v>75327</c:v>
                </c:pt>
                <c:pt idx="567">
                  <c:v>79372</c:v>
                </c:pt>
                <c:pt idx="568">
                  <c:v>71605</c:v>
                </c:pt>
                <c:pt idx="569">
                  <c:v>79159</c:v>
                </c:pt>
                <c:pt idx="570">
                  <c:v>103023</c:v>
                </c:pt>
                <c:pt idx="571">
                  <c:v>124978</c:v>
                </c:pt>
                <c:pt idx="572">
                  <c:v>132252</c:v>
                </c:pt>
                <c:pt idx="573">
                  <c:v>109789</c:v>
                </c:pt>
                <c:pt idx="574">
                  <c:v>81121</c:v>
                </c:pt>
                <c:pt idx="575">
                  <c:v>29561</c:v>
                </c:pt>
                <c:pt idx="576">
                  <c:v>10077</c:v>
                </c:pt>
                <c:pt idx="577">
                  <c:v>3798</c:v>
                </c:pt>
                <c:pt idx="578">
                  <c:v>17934</c:v>
                </c:pt>
                <c:pt idx="579">
                  <c:v>35437</c:v>
                </c:pt>
                <c:pt idx="580">
                  <c:v>45928</c:v>
                </c:pt>
                <c:pt idx="581">
                  <c:v>50369</c:v>
                </c:pt>
                <c:pt idx="582">
                  <c:v>31755</c:v>
                </c:pt>
                <c:pt idx="583">
                  <c:v>-12302</c:v>
                </c:pt>
                <c:pt idx="584">
                  <c:v>-50228</c:v>
                </c:pt>
                <c:pt idx="585">
                  <c:v>-55007</c:v>
                </c:pt>
                <c:pt idx="586">
                  <c:v>-39336</c:v>
                </c:pt>
                <c:pt idx="587">
                  <c:v>-27851</c:v>
                </c:pt>
                <c:pt idx="588">
                  <c:v>-15311</c:v>
                </c:pt>
                <c:pt idx="589">
                  <c:v>-3822</c:v>
                </c:pt>
                <c:pt idx="590">
                  <c:v>-13906</c:v>
                </c:pt>
                <c:pt idx="591">
                  <c:v>-54717</c:v>
                </c:pt>
                <c:pt idx="592">
                  <c:v>-71823</c:v>
                </c:pt>
                <c:pt idx="593">
                  <c:v>-54691</c:v>
                </c:pt>
                <c:pt idx="594">
                  <c:v>-84621</c:v>
                </c:pt>
                <c:pt idx="595">
                  <c:v>-112224</c:v>
                </c:pt>
                <c:pt idx="596">
                  <c:v>-115627</c:v>
                </c:pt>
                <c:pt idx="597">
                  <c:v>-124546</c:v>
                </c:pt>
                <c:pt idx="598">
                  <c:v>-132670</c:v>
                </c:pt>
                <c:pt idx="599">
                  <c:v>-124398</c:v>
                </c:pt>
                <c:pt idx="600">
                  <c:v>-138189</c:v>
                </c:pt>
                <c:pt idx="601">
                  <c:v>-120669</c:v>
                </c:pt>
                <c:pt idx="602">
                  <c:v>-142169</c:v>
                </c:pt>
                <c:pt idx="603">
                  <c:v>-149979</c:v>
                </c:pt>
                <c:pt idx="604">
                  <c:v>-158147</c:v>
                </c:pt>
                <c:pt idx="605">
                  <c:v>-207089</c:v>
                </c:pt>
                <c:pt idx="606">
                  <c:v>-198334</c:v>
                </c:pt>
                <c:pt idx="607">
                  <c:v>-176974</c:v>
                </c:pt>
                <c:pt idx="608">
                  <c:v>-162545</c:v>
                </c:pt>
                <c:pt idx="609">
                  <c:v>-161763</c:v>
                </c:pt>
                <c:pt idx="610">
                  <c:v>-158456</c:v>
                </c:pt>
                <c:pt idx="611">
                  <c:v>-163262</c:v>
                </c:pt>
                <c:pt idx="612">
                  <c:v>-176713</c:v>
                </c:pt>
                <c:pt idx="613">
                  <c:v>-153316</c:v>
                </c:pt>
                <c:pt idx="614">
                  <c:v>-145315</c:v>
                </c:pt>
                <c:pt idx="615">
                  <c:v>-136691</c:v>
                </c:pt>
                <c:pt idx="616">
                  <c:v>-143589</c:v>
                </c:pt>
                <c:pt idx="617">
                  <c:v>-139892</c:v>
                </c:pt>
                <c:pt idx="618">
                  <c:v>-144378</c:v>
                </c:pt>
                <c:pt idx="619">
                  <c:v>-138181</c:v>
                </c:pt>
                <c:pt idx="620">
                  <c:v>-154017</c:v>
                </c:pt>
                <c:pt idx="621">
                  <c:v>-147942</c:v>
                </c:pt>
                <c:pt idx="622">
                  <c:v>-113934</c:v>
                </c:pt>
                <c:pt idx="623">
                  <c:v>-109430</c:v>
                </c:pt>
                <c:pt idx="624">
                  <c:v>-127490</c:v>
                </c:pt>
                <c:pt idx="625">
                  <c:v>-131839</c:v>
                </c:pt>
                <c:pt idx="626">
                  <c:v>-106987</c:v>
                </c:pt>
                <c:pt idx="627">
                  <c:v>-77674</c:v>
                </c:pt>
                <c:pt idx="628">
                  <c:v>-79881</c:v>
                </c:pt>
                <c:pt idx="629">
                  <c:v>-75096</c:v>
                </c:pt>
                <c:pt idx="630">
                  <c:v>-68103</c:v>
                </c:pt>
                <c:pt idx="631">
                  <c:v>-78898</c:v>
                </c:pt>
                <c:pt idx="632">
                  <c:v>-78687</c:v>
                </c:pt>
                <c:pt idx="633">
                  <c:v>-72191</c:v>
                </c:pt>
                <c:pt idx="634">
                  <c:v>-80119</c:v>
                </c:pt>
                <c:pt idx="635">
                  <c:v>-72570</c:v>
                </c:pt>
                <c:pt idx="636">
                  <c:v>-56989</c:v>
                </c:pt>
                <c:pt idx="637">
                  <c:v>-38781</c:v>
                </c:pt>
                <c:pt idx="638">
                  <c:v>-43382</c:v>
                </c:pt>
                <c:pt idx="639">
                  <c:v>-50888</c:v>
                </c:pt>
                <c:pt idx="640">
                  <c:v>-65575</c:v>
                </c:pt>
                <c:pt idx="641">
                  <c:v>-76191</c:v>
                </c:pt>
                <c:pt idx="642">
                  <c:v>-58920</c:v>
                </c:pt>
                <c:pt idx="643">
                  <c:v>-38258</c:v>
                </c:pt>
                <c:pt idx="644">
                  <c:v>2087</c:v>
                </c:pt>
                <c:pt idx="645">
                  <c:v>43310</c:v>
                </c:pt>
                <c:pt idx="646">
                  <c:v>64088</c:v>
                </c:pt>
                <c:pt idx="647">
                  <c:v>69826</c:v>
                </c:pt>
                <c:pt idx="648">
                  <c:v>71897</c:v>
                </c:pt>
                <c:pt idx="649">
                  <c:v>63238</c:v>
                </c:pt>
                <c:pt idx="650">
                  <c:v>63505</c:v>
                </c:pt>
                <c:pt idx="651">
                  <c:v>40221</c:v>
                </c:pt>
                <c:pt idx="652">
                  <c:v>3743</c:v>
                </c:pt>
                <c:pt idx="653">
                  <c:v>-14544</c:v>
                </c:pt>
                <c:pt idx="654">
                  <c:v>-22994</c:v>
                </c:pt>
                <c:pt idx="655">
                  <c:v>-22386</c:v>
                </c:pt>
                <c:pt idx="656">
                  <c:v>-31208</c:v>
                </c:pt>
                <c:pt idx="657">
                  <c:v>-42473</c:v>
                </c:pt>
                <c:pt idx="658">
                  <c:v>-37715</c:v>
                </c:pt>
                <c:pt idx="659">
                  <c:v>-40773</c:v>
                </c:pt>
                <c:pt idx="660">
                  <c:v>-33926</c:v>
                </c:pt>
                <c:pt idx="661">
                  <c:v>-41863</c:v>
                </c:pt>
                <c:pt idx="662">
                  <c:v>-57974</c:v>
                </c:pt>
                <c:pt idx="663">
                  <c:v>-58468</c:v>
                </c:pt>
                <c:pt idx="664">
                  <c:v>-42764</c:v>
                </c:pt>
                <c:pt idx="665">
                  <c:v>-35059</c:v>
                </c:pt>
                <c:pt idx="666">
                  <c:v>-21633</c:v>
                </c:pt>
                <c:pt idx="667">
                  <c:v>-10222</c:v>
                </c:pt>
                <c:pt idx="668">
                  <c:v>-10180</c:v>
                </c:pt>
                <c:pt idx="669">
                  <c:v>-13496</c:v>
                </c:pt>
                <c:pt idx="670">
                  <c:v>7891</c:v>
                </c:pt>
                <c:pt idx="671">
                  <c:v>1988</c:v>
                </c:pt>
                <c:pt idx="672">
                  <c:v>46753</c:v>
                </c:pt>
                <c:pt idx="673">
                  <c:v>39144</c:v>
                </c:pt>
                <c:pt idx="674">
                  <c:v>20494</c:v>
                </c:pt>
                <c:pt idx="675">
                  <c:v>30797</c:v>
                </c:pt>
                <c:pt idx="676">
                  <c:v>28500</c:v>
                </c:pt>
                <c:pt idx="677">
                  <c:v>74682</c:v>
                </c:pt>
                <c:pt idx="678">
                  <c:v>70382</c:v>
                </c:pt>
                <c:pt idx="679">
                  <c:v>51030</c:v>
                </c:pt>
                <c:pt idx="680">
                  <c:v>62463</c:v>
                </c:pt>
                <c:pt idx="681">
                  <c:v>68527</c:v>
                </c:pt>
                <c:pt idx="682">
                  <c:v>88829</c:v>
                </c:pt>
                <c:pt idx="683">
                  <c:v>104403</c:v>
                </c:pt>
                <c:pt idx="684">
                  <c:v>122197</c:v>
                </c:pt>
                <c:pt idx="685">
                  <c:v>111580</c:v>
                </c:pt>
                <c:pt idx="686">
                  <c:v>101916</c:v>
                </c:pt>
                <c:pt idx="687">
                  <c:v>99192</c:v>
                </c:pt>
                <c:pt idx="688">
                  <c:v>103088</c:v>
                </c:pt>
                <c:pt idx="689">
                  <c:v>110371</c:v>
                </c:pt>
                <c:pt idx="690">
                  <c:v>134685</c:v>
                </c:pt>
                <c:pt idx="691">
                  <c:v>143766</c:v>
                </c:pt>
                <c:pt idx="692">
                  <c:v>137593</c:v>
                </c:pt>
                <c:pt idx="693">
                  <c:v>138776</c:v>
                </c:pt>
                <c:pt idx="694">
                  <c:v>144631</c:v>
                </c:pt>
                <c:pt idx="695">
                  <c:v>137955</c:v>
                </c:pt>
                <c:pt idx="696">
                  <c:v>136457</c:v>
                </c:pt>
                <c:pt idx="697">
                  <c:v>132262</c:v>
                </c:pt>
                <c:pt idx="698">
                  <c:v>120819</c:v>
                </c:pt>
                <c:pt idx="699">
                  <c:v>112096</c:v>
                </c:pt>
                <c:pt idx="700">
                  <c:v>100160</c:v>
                </c:pt>
                <c:pt idx="701">
                  <c:v>33314</c:v>
                </c:pt>
                <c:pt idx="702">
                  <c:v>13595</c:v>
                </c:pt>
                <c:pt idx="703">
                  <c:v>-14388</c:v>
                </c:pt>
                <c:pt idx="704">
                  <c:v>-39845</c:v>
                </c:pt>
                <c:pt idx="705">
                  <c:v>-54972</c:v>
                </c:pt>
                <c:pt idx="706">
                  <c:v>-28839</c:v>
                </c:pt>
                <c:pt idx="707">
                  <c:v>-7848</c:v>
                </c:pt>
                <c:pt idx="708">
                  <c:v>-11411</c:v>
                </c:pt>
                <c:pt idx="709">
                  <c:v>-3942</c:v>
                </c:pt>
                <c:pt idx="710">
                  <c:v>4946</c:v>
                </c:pt>
                <c:pt idx="711">
                  <c:v>3262</c:v>
                </c:pt>
                <c:pt idx="712">
                  <c:v>32085</c:v>
                </c:pt>
                <c:pt idx="713">
                  <c:v>45759</c:v>
                </c:pt>
                <c:pt idx="714">
                  <c:v>62357</c:v>
                </c:pt>
                <c:pt idx="715">
                  <c:v>52930</c:v>
                </c:pt>
                <c:pt idx="716">
                  <c:v>43422</c:v>
                </c:pt>
                <c:pt idx="717">
                  <c:v>45291</c:v>
                </c:pt>
                <c:pt idx="718">
                  <c:v>53344</c:v>
                </c:pt>
                <c:pt idx="719">
                  <c:v>41328</c:v>
                </c:pt>
                <c:pt idx="720">
                  <c:v>40649</c:v>
                </c:pt>
                <c:pt idx="721">
                  <c:v>66075</c:v>
                </c:pt>
                <c:pt idx="722">
                  <c:v>57013</c:v>
                </c:pt>
                <c:pt idx="723">
                  <c:v>69318</c:v>
                </c:pt>
                <c:pt idx="724">
                  <c:v>81434</c:v>
                </c:pt>
                <c:pt idx="725">
                  <c:v>46545</c:v>
                </c:pt>
                <c:pt idx="726">
                  <c:v>64130</c:v>
                </c:pt>
                <c:pt idx="727">
                  <c:v>65686</c:v>
                </c:pt>
                <c:pt idx="728">
                  <c:v>53180</c:v>
                </c:pt>
                <c:pt idx="729">
                  <c:v>50867</c:v>
                </c:pt>
                <c:pt idx="730">
                  <c:v>36454</c:v>
                </c:pt>
                <c:pt idx="731">
                  <c:v>21099</c:v>
                </c:pt>
                <c:pt idx="732">
                  <c:v>3927</c:v>
                </c:pt>
                <c:pt idx="733">
                  <c:v>5120</c:v>
                </c:pt>
                <c:pt idx="734">
                  <c:v>410</c:v>
                </c:pt>
                <c:pt idx="735">
                  <c:v>10147</c:v>
                </c:pt>
                <c:pt idx="736">
                  <c:v>3921</c:v>
                </c:pt>
                <c:pt idx="737">
                  <c:v>13313</c:v>
                </c:pt>
                <c:pt idx="738">
                  <c:v>25292</c:v>
                </c:pt>
                <c:pt idx="739">
                  <c:v>34206</c:v>
                </c:pt>
                <c:pt idx="740">
                  <c:v>34329</c:v>
                </c:pt>
                <c:pt idx="741">
                  <c:v>26421</c:v>
                </c:pt>
                <c:pt idx="742">
                  <c:v>20512</c:v>
                </c:pt>
                <c:pt idx="743">
                  <c:v>17868</c:v>
                </c:pt>
                <c:pt idx="744">
                  <c:v>23502</c:v>
                </c:pt>
                <c:pt idx="745">
                  <c:v>28323</c:v>
                </c:pt>
                <c:pt idx="746">
                  <c:v>9128</c:v>
                </c:pt>
                <c:pt idx="747">
                  <c:v>13068</c:v>
                </c:pt>
                <c:pt idx="748">
                  <c:v>32744</c:v>
                </c:pt>
                <c:pt idx="749">
                  <c:v>38419</c:v>
                </c:pt>
                <c:pt idx="750">
                  <c:v>40767</c:v>
                </c:pt>
                <c:pt idx="751">
                  <c:v>40974</c:v>
                </c:pt>
                <c:pt idx="752">
                  <c:v>43158</c:v>
                </c:pt>
                <c:pt idx="753">
                  <c:v>42657</c:v>
                </c:pt>
                <c:pt idx="754">
                  <c:v>35330</c:v>
                </c:pt>
                <c:pt idx="755">
                  <c:v>37450</c:v>
                </c:pt>
                <c:pt idx="756">
                  <c:v>36357</c:v>
                </c:pt>
                <c:pt idx="757">
                  <c:v>22605</c:v>
                </c:pt>
                <c:pt idx="758">
                  <c:v>15692</c:v>
                </c:pt>
                <c:pt idx="759">
                  <c:v>37335</c:v>
                </c:pt>
                <c:pt idx="760">
                  <c:v>41945</c:v>
                </c:pt>
                <c:pt idx="761">
                  <c:v>38501</c:v>
                </c:pt>
                <c:pt idx="762">
                  <c:v>33355</c:v>
                </c:pt>
                <c:pt idx="763">
                  <c:v>16234</c:v>
                </c:pt>
                <c:pt idx="764">
                  <c:v>32375</c:v>
                </c:pt>
                <c:pt idx="765">
                  <c:v>60095</c:v>
                </c:pt>
                <c:pt idx="766">
                  <c:v>65199</c:v>
                </c:pt>
                <c:pt idx="767">
                  <c:v>54600</c:v>
                </c:pt>
                <c:pt idx="768">
                  <c:v>48134</c:v>
                </c:pt>
                <c:pt idx="769">
                  <c:v>32020</c:v>
                </c:pt>
                <c:pt idx="770">
                  <c:v>32361</c:v>
                </c:pt>
                <c:pt idx="771">
                  <c:v>27210</c:v>
                </c:pt>
                <c:pt idx="772">
                  <c:v>32223</c:v>
                </c:pt>
                <c:pt idx="773">
                  <c:v>35650</c:v>
                </c:pt>
                <c:pt idx="774">
                  <c:v>39069</c:v>
                </c:pt>
                <c:pt idx="775">
                  <c:v>46758</c:v>
                </c:pt>
                <c:pt idx="776">
                  <c:v>38316</c:v>
                </c:pt>
                <c:pt idx="777">
                  <c:v>41355</c:v>
                </c:pt>
                <c:pt idx="778">
                  <c:v>46259</c:v>
                </c:pt>
                <c:pt idx="779">
                  <c:v>43450</c:v>
                </c:pt>
                <c:pt idx="780">
                  <c:v>60842</c:v>
                </c:pt>
                <c:pt idx="781">
                  <c:v>63426</c:v>
                </c:pt>
                <c:pt idx="782">
                  <c:v>57533</c:v>
                </c:pt>
                <c:pt idx="783">
                  <c:v>62454</c:v>
                </c:pt>
                <c:pt idx="784">
                  <c:v>107242</c:v>
                </c:pt>
                <c:pt idx="785">
                  <c:v>113308</c:v>
                </c:pt>
                <c:pt idx="786">
                  <c:v>114370</c:v>
                </c:pt>
                <c:pt idx="787">
                  <c:v>100772</c:v>
                </c:pt>
                <c:pt idx="788">
                  <c:v>95082</c:v>
                </c:pt>
                <c:pt idx="789">
                  <c:v>63306</c:v>
                </c:pt>
                <c:pt idx="790">
                  <c:v>38724</c:v>
                </c:pt>
                <c:pt idx="791">
                  <c:v>28795</c:v>
                </c:pt>
                <c:pt idx="792">
                  <c:v>26679</c:v>
                </c:pt>
                <c:pt idx="793">
                  <c:v>30930</c:v>
                </c:pt>
                <c:pt idx="794">
                  <c:v>4249</c:v>
                </c:pt>
                <c:pt idx="795">
                  <c:v>-11473</c:v>
                </c:pt>
                <c:pt idx="796">
                  <c:v>-15768</c:v>
                </c:pt>
                <c:pt idx="797">
                  <c:v>-17580</c:v>
                </c:pt>
                <c:pt idx="798">
                  <c:v>-17013</c:v>
                </c:pt>
                <c:pt idx="799">
                  <c:v>-6535</c:v>
                </c:pt>
                <c:pt idx="800">
                  <c:v>4439</c:v>
                </c:pt>
                <c:pt idx="801">
                  <c:v>3733</c:v>
                </c:pt>
                <c:pt idx="802">
                  <c:v>-15356</c:v>
                </c:pt>
                <c:pt idx="803">
                  <c:v>-18789</c:v>
                </c:pt>
                <c:pt idx="804">
                  <c:v>-11217</c:v>
                </c:pt>
                <c:pt idx="805">
                  <c:v>-13398</c:v>
                </c:pt>
                <c:pt idx="806">
                  <c:v>-10958</c:v>
                </c:pt>
                <c:pt idx="807">
                  <c:v>-13988</c:v>
                </c:pt>
                <c:pt idx="808">
                  <c:v>-17086</c:v>
                </c:pt>
                <c:pt idx="809">
                  <c:v>-21347</c:v>
                </c:pt>
                <c:pt idx="810">
                  <c:v>-23794</c:v>
                </c:pt>
                <c:pt idx="811">
                  <c:v>-9348</c:v>
                </c:pt>
                <c:pt idx="812">
                  <c:v>-3454</c:v>
                </c:pt>
                <c:pt idx="813">
                  <c:v>6392</c:v>
                </c:pt>
                <c:pt idx="814">
                  <c:v>11892</c:v>
                </c:pt>
                <c:pt idx="815">
                  <c:v>36062</c:v>
                </c:pt>
                <c:pt idx="816">
                  <c:v>50314</c:v>
                </c:pt>
                <c:pt idx="817">
                  <c:v>19840</c:v>
                </c:pt>
                <c:pt idx="818">
                  <c:v>17099</c:v>
                </c:pt>
                <c:pt idx="819">
                  <c:v>15654</c:v>
                </c:pt>
                <c:pt idx="820">
                  <c:v>10539</c:v>
                </c:pt>
                <c:pt idx="821">
                  <c:v>-9495</c:v>
                </c:pt>
                <c:pt idx="822">
                  <c:v>-28852</c:v>
                </c:pt>
                <c:pt idx="823">
                  <c:v>-40848</c:v>
                </c:pt>
                <c:pt idx="824">
                  <c:v>-49413</c:v>
                </c:pt>
                <c:pt idx="825">
                  <c:v>-48744</c:v>
                </c:pt>
                <c:pt idx="826">
                  <c:v>-58472</c:v>
                </c:pt>
                <c:pt idx="827">
                  <c:v>-57877</c:v>
                </c:pt>
                <c:pt idx="828">
                  <c:v>-62172</c:v>
                </c:pt>
                <c:pt idx="829">
                  <c:v>-53029</c:v>
                </c:pt>
                <c:pt idx="830">
                  <c:v>-53510</c:v>
                </c:pt>
                <c:pt idx="831">
                  <c:v>-44440</c:v>
                </c:pt>
                <c:pt idx="832">
                  <c:v>-37639</c:v>
                </c:pt>
                <c:pt idx="833">
                  <c:v>-32444</c:v>
                </c:pt>
                <c:pt idx="834">
                  <c:v>-43858</c:v>
                </c:pt>
                <c:pt idx="835">
                  <c:v>-35128</c:v>
                </c:pt>
                <c:pt idx="836">
                  <c:v>-16946</c:v>
                </c:pt>
                <c:pt idx="837">
                  <c:v>-9405</c:v>
                </c:pt>
                <c:pt idx="838">
                  <c:v>4177</c:v>
                </c:pt>
                <c:pt idx="839">
                  <c:v>9131</c:v>
                </c:pt>
                <c:pt idx="840">
                  <c:v>6701</c:v>
                </c:pt>
                <c:pt idx="841">
                  <c:v>9790</c:v>
                </c:pt>
                <c:pt idx="842">
                  <c:v>34661</c:v>
                </c:pt>
                <c:pt idx="843">
                  <c:v>28459</c:v>
                </c:pt>
                <c:pt idx="844">
                  <c:v>30642</c:v>
                </c:pt>
                <c:pt idx="845">
                  <c:v>-35925</c:v>
                </c:pt>
                <c:pt idx="846">
                  <c:v>-61137</c:v>
                </c:pt>
                <c:pt idx="847">
                  <c:v>-63133</c:v>
                </c:pt>
                <c:pt idx="848">
                  <c:v>-64402</c:v>
                </c:pt>
                <c:pt idx="849">
                  <c:v>-78115</c:v>
                </c:pt>
                <c:pt idx="850">
                  <c:v>-88097</c:v>
                </c:pt>
                <c:pt idx="851">
                  <c:v>-96931</c:v>
                </c:pt>
                <c:pt idx="852">
                  <c:v>-99542</c:v>
                </c:pt>
                <c:pt idx="853">
                  <c:v>-109719</c:v>
                </c:pt>
                <c:pt idx="854">
                  <c:v>-120215</c:v>
                </c:pt>
                <c:pt idx="855">
                  <c:v>-130076</c:v>
                </c:pt>
                <c:pt idx="856">
                  <c:v>-119840</c:v>
                </c:pt>
                <c:pt idx="857">
                  <c:v>-111878</c:v>
                </c:pt>
                <c:pt idx="858">
                  <c:v>-134537</c:v>
                </c:pt>
                <c:pt idx="859">
                  <c:v>-135159</c:v>
                </c:pt>
                <c:pt idx="860">
                  <c:v>-120932</c:v>
                </c:pt>
                <c:pt idx="861">
                  <c:v>-108588</c:v>
                </c:pt>
                <c:pt idx="862">
                  <c:v>-106320</c:v>
                </c:pt>
                <c:pt idx="863">
                  <c:v>-108246</c:v>
                </c:pt>
                <c:pt idx="864">
                  <c:v>-121425</c:v>
                </c:pt>
                <c:pt idx="865">
                  <c:v>-105928</c:v>
                </c:pt>
                <c:pt idx="866">
                  <c:v>-84291</c:v>
                </c:pt>
                <c:pt idx="867">
                  <c:v>-75746</c:v>
                </c:pt>
                <c:pt idx="868">
                  <c:v>-116668</c:v>
                </c:pt>
                <c:pt idx="869">
                  <c:v>-110666</c:v>
                </c:pt>
                <c:pt idx="870">
                  <c:v>-97125</c:v>
                </c:pt>
                <c:pt idx="871">
                  <c:v>-84122</c:v>
                </c:pt>
                <c:pt idx="872">
                  <c:v>-51860</c:v>
                </c:pt>
                <c:pt idx="873">
                  <c:v>-34107</c:v>
                </c:pt>
                <c:pt idx="874">
                  <c:v>-20229</c:v>
                </c:pt>
                <c:pt idx="875">
                  <c:v>-10902</c:v>
                </c:pt>
                <c:pt idx="876">
                  <c:v>-4627</c:v>
                </c:pt>
                <c:pt idx="877">
                  <c:v>-14035</c:v>
                </c:pt>
                <c:pt idx="878">
                  <c:v>-15984</c:v>
                </c:pt>
                <c:pt idx="879">
                  <c:v>-20874</c:v>
                </c:pt>
                <c:pt idx="880">
                  <c:v>-22620</c:v>
                </c:pt>
                <c:pt idx="881">
                  <c:v>-10192</c:v>
                </c:pt>
                <c:pt idx="882">
                  <c:v>2257</c:v>
                </c:pt>
                <c:pt idx="883">
                  <c:v>-15436</c:v>
                </c:pt>
                <c:pt idx="884">
                  <c:v>-9963</c:v>
                </c:pt>
                <c:pt idx="885">
                  <c:v>-21337</c:v>
                </c:pt>
                <c:pt idx="886">
                  <c:v>-8809</c:v>
                </c:pt>
                <c:pt idx="887">
                  <c:v>-24146</c:v>
                </c:pt>
                <c:pt idx="888">
                  <c:v>399</c:v>
                </c:pt>
                <c:pt idx="889">
                  <c:v>-6092</c:v>
                </c:pt>
                <c:pt idx="890">
                  <c:v>-29969</c:v>
                </c:pt>
                <c:pt idx="891">
                  <c:v>-80504</c:v>
                </c:pt>
                <c:pt idx="892">
                  <c:v>-102088</c:v>
                </c:pt>
                <c:pt idx="893">
                  <c:v>-122339</c:v>
                </c:pt>
                <c:pt idx="894">
                  <c:v>-138001</c:v>
                </c:pt>
                <c:pt idx="895">
                  <c:v>-140634</c:v>
                </c:pt>
                <c:pt idx="896">
                  <c:v>-140518</c:v>
                </c:pt>
                <c:pt idx="897">
                  <c:v>-136084</c:v>
                </c:pt>
                <c:pt idx="898">
                  <c:v>-115304</c:v>
                </c:pt>
                <c:pt idx="899">
                  <c:v>-106791</c:v>
                </c:pt>
                <c:pt idx="900">
                  <c:v>-108886</c:v>
                </c:pt>
                <c:pt idx="901">
                  <c:v>-93593</c:v>
                </c:pt>
                <c:pt idx="902">
                  <c:v>-57069</c:v>
                </c:pt>
                <c:pt idx="903">
                  <c:v>-42932</c:v>
                </c:pt>
                <c:pt idx="904">
                  <c:v>-25689</c:v>
                </c:pt>
                <c:pt idx="905">
                  <c:v>-32350</c:v>
                </c:pt>
                <c:pt idx="906">
                  <c:v>-29635</c:v>
                </c:pt>
                <c:pt idx="907">
                  <c:v>-7848</c:v>
                </c:pt>
                <c:pt idx="908">
                  <c:v>-22157</c:v>
                </c:pt>
                <c:pt idx="909">
                  <c:v>-4679</c:v>
                </c:pt>
                <c:pt idx="910">
                  <c:v>-12947</c:v>
                </c:pt>
                <c:pt idx="911">
                  <c:v>17525</c:v>
                </c:pt>
                <c:pt idx="912">
                  <c:v>32126</c:v>
                </c:pt>
                <c:pt idx="913">
                  <c:v>30740</c:v>
                </c:pt>
                <c:pt idx="914">
                  <c:v>51275</c:v>
                </c:pt>
                <c:pt idx="915">
                  <c:v>19944</c:v>
                </c:pt>
                <c:pt idx="916">
                  <c:v>-42752</c:v>
                </c:pt>
                <c:pt idx="917">
                  <c:v>-69209</c:v>
                </c:pt>
                <c:pt idx="918">
                  <c:v>-110478</c:v>
                </c:pt>
                <c:pt idx="919">
                  <c:v>-153697</c:v>
                </c:pt>
                <c:pt idx="920">
                  <c:v>-161022</c:v>
                </c:pt>
                <c:pt idx="921">
                  <c:v>-147465</c:v>
                </c:pt>
                <c:pt idx="922">
                  <c:v>-160126</c:v>
                </c:pt>
                <c:pt idx="923">
                  <c:v>-158389</c:v>
                </c:pt>
                <c:pt idx="924">
                  <c:v>-168751</c:v>
                </c:pt>
                <c:pt idx="925">
                  <c:v>-184252</c:v>
                </c:pt>
                <c:pt idx="926">
                  <c:v>-195850</c:v>
                </c:pt>
                <c:pt idx="927">
                  <c:v>-135313</c:v>
                </c:pt>
                <c:pt idx="928">
                  <c:v>-77711</c:v>
                </c:pt>
                <c:pt idx="929">
                  <c:v>-43564</c:v>
                </c:pt>
                <c:pt idx="930">
                  <c:v>-44961</c:v>
                </c:pt>
                <c:pt idx="931">
                  <c:v>-91317</c:v>
                </c:pt>
                <c:pt idx="932">
                  <c:v>-121278</c:v>
                </c:pt>
                <c:pt idx="933">
                  <c:v>-81052</c:v>
                </c:pt>
                <c:pt idx="934">
                  <c:v>-87980</c:v>
                </c:pt>
                <c:pt idx="935">
                  <c:v>-73408</c:v>
                </c:pt>
                <c:pt idx="936">
                  <c:v>-70698</c:v>
                </c:pt>
                <c:pt idx="937">
                  <c:v>-84665</c:v>
                </c:pt>
                <c:pt idx="938">
                  <c:v>-90346</c:v>
                </c:pt>
                <c:pt idx="939">
                  <c:v>-77115</c:v>
                </c:pt>
                <c:pt idx="940">
                  <c:v>-87406</c:v>
                </c:pt>
                <c:pt idx="941">
                  <c:v>-64085</c:v>
                </c:pt>
                <c:pt idx="942">
                  <c:v>-28773</c:v>
                </c:pt>
                <c:pt idx="943">
                  <c:v>-15799</c:v>
                </c:pt>
                <c:pt idx="944">
                  <c:v>24629</c:v>
                </c:pt>
                <c:pt idx="945">
                  <c:v>71837</c:v>
                </c:pt>
                <c:pt idx="946">
                  <c:v>102775</c:v>
                </c:pt>
                <c:pt idx="947">
                  <c:v>119760</c:v>
                </c:pt>
                <c:pt idx="948">
                  <c:v>98609</c:v>
                </c:pt>
                <c:pt idx="949">
                  <c:v>82726</c:v>
                </c:pt>
                <c:pt idx="950">
                  <c:v>89946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5-4F10-A98B-4D1FCD737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052048"/>
        <c:axId val="579050608"/>
      </c:areaChart>
      <c:lineChart>
        <c:grouping val="standard"/>
        <c:varyColors val="0"/>
        <c:ser>
          <c:idx val="1"/>
          <c:order val="1"/>
          <c:tx>
            <c:strRef>
              <c:f>'Oil Share Data'!$C$1</c:f>
              <c:strCache>
                <c:ptCount val="1"/>
                <c:pt idx="0">
                  <c:v>Nearby Soybean Oil Futures</c:v>
                </c:pt>
              </c:strCache>
            </c:strRef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'Oil Share Data'!$A$2:$A$999</c:f>
              <c:numCache>
                <c:formatCode>[$-409]d\-mmm\-yy;@</c:formatCode>
                <c:ptCount val="998"/>
                <c:pt idx="0">
                  <c:v>38965</c:v>
                </c:pt>
                <c:pt idx="1">
                  <c:v>38972</c:v>
                </c:pt>
                <c:pt idx="2">
                  <c:v>38979</c:v>
                </c:pt>
                <c:pt idx="3">
                  <c:v>38986</c:v>
                </c:pt>
                <c:pt idx="4">
                  <c:v>38993</c:v>
                </c:pt>
                <c:pt idx="5">
                  <c:v>39000</c:v>
                </c:pt>
                <c:pt idx="6">
                  <c:v>39007</c:v>
                </c:pt>
                <c:pt idx="7">
                  <c:v>39014</c:v>
                </c:pt>
                <c:pt idx="8">
                  <c:v>39021</c:v>
                </c:pt>
                <c:pt idx="9">
                  <c:v>39028</c:v>
                </c:pt>
                <c:pt idx="10">
                  <c:v>39035</c:v>
                </c:pt>
                <c:pt idx="11">
                  <c:v>39042</c:v>
                </c:pt>
                <c:pt idx="12">
                  <c:v>39049</c:v>
                </c:pt>
                <c:pt idx="13">
                  <c:v>39056</c:v>
                </c:pt>
                <c:pt idx="14">
                  <c:v>39063</c:v>
                </c:pt>
                <c:pt idx="15">
                  <c:v>39070</c:v>
                </c:pt>
                <c:pt idx="16">
                  <c:v>39077</c:v>
                </c:pt>
                <c:pt idx="17">
                  <c:v>39084</c:v>
                </c:pt>
                <c:pt idx="18">
                  <c:v>39091</c:v>
                </c:pt>
                <c:pt idx="19">
                  <c:v>39098</c:v>
                </c:pt>
                <c:pt idx="20">
                  <c:v>39105</c:v>
                </c:pt>
                <c:pt idx="21">
                  <c:v>39112</c:v>
                </c:pt>
                <c:pt idx="22">
                  <c:v>39119</c:v>
                </c:pt>
                <c:pt idx="23">
                  <c:v>39126</c:v>
                </c:pt>
                <c:pt idx="24">
                  <c:v>39133</c:v>
                </c:pt>
                <c:pt idx="25">
                  <c:v>39140</c:v>
                </c:pt>
                <c:pt idx="26">
                  <c:v>39147</c:v>
                </c:pt>
                <c:pt idx="27">
                  <c:v>39154</c:v>
                </c:pt>
                <c:pt idx="28">
                  <c:v>39161</c:v>
                </c:pt>
                <c:pt idx="29">
                  <c:v>39168</c:v>
                </c:pt>
                <c:pt idx="30">
                  <c:v>39175</c:v>
                </c:pt>
                <c:pt idx="31">
                  <c:v>39182</c:v>
                </c:pt>
                <c:pt idx="32">
                  <c:v>39189</c:v>
                </c:pt>
                <c:pt idx="33">
                  <c:v>39196</c:v>
                </c:pt>
                <c:pt idx="34">
                  <c:v>39203</c:v>
                </c:pt>
                <c:pt idx="35">
                  <c:v>39210</c:v>
                </c:pt>
                <c:pt idx="36">
                  <c:v>39217</c:v>
                </c:pt>
                <c:pt idx="37">
                  <c:v>39224</c:v>
                </c:pt>
                <c:pt idx="38">
                  <c:v>39231</c:v>
                </c:pt>
                <c:pt idx="39">
                  <c:v>39238</c:v>
                </c:pt>
                <c:pt idx="40">
                  <c:v>39245</c:v>
                </c:pt>
                <c:pt idx="41">
                  <c:v>39252</c:v>
                </c:pt>
                <c:pt idx="42">
                  <c:v>39259</c:v>
                </c:pt>
                <c:pt idx="43">
                  <c:v>39266</c:v>
                </c:pt>
                <c:pt idx="44">
                  <c:v>39273</c:v>
                </c:pt>
                <c:pt idx="45">
                  <c:v>39280</c:v>
                </c:pt>
                <c:pt idx="46">
                  <c:v>39287</c:v>
                </c:pt>
                <c:pt idx="47">
                  <c:v>39294</c:v>
                </c:pt>
                <c:pt idx="48">
                  <c:v>39301</c:v>
                </c:pt>
                <c:pt idx="49">
                  <c:v>39308</c:v>
                </c:pt>
                <c:pt idx="50">
                  <c:v>39315</c:v>
                </c:pt>
                <c:pt idx="51">
                  <c:v>39322</c:v>
                </c:pt>
                <c:pt idx="52">
                  <c:v>39329</c:v>
                </c:pt>
                <c:pt idx="53">
                  <c:v>39336</c:v>
                </c:pt>
                <c:pt idx="54">
                  <c:v>39343</c:v>
                </c:pt>
                <c:pt idx="55">
                  <c:v>39350</c:v>
                </c:pt>
                <c:pt idx="56">
                  <c:v>39357</c:v>
                </c:pt>
                <c:pt idx="57">
                  <c:v>39364</c:v>
                </c:pt>
                <c:pt idx="58">
                  <c:v>39371</c:v>
                </c:pt>
                <c:pt idx="59">
                  <c:v>39378</c:v>
                </c:pt>
                <c:pt idx="60">
                  <c:v>39385</c:v>
                </c:pt>
                <c:pt idx="61">
                  <c:v>39392</c:v>
                </c:pt>
                <c:pt idx="62">
                  <c:v>39399</c:v>
                </c:pt>
                <c:pt idx="63">
                  <c:v>39406</c:v>
                </c:pt>
                <c:pt idx="64">
                  <c:v>39413</c:v>
                </c:pt>
                <c:pt idx="65">
                  <c:v>39420</c:v>
                </c:pt>
                <c:pt idx="66">
                  <c:v>39427</c:v>
                </c:pt>
                <c:pt idx="67">
                  <c:v>39434</c:v>
                </c:pt>
                <c:pt idx="68">
                  <c:v>39455</c:v>
                </c:pt>
                <c:pt idx="69">
                  <c:v>39462</c:v>
                </c:pt>
                <c:pt idx="70">
                  <c:v>39469</c:v>
                </c:pt>
                <c:pt idx="71">
                  <c:v>39476</c:v>
                </c:pt>
                <c:pt idx="72">
                  <c:v>39483</c:v>
                </c:pt>
                <c:pt idx="73">
                  <c:v>39490</c:v>
                </c:pt>
                <c:pt idx="74">
                  <c:v>39497</c:v>
                </c:pt>
                <c:pt idx="75">
                  <c:v>39504</c:v>
                </c:pt>
                <c:pt idx="76">
                  <c:v>39511</c:v>
                </c:pt>
                <c:pt idx="77">
                  <c:v>39518</c:v>
                </c:pt>
                <c:pt idx="78">
                  <c:v>39525</c:v>
                </c:pt>
                <c:pt idx="79">
                  <c:v>39532</c:v>
                </c:pt>
                <c:pt idx="80">
                  <c:v>39539</c:v>
                </c:pt>
                <c:pt idx="81">
                  <c:v>39546</c:v>
                </c:pt>
                <c:pt idx="82">
                  <c:v>39553</c:v>
                </c:pt>
                <c:pt idx="83">
                  <c:v>39560</c:v>
                </c:pt>
                <c:pt idx="84">
                  <c:v>39567</c:v>
                </c:pt>
                <c:pt idx="85">
                  <c:v>39574</c:v>
                </c:pt>
                <c:pt idx="86">
                  <c:v>39581</c:v>
                </c:pt>
                <c:pt idx="87">
                  <c:v>39588</c:v>
                </c:pt>
                <c:pt idx="88">
                  <c:v>39595</c:v>
                </c:pt>
                <c:pt idx="89">
                  <c:v>39602</c:v>
                </c:pt>
                <c:pt idx="90">
                  <c:v>39609</c:v>
                </c:pt>
                <c:pt idx="91">
                  <c:v>39616</c:v>
                </c:pt>
                <c:pt idx="92">
                  <c:v>39623</c:v>
                </c:pt>
                <c:pt idx="93">
                  <c:v>39630</c:v>
                </c:pt>
                <c:pt idx="94">
                  <c:v>39637</c:v>
                </c:pt>
                <c:pt idx="95">
                  <c:v>39644</c:v>
                </c:pt>
                <c:pt idx="96">
                  <c:v>39651</c:v>
                </c:pt>
                <c:pt idx="97">
                  <c:v>39658</c:v>
                </c:pt>
                <c:pt idx="98">
                  <c:v>39665</c:v>
                </c:pt>
                <c:pt idx="99">
                  <c:v>39672</c:v>
                </c:pt>
                <c:pt idx="100">
                  <c:v>39679</c:v>
                </c:pt>
                <c:pt idx="101">
                  <c:v>39686</c:v>
                </c:pt>
                <c:pt idx="102">
                  <c:v>39693</c:v>
                </c:pt>
                <c:pt idx="103">
                  <c:v>39700</c:v>
                </c:pt>
                <c:pt idx="104">
                  <c:v>39707</c:v>
                </c:pt>
                <c:pt idx="105">
                  <c:v>39714</c:v>
                </c:pt>
                <c:pt idx="106">
                  <c:v>39721</c:v>
                </c:pt>
                <c:pt idx="107">
                  <c:v>39728</c:v>
                </c:pt>
                <c:pt idx="108">
                  <c:v>39735</c:v>
                </c:pt>
                <c:pt idx="109">
                  <c:v>39742</c:v>
                </c:pt>
                <c:pt idx="110">
                  <c:v>39749</c:v>
                </c:pt>
                <c:pt idx="111">
                  <c:v>39756</c:v>
                </c:pt>
                <c:pt idx="112">
                  <c:v>39763</c:v>
                </c:pt>
                <c:pt idx="113">
                  <c:v>39770</c:v>
                </c:pt>
                <c:pt idx="114">
                  <c:v>39777</c:v>
                </c:pt>
                <c:pt idx="115">
                  <c:v>39784</c:v>
                </c:pt>
                <c:pt idx="116">
                  <c:v>39791</c:v>
                </c:pt>
                <c:pt idx="117">
                  <c:v>39798</c:v>
                </c:pt>
                <c:pt idx="118">
                  <c:v>39812</c:v>
                </c:pt>
                <c:pt idx="119">
                  <c:v>39819</c:v>
                </c:pt>
                <c:pt idx="120">
                  <c:v>39826</c:v>
                </c:pt>
                <c:pt idx="121">
                  <c:v>39833</c:v>
                </c:pt>
                <c:pt idx="122">
                  <c:v>39840</c:v>
                </c:pt>
                <c:pt idx="123">
                  <c:v>39847</c:v>
                </c:pt>
                <c:pt idx="124">
                  <c:v>39854</c:v>
                </c:pt>
                <c:pt idx="125">
                  <c:v>39861</c:v>
                </c:pt>
                <c:pt idx="126">
                  <c:v>39868</c:v>
                </c:pt>
                <c:pt idx="127">
                  <c:v>39875</c:v>
                </c:pt>
                <c:pt idx="128">
                  <c:v>39882</c:v>
                </c:pt>
                <c:pt idx="129">
                  <c:v>39889</c:v>
                </c:pt>
                <c:pt idx="130">
                  <c:v>39896</c:v>
                </c:pt>
                <c:pt idx="131">
                  <c:v>39903</c:v>
                </c:pt>
                <c:pt idx="132">
                  <c:v>39910</c:v>
                </c:pt>
                <c:pt idx="133">
                  <c:v>39917</c:v>
                </c:pt>
                <c:pt idx="134">
                  <c:v>39924</c:v>
                </c:pt>
                <c:pt idx="135">
                  <c:v>39931</c:v>
                </c:pt>
                <c:pt idx="136">
                  <c:v>39938</c:v>
                </c:pt>
                <c:pt idx="137">
                  <c:v>39945</c:v>
                </c:pt>
                <c:pt idx="138">
                  <c:v>39952</c:v>
                </c:pt>
                <c:pt idx="139">
                  <c:v>39959</c:v>
                </c:pt>
                <c:pt idx="140">
                  <c:v>39966</c:v>
                </c:pt>
                <c:pt idx="141">
                  <c:v>39973</c:v>
                </c:pt>
                <c:pt idx="142">
                  <c:v>39980</c:v>
                </c:pt>
                <c:pt idx="143">
                  <c:v>39987</c:v>
                </c:pt>
                <c:pt idx="144">
                  <c:v>39994</c:v>
                </c:pt>
                <c:pt idx="145">
                  <c:v>40001</c:v>
                </c:pt>
                <c:pt idx="146">
                  <c:v>40008</c:v>
                </c:pt>
                <c:pt idx="147">
                  <c:v>40015</c:v>
                </c:pt>
                <c:pt idx="148">
                  <c:v>40022</c:v>
                </c:pt>
                <c:pt idx="149">
                  <c:v>40029</c:v>
                </c:pt>
                <c:pt idx="150">
                  <c:v>40036</c:v>
                </c:pt>
                <c:pt idx="151">
                  <c:v>40043</c:v>
                </c:pt>
                <c:pt idx="152">
                  <c:v>40050</c:v>
                </c:pt>
                <c:pt idx="153">
                  <c:v>40057</c:v>
                </c:pt>
                <c:pt idx="154">
                  <c:v>40064</c:v>
                </c:pt>
                <c:pt idx="155">
                  <c:v>40071</c:v>
                </c:pt>
                <c:pt idx="156">
                  <c:v>40078</c:v>
                </c:pt>
                <c:pt idx="157">
                  <c:v>40085</c:v>
                </c:pt>
                <c:pt idx="158">
                  <c:v>40092</c:v>
                </c:pt>
                <c:pt idx="159">
                  <c:v>40099</c:v>
                </c:pt>
                <c:pt idx="160">
                  <c:v>40106</c:v>
                </c:pt>
                <c:pt idx="161">
                  <c:v>40113</c:v>
                </c:pt>
                <c:pt idx="162">
                  <c:v>40120</c:v>
                </c:pt>
                <c:pt idx="163">
                  <c:v>40127</c:v>
                </c:pt>
                <c:pt idx="164">
                  <c:v>40134</c:v>
                </c:pt>
                <c:pt idx="165">
                  <c:v>40141</c:v>
                </c:pt>
                <c:pt idx="166">
                  <c:v>40148</c:v>
                </c:pt>
                <c:pt idx="167">
                  <c:v>40155</c:v>
                </c:pt>
                <c:pt idx="168">
                  <c:v>40162</c:v>
                </c:pt>
                <c:pt idx="169">
                  <c:v>40169</c:v>
                </c:pt>
                <c:pt idx="170">
                  <c:v>40176</c:v>
                </c:pt>
                <c:pt idx="171">
                  <c:v>40183</c:v>
                </c:pt>
                <c:pt idx="172">
                  <c:v>40190</c:v>
                </c:pt>
                <c:pt idx="173">
                  <c:v>40197</c:v>
                </c:pt>
                <c:pt idx="174">
                  <c:v>40204</c:v>
                </c:pt>
                <c:pt idx="175">
                  <c:v>40211</c:v>
                </c:pt>
                <c:pt idx="176">
                  <c:v>40218</c:v>
                </c:pt>
                <c:pt idx="177">
                  <c:v>40225</c:v>
                </c:pt>
                <c:pt idx="178">
                  <c:v>40232</c:v>
                </c:pt>
                <c:pt idx="179">
                  <c:v>40239</c:v>
                </c:pt>
                <c:pt idx="180">
                  <c:v>40246</c:v>
                </c:pt>
                <c:pt idx="181">
                  <c:v>40253</c:v>
                </c:pt>
                <c:pt idx="182">
                  <c:v>40260</c:v>
                </c:pt>
                <c:pt idx="183">
                  <c:v>40267</c:v>
                </c:pt>
                <c:pt idx="184">
                  <c:v>40274</c:v>
                </c:pt>
                <c:pt idx="185">
                  <c:v>40281</c:v>
                </c:pt>
                <c:pt idx="186">
                  <c:v>40288</c:v>
                </c:pt>
                <c:pt idx="187">
                  <c:v>40295</c:v>
                </c:pt>
                <c:pt idx="188">
                  <c:v>40302</c:v>
                </c:pt>
                <c:pt idx="189">
                  <c:v>40309</c:v>
                </c:pt>
                <c:pt idx="190">
                  <c:v>40316</c:v>
                </c:pt>
                <c:pt idx="191">
                  <c:v>40323</c:v>
                </c:pt>
                <c:pt idx="192">
                  <c:v>40330</c:v>
                </c:pt>
                <c:pt idx="193">
                  <c:v>40337</c:v>
                </c:pt>
                <c:pt idx="194">
                  <c:v>40344</c:v>
                </c:pt>
                <c:pt idx="195">
                  <c:v>40351</c:v>
                </c:pt>
                <c:pt idx="196">
                  <c:v>40358</c:v>
                </c:pt>
                <c:pt idx="197">
                  <c:v>40365</c:v>
                </c:pt>
                <c:pt idx="198">
                  <c:v>40372</c:v>
                </c:pt>
                <c:pt idx="199">
                  <c:v>40379</c:v>
                </c:pt>
                <c:pt idx="200">
                  <c:v>40386</c:v>
                </c:pt>
                <c:pt idx="201">
                  <c:v>40393</c:v>
                </c:pt>
                <c:pt idx="202">
                  <c:v>40400</c:v>
                </c:pt>
                <c:pt idx="203">
                  <c:v>40407</c:v>
                </c:pt>
                <c:pt idx="204">
                  <c:v>40414</c:v>
                </c:pt>
                <c:pt idx="205">
                  <c:v>40421</c:v>
                </c:pt>
                <c:pt idx="206">
                  <c:v>40428</c:v>
                </c:pt>
                <c:pt idx="207">
                  <c:v>40435</c:v>
                </c:pt>
                <c:pt idx="208">
                  <c:v>40442</c:v>
                </c:pt>
                <c:pt idx="209">
                  <c:v>40449</c:v>
                </c:pt>
                <c:pt idx="210">
                  <c:v>40456</c:v>
                </c:pt>
                <c:pt idx="211">
                  <c:v>40463</c:v>
                </c:pt>
                <c:pt idx="212">
                  <c:v>40470</c:v>
                </c:pt>
                <c:pt idx="213">
                  <c:v>40477</c:v>
                </c:pt>
                <c:pt idx="214">
                  <c:v>40484</c:v>
                </c:pt>
                <c:pt idx="215">
                  <c:v>40491</c:v>
                </c:pt>
                <c:pt idx="216">
                  <c:v>40498</c:v>
                </c:pt>
                <c:pt idx="217">
                  <c:v>40505</c:v>
                </c:pt>
                <c:pt idx="218">
                  <c:v>40512</c:v>
                </c:pt>
                <c:pt idx="219">
                  <c:v>40519</c:v>
                </c:pt>
                <c:pt idx="220">
                  <c:v>40526</c:v>
                </c:pt>
                <c:pt idx="221">
                  <c:v>40533</c:v>
                </c:pt>
                <c:pt idx="222">
                  <c:v>40540</c:v>
                </c:pt>
                <c:pt idx="223">
                  <c:v>40547</c:v>
                </c:pt>
                <c:pt idx="224">
                  <c:v>40554</c:v>
                </c:pt>
                <c:pt idx="225">
                  <c:v>40561</c:v>
                </c:pt>
                <c:pt idx="226">
                  <c:v>40568</c:v>
                </c:pt>
                <c:pt idx="227">
                  <c:v>40575</c:v>
                </c:pt>
                <c:pt idx="228">
                  <c:v>40582</c:v>
                </c:pt>
                <c:pt idx="229">
                  <c:v>40589</c:v>
                </c:pt>
                <c:pt idx="230">
                  <c:v>40596</c:v>
                </c:pt>
                <c:pt idx="231">
                  <c:v>40603</c:v>
                </c:pt>
                <c:pt idx="232">
                  <c:v>40610</c:v>
                </c:pt>
                <c:pt idx="233">
                  <c:v>40617</c:v>
                </c:pt>
                <c:pt idx="234">
                  <c:v>40624</c:v>
                </c:pt>
                <c:pt idx="235">
                  <c:v>40631</c:v>
                </c:pt>
                <c:pt idx="236">
                  <c:v>40638</c:v>
                </c:pt>
                <c:pt idx="237">
                  <c:v>40645</c:v>
                </c:pt>
                <c:pt idx="238">
                  <c:v>40652</c:v>
                </c:pt>
                <c:pt idx="239">
                  <c:v>40659</c:v>
                </c:pt>
                <c:pt idx="240">
                  <c:v>40666</c:v>
                </c:pt>
                <c:pt idx="241">
                  <c:v>40673</c:v>
                </c:pt>
                <c:pt idx="242">
                  <c:v>40680</c:v>
                </c:pt>
                <c:pt idx="243">
                  <c:v>40687</c:v>
                </c:pt>
                <c:pt idx="244">
                  <c:v>40694</c:v>
                </c:pt>
                <c:pt idx="245">
                  <c:v>40701</c:v>
                </c:pt>
                <c:pt idx="246">
                  <c:v>40708</c:v>
                </c:pt>
                <c:pt idx="247">
                  <c:v>40715</c:v>
                </c:pt>
                <c:pt idx="248">
                  <c:v>40722</c:v>
                </c:pt>
                <c:pt idx="249">
                  <c:v>40729</c:v>
                </c:pt>
                <c:pt idx="250">
                  <c:v>40736</c:v>
                </c:pt>
                <c:pt idx="251">
                  <c:v>40743</c:v>
                </c:pt>
                <c:pt idx="252">
                  <c:v>40750</c:v>
                </c:pt>
                <c:pt idx="253">
                  <c:v>40757</c:v>
                </c:pt>
                <c:pt idx="254">
                  <c:v>40764</c:v>
                </c:pt>
                <c:pt idx="255">
                  <c:v>40771</c:v>
                </c:pt>
                <c:pt idx="256">
                  <c:v>40778</c:v>
                </c:pt>
                <c:pt idx="257">
                  <c:v>40785</c:v>
                </c:pt>
                <c:pt idx="258">
                  <c:v>40792</c:v>
                </c:pt>
                <c:pt idx="259">
                  <c:v>40799</c:v>
                </c:pt>
                <c:pt idx="260">
                  <c:v>40806</c:v>
                </c:pt>
                <c:pt idx="261">
                  <c:v>40813</c:v>
                </c:pt>
                <c:pt idx="262">
                  <c:v>40820</c:v>
                </c:pt>
                <c:pt idx="263">
                  <c:v>40827</c:v>
                </c:pt>
                <c:pt idx="264">
                  <c:v>40834</c:v>
                </c:pt>
                <c:pt idx="265">
                  <c:v>40841</c:v>
                </c:pt>
                <c:pt idx="266">
                  <c:v>40848</c:v>
                </c:pt>
                <c:pt idx="267">
                  <c:v>40855</c:v>
                </c:pt>
                <c:pt idx="268">
                  <c:v>40862</c:v>
                </c:pt>
                <c:pt idx="269">
                  <c:v>40869</c:v>
                </c:pt>
                <c:pt idx="270">
                  <c:v>40876</c:v>
                </c:pt>
                <c:pt idx="271">
                  <c:v>40883</c:v>
                </c:pt>
                <c:pt idx="272">
                  <c:v>40890</c:v>
                </c:pt>
                <c:pt idx="273">
                  <c:v>40897</c:v>
                </c:pt>
                <c:pt idx="274">
                  <c:v>40904</c:v>
                </c:pt>
                <c:pt idx="275">
                  <c:v>40911</c:v>
                </c:pt>
                <c:pt idx="276">
                  <c:v>40918</c:v>
                </c:pt>
                <c:pt idx="277">
                  <c:v>40925</c:v>
                </c:pt>
                <c:pt idx="278">
                  <c:v>40932</c:v>
                </c:pt>
                <c:pt idx="279">
                  <c:v>40939</c:v>
                </c:pt>
                <c:pt idx="280">
                  <c:v>40946</c:v>
                </c:pt>
                <c:pt idx="281">
                  <c:v>40953</c:v>
                </c:pt>
                <c:pt idx="282">
                  <c:v>40960</c:v>
                </c:pt>
                <c:pt idx="283">
                  <c:v>40967</c:v>
                </c:pt>
                <c:pt idx="284">
                  <c:v>40974</c:v>
                </c:pt>
                <c:pt idx="285">
                  <c:v>40981</c:v>
                </c:pt>
                <c:pt idx="286">
                  <c:v>40988</c:v>
                </c:pt>
                <c:pt idx="287">
                  <c:v>40995</c:v>
                </c:pt>
                <c:pt idx="288">
                  <c:v>41002</c:v>
                </c:pt>
                <c:pt idx="289">
                  <c:v>41009</c:v>
                </c:pt>
                <c:pt idx="290">
                  <c:v>41016</c:v>
                </c:pt>
                <c:pt idx="291">
                  <c:v>41023</c:v>
                </c:pt>
                <c:pt idx="292">
                  <c:v>41030</c:v>
                </c:pt>
                <c:pt idx="293">
                  <c:v>41037</c:v>
                </c:pt>
                <c:pt idx="294">
                  <c:v>41044</c:v>
                </c:pt>
                <c:pt idx="295">
                  <c:v>41051</c:v>
                </c:pt>
                <c:pt idx="296">
                  <c:v>41058</c:v>
                </c:pt>
                <c:pt idx="297">
                  <c:v>41065</c:v>
                </c:pt>
                <c:pt idx="298">
                  <c:v>41072</c:v>
                </c:pt>
                <c:pt idx="299">
                  <c:v>41079</c:v>
                </c:pt>
                <c:pt idx="300">
                  <c:v>41086</c:v>
                </c:pt>
                <c:pt idx="301">
                  <c:v>41093</c:v>
                </c:pt>
                <c:pt idx="302">
                  <c:v>41100</c:v>
                </c:pt>
                <c:pt idx="303">
                  <c:v>41107</c:v>
                </c:pt>
                <c:pt idx="304">
                  <c:v>41114</c:v>
                </c:pt>
                <c:pt idx="305">
                  <c:v>41121</c:v>
                </c:pt>
                <c:pt idx="306">
                  <c:v>41128</c:v>
                </c:pt>
                <c:pt idx="307">
                  <c:v>41135</c:v>
                </c:pt>
                <c:pt idx="308">
                  <c:v>41142</c:v>
                </c:pt>
                <c:pt idx="309">
                  <c:v>41149</c:v>
                </c:pt>
                <c:pt idx="310">
                  <c:v>41156</c:v>
                </c:pt>
                <c:pt idx="311">
                  <c:v>41163</c:v>
                </c:pt>
                <c:pt idx="312">
                  <c:v>41170</c:v>
                </c:pt>
                <c:pt idx="313">
                  <c:v>41177</c:v>
                </c:pt>
                <c:pt idx="314">
                  <c:v>41184</c:v>
                </c:pt>
                <c:pt idx="315">
                  <c:v>41191</c:v>
                </c:pt>
                <c:pt idx="316">
                  <c:v>41198</c:v>
                </c:pt>
                <c:pt idx="317">
                  <c:v>41205</c:v>
                </c:pt>
                <c:pt idx="318">
                  <c:v>41212</c:v>
                </c:pt>
                <c:pt idx="319">
                  <c:v>41219</c:v>
                </c:pt>
                <c:pt idx="320">
                  <c:v>41226</c:v>
                </c:pt>
                <c:pt idx="321">
                  <c:v>41233</c:v>
                </c:pt>
                <c:pt idx="322">
                  <c:v>41240</c:v>
                </c:pt>
                <c:pt idx="323">
                  <c:v>41247</c:v>
                </c:pt>
                <c:pt idx="324">
                  <c:v>41254</c:v>
                </c:pt>
                <c:pt idx="325">
                  <c:v>41261</c:v>
                </c:pt>
                <c:pt idx="326">
                  <c:v>41268</c:v>
                </c:pt>
                <c:pt idx="327">
                  <c:v>41275</c:v>
                </c:pt>
                <c:pt idx="328">
                  <c:v>41282</c:v>
                </c:pt>
                <c:pt idx="329">
                  <c:v>41289</c:v>
                </c:pt>
                <c:pt idx="330">
                  <c:v>41296</c:v>
                </c:pt>
                <c:pt idx="331">
                  <c:v>41303</c:v>
                </c:pt>
                <c:pt idx="332">
                  <c:v>41310</c:v>
                </c:pt>
                <c:pt idx="333">
                  <c:v>41317</c:v>
                </c:pt>
                <c:pt idx="334">
                  <c:v>41324</c:v>
                </c:pt>
                <c:pt idx="335">
                  <c:v>41331</c:v>
                </c:pt>
                <c:pt idx="336">
                  <c:v>41338</c:v>
                </c:pt>
                <c:pt idx="337">
                  <c:v>41345</c:v>
                </c:pt>
                <c:pt idx="338">
                  <c:v>41352</c:v>
                </c:pt>
                <c:pt idx="339">
                  <c:v>41359</c:v>
                </c:pt>
                <c:pt idx="340">
                  <c:v>41366</c:v>
                </c:pt>
                <c:pt idx="341">
                  <c:v>41373</c:v>
                </c:pt>
                <c:pt idx="342">
                  <c:v>41380</c:v>
                </c:pt>
                <c:pt idx="343">
                  <c:v>41387</c:v>
                </c:pt>
                <c:pt idx="344">
                  <c:v>41394</c:v>
                </c:pt>
                <c:pt idx="345">
                  <c:v>41401</c:v>
                </c:pt>
                <c:pt idx="346">
                  <c:v>41408</c:v>
                </c:pt>
                <c:pt idx="347">
                  <c:v>41415</c:v>
                </c:pt>
                <c:pt idx="348">
                  <c:v>41422</c:v>
                </c:pt>
                <c:pt idx="349">
                  <c:v>41429</c:v>
                </c:pt>
                <c:pt idx="350">
                  <c:v>41436</c:v>
                </c:pt>
                <c:pt idx="351">
                  <c:v>41443</c:v>
                </c:pt>
                <c:pt idx="352">
                  <c:v>41450</c:v>
                </c:pt>
                <c:pt idx="353">
                  <c:v>41457</c:v>
                </c:pt>
                <c:pt idx="354">
                  <c:v>41464</c:v>
                </c:pt>
                <c:pt idx="355">
                  <c:v>41471</c:v>
                </c:pt>
                <c:pt idx="356">
                  <c:v>41478</c:v>
                </c:pt>
                <c:pt idx="357">
                  <c:v>41485</c:v>
                </c:pt>
                <c:pt idx="358">
                  <c:v>41492</c:v>
                </c:pt>
                <c:pt idx="359">
                  <c:v>41499</c:v>
                </c:pt>
                <c:pt idx="360">
                  <c:v>41506</c:v>
                </c:pt>
                <c:pt idx="361">
                  <c:v>41513</c:v>
                </c:pt>
                <c:pt idx="362">
                  <c:v>41520</c:v>
                </c:pt>
                <c:pt idx="363">
                  <c:v>41527</c:v>
                </c:pt>
                <c:pt idx="364">
                  <c:v>41534</c:v>
                </c:pt>
                <c:pt idx="365">
                  <c:v>41541</c:v>
                </c:pt>
                <c:pt idx="366">
                  <c:v>41548</c:v>
                </c:pt>
                <c:pt idx="367">
                  <c:v>41555</c:v>
                </c:pt>
                <c:pt idx="368">
                  <c:v>41562</c:v>
                </c:pt>
                <c:pt idx="369">
                  <c:v>41569</c:v>
                </c:pt>
                <c:pt idx="370">
                  <c:v>41576</c:v>
                </c:pt>
                <c:pt idx="371">
                  <c:v>41583</c:v>
                </c:pt>
                <c:pt idx="372">
                  <c:v>41590</c:v>
                </c:pt>
                <c:pt idx="373">
                  <c:v>41597</c:v>
                </c:pt>
                <c:pt idx="374">
                  <c:v>41604</c:v>
                </c:pt>
                <c:pt idx="375">
                  <c:v>41611</c:v>
                </c:pt>
                <c:pt idx="376">
                  <c:v>41618</c:v>
                </c:pt>
                <c:pt idx="377">
                  <c:v>41625</c:v>
                </c:pt>
                <c:pt idx="378">
                  <c:v>41632</c:v>
                </c:pt>
                <c:pt idx="379">
                  <c:v>41639</c:v>
                </c:pt>
                <c:pt idx="380">
                  <c:v>41646</c:v>
                </c:pt>
                <c:pt idx="381">
                  <c:v>41653</c:v>
                </c:pt>
                <c:pt idx="382">
                  <c:v>41660</c:v>
                </c:pt>
                <c:pt idx="383">
                  <c:v>41667</c:v>
                </c:pt>
                <c:pt idx="384">
                  <c:v>41674</c:v>
                </c:pt>
                <c:pt idx="385">
                  <c:v>41681</c:v>
                </c:pt>
                <c:pt idx="386">
                  <c:v>41688</c:v>
                </c:pt>
                <c:pt idx="387">
                  <c:v>41695</c:v>
                </c:pt>
                <c:pt idx="388">
                  <c:v>41702</c:v>
                </c:pt>
                <c:pt idx="389">
                  <c:v>41709</c:v>
                </c:pt>
                <c:pt idx="390">
                  <c:v>41716</c:v>
                </c:pt>
                <c:pt idx="391">
                  <c:v>41723</c:v>
                </c:pt>
                <c:pt idx="392">
                  <c:v>41730</c:v>
                </c:pt>
                <c:pt idx="393">
                  <c:v>41737</c:v>
                </c:pt>
                <c:pt idx="394">
                  <c:v>41744</c:v>
                </c:pt>
                <c:pt idx="395">
                  <c:v>41751</c:v>
                </c:pt>
                <c:pt idx="396">
                  <c:v>41758</c:v>
                </c:pt>
                <c:pt idx="397">
                  <c:v>41765</c:v>
                </c:pt>
                <c:pt idx="398">
                  <c:v>41772</c:v>
                </c:pt>
                <c:pt idx="399">
                  <c:v>41779</c:v>
                </c:pt>
                <c:pt idx="400">
                  <c:v>41786</c:v>
                </c:pt>
                <c:pt idx="401">
                  <c:v>41793</c:v>
                </c:pt>
                <c:pt idx="402">
                  <c:v>41800</c:v>
                </c:pt>
                <c:pt idx="403">
                  <c:v>41807</c:v>
                </c:pt>
                <c:pt idx="404">
                  <c:v>41814</c:v>
                </c:pt>
                <c:pt idx="405">
                  <c:v>41821</c:v>
                </c:pt>
                <c:pt idx="406">
                  <c:v>41828</c:v>
                </c:pt>
                <c:pt idx="407">
                  <c:v>41835</c:v>
                </c:pt>
                <c:pt idx="408">
                  <c:v>41842</c:v>
                </c:pt>
                <c:pt idx="409">
                  <c:v>41849</c:v>
                </c:pt>
                <c:pt idx="410">
                  <c:v>41856</c:v>
                </c:pt>
                <c:pt idx="411">
                  <c:v>41863</c:v>
                </c:pt>
                <c:pt idx="412">
                  <c:v>41870</c:v>
                </c:pt>
                <c:pt idx="413">
                  <c:v>41877</c:v>
                </c:pt>
                <c:pt idx="414">
                  <c:v>41884</c:v>
                </c:pt>
                <c:pt idx="415">
                  <c:v>41891</c:v>
                </c:pt>
                <c:pt idx="416">
                  <c:v>41898</c:v>
                </c:pt>
                <c:pt idx="417">
                  <c:v>41905</c:v>
                </c:pt>
                <c:pt idx="418">
                  <c:v>41912</c:v>
                </c:pt>
                <c:pt idx="419">
                  <c:v>41919</c:v>
                </c:pt>
                <c:pt idx="420">
                  <c:v>41926</c:v>
                </c:pt>
                <c:pt idx="421">
                  <c:v>41933</c:v>
                </c:pt>
                <c:pt idx="422">
                  <c:v>41940</c:v>
                </c:pt>
                <c:pt idx="423">
                  <c:v>41947</c:v>
                </c:pt>
                <c:pt idx="424">
                  <c:v>41954</c:v>
                </c:pt>
                <c:pt idx="425">
                  <c:v>41961</c:v>
                </c:pt>
                <c:pt idx="426">
                  <c:v>41968</c:v>
                </c:pt>
                <c:pt idx="427">
                  <c:v>41975</c:v>
                </c:pt>
                <c:pt idx="428">
                  <c:v>41982</c:v>
                </c:pt>
                <c:pt idx="429">
                  <c:v>41989</c:v>
                </c:pt>
                <c:pt idx="430">
                  <c:v>41996</c:v>
                </c:pt>
                <c:pt idx="431">
                  <c:v>42003</c:v>
                </c:pt>
                <c:pt idx="432">
                  <c:v>42010</c:v>
                </c:pt>
                <c:pt idx="433">
                  <c:v>42017</c:v>
                </c:pt>
                <c:pt idx="434">
                  <c:v>42024</c:v>
                </c:pt>
                <c:pt idx="435">
                  <c:v>42031</c:v>
                </c:pt>
                <c:pt idx="436">
                  <c:v>42038</c:v>
                </c:pt>
                <c:pt idx="437">
                  <c:v>42045</c:v>
                </c:pt>
                <c:pt idx="438">
                  <c:v>42052</c:v>
                </c:pt>
                <c:pt idx="439">
                  <c:v>42059</c:v>
                </c:pt>
                <c:pt idx="440">
                  <c:v>42066</c:v>
                </c:pt>
                <c:pt idx="441">
                  <c:v>42073</c:v>
                </c:pt>
                <c:pt idx="442">
                  <c:v>42080</c:v>
                </c:pt>
                <c:pt idx="443">
                  <c:v>42087</c:v>
                </c:pt>
                <c:pt idx="444">
                  <c:v>42094</c:v>
                </c:pt>
                <c:pt idx="445">
                  <c:v>42101</c:v>
                </c:pt>
                <c:pt idx="446">
                  <c:v>42108</c:v>
                </c:pt>
                <c:pt idx="447">
                  <c:v>42115</c:v>
                </c:pt>
                <c:pt idx="448">
                  <c:v>42122</c:v>
                </c:pt>
                <c:pt idx="449">
                  <c:v>42129</c:v>
                </c:pt>
                <c:pt idx="450">
                  <c:v>42136</c:v>
                </c:pt>
                <c:pt idx="451">
                  <c:v>42143</c:v>
                </c:pt>
                <c:pt idx="452">
                  <c:v>42150</c:v>
                </c:pt>
                <c:pt idx="453">
                  <c:v>42157</c:v>
                </c:pt>
                <c:pt idx="454">
                  <c:v>42164</c:v>
                </c:pt>
                <c:pt idx="455">
                  <c:v>42171</c:v>
                </c:pt>
                <c:pt idx="456">
                  <c:v>42178</c:v>
                </c:pt>
                <c:pt idx="457">
                  <c:v>42185</c:v>
                </c:pt>
                <c:pt idx="458">
                  <c:v>42192</c:v>
                </c:pt>
                <c:pt idx="459">
                  <c:v>42199</c:v>
                </c:pt>
                <c:pt idx="460">
                  <c:v>42206</c:v>
                </c:pt>
                <c:pt idx="461">
                  <c:v>42213</c:v>
                </c:pt>
                <c:pt idx="462">
                  <c:v>42220</c:v>
                </c:pt>
                <c:pt idx="463">
                  <c:v>42227</c:v>
                </c:pt>
                <c:pt idx="464">
                  <c:v>42234</c:v>
                </c:pt>
                <c:pt idx="465">
                  <c:v>42241</c:v>
                </c:pt>
                <c:pt idx="466">
                  <c:v>42248</c:v>
                </c:pt>
                <c:pt idx="467">
                  <c:v>42255</c:v>
                </c:pt>
                <c:pt idx="468">
                  <c:v>42262</c:v>
                </c:pt>
                <c:pt idx="469">
                  <c:v>42269</c:v>
                </c:pt>
                <c:pt idx="470">
                  <c:v>42276</c:v>
                </c:pt>
                <c:pt idx="471">
                  <c:v>42283</c:v>
                </c:pt>
                <c:pt idx="472">
                  <c:v>42290</c:v>
                </c:pt>
                <c:pt idx="473">
                  <c:v>42297</c:v>
                </c:pt>
                <c:pt idx="474">
                  <c:v>42304</c:v>
                </c:pt>
                <c:pt idx="475">
                  <c:v>42311</c:v>
                </c:pt>
                <c:pt idx="476">
                  <c:v>42318</c:v>
                </c:pt>
                <c:pt idx="477">
                  <c:v>42325</c:v>
                </c:pt>
                <c:pt idx="478">
                  <c:v>42332</c:v>
                </c:pt>
                <c:pt idx="479">
                  <c:v>42339</c:v>
                </c:pt>
                <c:pt idx="480">
                  <c:v>42346</c:v>
                </c:pt>
                <c:pt idx="481">
                  <c:v>42353</c:v>
                </c:pt>
                <c:pt idx="482">
                  <c:v>42360</c:v>
                </c:pt>
                <c:pt idx="483">
                  <c:v>42367</c:v>
                </c:pt>
                <c:pt idx="484">
                  <c:v>42374</c:v>
                </c:pt>
                <c:pt idx="485">
                  <c:v>42381</c:v>
                </c:pt>
                <c:pt idx="486">
                  <c:v>42388</c:v>
                </c:pt>
                <c:pt idx="487">
                  <c:v>42395</c:v>
                </c:pt>
                <c:pt idx="488">
                  <c:v>42402</c:v>
                </c:pt>
                <c:pt idx="489">
                  <c:v>42409</c:v>
                </c:pt>
                <c:pt idx="490">
                  <c:v>42416</c:v>
                </c:pt>
                <c:pt idx="491">
                  <c:v>42423</c:v>
                </c:pt>
                <c:pt idx="492">
                  <c:v>42430</c:v>
                </c:pt>
                <c:pt idx="493">
                  <c:v>42437</c:v>
                </c:pt>
                <c:pt idx="494">
                  <c:v>42444</c:v>
                </c:pt>
                <c:pt idx="495">
                  <c:v>42451</c:v>
                </c:pt>
                <c:pt idx="496">
                  <c:v>42458</c:v>
                </c:pt>
                <c:pt idx="497">
                  <c:v>42465</c:v>
                </c:pt>
                <c:pt idx="498">
                  <c:v>42472</c:v>
                </c:pt>
                <c:pt idx="499">
                  <c:v>42479</c:v>
                </c:pt>
                <c:pt idx="500">
                  <c:v>42486</c:v>
                </c:pt>
                <c:pt idx="501">
                  <c:v>42493</c:v>
                </c:pt>
                <c:pt idx="502">
                  <c:v>42500</c:v>
                </c:pt>
                <c:pt idx="503">
                  <c:v>42507</c:v>
                </c:pt>
                <c:pt idx="504">
                  <c:v>42514</c:v>
                </c:pt>
                <c:pt idx="505">
                  <c:v>42521</c:v>
                </c:pt>
                <c:pt idx="506">
                  <c:v>42528</c:v>
                </c:pt>
                <c:pt idx="507">
                  <c:v>42535</c:v>
                </c:pt>
                <c:pt idx="508">
                  <c:v>42542</c:v>
                </c:pt>
                <c:pt idx="509">
                  <c:v>42549</c:v>
                </c:pt>
                <c:pt idx="510">
                  <c:v>42556</c:v>
                </c:pt>
                <c:pt idx="511">
                  <c:v>42563</c:v>
                </c:pt>
                <c:pt idx="512">
                  <c:v>42570</c:v>
                </c:pt>
                <c:pt idx="513">
                  <c:v>42577</c:v>
                </c:pt>
                <c:pt idx="514">
                  <c:v>42584</c:v>
                </c:pt>
                <c:pt idx="515">
                  <c:v>42591</c:v>
                </c:pt>
                <c:pt idx="516">
                  <c:v>42598</c:v>
                </c:pt>
                <c:pt idx="517">
                  <c:v>42605</c:v>
                </c:pt>
                <c:pt idx="518">
                  <c:v>42612</c:v>
                </c:pt>
                <c:pt idx="519">
                  <c:v>42619</c:v>
                </c:pt>
                <c:pt idx="520">
                  <c:v>42626</c:v>
                </c:pt>
                <c:pt idx="521">
                  <c:v>42633</c:v>
                </c:pt>
                <c:pt idx="522">
                  <c:v>42640</c:v>
                </c:pt>
                <c:pt idx="523">
                  <c:v>42647</c:v>
                </c:pt>
                <c:pt idx="524">
                  <c:v>42654</c:v>
                </c:pt>
                <c:pt idx="525">
                  <c:v>42661</c:v>
                </c:pt>
                <c:pt idx="526">
                  <c:v>42668</c:v>
                </c:pt>
                <c:pt idx="527">
                  <c:v>42675</c:v>
                </c:pt>
                <c:pt idx="528">
                  <c:v>42682</c:v>
                </c:pt>
                <c:pt idx="529">
                  <c:v>42689</c:v>
                </c:pt>
                <c:pt idx="530">
                  <c:v>42696</c:v>
                </c:pt>
                <c:pt idx="531">
                  <c:v>42703</c:v>
                </c:pt>
                <c:pt idx="532">
                  <c:v>42710</c:v>
                </c:pt>
                <c:pt idx="533">
                  <c:v>42717</c:v>
                </c:pt>
                <c:pt idx="534">
                  <c:v>42724</c:v>
                </c:pt>
                <c:pt idx="535">
                  <c:v>42731</c:v>
                </c:pt>
                <c:pt idx="536">
                  <c:v>42738</c:v>
                </c:pt>
                <c:pt idx="537">
                  <c:v>42745</c:v>
                </c:pt>
                <c:pt idx="538">
                  <c:v>42752</c:v>
                </c:pt>
                <c:pt idx="539">
                  <c:v>42759</c:v>
                </c:pt>
                <c:pt idx="540">
                  <c:v>42766</c:v>
                </c:pt>
                <c:pt idx="541">
                  <c:v>42773</c:v>
                </c:pt>
                <c:pt idx="542">
                  <c:v>42780</c:v>
                </c:pt>
                <c:pt idx="543">
                  <c:v>42787</c:v>
                </c:pt>
                <c:pt idx="544">
                  <c:v>42794</c:v>
                </c:pt>
                <c:pt idx="545">
                  <c:v>42801</c:v>
                </c:pt>
                <c:pt idx="546">
                  <c:v>42808</c:v>
                </c:pt>
                <c:pt idx="547">
                  <c:v>42815</c:v>
                </c:pt>
                <c:pt idx="548">
                  <c:v>42822</c:v>
                </c:pt>
                <c:pt idx="549">
                  <c:v>42829</c:v>
                </c:pt>
                <c:pt idx="550">
                  <c:v>42836</c:v>
                </c:pt>
                <c:pt idx="551">
                  <c:v>42843</c:v>
                </c:pt>
                <c:pt idx="552">
                  <c:v>42850</c:v>
                </c:pt>
                <c:pt idx="553">
                  <c:v>42857</c:v>
                </c:pt>
                <c:pt idx="554">
                  <c:v>42864</c:v>
                </c:pt>
                <c:pt idx="555">
                  <c:v>42871</c:v>
                </c:pt>
                <c:pt idx="556">
                  <c:v>42878</c:v>
                </c:pt>
                <c:pt idx="557">
                  <c:v>42885</c:v>
                </c:pt>
                <c:pt idx="558">
                  <c:v>42892</c:v>
                </c:pt>
                <c:pt idx="559">
                  <c:v>42899</c:v>
                </c:pt>
                <c:pt idx="560">
                  <c:v>42906</c:v>
                </c:pt>
                <c:pt idx="561">
                  <c:v>42913</c:v>
                </c:pt>
                <c:pt idx="562">
                  <c:v>42920</c:v>
                </c:pt>
                <c:pt idx="563">
                  <c:v>42927</c:v>
                </c:pt>
                <c:pt idx="564">
                  <c:v>42934</c:v>
                </c:pt>
                <c:pt idx="565">
                  <c:v>42941</c:v>
                </c:pt>
                <c:pt idx="566">
                  <c:v>42948</c:v>
                </c:pt>
                <c:pt idx="567">
                  <c:v>42955</c:v>
                </c:pt>
                <c:pt idx="568">
                  <c:v>42962</c:v>
                </c:pt>
                <c:pt idx="569">
                  <c:v>42969</c:v>
                </c:pt>
                <c:pt idx="570">
                  <c:v>42976</c:v>
                </c:pt>
                <c:pt idx="571">
                  <c:v>42983</c:v>
                </c:pt>
                <c:pt idx="572">
                  <c:v>42990</c:v>
                </c:pt>
                <c:pt idx="573">
                  <c:v>42997</c:v>
                </c:pt>
                <c:pt idx="574">
                  <c:v>43004</c:v>
                </c:pt>
                <c:pt idx="575">
                  <c:v>43011</c:v>
                </c:pt>
                <c:pt idx="576">
                  <c:v>43018</c:v>
                </c:pt>
                <c:pt idx="577">
                  <c:v>43025</c:v>
                </c:pt>
                <c:pt idx="578">
                  <c:v>43032</c:v>
                </c:pt>
                <c:pt idx="579">
                  <c:v>43039</c:v>
                </c:pt>
                <c:pt idx="580">
                  <c:v>43046</c:v>
                </c:pt>
                <c:pt idx="581">
                  <c:v>43053</c:v>
                </c:pt>
                <c:pt idx="582">
                  <c:v>43060</c:v>
                </c:pt>
                <c:pt idx="583">
                  <c:v>43067</c:v>
                </c:pt>
                <c:pt idx="584">
                  <c:v>43074</c:v>
                </c:pt>
                <c:pt idx="585">
                  <c:v>43081</c:v>
                </c:pt>
                <c:pt idx="586">
                  <c:v>43088</c:v>
                </c:pt>
                <c:pt idx="587">
                  <c:v>43095</c:v>
                </c:pt>
                <c:pt idx="588">
                  <c:v>43102</c:v>
                </c:pt>
                <c:pt idx="589">
                  <c:v>43109</c:v>
                </c:pt>
                <c:pt idx="590">
                  <c:v>43116</c:v>
                </c:pt>
                <c:pt idx="591">
                  <c:v>43123</c:v>
                </c:pt>
                <c:pt idx="592">
                  <c:v>43130</c:v>
                </c:pt>
                <c:pt idx="593">
                  <c:v>43137</c:v>
                </c:pt>
                <c:pt idx="594">
                  <c:v>43144</c:v>
                </c:pt>
                <c:pt idx="595">
                  <c:v>43151</c:v>
                </c:pt>
                <c:pt idx="596">
                  <c:v>43158</c:v>
                </c:pt>
                <c:pt idx="597">
                  <c:v>43165</c:v>
                </c:pt>
                <c:pt idx="598">
                  <c:v>43172</c:v>
                </c:pt>
                <c:pt idx="599">
                  <c:v>43179</c:v>
                </c:pt>
                <c:pt idx="600">
                  <c:v>43186</c:v>
                </c:pt>
                <c:pt idx="601">
                  <c:v>43193</c:v>
                </c:pt>
                <c:pt idx="602">
                  <c:v>43200</c:v>
                </c:pt>
                <c:pt idx="603">
                  <c:v>43207</c:v>
                </c:pt>
                <c:pt idx="604">
                  <c:v>43214</c:v>
                </c:pt>
                <c:pt idx="605">
                  <c:v>43221</c:v>
                </c:pt>
                <c:pt idx="606">
                  <c:v>43228</c:v>
                </c:pt>
                <c:pt idx="607">
                  <c:v>43235</c:v>
                </c:pt>
                <c:pt idx="608">
                  <c:v>43242</c:v>
                </c:pt>
                <c:pt idx="609">
                  <c:v>43249</c:v>
                </c:pt>
                <c:pt idx="610">
                  <c:v>43256</c:v>
                </c:pt>
                <c:pt idx="611">
                  <c:v>43263</c:v>
                </c:pt>
                <c:pt idx="612">
                  <c:v>43270</c:v>
                </c:pt>
                <c:pt idx="613">
                  <c:v>43277</c:v>
                </c:pt>
                <c:pt idx="614">
                  <c:v>43284</c:v>
                </c:pt>
                <c:pt idx="615">
                  <c:v>43291</c:v>
                </c:pt>
                <c:pt idx="616">
                  <c:v>43298</c:v>
                </c:pt>
                <c:pt idx="617">
                  <c:v>43305</c:v>
                </c:pt>
                <c:pt idx="618">
                  <c:v>43312</c:v>
                </c:pt>
                <c:pt idx="619">
                  <c:v>43319</c:v>
                </c:pt>
                <c:pt idx="620">
                  <c:v>43326</c:v>
                </c:pt>
                <c:pt idx="621">
                  <c:v>43333</c:v>
                </c:pt>
                <c:pt idx="622">
                  <c:v>43340</c:v>
                </c:pt>
                <c:pt idx="623">
                  <c:v>43347</c:v>
                </c:pt>
                <c:pt idx="624">
                  <c:v>43354</c:v>
                </c:pt>
                <c:pt idx="625">
                  <c:v>43361</c:v>
                </c:pt>
                <c:pt idx="626">
                  <c:v>43368</c:v>
                </c:pt>
                <c:pt idx="627">
                  <c:v>43375</c:v>
                </c:pt>
                <c:pt idx="628">
                  <c:v>43382</c:v>
                </c:pt>
                <c:pt idx="629">
                  <c:v>43389</c:v>
                </c:pt>
                <c:pt idx="630">
                  <c:v>43396</c:v>
                </c:pt>
                <c:pt idx="631">
                  <c:v>43403</c:v>
                </c:pt>
                <c:pt idx="632">
                  <c:v>43410</c:v>
                </c:pt>
                <c:pt idx="633">
                  <c:v>43417</c:v>
                </c:pt>
                <c:pt idx="634">
                  <c:v>43424</c:v>
                </c:pt>
                <c:pt idx="635">
                  <c:v>43431</c:v>
                </c:pt>
                <c:pt idx="636">
                  <c:v>43438</c:v>
                </c:pt>
                <c:pt idx="637">
                  <c:v>43445</c:v>
                </c:pt>
                <c:pt idx="638">
                  <c:v>43452</c:v>
                </c:pt>
                <c:pt idx="639">
                  <c:v>43459</c:v>
                </c:pt>
                <c:pt idx="640">
                  <c:v>43466</c:v>
                </c:pt>
                <c:pt idx="641">
                  <c:v>43473</c:v>
                </c:pt>
                <c:pt idx="642">
                  <c:v>43480</c:v>
                </c:pt>
                <c:pt idx="643">
                  <c:v>43487</c:v>
                </c:pt>
                <c:pt idx="644">
                  <c:v>43494</c:v>
                </c:pt>
                <c:pt idx="645">
                  <c:v>43501</c:v>
                </c:pt>
                <c:pt idx="646">
                  <c:v>43508</c:v>
                </c:pt>
                <c:pt idx="647">
                  <c:v>43515</c:v>
                </c:pt>
                <c:pt idx="648">
                  <c:v>43522</c:v>
                </c:pt>
                <c:pt idx="649">
                  <c:v>43529</c:v>
                </c:pt>
                <c:pt idx="650">
                  <c:v>43536</c:v>
                </c:pt>
                <c:pt idx="651">
                  <c:v>43543</c:v>
                </c:pt>
                <c:pt idx="652">
                  <c:v>43550</c:v>
                </c:pt>
                <c:pt idx="653">
                  <c:v>43557</c:v>
                </c:pt>
                <c:pt idx="654">
                  <c:v>43564</c:v>
                </c:pt>
                <c:pt idx="655">
                  <c:v>43571</c:v>
                </c:pt>
                <c:pt idx="656">
                  <c:v>43578</c:v>
                </c:pt>
                <c:pt idx="657">
                  <c:v>43585</c:v>
                </c:pt>
                <c:pt idx="658">
                  <c:v>43592</c:v>
                </c:pt>
                <c:pt idx="659">
                  <c:v>43599</c:v>
                </c:pt>
                <c:pt idx="660">
                  <c:v>43606</c:v>
                </c:pt>
                <c:pt idx="661">
                  <c:v>43613</c:v>
                </c:pt>
                <c:pt idx="662">
                  <c:v>43620</c:v>
                </c:pt>
                <c:pt idx="663">
                  <c:v>43627</c:v>
                </c:pt>
                <c:pt idx="664">
                  <c:v>43634</c:v>
                </c:pt>
                <c:pt idx="665">
                  <c:v>43641</c:v>
                </c:pt>
                <c:pt idx="666">
                  <c:v>43648</c:v>
                </c:pt>
                <c:pt idx="667">
                  <c:v>43655</c:v>
                </c:pt>
                <c:pt idx="668">
                  <c:v>43662</c:v>
                </c:pt>
                <c:pt idx="669">
                  <c:v>43669</c:v>
                </c:pt>
                <c:pt idx="670">
                  <c:v>43676</c:v>
                </c:pt>
                <c:pt idx="671">
                  <c:v>43683</c:v>
                </c:pt>
                <c:pt idx="672">
                  <c:v>43690</c:v>
                </c:pt>
                <c:pt idx="673">
                  <c:v>43697</c:v>
                </c:pt>
                <c:pt idx="674">
                  <c:v>43704</c:v>
                </c:pt>
                <c:pt idx="675">
                  <c:v>43711</c:v>
                </c:pt>
                <c:pt idx="676">
                  <c:v>43718</c:v>
                </c:pt>
                <c:pt idx="677">
                  <c:v>43725</c:v>
                </c:pt>
                <c:pt idx="678">
                  <c:v>43732</c:v>
                </c:pt>
                <c:pt idx="679">
                  <c:v>43739</c:v>
                </c:pt>
                <c:pt idx="680">
                  <c:v>43746</c:v>
                </c:pt>
                <c:pt idx="681">
                  <c:v>43753</c:v>
                </c:pt>
                <c:pt idx="682">
                  <c:v>43760</c:v>
                </c:pt>
                <c:pt idx="683">
                  <c:v>43767</c:v>
                </c:pt>
                <c:pt idx="684">
                  <c:v>43774</c:v>
                </c:pt>
                <c:pt idx="685">
                  <c:v>43781</c:v>
                </c:pt>
                <c:pt idx="686">
                  <c:v>43788</c:v>
                </c:pt>
                <c:pt idx="687">
                  <c:v>43795</c:v>
                </c:pt>
                <c:pt idx="688">
                  <c:v>43802</c:v>
                </c:pt>
                <c:pt idx="689">
                  <c:v>43809</c:v>
                </c:pt>
                <c:pt idx="690">
                  <c:v>43816</c:v>
                </c:pt>
                <c:pt idx="691">
                  <c:v>43823</c:v>
                </c:pt>
                <c:pt idx="692">
                  <c:v>43830</c:v>
                </c:pt>
                <c:pt idx="693">
                  <c:v>43837</c:v>
                </c:pt>
                <c:pt idx="694">
                  <c:v>43844</c:v>
                </c:pt>
                <c:pt idx="695">
                  <c:v>43851</c:v>
                </c:pt>
                <c:pt idx="696">
                  <c:v>43858</c:v>
                </c:pt>
                <c:pt idx="697">
                  <c:v>43865</c:v>
                </c:pt>
                <c:pt idx="698">
                  <c:v>43872</c:v>
                </c:pt>
                <c:pt idx="699">
                  <c:v>43879</c:v>
                </c:pt>
                <c:pt idx="700">
                  <c:v>43886</c:v>
                </c:pt>
                <c:pt idx="701">
                  <c:v>43893</c:v>
                </c:pt>
                <c:pt idx="702">
                  <c:v>43900</c:v>
                </c:pt>
                <c:pt idx="703">
                  <c:v>43907</c:v>
                </c:pt>
                <c:pt idx="704">
                  <c:v>43914</c:v>
                </c:pt>
                <c:pt idx="705">
                  <c:v>43921</c:v>
                </c:pt>
                <c:pt idx="706">
                  <c:v>43928</c:v>
                </c:pt>
                <c:pt idx="707">
                  <c:v>43935</c:v>
                </c:pt>
                <c:pt idx="708">
                  <c:v>43942</c:v>
                </c:pt>
                <c:pt idx="709">
                  <c:v>43949</c:v>
                </c:pt>
                <c:pt idx="710">
                  <c:v>43956</c:v>
                </c:pt>
                <c:pt idx="711">
                  <c:v>43963</c:v>
                </c:pt>
                <c:pt idx="712">
                  <c:v>43970</c:v>
                </c:pt>
                <c:pt idx="713">
                  <c:v>43977</c:v>
                </c:pt>
                <c:pt idx="714">
                  <c:v>43984</c:v>
                </c:pt>
                <c:pt idx="715">
                  <c:v>43991</c:v>
                </c:pt>
                <c:pt idx="716">
                  <c:v>43998</c:v>
                </c:pt>
                <c:pt idx="717">
                  <c:v>44005</c:v>
                </c:pt>
                <c:pt idx="718">
                  <c:v>44012</c:v>
                </c:pt>
                <c:pt idx="719">
                  <c:v>44019</c:v>
                </c:pt>
                <c:pt idx="720">
                  <c:v>44026</c:v>
                </c:pt>
                <c:pt idx="721">
                  <c:v>44033</c:v>
                </c:pt>
                <c:pt idx="722">
                  <c:v>44040</c:v>
                </c:pt>
                <c:pt idx="723">
                  <c:v>44047</c:v>
                </c:pt>
                <c:pt idx="724">
                  <c:v>44054</c:v>
                </c:pt>
                <c:pt idx="725">
                  <c:v>44061</c:v>
                </c:pt>
                <c:pt idx="726">
                  <c:v>44068</c:v>
                </c:pt>
                <c:pt idx="727">
                  <c:v>44075</c:v>
                </c:pt>
                <c:pt idx="728">
                  <c:v>44082</c:v>
                </c:pt>
                <c:pt idx="729">
                  <c:v>44089</c:v>
                </c:pt>
                <c:pt idx="730">
                  <c:v>44096</c:v>
                </c:pt>
                <c:pt idx="731">
                  <c:v>44103</c:v>
                </c:pt>
                <c:pt idx="732">
                  <c:v>44110</c:v>
                </c:pt>
                <c:pt idx="733">
                  <c:v>44117</c:v>
                </c:pt>
                <c:pt idx="734">
                  <c:v>44124</c:v>
                </c:pt>
                <c:pt idx="735">
                  <c:v>44131</c:v>
                </c:pt>
                <c:pt idx="736">
                  <c:v>44138</c:v>
                </c:pt>
                <c:pt idx="737">
                  <c:v>44145</c:v>
                </c:pt>
                <c:pt idx="738">
                  <c:v>44152</c:v>
                </c:pt>
                <c:pt idx="739">
                  <c:v>44159</c:v>
                </c:pt>
                <c:pt idx="740">
                  <c:v>44166</c:v>
                </c:pt>
                <c:pt idx="741">
                  <c:v>44173</c:v>
                </c:pt>
                <c:pt idx="742">
                  <c:v>44180</c:v>
                </c:pt>
                <c:pt idx="743">
                  <c:v>44187</c:v>
                </c:pt>
                <c:pt idx="744">
                  <c:v>44194</c:v>
                </c:pt>
                <c:pt idx="745">
                  <c:v>44201</c:v>
                </c:pt>
                <c:pt idx="746">
                  <c:v>44208</c:v>
                </c:pt>
                <c:pt idx="747">
                  <c:v>44215</c:v>
                </c:pt>
                <c:pt idx="748">
                  <c:v>44222</c:v>
                </c:pt>
                <c:pt idx="749">
                  <c:v>44229</c:v>
                </c:pt>
                <c:pt idx="750">
                  <c:v>44236</c:v>
                </c:pt>
                <c:pt idx="751">
                  <c:v>44243</c:v>
                </c:pt>
                <c:pt idx="752">
                  <c:v>44250</c:v>
                </c:pt>
                <c:pt idx="753">
                  <c:v>44257</c:v>
                </c:pt>
                <c:pt idx="754">
                  <c:v>44264</c:v>
                </c:pt>
                <c:pt idx="755">
                  <c:v>44271</c:v>
                </c:pt>
                <c:pt idx="756">
                  <c:v>44278</c:v>
                </c:pt>
                <c:pt idx="757">
                  <c:v>44285</c:v>
                </c:pt>
                <c:pt idx="758">
                  <c:v>44292</c:v>
                </c:pt>
                <c:pt idx="759">
                  <c:v>44299</c:v>
                </c:pt>
                <c:pt idx="760">
                  <c:v>44306</c:v>
                </c:pt>
                <c:pt idx="761">
                  <c:v>44313</c:v>
                </c:pt>
                <c:pt idx="762">
                  <c:v>44320</c:v>
                </c:pt>
                <c:pt idx="763">
                  <c:v>44327</c:v>
                </c:pt>
                <c:pt idx="764">
                  <c:v>44334</c:v>
                </c:pt>
                <c:pt idx="765">
                  <c:v>44341</c:v>
                </c:pt>
                <c:pt idx="766">
                  <c:v>44348</c:v>
                </c:pt>
                <c:pt idx="767">
                  <c:v>44355</c:v>
                </c:pt>
                <c:pt idx="768">
                  <c:v>44362</c:v>
                </c:pt>
                <c:pt idx="769">
                  <c:v>44369</c:v>
                </c:pt>
                <c:pt idx="770">
                  <c:v>44376</c:v>
                </c:pt>
                <c:pt idx="771">
                  <c:v>44383</c:v>
                </c:pt>
                <c:pt idx="772">
                  <c:v>44390</c:v>
                </c:pt>
                <c:pt idx="773">
                  <c:v>44397</c:v>
                </c:pt>
                <c:pt idx="774">
                  <c:v>44404</c:v>
                </c:pt>
                <c:pt idx="775">
                  <c:v>44411</c:v>
                </c:pt>
                <c:pt idx="776">
                  <c:v>44418</c:v>
                </c:pt>
                <c:pt idx="777">
                  <c:v>44425</c:v>
                </c:pt>
                <c:pt idx="778">
                  <c:v>44432</c:v>
                </c:pt>
                <c:pt idx="779">
                  <c:v>44439</c:v>
                </c:pt>
                <c:pt idx="780">
                  <c:v>44446</c:v>
                </c:pt>
                <c:pt idx="781">
                  <c:v>44453</c:v>
                </c:pt>
                <c:pt idx="782">
                  <c:v>44460</c:v>
                </c:pt>
                <c:pt idx="783">
                  <c:v>44467</c:v>
                </c:pt>
                <c:pt idx="784">
                  <c:v>44474</c:v>
                </c:pt>
                <c:pt idx="785">
                  <c:v>44481</c:v>
                </c:pt>
                <c:pt idx="786">
                  <c:v>44488</c:v>
                </c:pt>
                <c:pt idx="787">
                  <c:v>44495</c:v>
                </c:pt>
                <c:pt idx="788">
                  <c:v>44502</c:v>
                </c:pt>
                <c:pt idx="789">
                  <c:v>44509</c:v>
                </c:pt>
                <c:pt idx="790">
                  <c:v>44516</c:v>
                </c:pt>
                <c:pt idx="791">
                  <c:v>44523</c:v>
                </c:pt>
                <c:pt idx="792">
                  <c:v>44530</c:v>
                </c:pt>
                <c:pt idx="793">
                  <c:v>44537</c:v>
                </c:pt>
                <c:pt idx="794">
                  <c:v>44544</c:v>
                </c:pt>
                <c:pt idx="795">
                  <c:v>44551</c:v>
                </c:pt>
                <c:pt idx="796">
                  <c:v>44558</c:v>
                </c:pt>
                <c:pt idx="797">
                  <c:v>44565</c:v>
                </c:pt>
                <c:pt idx="798">
                  <c:v>44572</c:v>
                </c:pt>
                <c:pt idx="799">
                  <c:v>44579</c:v>
                </c:pt>
                <c:pt idx="800">
                  <c:v>44586</c:v>
                </c:pt>
                <c:pt idx="801">
                  <c:v>44593</c:v>
                </c:pt>
                <c:pt idx="802">
                  <c:v>44600</c:v>
                </c:pt>
                <c:pt idx="803">
                  <c:v>44607</c:v>
                </c:pt>
                <c:pt idx="804">
                  <c:v>44614</c:v>
                </c:pt>
                <c:pt idx="805">
                  <c:v>44621</c:v>
                </c:pt>
                <c:pt idx="806">
                  <c:v>44628</c:v>
                </c:pt>
                <c:pt idx="807">
                  <c:v>44635</c:v>
                </c:pt>
                <c:pt idx="808">
                  <c:v>44642</c:v>
                </c:pt>
                <c:pt idx="809">
                  <c:v>44649</c:v>
                </c:pt>
                <c:pt idx="810">
                  <c:v>44656</c:v>
                </c:pt>
                <c:pt idx="811">
                  <c:v>44663</c:v>
                </c:pt>
                <c:pt idx="812">
                  <c:v>44670</c:v>
                </c:pt>
                <c:pt idx="813">
                  <c:v>44677</c:v>
                </c:pt>
                <c:pt idx="814">
                  <c:v>44684</c:v>
                </c:pt>
                <c:pt idx="815">
                  <c:v>44691</c:v>
                </c:pt>
                <c:pt idx="816">
                  <c:v>44698</c:v>
                </c:pt>
                <c:pt idx="817">
                  <c:v>44705</c:v>
                </c:pt>
                <c:pt idx="818">
                  <c:v>44712</c:v>
                </c:pt>
                <c:pt idx="819">
                  <c:v>44719</c:v>
                </c:pt>
                <c:pt idx="820">
                  <c:v>44726</c:v>
                </c:pt>
                <c:pt idx="821">
                  <c:v>44733</c:v>
                </c:pt>
                <c:pt idx="822">
                  <c:v>44740</c:v>
                </c:pt>
                <c:pt idx="823">
                  <c:v>44747</c:v>
                </c:pt>
                <c:pt idx="824">
                  <c:v>44754</c:v>
                </c:pt>
                <c:pt idx="825">
                  <c:v>44761</c:v>
                </c:pt>
                <c:pt idx="826">
                  <c:v>44768</c:v>
                </c:pt>
                <c:pt idx="827">
                  <c:v>44775</c:v>
                </c:pt>
                <c:pt idx="828">
                  <c:v>44782</c:v>
                </c:pt>
                <c:pt idx="829">
                  <c:v>44789</c:v>
                </c:pt>
                <c:pt idx="830">
                  <c:v>44796</c:v>
                </c:pt>
                <c:pt idx="831">
                  <c:v>44803</c:v>
                </c:pt>
                <c:pt idx="832">
                  <c:v>44810</c:v>
                </c:pt>
                <c:pt idx="833">
                  <c:v>44817</c:v>
                </c:pt>
                <c:pt idx="834">
                  <c:v>44824</c:v>
                </c:pt>
                <c:pt idx="835">
                  <c:v>44831</c:v>
                </c:pt>
                <c:pt idx="836">
                  <c:v>44838</c:v>
                </c:pt>
                <c:pt idx="837">
                  <c:v>44845</c:v>
                </c:pt>
                <c:pt idx="838">
                  <c:v>44852</c:v>
                </c:pt>
                <c:pt idx="839">
                  <c:v>44859</c:v>
                </c:pt>
                <c:pt idx="840">
                  <c:v>44866</c:v>
                </c:pt>
                <c:pt idx="841">
                  <c:v>44873</c:v>
                </c:pt>
                <c:pt idx="842">
                  <c:v>44880</c:v>
                </c:pt>
                <c:pt idx="843">
                  <c:v>44887</c:v>
                </c:pt>
                <c:pt idx="844">
                  <c:v>44894</c:v>
                </c:pt>
                <c:pt idx="845">
                  <c:v>44901</c:v>
                </c:pt>
                <c:pt idx="846">
                  <c:v>44908</c:v>
                </c:pt>
                <c:pt idx="847">
                  <c:v>44915</c:v>
                </c:pt>
                <c:pt idx="848">
                  <c:v>44922</c:v>
                </c:pt>
                <c:pt idx="849">
                  <c:v>44929</c:v>
                </c:pt>
                <c:pt idx="850">
                  <c:v>44936</c:v>
                </c:pt>
                <c:pt idx="851">
                  <c:v>44943</c:v>
                </c:pt>
                <c:pt idx="852">
                  <c:v>44950</c:v>
                </c:pt>
                <c:pt idx="853">
                  <c:v>44957</c:v>
                </c:pt>
                <c:pt idx="854">
                  <c:v>44964</c:v>
                </c:pt>
                <c:pt idx="855">
                  <c:v>44971</c:v>
                </c:pt>
                <c:pt idx="856">
                  <c:v>44978</c:v>
                </c:pt>
                <c:pt idx="857">
                  <c:v>44985</c:v>
                </c:pt>
                <c:pt idx="858">
                  <c:v>44992</c:v>
                </c:pt>
                <c:pt idx="859">
                  <c:v>44999</c:v>
                </c:pt>
                <c:pt idx="860">
                  <c:v>45006</c:v>
                </c:pt>
                <c:pt idx="861">
                  <c:v>45013</c:v>
                </c:pt>
                <c:pt idx="862">
                  <c:v>45020</c:v>
                </c:pt>
                <c:pt idx="863">
                  <c:v>45027</c:v>
                </c:pt>
                <c:pt idx="864">
                  <c:v>45034</c:v>
                </c:pt>
                <c:pt idx="865">
                  <c:v>45041</c:v>
                </c:pt>
                <c:pt idx="866">
                  <c:v>45048</c:v>
                </c:pt>
                <c:pt idx="867">
                  <c:v>45055</c:v>
                </c:pt>
                <c:pt idx="868">
                  <c:v>45062</c:v>
                </c:pt>
                <c:pt idx="869">
                  <c:v>45069</c:v>
                </c:pt>
                <c:pt idx="870">
                  <c:v>45076</c:v>
                </c:pt>
                <c:pt idx="871">
                  <c:v>45083</c:v>
                </c:pt>
                <c:pt idx="872">
                  <c:v>45090</c:v>
                </c:pt>
                <c:pt idx="873">
                  <c:v>45097</c:v>
                </c:pt>
                <c:pt idx="874">
                  <c:v>45104</c:v>
                </c:pt>
                <c:pt idx="875">
                  <c:v>45111</c:v>
                </c:pt>
                <c:pt idx="876">
                  <c:v>45118</c:v>
                </c:pt>
                <c:pt idx="877">
                  <c:v>45125</c:v>
                </c:pt>
                <c:pt idx="878">
                  <c:v>45132</c:v>
                </c:pt>
                <c:pt idx="879">
                  <c:v>45139</c:v>
                </c:pt>
                <c:pt idx="880">
                  <c:v>45146</c:v>
                </c:pt>
                <c:pt idx="881">
                  <c:v>45153</c:v>
                </c:pt>
                <c:pt idx="882">
                  <c:v>45160</c:v>
                </c:pt>
                <c:pt idx="883">
                  <c:v>45167</c:v>
                </c:pt>
                <c:pt idx="884">
                  <c:v>45174</c:v>
                </c:pt>
                <c:pt idx="885">
                  <c:v>45181</c:v>
                </c:pt>
                <c:pt idx="886">
                  <c:v>45188</c:v>
                </c:pt>
                <c:pt idx="887">
                  <c:v>45195</c:v>
                </c:pt>
                <c:pt idx="888">
                  <c:v>45202</c:v>
                </c:pt>
                <c:pt idx="889">
                  <c:v>45209</c:v>
                </c:pt>
                <c:pt idx="890">
                  <c:v>45216</c:v>
                </c:pt>
                <c:pt idx="891">
                  <c:v>45223</c:v>
                </c:pt>
                <c:pt idx="892">
                  <c:v>45230</c:v>
                </c:pt>
                <c:pt idx="893">
                  <c:v>45237</c:v>
                </c:pt>
                <c:pt idx="894">
                  <c:v>45244</c:v>
                </c:pt>
                <c:pt idx="895">
                  <c:v>45251</c:v>
                </c:pt>
                <c:pt idx="896">
                  <c:v>45258</c:v>
                </c:pt>
                <c:pt idx="897">
                  <c:v>45265</c:v>
                </c:pt>
                <c:pt idx="898">
                  <c:v>45272</c:v>
                </c:pt>
                <c:pt idx="899">
                  <c:v>45279</c:v>
                </c:pt>
                <c:pt idx="900">
                  <c:v>45286</c:v>
                </c:pt>
                <c:pt idx="901">
                  <c:v>45293</c:v>
                </c:pt>
                <c:pt idx="902">
                  <c:v>45300</c:v>
                </c:pt>
                <c:pt idx="903">
                  <c:v>45307</c:v>
                </c:pt>
                <c:pt idx="904">
                  <c:v>45314</c:v>
                </c:pt>
                <c:pt idx="905">
                  <c:v>45321</c:v>
                </c:pt>
                <c:pt idx="906">
                  <c:v>45328</c:v>
                </c:pt>
                <c:pt idx="907">
                  <c:v>45335</c:v>
                </c:pt>
                <c:pt idx="908">
                  <c:v>45342</c:v>
                </c:pt>
                <c:pt idx="909">
                  <c:v>45349</c:v>
                </c:pt>
                <c:pt idx="910">
                  <c:v>45356</c:v>
                </c:pt>
                <c:pt idx="911">
                  <c:v>45363</c:v>
                </c:pt>
                <c:pt idx="912">
                  <c:v>45370</c:v>
                </c:pt>
                <c:pt idx="913">
                  <c:v>45377</c:v>
                </c:pt>
                <c:pt idx="914">
                  <c:v>45384</c:v>
                </c:pt>
                <c:pt idx="915">
                  <c:v>45391</c:v>
                </c:pt>
                <c:pt idx="916">
                  <c:v>45398</c:v>
                </c:pt>
                <c:pt idx="917">
                  <c:v>45405</c:v>
                </c:pt>
                <c:pt idx="918">
                  <c:v>45412</c:v>
                </c:pt>
                <c:pt idx="919">
                  <c:v>45419</c:v>
                </c:pt>
                <c:pt idx="920">
                  <c:v>45426</c:v>
                </c:pt>
                <c:pt idx="921">
                  <c:v>45433</c:v>
                </c:pt>
                <c:pt idx="922">
                  <c:v>45440</c:v>
                </c:pt>
                <c:pt idx="923">
                  <c:v>45447</c:v>
                </c:pt>
                <c:pt idx="924">
                  <c:v>45454</c:v>
                </c:pt>
                <c:pt idx="925">
                  <c:v>45461</c:v>
                </c:pt>
                <c:pt idx="926">
                  <c:v>45468</c:v>
                </c:pt>
                <c:pt idx="927">
                  <c:v>45475</c:v>
                </c:pt>
                <c:pt idx="928">
                  <c:v>45482</c:v>
                </c:pt>
                <c:pt idx="929">
                  <c:v>45489</c:v>
                </c:pt>
                <c:pt idx="930">
                  <c:v>45496</c:v>
                </c:pt>
                <c:pt idx="931">
                  <c:v>45503</c:v>
                </c:pt>
                <c:pt idx="932">
                  <c:v>45510</c:v>
                </c:pt>
                <c:pt idx="933">
                  <c:v>45517</c:v>
                </c:pt>
                <c:pt idx="934">
                  <c:v>45524</c:v>
                </c:pt>
                <c:pt idx="935">
                  <c:v>45531</c:v>
                </c:pt>
                <c:pt idx="936">
                  <c:v>45538</c:v>
                </c:pt>
                <c:pt idx="937">
                  <c:v>45545</c:v>
                </c:pt>
                <c:pt idx="938">
                  <c:v>45552</c:v>
                </c:pt>
                <c:pt idx="939">
                  <c:v>45559</c:v>
                </c:pt>
                <c:pt idx="940">
                  <c:v>45566</c:v>
                </c:pt>
                <c:pt idx="941">
                  <c:v>45573</c:v>
                </c:pt>
                <c:pt idx="942">
                  <c:v>45580</c:v>
                </c:pt>
                <c:pt idx="943">
                  <c:v>45587</c:v>
                </c:pt>
                <c:pt idx="944">
                  <c:v>45594</c:v>
                </c:pt>
                <c:pt idx="945">
                  <c:v>45601</c:v>
                </c:pt>
                <c:pt idx="946">
                  <c:v>45608</c:v>
                </c:pt>
                <c:pt idx="947">
                  <c:v>45615</c:v>
                </c:pt>
                <c:pt idx="948">
                  <c:v>45622</c:v>
                </c:pt>
                <c:pt idx="949">
                  <c:v>45629</c:v>
                </c:pt>
                <c:pt idx="950">
                  <c:v>45636</c:v>
                </c:pt>
              </c:numCache>
            </c:numRef>
          </c:cat>
          <c:val>
            <c:numRef>
              <c:f>'Oil Share Data'!$C$2:$C$999</c:f>
              <c:numCache>
                <c:formatCode>#,##0.00_);[Red]\(#,##0.00\)</c:formatCode>
                <c:ptCount val="998"/>
                <c:pt idx="0">
                  <c:v>24.5</c:v>
                </c:pt>
                <c:pt idx="1">
                  <c:v>24.69</c:v>
                </c:pt>
                <c:pt idx="2">
                  <c:v>23.87</c:v>
                </c:pt>
                <c:pt idx="3">
                  <c:v>23.77</c:v>
                </c:pt>
                <c:pt idx="4">
                  <c:v>24</c:v>
                </c:pt>
                <c:pt idx="5">
                  <c:v>24.82</c:v>
                </c:pt>
                <c:pt idx="6">
                  <c:v>26.17</c:v>
                </c:pt>
                <c:pt idx="7">
                  <c:v>27.5</c:v>
                </c:pt>
                <c:pt idx="8">
                  <c:v>27.68</c:v>
                </c:pt>
                <c:pt idx="9">
                  <c:v>27.69</c:v>
                </c:pt>
                <c:pt idx="10">
                  <c:v>28.28</c:v>
                </c:pt>
                <c:pt idx="11">
                  <c:v>28.89</c:v>
                </c:pt>
                <c:pt idx="12">
                  <c:v>29.23</c:v>
                </c:pt>
                <c:pt idx="13">
                  <c:v>28.28</c:v>
                </c:pt>
                <c:pt idx="14">
                  <c:v>28.15</c:v>
                </c:pt>
                <c:pt idx="15">
                  <c:v>28.42</c:v>
                </c:pt>
                <c:pt idx="16">
                  <c:v>29.26</c:v>
                </c:pt>
                <c:pt idx="17">
                  <c:v>28.4</c:v>
                </c:pt>
                <c:pt idx="18">
                  <c:v>28.8</c:v>
                </c:pt>
                <c:pt idx="19">
                  <c:v>29.3</c:v>
                </c:pt>
                <c:pt idx="20">
                  <c:v>29</c:v>
                </c:pt>
                <c:pt idx="21">
                  <c:v>30.37</c:v>
                </c:pt>
                <c:pt idx="22">
                  <c:v>30.34</c:v>
                </c:pt>
                <c:pt idx="23">
                  <c:v>29.91</c:v>
                </c:pt>
                <c:pt idx="24">
                  <c:v>30.39</c:v>
                </c:pt>
                <c:pt idx="25">
                  <c:v>29.69</c:v>
                </c:pt>
                <c:pt idx="26">
                  <c:v>30.22</c:v>
                </c:pt>
                <c:pt idx="27">
                  <c:v>30.77</c:v>
                </c:pt>
                <c:pt idx="28">
                  <c:v>31.96</c:v>
                </c:pt>
                <c:pt idx="29">
                  <c:v>32.479999999999997</c:v>
                </c:pt>
                <c:pt idx="30">
                  <c:v>32.42</c:v>
                </c:pt>
                <c:pt idx="31">
                  <c:v>32.97</c:v>
                </c:pt>
                <c:pt idx="32">
                  <c:v>32.35</c:v>
                </c:pt>
                <c:pt idx="33">
                  <c:v>32.93</c:v>
                </c:pt>
                <c:pt idx="34">
                  <c:v>32.72</c:v>
                </c:pt>
                <c:pt idx="35">
                  <c:v>34.1</c:v>
                </c:pt>
                <c:pt idx="36">
                  <c:v>35.15</c:v>
                </c:pt>
                <c:pt idx="37">
                  <c:v>35.840000000000003</c:v>
                </c:pt>
                <c:pt idx="38">
                  <c:v>35.81</c:v>
                </c:pt>
                <c:pt idx="39">
                  <c:v>35.369999999999997</c:v>
                </c:pt>
                <c:pt idx="40">
                  <c:v>35.880000000000003</c:v>
                </c:pt>
                <c:pt idx="41">
                  <c:v>34.729999999999997</c:v>
                </c:pt>
                <c:pt idx="42">
                  <c:v>36.630000000000003</c:v>
                </c:pt>
                <c:pt idx="43">
                  <c:v>37.130000000000003</c:v>
                </c:pt>
                <c:pt idx="44">
                  <c:v>37.72</c:v>
                </c:pt>
                <c:pt idx="45">
                  <c:v>37.49</c:v>
                </c:pt>
                <c:pt idx="46">
                  <c:v>36.76</c:v>
                </c:pt>
                <c:pt idx="47">
                  <c:v>37.35</c:v>
                </c:pt>
                <c:pt idx="48">
                  <c:v>36.28</c:v>
                </c:pt>
                <c:pt idx="49">
                  <c:v>35.39</c:v>
                </c:pt>
                <c:pt idx="50">
                  <c:v>35.92</c:v>
                </c:pt>
                <c:pt idx="51">
                  <c:v>36.54</c:v>
                </c:pt>
                <c:pt idx="52">
                  <c:v>37.28</c:v>
                </c:pt>
                <c:pt idx="53">
                  <c:v>39.369999999999997</c:v>
                </c:pt>
                <c:pt idx="54">
                  <c:v>38.99</c:v>
                </c:pt>
                <c:pt idx="55">
                  <c:v>39.49</c:v>
                </c:pt>
                <c:pt idx="56">
                  <c:v>38.5</c:v>
                </c:pt>
                <c:pt idx="57">
                  <c:v>39.380000000000003</c:v>
                </c:pt>
                <c:pt idx="58">
                  <c:v>40.56</c:v>
                </c:pt>
                <c:pt idx="59">
                  <c:v>41.38</c:v>
                </c:pt>
                <c:pt idx="60">
                  <c:v>42.64</c:v>
                </c:pt>
                <c:pt idx="61">
                  <c:v>45.08</c:v>
                </c:pt>
                <c:pt idx="62">
                  <c:v>44.82</c:v>
                </c:pt>
                <c:pt idx="63">
                  <c:v>46.67</c:v>
                </c:pt>
                <c:pt idx="64">
                  <c:v>45.64</c:v>
                </c:pt>
                <c:pt idx="65">
                  <c:v>45.3</c:v>
                </c:pt>
                <c:pt idx="66">
                  <c:v>45.85</c:v>
                </c:pt>
                <c:pt idx="67">
                  <c:v>47.15</c:v>
                </c:pt>
                <c:pt idx="68">
                  <c:v>52.1</c:v>
                </c:pt>
                <c:pt idx="69">
                  <c:v>53.14</c:v>
                </c:pt>
                <c:pt idx="70">
                  <c:v>52.01</c:v>
                </c:pt>
                <c:pt idx="71">
                  <c:v>54.12</c:v>
                </c:pt>
                <c:pt idx="72">
                  <c:v>55.42</c:v>
                </c:pt>
                <c:pt idx="73">
                  <c:v>58.57</c:v>
                </c:pt>
                <c:pt idx="74">
                  <c:v>62.3</c:v>
                </c:pt>
                <c:pt idx="75">
                  <c:v>68.150000000000006</c:v>
                </c:pt>
                <c:pt idx="76">
                  <c:v>60.25</c:v>
                </c:pt>
                <c:pt idx="77">
                  <c:v>60</c:v>
                </c:pt>
                <c:pt idx="78">
                  <c:v>54.4</c:v>
                </c:pt>
                <c:pt idx="79">
                  <c:v>54.98</c:v>
                </c:pt>
                <c:pt idx="80">
                  <c:v>56.61</c:v>
                </c:pt>
                <c:pt idx="81">
                  <c:v>59.94</c:v>
                </c:pt>
                <c:pt idx="82">
                  <c:v>60.98</c:v>
                </c:pt>
                <c:pt idx="83">
                  <c:v>58.97</c:v>
                </c:pt>
                <c:pt idx="84">
                  <c:v>56.67</c:v>
                </c:pt>
                <c:pt idx="85">
                  <c:v>61.53</c:v>
                </c:pt>
                <c:pt idx="86">
                  <c:v>61.85</c:v>
                </c:pt>
                <c:pt idx="87">
                  <c:v>63.56</c:v>
                </c:pt>
                <c:pt idx="88">
                  <c:v>61.31</c:v>
                </c:pt>
                <c:pt idx="89">
                  <c:v>64.34</c:v>
                </c:pt>
                <c:pt idx="90">
                  <c:v>66.19</c:v>
                </c:pt>
                <c:pt idx="91">
                  <c:v>63.88</c:v>
                </c:pt>
                <c:pt idx="92">
                  <c:v>65.569999999999993</c:v>
                </c:pt>
                <c:pt idx="93">
                  <c:v>67.33</c:v>
                </c:pt>
                <c:pt idx="94">
                  <c:v>64.48</c:v>
                </c:pt>
                <c:pt idx="95">
                  <c:v>62.09</c:v>
                </c:pt>
                <c:pt idx="96">
                  <c:v>59.17</c:v>
                </c:pt>
                <c:pt idx="97">
                  <c:v>56.61</c:v>
                </c:pt>
                <c:pt idx="98">
                  <c:v>50.39</c:v>
                </c:pt>
                <c:pt idx="99">
                  <c:v>50.04</c:v>
                </c:pt>
                <c:pt idx="100">
                  <c:v>54.15</c:v>
                </c:pt>
                <c:pt idx="101">
                  <c:v>53.4</c:v>
                </c:pt>
                <c:pt idx="102">
                  <c:v>48.18</c:v>
                </c:pt>
                <c:pt idx="103">
                  <c:v>47.15</c:v>
                </c:pt>
                <c:pt idx="104">
                  <c:v>46.92</c:v>
                </c:pt>
                <c:pt idx="105">
                  <c:v>47.4</c:v>
                </c:pt>
                <c:pt idx="106">
                  <c:v>42</c:v>
                </c:pt>
                <c:pt idx="107">
                  <c:v>36.5</c:v>
                </c:pt>
                <c:pt idx="108">
                  <c:v>35.5</c:v>
                </c:pt>
                <c:pt idx="109">
                  <c:v>31.47</c:v>
                </c:pt>
                <c:pt idx="110">
                  <c:v>33.6</c:v>
                </c:pt>
                <c:pt idx="111">
                  <c:v>33.9</c:v>
                </c:pt>
                <c:pt idx="112">
                  <c:v>32.6</c:v>
                </c:pt>
                <c:pt idx="113">
                  <c:v>30.7</c:v>
                </c:pt>
                <c:pt idx="114">
                  <c:v>32.58</c:v>
                </c:pt>
                <c:pt idx="115">
                  <c:v>28.25</c:v>
                </c:pt>
                <c:pt idx="116">
                  <c:v>31.1</c:v>
                </c:pt>
                <c:pt idx="117">
                  <c:v>30.6</c:v>
                </c:pt>
                <c:pt idx="118">
                  <c:v>33.58</c:v>
                </c:pt>
                <c:pt idx="119">
                  <c:v>36.5</c:v>
                </c:pt>
                <c:pt idx="120">
                  <c:v>34.590000000000003</c:v>
                </c:pt>
                <c:pt idx="121">
                  <c:v>33.6</c:v>
                </c:pt>
                <c:pt idx="122">
                  <c:v>32.729999999999997</c:v>
                </c:pt>
                <c:pt idx="123">
                  <c:v>33.4</c:v>
                </c:pt>
                <c:pt idx="124">
                  <c:v>33</c:v>
                </c:pt>
                <c:pt idx="125">
                  <c:v>30.22</c:v>
                </c:pt>
                <c:pt idx="126">
                  <c:v>30.85</c:v>
                </c:pt>
                <c:pt idx="127">
                  <c:v>30.76</c:v>
                </c:pt>
                <c:pt idx="128">
                  <c:v>29.8</c:v>
                </c:pt>
                <c:pt idx="129">
                  <c:v>32.25</c:v>
                </c:pt>
                <c:pt idx="130">
                  <c:v>32.42</c:v>
                </c:pt>
                <c:pt idx="131">
                  <c:v>35.32</c:v>
                </c:pt>
                <c:pt idx="132">
                  <c:v>35.42</c:v>
                </c:pt>
                <c:pt idx="133">
                  <c:v>36.770000000000003</c:v>
                </c:pt>
                <c:pt idx="134">
                  <c:v>36.340000000000003</c:v>
                </c:pt>
                <c:pt idx="135">
                  <c:v>37.43</c:v>
                </c:pt>
                <c:pt idx="136">
                  <c:v>39.299999999999997</c:v>
                </c:pt>
                <c:pt idx="137">
                  <c:v>37.9</c:v>
                </c:pt>
                <c:pt idx="138">
                  <c:v>38.1</c:v>
                </c:pt>
                <c:pt idx="139">
                  <c:v>39.049999999999997</c:v>
                </c:pt>
                <c:pt idx="140">
                  <c:v>39.729999999999997</c:v>
                </c:pt>
                <c:pt idx="141">
                  <c:v>37.159999999999997</c:v>
                </c:pt>
                <c:pt idx="142">
                  <c:v>36.53</c:v>
                </c:pt>
                <c:pt idx="143">
                  <c:v>36.08</c:v>
                </c:pt>
                <c:pt idx="144">
                  <c:v>35.18</c:v>
                </c:pt>
                <c:pt idx="145">
                  <c:v>32.700000000000003</c:v>
                </c:pt>
                <c:pt idx="146">
                  <c:v>34.82</c:v>
                </c:pt>
                <c:pt idx="147">
                  <c:v>33.89</c:v>
                </c:pt>
                <c:pt idx="148">
                  <c:v>35.06</c:v>
                </c:pt>
                <c:pt idx="149">
                  <c:v>36.78</c:v>
                </c:pt>
                <c:pt idx="150">
                  <c:v>37.18</c:v>
                </c:pt>
                <c:pt idx="151">
                  <c:v>36.33</c:v>
                </c:pt>
                <c:pt idx="152">
                  <c:v>36.07</c:v>
                </c:pt>
                <c:pt idx="153">
                  <c:v>33.65</c:v>
                </c:pt>
                <c:pt idx="154">
                  <c:v>33.36</c:v>
                </c:pt>
                <c:pt idx="155">
                  <c:v>34.68</c:v>
                </c:pt>
                <c:pt idx="156">
                  <c:v>34.04</c:v>
                </c:pt>
                <c:pt idx="157">
                  <c:v>33.729999999999997</c:v>
                </c:pt>
                <c:pt idx="158">
                  <c:v>34.909999999999997</c:v>
                </c:pt>
                <c:pt idx="159">
                  <c:v>36.94</c:v>
                </c:pt>
                <c:pt idx="160">
                  <c:v>37.94</c:v>
                </c:pt>
                <c:pt idx="161">
                  <c:v>36.4</c:v>
                </c:pt>
                <c:pt idx="162">
                  <c:v>36.770000000000003</c:v>
                </c:pt>
                <c:pt idx="163">
                  <c:v>38.61</c:v>
                </c:pt>
                <c:pt idx="164">
                  <c:v>39.71</c:v>
                </c:pt>
                <c:pt idx="165">
                  <c:v>40.1</c:v>
                </c:pt>
                <c:pt idx="166">
                  <c:v>39.76</c:v>
                </c:pt>
                <c:pt idx="167">
                  <c:v>39.22</c:v>
                </c:pt>
                <c:pt idx="168">
                  <c:v>38.33</c:v>
                </c:pt>
                <c:pt idx="169">
                  <c:v>38.46</c:v>
                </c:pt>
                <c:pt idx="170">
                  <c:v>40.35</c:v>
                </c:pt>
                <c:pt idx="171">
                  <c:v>39.53</c:v>
                </c:pt>
                <c:pt idx="172">
                  <c:v>37.53</c:v>
                </c:pt>
                <c:pt idx="173">
                  <c:v>36.71</c:v>
                </c:pt>
                <c:pt idx="174">
                  <c:v>36.15</c:v>
                </c:pt>
                <c:pt idx="175">
                  <c:v>37</c:v>
                </c:pt>
                <c:pt idx="176">
                  <c:v>37.840000000000003</c:v>
                </c:pt>
                <c:pt idx="177">
                  <c:v>38.520000000000003</c:v>
                </c:pt>
                <c:pt idx="178">
                  <c:v>39.29</c:v>
                </c:pt>
                <c:pt idx="179">
                  <c:v>39.72</c:v>
                </c:pt>
                <c:pt idx="180">
                  <c:v>39.049999999999997</c:v>
                </c:pt>
                <c:pt idx="181">
                  <c:v>39.299999999999997</c:v>
                </c:pt>
                <c:pt idx="182">
                  <c:v>38.950000000000003</c:v>
                </c:pt>
                <c:pt idx="183">
                  <c:v>38.979999999999997</c:v>
                </c:pt>
                <c:pt idx="184">
                  <c:v>40.04</c:v>
                </c:pt>
                <c:pt idx="185">
                  <c:v>39.799999999999997</c:v>
                </c:pt>
                <c:pt idx="186">
                  <c:v>39.35</c:v>
                </c:pt>
                <c:pt idx="187">
                  <c:v>38.58</c:v>
                </c:pt>
                <c:pt idx="188">
                  <c:v>38.130000000000003</c:v>
                </c:pt>
                <c:pt idx="189">
                  <c:v>37.17</c:v>
                </c:pt>
                <c:pt idx="190">
                  <c:v>36.96</c:v>
                </c:pt>
                <c:pt idx="191">
                  <c:v>37.61</c:v>
                </c:pt>
                <c:pt idx="192">
                  <c:v>36.78</c:v>
                </c:pt>
                <c:pt idx="193">
                  <c:v>36.9</c:v>
                </c:pt>
                <c:pt idx="194">
                  <c:v>37.92</c:v>
                </c:pt>
                <c:pt idx="195">
                  <c:v>37.159999999999997</c:v>
                </c:pt>
                <c:pt idx="196">
                  <c:v>36.01</c:v>
                </c:pt>
                <c:pt idx="197">
                  <c:v>37.380000000000003</c:v>
                </c:pt>
                <c:pt idx="198">
                  <c:v>38.31</c:v>
                </c:pt>
                <c:pt idx="199">
                  <c:v>39.07</c:v>
                </c:pt>
                <c:pt idx="200">
                  <c:v>39.83</c:v>
                </c:pt>
                <c:pt idx="201">
                  <c:v>41.39</c:v>
                </c:pt>
                <c:pt idx="202">
                  <c:v>41.8</c:v>
                </c:pt>
                <c:pt idx="203">
                  <c:v>39.520000000000003</c:v>
                </c:pt>
                <c:pt idx="204">
                  <c:v>40.200000000000003</c:v>
                </c:pt>
                <c:pt idx="205">
                  <c:v>40.32</c:v>
                </c:pt>
                <c:pt idx="206">
                  <c:v>41.25</c:v>
                </c:pt>
                <c:pt idx="207">
                  <c:v>41.91</c:v>
                </c:pt>
                <c:pt idx="208">
                  <c:v>44.48</c:v>
                </c:pt>
                <c:pt idx="209">
                  <c:v>43.49</c:v>
                </c:pt>
                <c:pt idx="210">
                  <c:v>46.22</c:v>
                </c:pt>
                <c:pt idx="211">
                  <c:v>47.77</c:v>
                </c:pt>
                <c:pt idx="212">
                  <c:v>48.3</c:v>
                </c:pt>
                <c:pt idx="213">
                  <c:v>49.3</c:v>
                </c:pt>
                <c:pt idx="214">
                  <c:v>52.22</c:v>
                </c:pt>
                <c:pt idx="215">
                  <c:v>52.53</c:v>
                </c:pt>
                <c:pt idx="216">
                  <c:v>48.96</c:v>
                </c:pt>
                <c:pt idx="217">
                  <c:v>49.9</c:v>
                </c:pt>
                <c:pt idx="218">
                  <c:v>53.08</c:v>
                </c:pt>
                <c:pt idx="219">
                  <c:v>53.79</c:v>
                </c:pt>
                <c:pt idx="220">
                  <c:v>54.13</c:v>
                </c:pt>
                <c:pt idx="221">
                  <c:v>56.59</c:v>
                </c:pt>
                <c:pt idx="222">
                  <c:v>57.74</c:v>
                </c:pt>
                <c:pt idx="223">
                  <c:v>56.35</c:v>
                </c:pt>
                <c:pt idx="224">
                  <c:v>56.7</c:v>
                </c:pt>
                <c:pt idx="225">
                  <c:v>57.56</c:v>
                </c:pt>
                <c:pt idx="226">
                  <c:v>57.27</c:v>
                </c:pt>
                <c:pt idx="227">
                  <c:v>58.98</c:v>
                </c:pt>
                <c:pt idx="228">
                  <c:v>58.49</c:v>
                </c:pt>
                <c:pt idx="229">
                  <c:v>56.49</c:v>
                </c:pt>
                <c:pt idx="230">
                  <c:v>56.95</c:v>
                </c:pt>
                <c:pt idx="231">
                  <c:v>58.96</c:v>
                </c:pt>
                <c:pt idx="232">
                  <c:v>55.49</c:v>
                </c:pt>
                <c:pt idx="233">
                  <c:v>55.77</c:v>
                </c:pt>
                <c:pt idx="234">
                  <c:v>56.84</c:v>
                </c:pt>
                <c:pt idx="235">
                  <c:v>58.68</c:v>
                </c:pt>
                <c:pt idx="236">
                  <c:v>59.77</c:v>
                </c:pt>
                <c:pt idx="237">
                  <c:v>56.84</c:v>
                </c:pt>
                <c:pt idx="238">
                  <c:v>58.27</c:v>
                </c:pt>
                <c:pt idx="239">
                  <c:v>58.13</c:v>
                </c:pt>
                <c:pt idx="240">
                  <c:v>55.37</c:v>
                </c:pt>
                <c:pt idx="241">
                  <c:v>55.75</c:v>
                </c:pt>
                <c:pt idx="242">
                  <c:v>57.46</c:v>
                </c:pt>
                <c:pt idx="243">
                  <c:v>58.61</c:v>
                </c:pt>
                <c:pt idx="244">
                  <c:v>58.73</c:v>
                </c:pt>
                <c:pt idx="245">
                  <c:v>56.85</c:v>
                </c:pt>
                <c:pt idx="246">
                  <c:v>55.92</c:v>
                </c:pt>
                <c:pt idx="247">
                  <c:v>55.22</c:v>
                </c:pt>
                <c:pt idx="248">
                  <c:v>55.16</c:v>
                </c:pt>
                <c:pt idx="249">
                  <c:v>56.2</c:v>
                </c:pt>
                <c:pt idx="250">
                  <c:v>57.35</c:v>
                </c:pt>
                <c:pt idx="251">
                  <c:v>56.51</c:v>
                </c:pt>
                <c:pt idx="252">
                  <c:v>55.65</c:v>
                </c:pt>
                <c:pt idx="253">
                  <c:v>54.9</c:v>
                </c:pt>
                <c:pt idx="254">
                  <c:v>54.6</c:v>
                </c:pt>
                <c:pt idx="255">
                  <c:v>55.39</c:v>
                </c:pt>
                <c:pt idx="256">
                  <c:v>56.6</c:v>
                </c:pt>
                <c:pt idx="257">
                  <c:v>57.74</c:v>
                </c:pt>
                <c:pt idx="258">
                  <c:v>58.2</c:v>
                </c:pt>
                <c:pt idx="259">
                  <c:v>56.55</c:v>
                </c:pt>
                <c:pt idx="260">
                  <c:v>52.4</c:v>
                </c:pt>
                <c:pt idx="261">
                  <c:v>49.95</c:v>
                </c:pt>
                <c:pt idx="262">
                  <c:v>49.07</c:v>
                </c:pt>
                <c:pt idx="263">
                  <c:v>53.2</c:v>
                </c:pt>
                <c:pt idx="264">
                  <c:v>51.25</c:v>
                </c:pt>
                <c:pt idx="265">
                  <c:v>51.77</c:v>
                </c:pt>
                <c:pt idx="266">
                  <c:v>51.87</c:v>
                </c:pt>
                <c:pt idx="267">
                  <c:v>50.98</c:v>
                </c:pt>
                <c:pt idx="268">
                  <c:v>50.88</c:v>
                </c:pt>
                <c:pt idx="269">
                  <c:v>48.23</c:v>
                </c:pt>
                <c:pt idx="270">
                  <c:v>50.05</c:v>
                </c:pt>
                <c:pt idx="271">
                  <c:v>49.34</c:v>
                </c:pt>
                <c:pt idx="272">
                  <c:v>49.55</c:v>
                </c:pt>
                <c:pt idx="273">
                  <c:v>50.96</c:v>
                </c:pt>
                <c:pt idx="274">
                  <c:v>52.09</c:v>
                </c:pt>
                <c:pt idx="275">
                  <c:v>50.8</c:v>
                </c:pt>
                <c:pt idx="276">
                  <c:v>50.2</c:v>
                </c:pt>
                <c:pt idx="277">
                  <c:v>50.43</c:v>
                </c:pt>
                <c:pt idx="278">
                  <c:v>51.59</c:v>
                </c:pt>
                <c:pt idx="279">
                  <c:v>51.65</c:v>
                </c:pt>
                <c:pt idx="280">
                  <c:v>52.53</c:v>
                </c:pt>
                <c:pt idx="281">
                  <c:v>53.4</c:v>
                </c:pt>
                <c:pt idx="282">
                  <c:v>54.29</c:v>
                </c:pt>
                <c:pt idx="283">
                  <c:v>53.76</c:v>
                </c:pt>
                <c:pt idx="284">
                  <c:v>53.95</c:v>
                </c:pt>
                <c:pt idx="285">
                  <c:v>55.5</c:v>
                </c:pt>
                <c:pt idx="286">
                  <c:v>54.88</c:v>
                </c:pt>
                <c:pt idx="287">
                  <c:v>55.1</c:v>
                </c:pt>
                <c:pt idx="288">
                  <c:v>56.64</c:v>
                </c:pt>
                <c:pt idx="289">
                  <c:v>56.52</c:v>
                </c:pt>
                <c:pt idx="290">
                  <c:v>55.83</c:v>
                </c:pt>
                <c:pt idx="291">
                  <c:v>55.18</c:v>
                </c:pt>
                <c:pt idx="292">
                  <c:v>53.3</c:v>
                </c:pt>
                <c:pt idx="293">
                  <c:v>51.9</c:v>
                </c:pt>
                <c:pt idx="294">
                  <c:v>50.32</c:v>
                </c:pt>
                <c:pt idx="295">
                  <c:v>50.12</c:v>
                </c:pt>
                <c:pt idx="296">
                  <c:v>48.59</c:v>
                </c:pt>
                <c:pt idx="297">
                  <c:v>49.46</c:v>
                </c:pt>
                <c:pt idx="298">
                  <c:v>48.44</c:v>
                </c:pt>
                <c:pt idx="299">
                  <c:v>49.74</c:v>
                </c:pt>
                <c:pt idx="300">
                  <c:v>52.21</c:v>
                </c:pt>
                <c:pt idx="301">
                  <c:v>53.27</c:v>
                </c:pt>
                <c:pt idx="302">
                  <c:v>53.57</c:v>
                </c:pt>
                <c:pt idx="303">
                  <c:v>54.36</c:v>
                </c:pt>
                <c:pt idx="304">
                  <c:v>52.04</c:v>
                </c:pt>
                <c:pt idx="305">
                  <c:v>52.04</c:v>
                </c:pt>
                <c:pt idx="306">
                  <c:v>53.6</c:v>
                </c:pt>
                <c:pt idx="307">
                  <c:v>53.11</c:v>
                </c:pt>
                <c:pt idx="308">
                  <c:v>56.24</c:v>
                </c:pt>
                <c:pt idx="309">
                  <c:v>56.42</c:v>
                </c:pt>
                <c:pt idx="310">
                  <c:v>56.07</c:v>
                </c:pt>
                <c:pt idx="311">
                  <c:v>56.64</c:v>
                </c:pt>
                <c:pt idx="312">
                  <c:v>54.45</c:v>
                </c:pt>
                <c:pt idx="313">
                  <c:v>52.18</c:v>
                </c:pt>
                <c:pt idx="314">
                  <c:v>50.76</c:v>
                </c:pt>
                <c:pt idx="315">
                  <c:v>49.89</c:v>
                </c:pt>
                <c:pt idx="316">
                  <c:v>51.58</c:v>
                </c:pt>
                <c:pt idx="317">
                  <c:v>50.96</c:v>
                </c:pt>
                <c:pt idx="318">
                  <c:v>49.26</c:v>
                </c:pt>
                <c:pt idx="319">
                  <c:v>47.77</c:v>
                </c:pt>
                <c:pt idx="320">
                  <c:v>47.05</c:v>
                </c:pt>
                <c:pt idx="321">
                  <c:v>49.04</c:v>
                </c:pt>
                <c:pt idx="322">
                  <c:v>49.41</c:v>
                </c:pt>
                <c:pt idx="323">
                  <c:v>50.82</c:v>
                </c:pt>
                <c:pt idx="324">
                  <c:v>49.63</c:v>
                </c:pt>
                <c:pt idx="325">
                  <c:v>48.71</c:v>
                </c:pt>
                <c:pt idx="326">
                  <c:v>48.94</c:v>
                </c:pt>
                <c:pt idx="327">
                  <c:v>49.42</c:v>
                </c:pt>
                <c:pt idx="328">
                  <c:v>48.88</c:v>
                </c:pt>
                <c:pt idx="329">
                  <c:v>51.68</c:v>
                </c:pt>
                <c:pt idx="330">
                  <c:v>52.1</c:v>
                </c:pt>
                <c:pt idx="331">
                  <c:v>52.99</c:v>
                </c:pt>
                <c:pt idx="332">
                  <c:v>51.43</c:v>
                </c:pt>
                <c:pt idx="333">
                  <c:v>51.62</c:v>
                </c:pt>
                <c:pt idx="334">
                  <c:v>50.35</c:v>
                </c:pt>
                <c:pt idx="335">
                  <c:v>49.47</c:v>
                </c:pt>
                <c:pt idx="336">
                  <c:v>50.16</c:v>
                </c:pt>
                <c:pt idx="337">
                  <c:v>49.91</c:v>
                </c:pt>
                <c:pt idx="338">
                  <c:v>50.43</c:v>
                </c:pt>
                <c:pt idx="339">
                  <c:v>50.11</c:v>
                </c:pt>
                <c:pt idx="340">
                  <c:v>48.83</c:v>
                </c:pt>
                <c:pt idx="341">
                  <c:v>49.23</c:v>
                </c:pt>
                <c:pt idx="342">
                  <c:v>49.16</c:v>
                </c:pt>
                <c:pt idx="343">
                  <c:v>49.66</c:v>
                </c:pt>
                <c:pt idx="344">
                  <c:v>49.16</c:v>
                </c:pt>
                <c:pt idx="345">
                  <c:v>49.17</c:v>
                </c:pt>
                <c:pt idx="346">
                  <c:v>49.52</c:v>
                </c:pt>
                <c:pt idx="347">
                  <c:v>49.24</c:v>
                </c:pt>
                <c:pt idx="348">
                  <c:v>48.38</c:v>
                </c:pt>
                <c:pt idx="349">
                  <c:v>48.53</c:v>
                </c:pt>
                <c:pt idx="350">
                  <c:v>48.48</c:v>
                </c:pt>
                <c:pt idx="351">
                  <c:v>48.02</c:v>
                </c:pt>
                <c:pt idx="352">
                  <c:v>46.42</c:v>
                </c:pt>
                <c:pt idx="353">
                  <c:v>47.23</c:v>
                </c:pt>
                <c:pt idx="354">
                  <c:v>46.09</c:v>
                </c:pt>
                <c:pt idx="355">
                  <c:v>45.5</c:v>
                </c:pt>
                <c:pt idx="356">
                  <c:v>43.58</c:v>
                </c:pt>
                <c:pt idx="357">
                  <c:v>42.38</c:v>
                </c:pt>
                <c:pt idx="358">
                  <c:v>41.4</c:v>
                </c:pt>
                <c:pt idx="359">
                  <c:v>42.81</c:v>
                </c:pt>
                <c:pt idx="360">
                  <c:v>42.64</c:v>
                </c:pt>
                <c:pt idx="361">
                  <c:v>43.89</c:v>
                </c:pt>
                <c:pt idx="362">
                  <c:v>43.36</c:v>
                </c:pt>
                <c:pt idx="363">
                  <c:v>42.22</c:v>
                </c:pt>
                <c:pt idx="364">
                  <c:v>42.09</c:v>
                </c:pt>
                <c:pt idx="365">
                  <c:v>41.51</c:v>
                </c:pt>
                <c:pt idx="366">
                  <c:v>39.99</c:v>
                </c:pt>
                <c:pt idx="367">
                  <c:v>40.11</c:v>
                </c:pt>
                <c:pt idx="368">
                  <c:v>41.68</c:v>
                </c:pt>
                <c:pt idx="369">
                  <c:v>40.729999999999997</c:v>
                </c:pt>
                <c:pt idx="370">
                  <c:v>41.59</c:v>
                </c:pt>
                <c:pt idx="371">
                  <c:v>40.24</c:v>
                </c:pt>
                <c:pt idx="372">
                  <c:v>40.47</c:v>
                </c:pt>
                <c:pt idx="373">
                  <c:v>41.16</c:v>
                </c:pt>
                <c:pt idx="374">
                  <c:v>40.22</c:v>
                </c:pt>
                <c:pt idx="375">
                  <c:v>40.28</c:v>
                </c:pt>
                <c:pt idx="376">
                  <c:v>39.47</c:v>
                </c:pt>
                <c:pt idx="377">
                  <c:v>39.44</c:v>
                </c:pt>
                <c:pt idx="378">
                  <c:v>39.020000000000003</c:v>
                </c:pt>
                <c:pt idx="379">
                  <c:v>38.340000000000003</c:v>
                </c:pt>
                <c:pt idx="380">
                  <c:v>37.950000000000003</c:v>
                </c:pt>
                <c:pt idx="381">
                  <c:v>37.74</c:v>
                </c:pt>
                <c:pt idx="382">
                  <c:v>37.54</c:v>
                </c:pt>
                <c:pt idx="383">
                  <c:v>37.64</c:v>
                </c:pt>
                <c:pt idx="384">
                  <c:v>38.56</c:v>
                </c:pt>
                <c:pt idx="385">
                  <c:v>39.15</c:v>
                </c:pt>
                <c:pt idx="386">
                  <c:v>40.950000000000003</c:v>
                </c:pt>
                <c:pt idx="387">
                  <c:v>41.52</c:v>
                </c:pt>
                <c:pt idx="388">
                  <c:v>44.09</c:v>
                </c:pt>
                <c:pt idx="389">
                  <c:v>42.02</c:v>
                </c:pt>
                <c:pt idx="390">
                  <c:v>41.02</c:v>
                </c:pt>
                <c:pt idx="391">
                  <c:v>40.479999999999997</c:v>
                </c:pt>
                <c:pt idx="392">
                  <c:v>41.57</c:v>
                </c:pt>
                <c:pt idx="393">
                  <c:v>42.1</c:v>
                </c:pt>
                <c:pt idx="394">
                  <c:v>43.41</c:v>
                </c:pt>
                <c:pt idx="395">
                  <c:v>42.92</c:v>
                </c:pt>
                <c:pt idx="396">
                  <c:v>41.29</c:v>
                </c:pt>
                <c:pt idx="397">
                  <c:v>40.98</c:v>
                </c:pt>
                <c:pt idx="398">
                  <c:v>40.75</c:v>
                </c:pt>
                <c:pt idx="399">
                  <c:v>40.380000000000003</c:v>
                </c:pt>
                <c:pt idx="400">
                  <c:v>38.5</c:v>
                </c:pt>
                <c:pt idx="401">
                  <c:v>39.01</c:v>
                </c:pt>
                <c:pt idx="402">
                  <c:v>39.69</c:v>
                </c:pt>
                <c:pt idx="403">
                  <c:v>40.130000000000003</c:v>
                </c:pt>
                <c:pt idx="404">
                  <c:v>39.979999999999997</c:v>
                </c:pt>
                <c:pt idx="405">
                  <c:v>38.56</c:v>
                </c:pt>
                <c:pt idx="406">
                  <c:v>36.71</c:v>
                </c:pt>
                <c:pt idx="407">
                  <c:v>36.57</c:v>
                </c:pt>
                <c:pt idx="408">
                  <c:v>36.090000000000003</c:v>
                </c:pt>
                <c:pt idx="409">
                  <c:v>35.450000000000003</c:v>
                </c:pt>
                <c:pt idx="410">
                  <c:v>35.44</c:v>
                </c:pt>
                <c:pt idx="411">
                  <c:v>32.869999999999997</c:v>
                </c:pt>
                <c:pt idx="412">
                  <c:v>32.36</c:v>
                </c:pt>
                <c:pt idx="413">
                  <c:v>32.04</c:v>
                </c:pt>
                <c:pt idx="414">
                  <c:v>32.35</c:v>
                </c:pt>
                <c:pt idx="415">
                  <c:v>32.159999999999997</c:v>
                </c:pt>
                <c:pt idx="416">
                  <c:v>32.46</c:v>
                </c:pt>
                <c:pt idx="417">
                  <c:v>31.92</c:v>
                </c:pt>
                <c:pt idx="418">
                  <c:v>32.29</c:v>
                </c:pt>
                <c:pt idx="419">
                  <c:v>32.28</c:v>
                </c:pt>
                <c:pt idx="420">
                  <c:v>32.020000000000003</c:v>
                </c:pt>
                <c:pt idx="421">
                  <c:v>32.39</c:v>
                </c:pt>
                <c:pt idx="422">
                  <c:v>34.799999999999997</c:v>
                </c:pt>
                <c:pt idx="423">
                  <c:v>32.4</c:v>
                </c:pt>
                <c:pt idx="424">
                  <c:v>32.200000000000003</c:v>
                </c:pt>
                <c:pt idx="425">
                  <c:v>32.69</c:v>
                </c:pt>
                <c:pt idx="426">
                  <c:v>32.18</c:v>
                </c:pt>
                <c:pt idx="427">
                  <c:v>32.01</c:v>
                </c:pt>
                <c:pt idx="428">
                  <c:v>31.97</c:v>
                </c:pt>
                <c:pt idx="429">
                  <c:v>31.97</c:v>
                </c:pt>
                <c:pt idx="430">
                  <c:v>32.46</c:v>
                </c:pt>
                <c:pt idx="431">
                  <c:v>31.95</c:v>
                </c:pt>
                <c:pt idx="432">
                  <c:v>33.54</c:v>
                </c:pt>
                <c:pt idx="433">
                  <c:v>33.39</c:v>
                </c:pt>
                <c:pt idx="434">
                  <c:v>31.6</c:v>
                </c:pt>
                <c:pt idx="435">
                  <c:v>30</c:v>
                </c:pt>
                <c:pt idx="436">
                  <c:v>31.82</c:v>
                </c:pt>
                <c:pt idx="437">
                  <c:v>32.4</c:v>
                </c:pt>
                <c:pt idx="438">
                  <c:v>31.48</c:v>
                </c:pt>
                <c:pt idx="439">
                  <c:v>32.799999999999997</c:v>
                </c:pt>
                <c:pt idx="440">
                  <c:v>31.14</c:v>
                </c:pt>
                <c:pt idx="441">
                  <c:v>30.19</c:v>
                </c:pt>
                <c:pt idx="442">
                  <c:v>30.68</c:v>
                </c:pt>
                <c:pt idx="443">
                  <c:v>30.6</c:v>
                </c:pt>
                <c:pt idx="444">
                  <c:v>31.04</c:v>
                </c:pt>
                <c:pt idx="445">
                  <c:v>31.09</c:v>
                </c:pt>
                <c:pt idx="446">
                  <c:v>31.52</c:v>
                </c:pt>
                <c:pt idx="447">
                  <c:v>31.67</c:v>
                </c:pt>
                <c:pt idx="448">
                  <c:v>31.44</c:v>
                </c:pt>
                <c:pt idx="449">
                  <c:v>32.799999999999997</c:v>
                </c:pt>
                <c:pt idx="450">
                  <c:v>33.07</c:v>
                </c:pt>
                <c:pt idx="451">
                  <c:v>31.64</c:v>
                </c:pt>
                <c:pt idx="452">
                  <c:v>33.33</c:v>
                </c:pt>
                <c:pt idx="453">
                  <c:v>34.78</c:v>
                </c:pt>
                <c:pt idx="454">
                  <c:v>33.14</c:v>
                </c:pt>
                <c:pt idx="455">
                  <c:v>32.549999999999997</c:v>
                </c:pt>
                <c:pt idx="456">
                  <c:v>33.22</c:v>
                </c:pt>
                <c:pt idx="457">
                  <c:v>33.36</c:v>
                </c:pt>
                <c:pt idx="458">
                  <c:v>32.31</c:v>
                </c:pt>
                <c:pt idx="459">
                  <c:v>31.78</c:v>
                </c:pt>
                <c:pt idx="460">
                  <c:v>30.48</c:v>
                </c:pt>
                <c:pt idx="461">
                  <c:v>29.98</c:v>
                </c:pt>
                <c:pt idx="462">
                  <c:v>30.03</c:v>
                </c:pt>
                <c:pt idx="463">
                  <c:v>28.78</c:v>
                </c:pt>
                <c:pt idx="464">
                  <c:v>27.36</c:v>
                </c:pt>
                <c:pt idx="465">
                  <c:v>27.79</c:v>
                </c:pt>
                <c:pt idx="466">
                  <c:v>26.44</c:v>
                </c:pt>
                <c:pt idx="467">
                  <c:v>26.58</c:v>
                </c:pt>
                <c:pt idx="468">
                  <c:v>26.05</c:v>
                </c:pt>
                <c:pt idx="469">
                  <c:v>27.72</c:v>
                </c:pt>
                <c:pt idx="470">
                  <c:v>27.84</c:v>
                </c:pt>
                <c:pt idx="471">
                  <c:v>28.17</c:v>
                </c:pt>
                <c:pt idx="472">
                  <c:v>28.6</c:v>
                </c:pt>
                <c:pt idx="473">
                  <c:v>28.57</c:v>
                </c:pt>
                <c:pt idx="474">
                  <c:v>28.2</c:v>
                </c:pt>
                <c:pt idx="475">
                  <c:v>28.04</c:v>
                </c:pt>
                <c:pt idx="476">
                  <c:v>27.04</c:v>
                </c:pt>
                <c:pt idx="477">
                  <c:v>27.9</c:v>
                </c:pt>
                <c:pt idx="478">
                  <c:v>28.75</c:v>
                </c:pt>
                <c:pt idx="479">
                  <c:v>31.8</c:v>
                </c:pt>
                <c:pt idx="480">
                  <c:v>31.08</c:v>
                </c:pt>
                <c:pt idx="481">
                  <c:v>30.53</c:v>
                </c:pt>
                <c:pt idx="482">
                  <c:v>30.87</c:v>
                </c:pt>
                <c:pt idx="483">
                  <c:v>30.55</c:v>
                </c:pt>
                <c:pt idx="484">
                  <c:v>29.45</c:v>
                </c:pt>
                <c:pt idx="485">
                  <c:v>29.65</c:v>
                </c:pt>
                <c:pt idx="486">
                  <c:v>30.5</c:v>
                </c:pt>
                <c:pt idx="487">
                  <c:v>30.88</c:v>
                </c:pt>
                <c:pt idx="488">
                  <c:v>31.23</c:v>
                </c:pt>
                <c:pt idx="489">
                  <c:v>31.8</c:v>
                </c:pt>
                <c:pt idx="490">
                  <c:v>31.39</c:v>
                </c:pt>
                <c:pt idx="491">
                  <c:v>31.03</c:v>
                </c:pt>
                <c:pt idx="492">
                  <c:v>30.73</c:v>
                </c:pt>
                <c:pt idx="493">
                  <c:v>31.93</c:v>
                </c:pt>
                <c:pt idx="494">
                  <c:v>33.42</c:v>
                </c:pt>
                <c:pt idx="495">
                  <c:v>33.18</c:v>
                </c:pt>
                <c:pt idx="496">
                  <c:v>34.450000000000003</c:v>
                </c:pt>
                <c:pt idx="497">
                  <c:v>33.94</c:v>
                </c:pt>
                <c:pt idx="498">
                  <c:v>33.380000000000003</c:v>
                </c:pt>
                <c:pt idx="499">
                  <c:v>33.99</c:v>
                </c:pt>
                <c:pt idx="500">
                  <c:v>32.880000000000003</c:v>
                </c:pt>
                <c:pt idx="501">
                  <c:v>32.81</c:v>
                </c:pt>
                <c:pt idx="502">
                  <c:v>32.17</c:v>
                </c:pt>
                <c:pt idx="503">
                  <c:v>31.27</c:v>
                </c:pt>
                <c:pt idx="504">
                  <c:v>31.48</c:v>
                </c:pt>
                <c:pt idx="505">
                  <c:v>32.26</c:v>
                </c:pt>
                <c:pt idx="506">
                  <c:v>32.76</c:v>
                </c:pt>
                <c:pt idx="507">
                  <c:v>31.93</c:v>
                </c:pt>
                <c:pt idx="508">
                  <c:v>30.99</c:v>
                </c:pt>
                <c:pt idx="509">
                  <c:v>31.03</c:v>
                </c:pt>
                <c:pt idx="510">
                  <c:v>30.27</c:v>
                </c:pt>
                <c:pt idx="511">
                  <c:v>30.89</c:v>
                </c:pt>
                <c:pt idx="512">
                  <c:v>30.21</c:v>
                </c:pt>
                <c:pt idx="513">
                  <c:v>30.35</c:v>
                </c:pt>
                <c:pt idx="514">
                  <c:v>30.52</c:v>
                </c:pt>
                <c:pt idx="515">
                  <c:v>31.9</c:v>
                </c:pt>
                <c:pt idx="516">
                  <c:v>34.14</c:v>
                </c:pt>
                <c:pt idx="517">
                  <c:v>32.950000000000003</c:v>
                </c:pt>
                <c:pt idx="518">
                  <c:v>32.659999999999997</c:v>
                </c:pt>
                <c:pt idx="519">
                  <c:v>33.03</c:v>
                </c:pt>
                <c:pt idx="520">
                  <c:v>31.98</c:v>
                </c:pt>
                <c:pt idx="521">
                  <c:v>33.31</c:v>
                </c:pt>
                <c:pt idx="522">
                  <c:v>33.24</c:v>
                </c:pt>
                <c:pt idx="523">
                  <c:v>33.11</c:v>
                </c:pt>
                <c:pt idx="524">
                  <c:v>34.15</c:v>
                </c:pt>
                <c:pt idx="525">
                  <c:v>35.119999999999997</c:v>
                </c:pt>
                <c:pt idx="526">
                  <c:v>35.409999999999997</c:v>
                </c:pt>
                <c:pt idx="527">
                  <c:v>34.71</c:v>
                </c:pt>
                <c:pt idx="528">
                  <c:v>34.44</c:v>
                </c:pt>
                <c:pt idx="529">
                  <c:v>34.049999999999997</c:v>
                </c:pt>
                <c:pt idx="530">
                  <c:v>36.659999999999997</c:v>
                </c:pt>
                <c:pt idx="531">
                  <c:v>37.51</c:v>
                </c:pt>
                <c:pt idx="532">
                  <c:v>36.74</c:v>
                </c:pt>
                <c:pt idx="533">
                  <c:v>36.74</c:v>
                </c:pt>
                <c:pt idx="534">
                  <c:v>34.6</c:v>
                </c:pt>
                <c:pt idx="535">
                  <c:v>34.42</c:v>
                </c:pt>
                <c:pt idx="536">
                  <c:v>34.770000000000003</c:v>
                </c:pt>
                <c:pt idx="537">
                  <c:v>35.369999999999997</c:v>
                </c:pt>
                <c:pt idx="538">
                  <c:v>35.15</c:v>
                </c:pt>
                <c:pt idx="539">
                  <c:v>34.270000000000003</c:v>
                </c:pt>
                <c:pt idx="540">
                  <c:v>33.86</c:v>
                </c:pt>
                <c:pt idx="541">
                  <c:v>34.61</c:v>
                </c:pt>
                <c:pt idx="542">
                  <c:v>32.89</c:v>
                </c:pt>
                <c:pt idx="543">
                  <c:v>32.39</c:v>
                </c:pt>
                <c:pt idx="544">
                  <c:v>34.130000000000003</c:v>
                </c:pt>
                <c:pt idx="545">
                  <c:v>32.44</c:v>
                </c:pt>
                <c:pt idx="546">
                  <c:v>32.299999999999997</c:v>
                </c:pt>
                <c:pt idx="547">
                  <c:v>32.229999999999997</c:v>
                </c:pt>
                <c:pt idx="548">
                  <c:v>31.78</c:v>
                </c:pt>
                <c:pt idx="549">
                  <c:v>31.62</c:v>
                </c:pt>
                <c:pt idx="550">
                  <c:v>31.19</c:v>
                </c:pt>
                <c:pt idx="551">
                  <c:v>31.94</c:v>
                </c:pt>
                <c:pt idx="552">
                  <c:v>31.45</c:v>
                </c:pt>
                <c:pt idx="553">
                  <c:v>32.71</c:v>
                </c:pt>
                <c:pt idx="554">
                  <c:v>32.630000000000003</c:v>
                </c:pt>
                <c:pt idx="555">
                  <c:v>33.04</c:v>
                </c:pt>
                <c:pt idx="556">
                  <c:v>31.6</c:v>
                </c:pt>
                <c:pt idx="557">
                  <c:v>31.01</c:v>
                </c:pt>
                <c:pt idx="558">
                  <c:v>32.29</c:v>
                </c:pt>
                <c:pt idx="559">
                  <c:v>33.11</c:v>
                </c:pt>
                <c:pt idx="560">
                  <c:v>31.61</c:v>
                </c:pt>
                <c:pt idx="561">
                  <c:v>32.93</c:v>
                </c:pt>
                <c:pt idx="562">
                  <c:v>32.78</c:v>
                </c:pt>
                <c:pt idx="563">
                  <c:v>33.06</c:v>
                </c:pt>
                <c:pt idx="564">
                  <c:v>33.799999999999997</c:v>
                </c:pt>
                <c:pt idx="565">
                  <c:v>34.61</c:v>
                </c:pt>
                <c:pt idx="566">
                  <c:v>33.6</c:v>
                </c:pt>
                <c:pt idx="567">
                  <c:v>33.53</c:v>
                </c:pt>
                <c:pt idx="568">
                  <c:v>33.61</c:v>
                </c:pt>
                <c:pt idx="569">
                  <c:v>34.61</c:v>
                </c:pt>
                <c:pt idx="570">
                  <c:v>35.31</c:v>
                </c:pt>
                <c:pt idx="571">
                  <c:v>34.590000000000003</c:v>
                </c:pt>
                <c:pt idx="572">
                  <c:v>34.56</c:v>
                </c:pt>
                <c:pt idx="573">
                  <c:v>33.99</c:v>
                </c:pt>
                <c:pt idx="574">
                  <c:v>32.57</c:v>
                </c:pt>
                <c:pt idx="575">
                  <c:v>32.71</c:v>
                </c:pt>
                <c:pt idx="576">
                  <c:v>33.49</c:v>
                </c:pt>
                <c:pt idx="577">
                  <c:v>34.159999999999997</c:v>
                </c:pt>
                <c:pt idx="578">
                  <c:v>34.840000000000003</c:v>
                </c:pt>
                <c:pt idx="579">
                  <c:v>34.42</c:v>
                </c:pt>
                <c:pt idx="580">
                  <c:v>34.81</c:v>
                </c:pt>
                <c:pt idx="581">
                  <c:v>34.44</c:v>
                </c:pt>
                <c:pt idx="582">
                  <c:v>33.94</c:v>
                </c:pt>
                <c:pt idx="583">
                  <c:v>33.6</c:v>
                </c:pt>
                <c:pt idx="584">
                  <c:v>33.54</c:v>
                </c:pt>
                <c:pt idx="585">
                  <c:v>33.159999999999997</c:v>
                </c:pt>
                <c:pt idx="586">
                  <c:v>32.74</c:v>
                </c:pt>
                <c:pt idx="587">
                  <c:v>33.08</c:v>
                </c:pt>
                <c:pt idx="588">
                  <c:v>33.65</c:v>
                </c:pt>
                <c:pt idx="589">
                  <c:v>32.93</c:v>
                </c:pt>
                <c:pt idx="590">
                  <c:v>32.28</c:v>
                </c:pt>
                <c:pt idx="591">
                  <c:v>32.79</c:v>
                </c:pt>
                <c:pt idx="592">
                  <c:v>32.51</c:v>
                </c:pt>
                <c:pt idx="593">
                  <c:v>31.96</c:v>
                </c:pt>
                <c:pt idx="594">
                  <c:v>31.54</c:v>
                </c:pt>
                <c:pt idx="595">
                  <c:v>32.36</c:v>
                </c:pt>
                <c:pt idx="596">
                  <c:v>32.06</c:v>
                </c:pt>
                <c:pt idx="597">
                  <c:v>31.42</c:v>
                </c:pt>
                <c:pt idx="598">
                  <c:v>31.98</c:v>
                </c:pt>
                <c:pt idx="599">
                  <c:v>31.42</c:v>
                </c:pt>
                <c:pt idx="600">
                  <c:v>31.87</c:v>
                </c:pt>
                <c:pt idx="601">
                  <c:v>31.53</c:v>
                </c:pt>
                <c:pt idx="602">
                  <c:v>31.48</c:v>
                </c:pt>
                <c:pt idx="603">
                  <c:v>31.3</c:v>
                </c:pt>
                <c:pt idx="604">
                  <c:v>30.43</c:v>
                </c:pt>
                <c:pt idx="605">
                  <c:v>30.56</c:v>
                </c:pt>
                <c:pt idx="606">
                  <c:v>31.17</c:v>
                </c:pt>
                <c:pt idx="607">
                  <c:v>30.98</c:v>
                </c:pt>
                <c:pt idx="608">
                  <c:v>31.34</c:v>
                </c:pt>
                <c:pt idx="609">
                  <c:v>31.19</c:v>
                </c:pt>
                <c:pt idx="610">
                  <c:v>30.52</c:v>
                </c:pt>
                <c:pt idx="611">
                  <c:v>29.5</c:v>
                </c:pt>
                <c:pt idx="612">
                  <c:v>29.21</c:v>
                </c:pt>
                <c:pt idx="613">
                  <c:v>29.12</c:v>
                </c:pt>
                <c:pt idx="614">
                  <c:v>28.9</c:v>
                </c:pt>
                <c:pt idx="615">
                  <c:v>27.8</c:v>
                </c:pt>
                <c:pt idx="616">
                  <c:v>28.22</c:v>
                </c:pt>
                <c:pt idx="617">
                  <c:v>28.56</c:v>
                </c:pt>
                <c:pt idx="618">
                  <c:v>28.35</c:v>
                </c:pt>
                <c:pt idx="619">
                  <c:v>27.99</c:v>
                </c:pt>
                <c:pt idx="620">
                  <c:v>28.23</c:v>
                </c:pt>
                <c:pt idx="621">
                  <c:v>28.15</c:v>
                </c:pt>
                <c:pt idx="622">
                  <c:v>28.37</c:v>
                </c:pt>
                <c:pt idx="623">
                  <c:v>27.94</c:v>
                </c:pt>
                <c:pt idx="624">
                  <c:v>27.43</c:v>
                </c:pt>
                <c:pt idx="625">
                  <c:v>28.09</c:v>
                </c:pt>
                <c:pt idx="626">
                  <c:v>28.68</c:v>
                </c:pt>
                <c:pt idx="627">
                  <c:v>29.08</c:v>
                </c:pt>
                <c:pt idx="628">
                  <c:v>29.04</c:v>
                </c:pt>
                <c:pt idx="629">
                  <c:v>29.14</c:v>
                </c:pt>
                <c:pt idx="630">
                  <c:v>28.16</c:v>
                </c:pt>
                <c:pt idx="631">
                  <c:v>28.2</c:v>
                </c:pt>
                <c:pt idx="632">
                  <c:v>27.62</c:v>
                </c:pt>
                <c:pt idx="633">
                  <c:v>27.37</c:v>
                </c:pt>
                <c:pt idx="634">
                  <c:v>27.65</c:v>
                </c:pt>
                <c:pt idx="635">
                  <c:v>27.82</c:v>
                </c:pt>
                <c:pt idx="636">
                  <c:v>28.5</c:v>
                </c:pt>
                <c:pt idx="637">
                  <c:v>28.39</c:v>
                </c:pt>
                <c:pt idx="638">
                  <c:v>27.89</c:v>
                </c:pt>
                <c:pt idx="639">
                  <c:v>27.52</c:v>
                </c:pt>
                <c:pt idx="640">
                  <c:v>28.41</c:v>
                </c:pt>
                <c:pt idx="641">
                  <c:v>28.17</c:v>
                </c:pt>
                <c:pt idx="642">
                  <c:v>29.01</c:v>
                </c:pt>
                <c:pt idx="643">
                  <c:v>30.03</c:v>
                </c:pt>
                <c:pt idx="644">
                  <c:v>29.89</c:v>
                </c:pt>
                <c:pt idx="645">
                  <c:v>30.87</c:v>
                </c:pt>
                <c:pt idx="646">
                  <c:v>29.95</c:v>
                </c:pt>
                <c:pt idx="647">
                  <c:v>30.51</c:v>
                </c:pt>
                <c:pt idx="648">
                  <c:v>29.95</c:v>
                </c:pt>
                <c:pt idx="649">
                  <c:v>29.39</c:v>
                </c:pt>
                <c:pt idx="650">
                  <c:v>29.43</c:v>
                </c:pt>
                <c:pt idx="651">
                  <c:v>28.66</c:v>
                </c:pt>
                <c:pt idx="652">
                  <c:v>28.36</c:v>
                </c:pt>
                <c:pt idx="653">
                  <c:v>29.15</c:v>
                </c:pt>
                <c:pt idx="654">
                  <c:v>28.95</c:v>
                </c:pt>
                <c:pt idx="655">
                  <c:v>28.8</c:v>
                </c:pt>
                <c:pt idx="656">
                  <c:v>27.52</c:v>
                </c:pt>
                <c:pt idx="657">
                  <c:v>27.07</c:v>
                </c:pt>
                <c:pt idx="658">
                  <c:v>26.5</c:v>
                </c:pt>
                <c:pt idx="659">
                  <c:v>27.22</c:v>
                </c:pt>
                <c:pt idx="660">
                  <c:v>27.01</c:v>
                </c:pt>
                <c:pt idx="661">
                  <c:v>27.59</c:v>
                </c:pt>
                <c:pt idx="662">
                  <c:v>27.38</c:v>
                </c:pt>
                <c:pt idx="663">
                  <c:v>27.61</c:v>
                </c:pt>
                <c:pt idx="664">
                  <c:v>28.44</c:v>
                </c:pt>
                <c:pt idx="665">
                  <c:v>28.24</c:v>
                </c:pt>
                <c:pt idx="666">
                  <c:v>27.44</c:v>
                </c:pt>
                <c:pt idx="667">
                  <c:v>28.11</c:v>
                </c:pt>
                <c:pt idx="668">
                  <c:v>28.1</c:v>
                </c:pt>
                <c:pt idx="669">
                  <c:v>28.47</c:v>
                </c:pt>
                <c:pt idx="670">
                  <c:v>28.19</c:v>
                </c:pt>
                <c:pt idx="671">
                  <c:v>29.51</c:v>
                </c:pt>
                <c:pt idx="672">
                  <c:v>29.13</c:v>
                </c:pt>
                <c:pt idx="673">
                  <c:v>28.34</c:v>
                </c:pt>
                <c:pt idx="674">
                  <c:v>28.64</c:v>
                </c:pt>
                <c:pt idx="675">
                  <c:v>28.48</c:v>
                </c:pt>
                <c:pt idx="676">
                  <c:v>28.94</c:v>
                </c:pt>
                <c:pt idx="677">
                  <c:v>29.28</c:v>
                </c:pt>
                <c:pt idx="678">
                  <c:v>28.62</c:v>
                </c:pt>
                <c:pt idx="679">
                  <c:v>29.79</c:v>
                </c:pt>
                <c:pt idx="680">
                  <c:v>29.83</c:v>
                </c:pt>
                <c:pt idx="681">
                  <c:v>30.36</c:v>
                </c:pt>
                <c:pt idx="682">
                  <c:v>30.96</c:v>
                </c:pt>
                <c:pt idx="683">
                  <c:v>31.03</c:v>
                </c:pt>
                <c:pt idx="684">
                  <c:v>31.5</c:v>
                </c:pt>
                <c:pt idx="685">
                  <c:v>30.43</c:v>
                </c:pt>
                <c:pt idx="686">
                  <c:v>30.88</c:v>
                </c:pt>
                <c:pt idx="687">
                  <c:v>30.42</c:v>
                </c:pt>
                <c:pt idx="688">
                  <c:v>31.01</c:v>
                </c:pt>
                <c:pt idx="689">
                  <c:v>32.270000000000003</c:v>
                </c:pt>
                <c:pt idx="690">
                  <c:v>33.79</c:v>
                </c:pt>
                <c:pt idx="691">
                  <c:v>34.729999999999997</c:v>
                </c:pt>
                <c:pt idx="692">
                  <c:v>34.81</c:v>
                </c:pt>
                <c:pt idx="693">
                  <c:v>34.07</c:v>
                </c:pt>
                <c:pt idx="694">
                  <c:v>33.35</c:v>
                </c:pt>
                <c:pt idx="695">
                  <c:v>32.020000000000003</c:v>
                </c:pt>
                <c:pt idx="696">
                  <c:v>29.94</c:v>
                </c:pt>
                <c:pt idx="697">
                  <c:v>30.97</c:v>
                </c:pt>
                <c:pt idx="698">
                  <c:v>30.57</c:v>
                </c:pt>
                <c:pt idx="699">
                  <c:v>30.64</c:v>
                </c:pt>
                <c:pt idx="700">
                  <c:v>28.31</c:v>
                </c:pt>
                <c:pt idx="701">
                  <c:v>28.48</c:v>
                </c:pt>
                <c:pt idx="702">
                  <c:v>26.11</c:v>
                </c:pt>
                <c:pt idx="703">
                  <c:v>25.64</c:v>
                </c:pt>
                <c:pt idx="704">
                  <c:v>26.85</c:v>
                </c:pt>
                <c:pt idx="705">
                  <c:v>26.43</c:v>
                </c:pt>
                <c:pt idx="706">
                  <c:v>27.41</c:v>
                </c:pt>
                <c:pt idx="707">
                  <c:v>26.29</c:v>
                </c:pt>
                <c:pt idx="708">
                  <c:v>25.05</c:v>
                </c:pt>
                <c:pt idx="709">
                  <c:v>26.14</c:v>
                </c:pt>
                <c:pt idx="710">
                  <c:v>26.23</c:v>
                </c:pt>
                <c:pt idx="711">
                  <c:v>26.58</c:v>
                </c:pt>
                <c:pt idx="712">
                  <c:v>26.64</c:v>
                </c:pt>
                <c:pt idx="713">
                  <c:v>27.38</c:v>
                </c:pt>
                <c:pt idx="714">
                  <c:v>28.14</c:v>
                </c:pt>
                <c:pt idx="715">
                  <c:v>27.5</c:v>
                </c:pt>
                <c:pt idx="716">
                  <c:v>28.52</c:v>
                </c:pt>
                <c:pt idx="717">
                  <c:v>27.2</c:v>
                </c:pt>
                <c:pt idx="718">
                  <c:v>27.96</c:v>
                </c:pt>
                <c:pt idx="719">
                  <c:v>28.11</c:v>
                </c:pt>
                <c:pt idx="720">
                  <c:v>29.92</c:v>
                </c:pt>
                <c:pt idx="721">
                  <c:v>29.8</c:v>
                </c:pt>
                <c:pt idx="722">
                  <c:v>30.91</c:v>
                </c:pt>
                <c:pt idx="723">
                  <c:v>31.35</c:v>
                </c:pt>
                <c:pt idx="724">
                  <c:v>31.53</c:v>
                </c:pt>
                <c:pt idx="725">
                  <c:v>31.41</c:v>
                </c:pt>
                <c:pt idx="726">
                  <c:v>33.39</c:v>
                </c:pt>
                <c:pt idx="727">
                  <c:v>33.08</c:v>
                </c:pt>
                <c:pt idx="728">
                  <c:v>33.74</c:v>
                </c:pt>
                <c:pt idx="729">
                  <c:v>35.229999999999997</c:v>
                </c:pt>
                <c:pt idx="730">
                  <c:v>32.840000000000003</c:v>
                </c:pt>
                <c:pt idx="731">
                  <c:v>31.94</c:v>
                </c:pt>
                <c:pt idx="732">
                  <c:v>34.15</c:v>
                </c:pt>
                <c:pt idx="733">
                  <c:v>32.99</c:v>
                </c:pt>
                <c:pt idx="734">
                  <c:v>34.11</c:v>
                </c:pt>
                <c:pt idx="735">
                  <c:v>33.61</c:v>
                </c:pt>
                <c:pt idx="736">
                  <c:v>35.340000000000003</c:v>
                </c:pt>
                <c:pt idx="737">
                  <c:v>37.130000000000003</c:v>
                </c:pt>
                <c:pt idx="738">
                  <c:v>38.659999999999997</c:v>
                </c:pt>
                <c:pt idx="739">
                  <c:v>38.700000000000003</c:v>
                </c:pt>
                <c:pt idx="740">
                  <c:v>39.19</c:v>
                </c:pt>
                <c:pt idx="741">
                  <c:v>39.58</c:v>
                </c:pt>
                <c:pt idx="742">
                  <c:v>40.07</c:v>
                </c:pt>
                <c:pt idx="743">
                  <c:v>41.84</c:v>
                </c:pt>
                <c:pt idx="744">
                  <c:v>43.33</c:v>
                </c:pt>
                <c:pt idx="745">
                  <c:v>43.76</c:v>
                </c:pt>
                <c:pt idx="746">
                  <c:v>41.85</c:v>
                </c:pt>
                <c:pt idx="747">
                  <c:v>42.27</c:v>
                </c:pt>
                <c:pt idx="748">
                  <c:v>44.62</c:v>
                </c:pt>
                <c:pt idx="749">
                  <c:v>44.66</c:v>
                </c:pt>
                <c:pt idx="750">
                  <c:v>46.04</c:v>
                </c:pt>
                <c:pt idx="751">
                  <c:v>47.55</c:v>
                </c:pt>
                <c:pt idx="752">
                  <c:v>51.34</c:v>
                </c:pt>
                <c:pt idx="753">
                  <c:v>53.38</c:v>
                </c:pt>
                <c:pt idx="754">
                  <c:v>56.89</c:v>
                </c:pt>
                <c:pt idx="755">
                  <c:v>53.87</c:v>
                </c:pt>
                <c:pt idx="756">
                  <c:v>52.48</c:v>
                </c:pt>
                <c:pt idx="757">
                  <c:v>52.13</c:v>
                </c:pt>
                <c:pt idx="758">
                  <c:v>52.85</c:v>
                </c:pt>
                <c:pt idx="759">
                  <c:v>56.33</c:v>
                </c:pt>
                <c:pt idx="760">
                  <c:v>62.71</c:v>
                </c:pt>
                <c:pt idx="761">
                  <c:v>68.459999999999994</c:v>
                </c:pt>
                <c:pt idx="762">
                  <c:v>66.38</c:v>
                </c:pt>
                <c:pt idx="763">
                  <c:v>68.41</c:v>
                </c:pt>
                <c:pt idx="764">
                  <c:v>65.489999999999995</c:v>
                </c:pt>
                <c:pt idx="765">
                  <c:v>65.790000000000006</c:v>
                </c:pt>
                <c:pt idx="766">
                  <c:v>71.34</c:v>
                </c:pt>
                <c:pt idx="767">
                  <c:v>66.98</c:v>
                </c:pt>
                <c:pt idx="768">
                  <c:v>58.12</c:v>
                </c:pt>
                <c:pt idx="769">
                  <c:v>59.71</c:v>
                </c:pt>
                <c:pt idx="770">
                  <c:v>66.819999999999993</c:v>
                </c:pt>
                <c:pt idx="771">
                  <c:v>62.41</c:v>
                </c:pt>
                <c:pt idx="772">
                  <c:v>68.31</c:v>
                </c:pt>
                <c:pt idx="773">
                  <c:v>65.66</c:v>
                </c:pt>
                <c:pt idx="774">
                  <c:v>65.819999999999993</c:v>
                </c:pt>
                <c:pt idx="775">
                  <c:v>63.41</c:v>
                </c:pt>
                <c:pt idx="776">
                  <c:v>63.51</c:v>
                </c:pt>
                <c:pt idx="777">
                  <c:v>57.49</c:v>
                </c:pt>
                <c:pt idx="778">
                  <c:v>61.3</c:v>
                </c:pt>
                <c:pt idx="779">
                  <c:v>59</c:v>
                </c:pt>
                <c:pt idx="780">
                  <c:v>55.74</c:v>
                </c:pt>
                <c:pt idx="781">
                  <c:v>56.29</c:v>
                </c:pt>
                <c:pt idx="782">
                  <c:v>57.97</c:v>
                </c:pt>
                <c:pt idx="783">
                  <c:v>58.61</c:v>
                </c:pt>
                <c:pt idx="784">
                  <c:v>61.33</c:v>
                </c:pt>
                <c:pt idx="785">
                  <c:v>61.29</c:v>
                </c:pt>
                <c:pt idx="786">
                  <c:v>62.09</c:v>
                </c:pt>
                <c:pt idx="787">
                  <c:v>61.27</c:v>
                </c:pt>
                <c:pt idx="788">
                  <c:v>58.78</c:v>
                </c:pt>
                <c:pt idx="789">
                  <c:v>58.97</c:v>
                </c:pt>
                <c:pt idx="790">
                  <c:v>58.16</c:v>
                </c:pt>
                <c:pt idx="791">
                  <c:v>59.02</c:v>
                </c:pt>
                <c:pt idx="792">
                  <c:v>57.1</c:v>
                </c:pt>
                <c:pt idx="793">
                  <c:v>53.59</c:v>
                </c:pt>
                <c:pt idx="794">
                  <c:v>53.88</c:v>
                </c:pt>
                <c:pt idx="795">
                  <c:v>55.44</c:v>
                </c:pt>
                <c:pt idx="796">
                  <c:v>56.3</c:v>
                </c:pt>
                <c:pt idx="797">
                  <c:v>58.63</c:v>
                </c:pt>
                <c:pt idx="798">
                  <c:v>58.15</c:v>
                </c:pt>
                <c:pt idx="799">
                  <c:v>63</c:v>
                </c:pt>
                <c:pt idx="800">
                  <c:v>65.27</c:v>
                </c:pt>
                <c:pt idx="801">
                  <c:v>65.36</c:v>
                </c:pt>
                <c:pt idx="802">
                  <c:v>65.72</c:v>
                </c:pt>
                <c:pt idx="803">
                  <c:v>67.569999999999993</c:v>
                </c:pt>
                <c:pt idx="804">
                  <c:v>68.75</c:v>
                </c:pt>
                <c:pt idx="805">
                  <c:v>76.8</c:v>
                </c:pt>
                <c:pt idx="806">
                  <c:v>82.18</c:v>
                </c:pt>
                <c:pt idx="807">
                  <c:v>72.290000000000006</c:v>
                </c:pt>
                <c:pt idx="808">
                  <c:v>74.75</c:v>
                </c:pt>
                <c:pt idx="809">
                  <c:v>71.2</c:v>
                </c:pt>
                <c:pt idx="810">
                  <c:v>75.12</c:v>
                </c:pt>
                <c:pt idx="811">
                  <c:v>78.91</c:v>
                </c:pt>
                <c:pt idx="812">
                  <c:v>83.26</c:v>
                </c:pt>
                <c:pt idx="813">
                  <c:v>89.17</c:v>
                </c:pt>
                <c:pt idx="814">
                  <c:v>88.4</c:v>
                </c:pt>
                <c:pt idx="815">
                  <c:v>88.34</c:v>
                </c:pt>
                <c:pt idx="816">
                  <c:v>80.930000000000007</c:v>
                </c:pt>
                <c:pt idx="817">
                  <c:v>79.569999999999993</c:v>
                </c:pt>
                <c:pt idx="818">
                  <c:v>81.849999999999994</c:v>
                </c:pt>
                <c:pt idx="819">
                  <c:v>80.81</c:v>
                </c:pt>
                <c:pt idx="820">
                  <c:v>73.790000000000006</c:v>
                </c:pt>
                <c:pt idx="821">
                  <c:v>69.75</c:v>
                </c:pt>
                <c:pt idx="822">
                  <c:v>65.680000000000007</c:v>
                </c:pt>
                <c:pt idx="823">
                  <c:v>64.069999999999993</c:v>
                </c:pt>
                <c:pt idx="824">
                  <c:v>60.08</c:v>
                </c:pt>
                <c:pt idx="825">
                  <c:v>60.32</c:v>
                </c:pt>
                <c:pt idx="826">
                  <c:v>68.599999999999994</c:v>
                </c:pt>
                <c:pt idx="827">
                  <c:v>68.59</c:v>
                </c:pt>
                <c:pt idx="828">
                  <c:v>71.97</c:v>
                </c:pt>
                <c:pt idx="829">
                  <c:v>67.900000000000006</c:v>
                </c:pt>
                <c:pt idx="830">
                  <c:v>70.819999999999993</c:v>
                </c:pt>
                <c:pt idx="831">
                  <c:v>71.5</c:v>
                </c:pt>
                <c:pt idx="832">
                  <c:v>70.25</c:v>
                </c:pt>
                <c:pt idx="833">
                  <c:v>68.66</c:v>
                </c:pt>
                <c:pt idx="834">
                  <c:v>67</c:v>
                </c:pt>
                <c:pt idx="835">
                  <c:v>65.349999999999994</c:v>
                </c:pt>
                <c:pt idx="836">
                  <c:v>70.08</c:v>
                </c:pt>
                <c:pt idx="837">
                  <c:v>69.569999999999993</c:v>
                </c:pt>
                <c:pt idx="838">
                  <c:v>71.5</c:v>
                </c:pt>
                <c:pt idx="839">
                  <c:v>71.790000000000006</c:v>
                </c:pt>
                <c:pt idx="840">
                  <c:v>77.17</c:v>
                </c:pt>
                <c:pt idx="841">
                  <c:v>76.97</c:v>
                </c:pt>
                <c:pt idx="842">
                  <c:v>72.739999999999995</c:v>
                </c:pt>
                <c:pt idx="843">
                  <c:v>74.52</c:v>
                </c:pt>
                <c:pt idx="844">
                  <c:v>67.59</c:v>
                </c:pt>
                <c:pt idx="845">
                  <c:v>62.2</c:v>
                </c:pt>
                <c:pt idx="846">
                  <c:v>63.36</c:v>
                </c:pt>
                <c:pt idx="847">
                  <c:v>65.930000000000007</c:v>
                </c:pt>
                <c:pt idx="848">
                  <c:v>63.81</c:v>
                </c:pt>
                <c:pt idx="849">
                  <c:v>63.73</c:v>
                </c:pt>
                <c:pt idx="850">
                  <c:v>63.25</c:v>
                </c:pt>
                <c:pt idx="851">
                  <c:v>61.97</c:v>
                </c:pt>
                <c:pt idx="852">
                  <c:v>60.62</c:v>
                </c:pt>
                <c:pt idx="853">
                  <c:v>59.06</c:v>
                </c:pt>
                <c:pt idx="854">
                  <c:v>60.54</c:v>
                </c:pt>
                <c:pt idx="855">
                  <c:v>61.51</c:v>
                </c:pt>
                <c:pt idx="856">
                  <c:v>61.11</c:v>
                </c:pt>
                <c:pt idx="857">
                  <c:v>60.61</c:v>
                </c:pt>
                <c:pt idx="858">
                  <c:v>56.1</c:v>
                </c:pt>
                <c:pt idx="859">
                  <c:v>57.46</c:v>
                </c:pt>
                <c:pt idx="860">
                  <c:v>53.27</c:v>
                </c:pt>
                <c:pt idx="861">
                  <c:v>55.49</c:v>
                </c:pt>
                <c:pt idx="862">
                  <c:v>54.53</c:v>
                </c:pt>
                <c:pt idx="863">
                  <c:v>53.66</c:v>
                </c:pt>
                <c:pt idx="864">
                  <c:v>53.4</c:v>
                </c:pt>
                <c:pt idx="865">
                  <c:v>51.61</c:v>
                </c:pt>
                <c:pt idx="866">
                  <c:v>54.09</c:v>
                </c:pt>
                <c:pt idx="867">
                  <c:v>49.89</c:v>
                </c:pt>
                <c:pt idx="868">
                  <c:v>47.27</c:v>
                </c:pt>
                <c:pt idx="869">
                  <c:v>48.82</c:v>
                </c:pt>
                <c:pt idx="870">
                  <c:v>49.5</c:v>
                </c:pt>
                <c:pt idx="871">
                  <c:v>54.59</c:v>
                </c:pt>
                <c:pt idx="872">
                  <c:v>59.69</c:v>
                </c:pt>
                <c:pt idx="873">
                  <c:v>57.94</c:v>
                </c:pt>
                <c:pt idx="874">
                  <c:v>65.010000000000005</c:v>
                </c:pt>
                <c:pt idx="875">
                  <c:v>66.55</c:v>
                </c:pt>
                <c:pt idx="876">
                  <c:v>67.89</c:v>
                </c:pt>
                <c:pt idx="877">
                  <c:v>69.400000000000006</c:v>
                </c:pt>
                <c:pt idx="878">
                  <c:v>67.599999999999994</c:v>
                </c:pt>
                <c:pt idx="879">
                  <c:v>68</c:v>
                </c:pt>
                <c:pt idx="880">
                  <c:v>66.34</c:v>
                </c:pt>
                <c:pt idx="881">
                  <c:v>68.290000000000006</c:v>
                </c:pt>
                <c:pt idx="882">
                  <c:v>66.73</c:v>
                </c:pt>
                <c:pt idx="883">
                  <c:v>66.55</c:v>
                </c:pt>
                <c:pt idx="884">
                  <c:v>63.15</c:v>
                </c:pt>
                <c:pt idx="885">
                  <c:v>63.38</c:v>
                </c:pt>
                <c:pt idx="886">
                  <c:v>60.85</c:v>
                </c:pt>
                <c:pt idx="887">
                  <c:v>57.44</c:v>
                </c:pt>
                <c:pt idx="888">
                  <c:v>57.29</c:v>
                </c:pt>
                <c:pt idx="889">
                  <c:v>55.35</c:v>
                </c:pt>
                <c:pt idx="890">
                  <c:v>53.39</c:v>
                </c:pt>
                <c:pt idx="891">
                  <c:v>52.27</c:v>
                </c:pt>
                <c:pt idx="892">
                  <c:v>49.36</c:v>
                </c:pt>
                <c:pt idx="893">
                  <c:v>51.2</c:v>
                </c:pt>
                <c:pt idx="894">
                  <c:v>52.01</c:v>
                </c:pt>
                <c:pt idx="895" formatCode="General">
                  <c:v>51.53</c:v>
                </c:pt>
                <c:pt idx="896" formatCode="General">
                  <c:v>51.38</c:v>
                </c:pt>
                <c:pt idx="897" formatCode="General">
                  <c:v>50.15</c:v>
                </c:pt>
                <c:pt idx="898" formatCode="General">
                  <c:v>49.99</c:v>
                </c:pt>
                <c:pt idx="899" formatCode="General">
                  <c:v>48.53</c:v>
                </c:pt>
                <c:pt idx="900" formatCode="General">
                  <c:v>47.84</c:v>
                </c:pt>
                <c:pt idx="901" formatCode="General">
                  <c:v>47.17</c:v>
                </c:pt>
                <c:pt idx="902" formatCode="General">
                  <c:v>47.75</c:v>
                </c:pt>
                <c:pt idx="903" formatCode="General">
                  <c:v>46.9</c:v>
                </c:pt>
                <c:pt idx="904" formatCode="General">
                  <c:v>46.93</c:v>
                </c:pt>
                <c:pt idx="905" formatCode="General">
                  <c:v>44.73</c:v>
                </c:pt>
                <c:pt idx="906" formatCode="General">
                  <c:v>47.26</c:v>
                </c:pt>
                <c:pt idx="907" formatCode="General">
                  <c:v>45.59</c:v>
                </c:pt>
                <c:pt idx="908" formatCode="General">
                  <c:v>44.02</c:v>
                </c:pt>
                <c:pt idx="909" formatCode="General">
                  <c:v>44.62</c:v>
                </c:pt>
                <c:pt idx="910" formatCode="General">
                  <c:v>45.6</c:v>
                </c:pt>
                <c:pt idx="911" formatCode="General">
                  <c:v>49.42</c:v>
                </c:pt>
                <c:pt idx="912" formatCode="General">
                  <c:v>47.64</c:v>
                </c:pt>
                <c:pt idx="913" formatCode="General">
                  <c:v>47.95</c:v>
                </c:pt>
                <c:pt idx="914" formatCode="General">
                  <c:v>48.89</c:v>
                </c:pt>
                <c:pt idx="915" formatCode="General">
                  <c:v>45.89</c:v>
                </c:pt>
                <c:pt idx="916" formatCode="General">
                  <c:v>44.38</c:v>
                </c:pt>
                <c:pt idx="917" formatCode="General">
                  <c:v>44.93</c:v>
                </c:pt>
                <c:pt idx="918" formatCode="General">
                  <c:v>42.42</c:v>
                </c:pt>
                <c:pt idx="919" formatCode="General">
                  <c:v>43.81</c:v>
                </c:pt>
                <c:pt idx="920" formatCode="General">
                  <c:v>45.27</c:v>
                </c:pt>
                <c:pt idx="921" formatCode="General">
                  <c:v>44.95</c:v>
                </c:pt>
                <c:pt idx="922" formatCode="General">
                  <c:v>45.52</c:v>
                </c:pt>
                <c:pt idx="923" formatCode="General">
                  <c:v>43.63</c:v>
                </c:pt>
                <c:pt idx="924" formatCode="General">
                  <c:v>43.68</c:v>
                </c:pt>
                <c:pt idx="925" formatCode="General">
                  <c:v>43.94</c:v>
                </c:pt>
                <c:pt idx="926" formatCode="General">
                  <c:v>43.77</c:v>
                </c:pt>
                <c:pt idx="927" formatCode="General">
                  <c:v>49.62</c:v>
                </c:pt>
                <c:pt idx="928" formatCode="General">
                  <c:v>47.55</c:v>
                </c:pt>
                <c:pt idx="929" formatCode="General">
                  <c:v>46.56</c:v>
                </c:pt>
                <c:pt idx="930" formatCode="General">
                  <c:v>43.66</c:v>
                </c:pt>
                <c:pt idx="931" formatCode="General">
                  <c:v>41.71</c:v>
                </c:pt>
                <c:pt idx="932" formatCode="General">
                  <c:v>42.74</c:v>
                </c:pt>
                <c:pt idx="933" formatCode="General">
                  <c:v>39.950000000000003</c:v>
                </c:pt>
                <c:pt idx="934" formatCode="General">
                  <c:v>41.47</c:v>
                </c:pt>
                <c:pt idx="935" formatCode="General">
                  <c:v>43.14</c:v>
                </c:pt>
                <c:pt idx="936" formatCode="General">
                  <c:v>40.770000000000003</c:v>
                </c:pt>
                <c:pt idx="937" formatCode="General">
                  <c:v>40.69</c:v>
                </c:pt>
                <c:pt idx="938" formatCode="General">
                  <c:v>42.16</c:v>
                </c:pt>
                <c:pt idx="939" formatCode="General">
                  <c:v>42.18</c:v>
                </c:pt>
                <c:pt idx="940" formatCode="General">
                  <c:v>44.04</c:v>
                </c:pt>
                <c:pt idx="941" formatCode="General">
                  <c:v>43.44</c:v>
                </c:pt>
                <c:pt idx="942" formatCode="General">
                  <c:v>41.82</c:v>
                </c:pt>
                <c:pt idx="943" formatCode="General">
                  <c:v>44.15</c:v>
                </c:pt>
                <c:pt idx="944" formatCode="General">
                  <c:v>46.3</c:v>
                </c:pt>
                <c:pt idx="945" formatCode="General">
                  <c:v>48.77</c:v>
                </c:pt>
                <c:pt idx="946" formatCode="General">
                  <c:v>45.35</c:v>
                </c:pt>
                <c:pt idx="947" formatCode="General">
                  <c:v>41.77</c:v>
                </c:pt>
                <c:pt idx="948" formatCode="General">
                  <c:v>41.61</c:v>
                </c:pt>
                <c:pt idx="949" formatCode="General">
                  <c:v>42.78</c:v>
                </c:pt>
                <c:pt idx="950" formatCode="General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25-4F10-A98B-4D1FCD737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6496368"/>
        <c:axId val="656494448"/>
      </c:lineChart>
      <c:dateAx>
        <c:axId val="579052048"/>
        <c:scaling>
          <c:orientation val="minMax"/>
          <c:min val="43348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9050608"/>
        <c:crosses val="autoZero"/>
        <c:auto val="1"/>
        <c:lblOffset val="100"/>
        <c:baseTimeUnit val="days"/>
        <c:majorUnit val="6"/>
        <c:majorTimeUnit val="months"/>
        <c:minorUnit val="3"/>
        <c:minorTimeUnit val="months"/>
      </c:dateAx>
      <c:valAx>
        <c:axId val="579050608"/>
        <c:scaling>
          <c:orientation val="minMax"/>
          <c:max val="150000"/>
          <c:min val="-200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200"/>
                  <a:t>Managed Money Net Futures and Options Position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9052048"/>
        <c:crosses val="autoZero"/>
        <c:crossBetween val="between"/>
      </c:valAx>
      <c:valAx>
        <c:axId val="656494448"/>
        <c:scaling>
          <c:orientation val="minMax"/>
          <c:max val="90"/>
          <c:min val="2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Nearby Futures (roll on expiration, </a:t>
                </a:r>
                <a:r>
                  <a:rPr lang="en-GB">
                    <a:latin typeface="Aptos Narrow" panose="020B0004020202020204" pitchFamily="34" charset="0"/>
                  </a:rPr>
                  <a:t>¢/lb.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56496368"/>
        <c:crosses val="max"/>
        <c:crossBetween val="between"/>
      </c:valAx>
      <c:dateAx>
        <c:axId val="65649636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extTo"/>
        <c:crossAx val="656494448"/>
        <c:crosses val="autoZero"/>
        <c:auto val="1"/>
        <c:lblOffset val="100"/>
        <c:baseTimeUnit val="days"/>
      </c:date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38366569354200647"/>
          <c:y val="0.73610313048382148"/>
          <c:w val="0.38306093219994014"/>
          <c:h val="7.8557343754390691E-2"/>
        </c:manualLayout>
      </c:layout>
      <c:overlay val="0"/>
      <c:spPr>
        <a:solidFill>
          <a:schemeClr val="bg1"/>
        </a:solidFill>
        <a:ln w="158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chemeClr val="tx1"/>
              </a:solidFill>
              <a:latin typeface="Brown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47651390158939"/>
          <c:y val="0.15154003538857963"/>
          <c:w val="0.74897359711583245"/>
          <c:h val="0.676600470574600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'Oil Share Data'!$D$1</c:f>
              <c:strCache>
                <c:ptCount val="1"/>
                <c:pt idx="0">
                  <c:v>Change in Fund Position</c:v>
                </c:pt>
              </c:strCache>
            </c:strRef>
          </c:tx>
          <c:spPr>
            <a:solidFill>
              <a:srgbClr val="C00000"/>
            </a:solidFill>
            <a:ln w="3175">
              <a:noFill/>
            </a:ln>
            <a:effectLst/>
          </c:spPr>
          <c:invertIfNegative val="0"/>
          <c:cat>
            <c:strRef>
              <c:f>'Oil Share Data'!$A$3:$A$1000</c:f>
              <c:strCache>
                <c:ptCount val="998"/>
                <c:pt idx="0">
                  <c:v>12-Sep-06</c:v>
                </c:pt>
                <c:pt idx="1">
                  <c:v>19-Sep-06</c:v>
                </c:pt>
                <c:pt idx="2">
                  <c:v>26-Sep-06</c:v>
                </c:pt>
                <c:pt idx="3">
                  <c:v>3-Oct-06</c:v>
                </c:pt>
                <c:pt idx="4">
                  <c:v>10-Oct-06</c:v>
                </c:pt>
                <c:pt idx="5">
                  <c:v>17-Oct-06</c:v>
                </c:pt>
                <c:pt idx="6">
                  <c:v>24-Oct-06</c:v>
                </c:pt>
                <c:pt idx="7">
                  <c:v>31-Oct-06</c:v>
                </c:pt>
                <c:pt idx="8">
                  <c:v>7-Nov-06</c:v>
                </c:pt>
                <c:pt idx="9">
                  <c:v>14-Nov-06</c:v>
                </c:pt>
                <c:pt idx="10">
                  <c:v>21-Nov-06</c:v>
                </c:pt>
                <c:pt idx="11">
                  <c:v>28-Nov-06</c:v>
                </c:pt>
                <c:pt idx="12">
                  <c:v>5-Dec-06</c:v>
                </c:pt>
                <c:pt idx="13">
                  <c:v>12-Dec-06</c:v>
                </c:pt>
                <c:pt idx="14">
                  <c:v>19-Dec-06</c:v>
                </c:pt>
                <c:pt idx="15">
                  <c:v>26-Dec-06</c:v>
                </c:pt>
                <c:pt idx="16">
                  <c:v>2-Jan-07</c:v>
                </c:pt>
                <c:pt idx="17">
                  <c:v>9-Jan-07</c:v>
                </c:pt>
                <c:pt idx="18">
                  <c:v>16-Jan-07</c:v>
                </c:pt>
                <c:pt idx="19">
                  <c:v>23-Jan-07</c:v>
                </c:pt>
                <c:pt idx="20">
                  <c:v>30-Jan-07</c:v>
                </c:pt>
                <c:pt idx="21">
                  <c:v>6-Feb-07</c:v>
                </c:pt>
                <c:pt idx="22">
                  <c:v>13-Feb-07</c:v>
                </c:pt>
                <c:pt idx="23">
                  <c:v>20-Feb-07</c:v>
                </c:pt>
                <c:pt idx="24">
                  <c:v>27-Feb-07</c:v>
                </c:pt>
                <c:pt idx="25">
                  <c:v>6-Mar-07</c:v>
                </c:pt>
                <c:pt idx="26">
                  <c:v>13-Mar-07</c:v>
                </c:pt>
                <c:pt idx="27">
                  <c:v>20-Mar-07</c:v>
                </c:pt>
                <c:pt idx="28">
                  <c:v>27-Mar-07</c:v>
                </c:pt>
                <c:pt idx="29">
                  <c:v>3-Apr-07</c:v>
                </c:pt>
                <c:pt idx="30">
                  <c:v>10-Apr-07</c:v>
                </c:pt>
                <c:pt idx="31">
                  <c:v>17-Apr-07</c:v>
                </c:pt>
                <c:pt idx="32">
                  <c:v>24-Apr-07</c:v>
                </c:pt>
                <c:pt idx="33">
                  <c:v>1-May-07</c:v>
                </c:pt>
                <c:pt idx="34">
                  <c:v>8-May-07</c:v>
                </c:pt>
                <c:pt idx="35">
                  <c:v>15-May-07</c:v>
                </c:pt>
                <c:pt idx="36">
                  <c:v>22-May-07</c:v>
                </c:pt>
                <c:pt idx="37">
                  <c:v>29-May-07</c:v>
                </c:pt>
                <c:pt idx="38">
                  <c:v>5-Jun-07</c:v>
                </c:pt>
                <c:pt idx="39">
                  <c:v>12-Jun-07</c:v>
                </c:pt>
                <c:pt idx="40">
                  <c:v>19-Jun-07</c:v>
                </c:pt>
                <c:pt idx="41">
                  <c:v>26-Jun-07</c:v>
                </c:pt>
                <c:pt idx="42">
                  <c:v>3-Jul-07</c:v>
                </c:pt>
                <c:pt idx="43">
                  <c:v>10-Jul-07</c:v>
                </c:pt>
                <c:pt idx="44">
                  <c:v>17-Jul-07</c:v>
                </c:pt>
                <c:pt idx="45">
                  <c:v>24-Jul-07</c:v>
                </c:pt>
                <c:pt idx="46">
                  <c:v>31-Jul-07</c:v>
                </c:pt>
                <c:pt idx="47">
                  <c:v>7-Aug-07</c:v>
                </c:pt>
                <c:pt idx="48">
                  <c:v>14-Aug-07</c:v>
                </c:pt>
                <c:pt idx="49">
                  <c:v>21-Aug-07</c:v>
                </c:pt>
                <c:pt idx="50">
                  <c:v>28-Aug-07</c:v>
                </c:pt>
                <c:pt idx="51">
                  <c:v>4-Sep-07</c:v>
                </c:pt>
                <c:pt idx="52">
                  <c:v>11-Sep-07</c:v>
                </c:pt>
                <c:pt idx="53">
                  <c:v>18-Sep-07</c:v>
                </c:pt>
                <c:pt idx="54">
                  <c:v>25-Sep-07</c:v>
                </c:pt>
                <c:pt idx="55">
                  <c:v>2-Oct-07</c:v>
                </c:pt>
                <c:pt idx="56">
                  <c:v>9-Oct-07</c:v>
                </c:pt>
                <c:pt idx="57">
                  <c:v>16-Oct-07</c:v>
                </c:pt>
                <c:pt idx="58">
                  <c:v>23-Oct-07</c:v>
                </c:pt>
                <c:pt idx="59">
                  <c:v>30-Oct-07</c:v>
                </c:pt>
                <c:pt idx="60">
                  <c:v>6-Nov-07</c:v>
                </c:pt>
                <c:pt idx="61">
                  <c:v>13-Nov-07</c:v>
                </c:pt>
                <c:pt idx="62">
                  <c:v>20-Nov-07</c:v>
                </c:pt>
                <c:pt idx="63">
                  <c:v>27-Nov-07</c:v>
                </c:pt>
                <c:pt idx="64">
                  <c:v>4-Dec-07</c:v>
                </c:pt>
                <c:pt idx="65">
                  <c:v>11-Dec-07</c:v>
                </c:pt>
                <c:pt idx="66">
                  <c:v>18-Dec-07</c:v>
                </c:pt>
                <c:pt idx="67">
                  <c:v>8-Jan-08</c:v>
                </c:pt>
                <c:pt idx="68">
                  <c:v>15-Jan-08</c:v>
                </c:pt>
                <c:pt idx="69">
                  <c:v>22-Jan-08</c:v>
                </c:pt>
                <c:pt idx="70">
                  <c:v>29-Jan-08</c:v>
                </c:pt>
                <c:pt idx="71">
                  <c:v>5-Feb-08</c:v>
                </c:pt>
                <c:pt idx="72">
                  <c:v>12-Feb-08</c:v>
                </c:pt>
                <c:pt idx="73">
                  <c:v>19-Feb-08</c:v>
                </c:pt>
                <c:pt idx="74">
                  <c:v>26-Feb-08</c:v>
                </c:pt>
                <c:pt idx="75">
                  <c:v>4-Mar-08</c:v>
                </c:pt>
                <c:pt idx="76">
                  <c:v>11-Mar-08</c:v>
                </c:pt>
                <c:pt idx="77">
                  <c:v>18-Mar-08</c:v>
                </c:pt>
                <c:pt idx="78">
                  <c:v>25-Mar-08</c:v>
                </c:pt>
                <c:pt idx="79">
                  <c:v>1-Apr-08</c:v>
                </c:pt>
                <c:pt idx="80">
                  <c:v>8-Apr-08</c:v>
                </c:pt>
                <c:pt idx="81">
                  <c:v>15-Apr-08</c:v>
                </c:pt>
                <c:pt idx="82">
                  <c:v>22-Apr-08</c:v>
                </c:pt>
                <c:pt idx="83">
                  <c:v>29-Apr-08</c:v>
                </c:pt>
                <c:pt idx="84">
                  <c:v>6-May-08</c:v>
                </c:pt>
                <c:pt idx="85">
                  <c:v>13-May-08</c:v>
                </c:pt>
                <c:pt idx="86">
                  <c:v>20-May-08</c:v>
                </c:pt>
                <c:pt idx="87">
                  <c:v>27-May-08</c:v>
                </c:pt>
                <c:pt idx="88">
                  <c:v>3-Jun-08</c:v>
                </c:pt>
                <c:pt idx="89">
                  <c:v>10-Jun-08</c:v>
                </c:pt>
                <c:pt idx="90">
                  <c:v>17-Jun-08</c:v>
                </c:pt>
                <c:pt idx="91">
                  <c:v>24-Jun-08</c:v>
                </c:pt>
                <c:pt idx="92">
                  <c:v>1-Jul-08</c:v>
                </c:pt>
                <c:pt idx="93">
                  <c:v>8-Jul-08</c:v>
                </c:pt>
                <c:pt idx="94">
                  <c:v>15-Jul-08</c:v>
                </c:pt>
                <c:pt idx="95">
                  <c:v>22-Jul-08</c:v>
                </c:pt>
                <c:pt idx="96">
                  <c:v>29-Jul-08</c:v>
                </c:pt>
                <c:pt idx="97">
                  <c:v>5-Aug-08</c:v>
                </c:pt>
                <c:pt idx="98">
                  <c:v>12-Aug-08</c:v>
                </c:pt>
                <c:pt idx="99">
                  <c:v>19-Aug-08</c:v>
                </c:pt>
                <c:pt idx="100">
                  <c:v>26-Aug-08</c:v>
                </c:pt>
                <c:pt idx="101">
                  <c:v>2-Sep-08</c:v>
                </c:pt>
                <c:pt idx="102">
                  <c:v>9-Sep-08</c:v>
                </c:pt>
                <c:pt idx="103">
                  <c:v>16-Sep-08</c:v>
                </c:pt>
                <c:pt idx="104">
                  <c:v>23-Sep-08</c:v>
                </c:pt>
                <c:pt idx="105">
                  <c:v>30-Sep-08</c:v>
                </c:pt>
                <c:pt idx="106">
                  <c:v>7-Oct-08</c:v>
                </c:pt>
                <c:pt idx="107">
                  <c:v>14-Oct-08</c:v>
                </c:pt>
                <c:pt idx="108">
                  <c:v>21-Oct-08</c:v>
                </c:pt>
                <c:pt idx="109">
                  <c:v>28-Oct-08</c:v>
                </c:pt>
                <c:pt idx="110">
                  <c:v>4-Nov-08</c:v>
                </c:pt>
                <c:pt idx="111">
                  <c:v>11-Nov-08</c:v>
                </c:pt>
                <c:pt idx="112">
                  <c:v>18-Nov-08</c:v>
                </c:pt>
                <c:pt idx="113">
                  <c:v>25-Nov-08</c:v>
                </c:pt>
                <c:pt idx="114">
                  <c:v>2-Dec-08</c:v>
                </c:pt>
                <c:pt idx="115">
                  <c:v>9-Dec-08</c:v>
                </c:pt>
                <c:pt idx="116">
                  <c:v>16-Dec-08</c:v>
                </c:pt>
                <c:pt idx="117">
                  <c:v>30-Dec-08</c:v>
                </c:pt>
                <c:pt idx="118">
                  <c:v>6-Jan-09</c:v>
                </c:pt>
                <c:pt idx="119">
                  <c:v>13-Jan-09</c:v>
                </c:pt>
                <c:pt idx="120">
                  <c:v>20-Jan-09</c:v>
                </c:pt>
                <c:pt idx="121">
                  <c:v>27-Jan-09</c:v>
                </c:pt>
                <c:pt idx="122">
                  <c:v>3-Feb-09</c:v>
                </c:pt>
                <c:pt idx="123">
                  <c:v>10-Feb-09</c:v>
                </c:pt>
                <c:pt idx="124">
                  <c:v>17-Feb-09</c:v>
                </c:pt>
                <c:pt idx="125">
                  <c:v>24-Feb-09</c:v>
                </c:pt>
                <c:pt idx="126">
                  <c:v>3-Mar-09</c:v>
                </c:pt>
                <c:pt idx="127">
                  <c:v>10-Mar-09</c:v>
                </c:pt>
                <c:pt idx="128">
                  <c:v>17-Mar-09</c:v>
                </c:pt>
                <c:pt idx="129">
                  <c:v>24-Mar-09</c:v>
                </c:pt>
                <c:pt idx="130">
                  <c:v>31-Mar-09</c:v>
                </c:pt>
                <c:pt idx="131">
                  <c:v>7-Apr-09</c:v>
                </c:pt>
                <c:pt idx="132">
                  <c:v>14-Apr-09</c:v>
                </c:pt>
                <c:pt idx="133">
                  <c:v>21-Apr-09</c:v>
                </c:pt>
                <c:pt idx="134">
                  <c:v>28-Apr-09</c:v>
                </c:pt>
                <c:pt idx="135">
                  <c:v>5-May-09</c:v>
                </c:pt>
                <c:pt idx="136">
                  <c:v>12-May-09</c:v>
                </c:pt>
                <c:pt idx="137">
                  <c:v>19-May-09</c:v>
                </c:pt>
                <c:pt idx="138">
                  <c:v>26-May-09</c:v>
                </c:pt>
                <c:pt idx="139">
                  <c:v>2-Jun-09</c:v>
                </c:pt>
                <c:pt idx="140">
                  <c:v>9-Jun-09</c:v>
                </c:pt>
                <c:pt idx="141">
                  <c:v>16-Jun-09</c:v>
                </c:pt>
                <c:pt idx="142">
                  <c:v>23-Jun-09</c:v>
                </c:pt>
                <c:pt idx="143">
                  <c:v>30-Jun-09</c:v>
                </c:pt>
                <c:pt idx="144">
                  <c:v>7-Jul-09</c:v>
                </c:pt>
                <c:pt idx="145">
                  <c:v>14-Jul-09</c:v>
                </c:pt>
                <c:pt idx="146">
                  <c:v>21-Jul-09</c:v>
                </c:pt>
                <c:pt idx="147">
                  <c:v>28-Jul-09</c:v>
                </c:pt>
                <c:pt idx="148">
                  <c:v>4-Aug-09</c:v>
                </c:pt>
                <c:pt idx="149">
                  <c:v>11-Aug-09</c:v>
                </c:pt>
                <c:pt idx="150">
                  <c:v>18-Aug-09</c:v>
                </c:pt>
                <c:pt idx="151">
                  <c:v>25-Aug-09</c:v>
                </c:pt>
                <c:pt idx="152">
                  <c:v>1-Sep-09</c:v>
                </c:pt>
                <c:pt idx="153">
                  <c:v>8-Sep-09</c:v>
                </c:pt>
                <c:pt idx="154">
                  <c:v>15-Sep-09</c:v>
                </c:pt>
                <c:pt idx="155">
                  <c:v>22-Sep-09</c:v>
                </c:pt>
                <c:pt idx="156">
                  <c:v>29-Sep-09</c:v>
                </c:pt>
                <c:pt idx="157">
                  <c:v>6-Oct-09</c:v>
                </c:pt>
                <c:pt idx="158">
                  <c:v>13-Oct-09</c:v>
                </c:pt>
                <c:pt idx="159">
                  <c:v>20-Oct-09</c:v>
                </c:pt>
                <c:pt idx="160">
                  <c:v>27-Oct-09</c:v>
                </c:pt>
                <c:pt idx="161">
                  <c:v>3-Nov-09</c:v>
                </c:pt>
                <c:pt idx="162">
                  <c:v>10-Nov-09</c:v>
                </c:pt>
                <c:pt idx="163">
                  <c:v>17-Nov-09</c:v>
                </c:pt>
                <c:pt idx="164">
                  <c:v>24-Nov-09</c:v>
                </c:pt>
                <c:pt idx="165">
                  <c:v>1-Dec-09</c:v>
                </c:pt>
                <c:pt idx="166">
                  <c:v>8-Dec-09</c:v>
                </c:pt>
                <c:pt idx="167">
                  <c:v>15-Dec-09</c:v>
                </c:pt>
                <c:pt idx="168">
                  <c:v>22-Dec-09</c:v>
                </c:pt>
                <c:pt idx="169">
                  <c:v>29-Dec-09</c:v>
                </c:pt>
                <c:pt idx="170">
                  <c:v>5-Jan-10</c:v>
                </c:pt>
                <c:pt idx="171">
                  <c:v>12-Jan-10</c:v>
                </c:pt>
                <c:pt idx="172">
                  <c:v>19-Jan-10</c:v>
                </c:pt>
                <c:pt idx="173">
                  <c:v>26-Jan-10</c:v>
                </c:pt>
                <c:pt idx="174">
                  <c:v>2-Feb-10</c:v>
                </c:pt>
                <c:pt idx="175">
                  <c:v>9-Feb-10</c:v>
                </c:pt>
                <c:pt idx="176">
                  <c:v>16-Feb-10</c:v>
                </c:pt>
                <c:pt idx="177">
                  <c:v>23-Feb-10</c:v>
                </c:pt>
                <c:pt idx="178">
                  <c:v>2-Mar-10</c:v>
                </c:pt>
                <c:pt idx="179">
                  <c:v>9-Mar-10</c:v>
                </c:pt>
                <c:pt idx="180">
                  <c:v>16-Mar-10</c:v>
                </c:pt>
                <c:pt idx="181">
                  <c:v>23-Mar-10</c:v>
                </c:pt>
                <c:pt idx="182">
                  <c:v>30-Mar-10</c:v>
                </c:pt>
                <c:pt idx="183">
                  <c:v>6-Apr-10</c:v>
                </c:pt>
                <c:pt idx="184">
                  <c:v>13-Apr-10</c:v>
                </c:pt>
                <c:pt idx="185">
                  <c:v>20-Apr-10</c:v>
                </c:pt>
                <c:pt idx="186">
                  <c:v>27-Apr-10</c:v>
                </c:pt>
                <c:pt idx="187">
                  <c:v>4-May-10</c:v>
                </c:pt>
                <c:pt idx="188">
                  <c:v>11-May-10</c:v>
                </c:pt>
                <c:pt idx="189">
                  <c:v>18-May-10</c:v>
                </c:pt>
                <c:pt idx="190">
                  <c:v>25-May-10</c:v>
                </c:pt>
                <c:pt idx="191">
                  <c:v>1-Jun-10</c:v>
                </c:pt>
                <c:pt idx="192">
                  <c:v>8-Jun-10</c:v>
                </c:pt>
                <c:pt idx="193">
                  <c:v>15-Jun-10</c:v>
                </c:pt>
                <c:pt idx="194">
                  <c:v>22-Jun-10</c:v>
                </c:pt>
                <c:pt idx="195">
                  <c:v>29-Jun-10</c:v>
                </c:pt>
                <c:pt idx="196">
                  <c:v>6-Jul-10</c:v>
                </c:pt>
                <c:pt idx="197">
                  <c:v>13-Jul-10</c:v>
                </c:pt>
                <c:pt idx="198">
                  <c:v>20-Jul-10</c:v>
                </c:pt>
                <c:pt idx="199">
                  <c:v>27-Jul-10</c:v>
                </c:pt>
                <c:pt idx="200">
                  <c:v>3-Aug-10</c:v>
                </c:pt>
                <c:pt idx="201">
                  <c:v>10-Aug-10</c:v>
                </c:pt>
                <c:pt idx="202">
                  <c:v>17-Aug-10</c:v>
                </c:pt>
                <c:pt idx="203">
                  <c:v>24-Aug-10</c:v>
                </c:pt>
                <c:pt idx="204">
                  <c:v>31-Aug-10</c:v>
                </c:pt>
                <c:pt idx="205">
                  <c:v>7-Sep-10</c:v>
                </c:pt>
                <c:pt idx="206">
                  <c:v>14-Sep-10</c:v>
                </c:pt>
                <c:pt idx="207">
                  <c:v>21-Sep-10</c:v>
                </c:pt>
                <c:pt idx="208">
                  <c:v>28-Sep-10</c:v>
                </c:pt>
                <c:pt idx="209">
                  <c:v>5-Oct-10</c:v>
                </c:pt>
                <c:pt idx="210">
                  <c:v>12-Oct-10</c:v>
                </c:pt>
                <c:pt idx="211">
                  <c:v>19-Oct-10</c:v>
                </c:pt>
                <c:pt idx="212">
                  <c:v>26-Oct-10</c:v>
                </c:pt>
                <c:pt idx="213">
                  <c:v>2-Nov-10</c:v>
                </c:pt>
                <c:pt idx="214">
                  <c:v>9-Nov-10</c:v>
                </c:pt>
                <c:pt idx="215">
                  <c:v>16-Nov-10</c:v>
                </c:pt>
                <c:pt idx="216">
                  <c:v>23-Nov-10</c:v>
                </c:pt>
                <c:pt idx="217">
                  <c:v>30-Nov-10</c:v>
                </c:pt>
                <c:pt idx="218">
                  <c:v>7-Dec-10</c:v>
                </c:pt>
                <c:pt idx="219">
                  <c:v>14-Dec-10</c:v>
                </c:pt>
                <c:pt idx="220">
                  <c:v>21-Dec-10</c:v>
                </c:pt>
                <c:pt idx="221">
                  <c:v>28-Dec-10</c:v>
                </c:pt>
                <c:pt idx="222">
                  <c:v>4-Jan-11</c:v>
                </c:pt>
                <c:pt idx="223">
                  <c:v>11-Jan-11</c:v>
                </c:pt>
                <c:pt idx="224">
                  <c:v>18-Jan-11</c:v>
                </c:pt>
                <c:pt idx="225">
                  <c:v>25-Jan-11</c:v>
                </c:pt>
                <c:pt idx="226">
                  <c:v>1-Feb-11</c:v>
                </c:pt>
                <c:pt idx="227">
                  <c:v>8-Feb-11</c:v>
                </c:pt>
                <c:pt idx="228">
                  <c:v>15-Feb-11</c:v>
                </c:pt>
                <c:pt idx="229">
                  <c:v>22-Feb-11</c:v>
                </c:pt>
                <c:pt idx="230">
                  <c:v>1-Mar-11</c:v>
                </c:pt>
                <c:pt idx="231">
                  <c:v>8-Mar-11</c:v>
                </c:pt>
                <c:pt idx="232">
                  <c:v>15-Mar-11</c:v>
                </c:pt>
                <c:pt idx="233">
                  <c:v>22-Mar-11</c:v>
                </c:pt>
                <c:pt idx="234">
                  <c:v>29-Mar-11</c:v>
                </c:pt>
                <c:pt idx="235">
                  <c:v>5-Apr-11</c:v>
                </c:pt>
                <c:pt idx="236">
                  <c:v>12-Apr-11</c:v>
                </c:pt>
                <c:pt idx="237">
                  <c:v>19-Apr-11</c:v>
                </c:pt>
                <c:pt idx="238">
                  <c:v>26-Apr-11</c:v>
                </c:pt>
                <c:pt idx="239">
                  <c:v>3-May-11</c:v>
                </c:pt>
                <c:pt idx="240">
                  <c:v>10-May-11</c:v>
                </c:pt>
                <c:pt idx="241">
                  <c:v>17-May-11</c:v>
                </c:pt>
                <c:pt idx="242">
                  <c:v>24-May-11</c:v>
                </c:pt>
                <c:pt idx="243">
                  <c:v>31-May-11</c:v>
                </c:pt>
                <c:pt idx="244">
                  <c:v>7-Jun-11</c:v>
                </c:pt>
                <c:pt idx="245">
                  <c:v>14-Jun-11</c:v>
                </c:pt>
                <c:pt idx="246">
                  <c:v>21-Jun-11</c:v>
                </c:pt>
                <c:pt idx="247">
                  <c:v>28-Jun-11</c:v>
                </c:pt>
                <c:pt idx="248">
                  <c:v>5-Jul-11</c:v>
                </c:pt>
                <c:pt idx="249">
                  <c:v>12-Jul-11</c:v>
                </c:pt>
                <c:pt idx="250">
                  <c:v>19-Jul-11</c:v>
                </c:pt>
                <c:pt idx="251">
                  <c:v>26-Jul-11</c:v>
                </c:pt>
                <c:pt idx="252">
                  <c:v>2-Aug-11</c:v>
                </c:pt>
                <c:pt idx="253">
                  <c:v>9-Aug-11</c:v>
                </c:pt>
                <c:pt idx="254">
                  <c:v>16-Aug-11</c:v>
                </c:pt>
                <c:pt idx="255">
                  <c:v>23-Aug-11</c:v>
                </c:pt>
                <c:pt idx="256">
                  <c:v>30-Aug-11</c:v>
                </c:pt>
                <c:pt idx="257">
                  <c:v>6-Sep-11</c:v>
                </c:pt>
                <c:pt idx="258">
                  <c:v>13-Sep-11</c:v>
                </c:pt>
                <c:pt idx="259">
                  <c:v>20-Sep-11</c:v>
                </c:pt>
                <c:pt idx="260">
                  <c:v>27-Sep-11</c:v>
                </c:pt>
                <c:pt idx="261">
                  <c:v>4-Oct-11</c:v>
                </c:pt>
                <c:pt idx="262">
                  <c:v>11-Oct-11</c:v>
                </c:pt>
                <c:pt idx="263">
                  <c:v>18-Oct-11</c:v>
                </c:pt>
                <c:pt idx="264">
                  <c:v>25-Oct-11</c:v>
                </c:pt>
                <c:pt idx="265">
                  <c:v>1-Nov-11</c:v>
                </c:pt>
                <c:pt idx="266">
                  <c:v>8-Nov-11</c:v>
                </c:pt>
                <c:pt idx="267">
                  <c:v>15-Nov-11</c:v>
                </c:pt>
                <c:pt idx="268">
                  <c:v>22-Nov-11</c:v>
                </c:pt>
                <c:pt idx="269">
                  <c:v>29-Nov-11</c:v>
                </c:pt>
                <c:pt idx="270">
                  <c:v>6-Dec-11</c:v>
                </c:pt>
                <c:pt idx="271">
                  <c:v>13-Dec-11</c:v>
                </c:pt>
                <c:pt idx="272">
                  <c:v>20-Dec-11</c:v>
                </c:pt>
                <c:pt idx="273">
                  <c:v>27-Dec-11</c:v>
                </c:pt>
                <c:pt idx="274">
                  <c:v>3-Jan-12</c:v>
                </c:pt>
                <c:pt idx="275">
                  <c:v>10-Jan-12</c:v>
                </c:pt>
                <c:pt idx="276">
                  <c:v>17-Jan-12</c:v>
                </c:pt>
                <c:pt idx="277">
                  <c:v>24-Jan-12</c:v>
                </c:pt>
                <c:pt idx="278">
                  <c:v>31-Jan-12</c:v>
                </c:pt>
                <c:pt idx="279">
                  <c:v>7-Feb-12</c:v>
                </c:pt>
                <c:pt idx="280">
                  <c:v>14-Feb-12</c:v>
                </c:pt>
                <c:pt idx="281">
                  <c:v>21-Feb-12</c:v>
                </c:pt>
                <c:pt idx="282">
                  <c:v>28-Feb-12</c:v>
                </c:pt>
                <c:pt idx="283">
                  <c:v>6-Mar-12</c:v>
                </c:pt>
                <c:pt idx="284">
                  <c:v>13-Mar-12</c:v>
                </c:pt>
                <c:pt idx="285">
                  <c:v>20-Mar-12</c:v>
                </c:pt>
                <c:pt idx="286">
                  <c:v>27-Mar-12</c:v>
                </c:pt>
                <c:pt idx="287">
                  <c:v>3-Apr-12</c:v>
                </c:pt>
                <c:pt idx="288">
                  <c:v>10-Apr-12</c:v>
                </c:pt>
                <c:pt idx="289">
                  <c:v>17-Apr-12</c:v>
                </c:pt>
                <c:pt idx="290">
                  <c:v>24-Apr-12</c:v>
                </c:pt>
                <c:pt idx="291">
                  <c:v>1-May-12</c:v>
                </c:pt>
                <c:pt idx="292">
                  <c:v>8-May-12</c:v>
                </c:pt>
                <c:pt idx="293">
                  <c:v>15-May-12</c:v>
                </c:pt>
                <c:pt idx="294">
                  <c:v>22-May-12</c:v>
                </c:pt>
                <c:pt idx="295">
                  <c:v>29-May-12</c:v>
                </c:pt>
                <c:pt idx="296">
                  <c:v>5-Jun-12</c:v>
                </c:pt>
                <c:pt idx="297">
                  <c:v>12-Jun-12</c:v>
                </c:pt>
                <c:pt idx="298">
                  <c:v>19-Jun-12</c:v>
                </c:pt>
                <c:pt idx="299">
                  <c:v>26-Jun-12</c:v>
                </c:pt>
                <c:pt idx="300">
                  <c:v>3-Jul-12</c:v>
                </c:pt>
                <c:pt idx="301">
                  <c:v>10-Jul-12</c:v>
                </c:pt>
                <c:pt idx="302">
                  <c:v>17-Jul-12</c:v>
                </c:pt>
                <c:pt idx="303">
                  <c:v>24-Jul-12</c:v>
                </c:pt>
                <c:pt idx="304">
                  <c:v>31-Jul-12</c:v>
                </c:pt>
                <c:pt idx="305">
                  <c:v>7-Aug-12</c:v>
                </c:pt>
                <c:pt idx="306">
                  <c:v>14-Aug-12</c:v>
                </c:pt>
                <c:pt idx="307">
                  <c:v>21-Aug-12</c:v>
                </c:pt>
                <c:pt idx="308">
                  <c:v>28-Aug-12</c:v>
                </c:pt>
                <c:pt idx="309">
                  <c:v>4-Sep-12</c:v>
                </c:pt>
                <c:pt idx="310">
                  <c:v>11-Sep-12</c:v>
                </c:pt>
                <c:pt idx="311">
                  <c:v>18-Sep-12</c:v>
                </c:pt>
                <c:pt idx="312">
                  <c:v>25-Sep-12</c:v>
                </c:pt>
                <c:pt idx="313">
                  <c:v>2-Oct-12</c:v>
                </c:pt>
                <c:pt idx="314">
                  <c:v>9-Oct-12</c:v>
                </c:pt>
                <c:pt idx="315">
                  <c:v>16-Oct-12</c:v>
                </c:pt>
                <c:pt idx="316">
                  <c:v>23-Oct-12</c:v>
                </c:pt>
                <c:pt idx="317">
                  <c:v>30-Oct-12</c:v>
                </c:pt>
                <c:pt idx="318">
                  <c:v>6-Nov-12</c:v>
                </c:pt>
                <c:pt idx="319">
                  <c:v>13-Nov-12</c:v>
                </c:pt>
                <c:pt idx="320">
                  <c:v>20-Nov-12</c:v>
                </c:pt>
                <c:pt idx="321">
                  <c:v>27-Nov-12</c:v>
                </c:pt>
                <c:pt idx="322">
                  <c:v>4-Dec-12</c:v>
                </c:pt>
                <c:pt idx="323">
                  <c:v>11-Dec-12</c:v>
                </c:pt>
                <c:pt idx="324">
                  <c:v>18-Dec-12</c:v>
                </c:pt>
                <c:pt idx="325">
                  <c:v>25-Dec-12</c:v>
                </c:pt>
                <c:pt idx="326">
                  <c:v>1-Jan-13</c:v>
                </c:pt>
                <c:pt idx="327">
                  <c:v>8-Jan-13</c:v>
                </c:pt>
                <c:pt idx="328">
                  <c:v>15-Jan-13</c:v>
                </c:pt>
                <c:pt idx="329">
                  <c:v>22-Jan-13</c:v>
                </c:pt>
                <c:pt idx="330">
                  <c:v>29-Jan-13</c:v>
                </c:pt>
                <c:pt idx="331">
                  <c:v>5-Feb-13</c:v>
                </c:pt>
                <c:pt idx="332">
                  <c:v>12-Feb-13</c:v>
                </c:pt>
                <c:pt idx="333">
                  <c:v>19-Feb-13</c:v>
                </c:pt>
                <c:pt idx="334">
                  <c:v>26-Feb-13</c:v>
                </c:pt>
                <c:pt idx="335">
                  <c:v>5-Mar-13</c:v>
                </c:pt>
                <c:pt idx="336">
                  <c:v>12-Mar-13</c:v>
                </c:pt>
                <c:pt idx="337">
                  <c:v>19-Mar-13</c:v>
                </c:pt>
                <c:pt idx="338">
                  <c:v>26-Mar-13</c:v>
                </c:pt>
                <c:pt idx="339">
                  <c:v>2-Apr-13</c:v>
                </c:pt>
                <c:pt idx="340">
                  <c:v>9-Apr-13</c:v>
                </c:pt>
                <c:pt idx="341">
                  <c:v>16-Apr-13</c:v>
                </c:pt>
                <c:pt idx="342">
                  <c:v>23-Apr-13</c:v>
                </c:pt>
                <c:pt idx="343">
                  <c:v>30-Apr-13</c:v>
                </c:pt>
                <c:pt idx="344">
                  <c:v>7-May-13</c:v>
                </c:pt>
                <c:pt idx="345">
                  <c:v>14-May-13</c:v>
                </c:pt>
                <c:pt idx="346">
                  <c:v>21-May-13</c:v>
                </c:pt>
                <c:pt idx="347">
                  <c:v>28-May-13</c:v>
                </c:pt>
                <c:pt idx="348">
                  <c:v>4-Jun-13</c:v>
                </c:pt>
                <c:pt idx="349">
                  <c:v>11-Jun-13</c:v>
                </c:pt>
                <c:pt idx="350">
                  <c:v>18-Jun-13</c:v>
                </c:pt>
                <c:pt idx="351">
                  <c:v>25-Jun-13</c:v>
                </c:pt>
                <c:pt idx="352">
                  <c:v>2-Jul-13</c:v>
                </c:pt>
                <c:pt idx="353">
                  <c:v>9-Jul-13</c:v>
                </c:pt>
                <c:pt idx="354">
                  <c:v>16-Jul-13</c:v>
                </c:pt>
                <c:pt idx="355">
                  <c:v>23-Jul-13</c:v>
                </c:pt>
                <c:pt idx="356">
                  <c:v>30-Jul-13</c:v>
                </c:pt>
                <c:pt idx="357">
                  <c:v>6-Aug-13</c:v>
                </c:pt>
                <c:pt idx="358">
                  <c:v>13-Aug-13</c:v>
                </c:pt>
                <c:pt idx="359">
                  <c:v>20-Aug-13</c:v>
                </c:pt>
                <c:pt idx="360">
                  <c:v>27-Aug-13</c:v>
                </c:pt>
                <c:pt idx="361">
                  <c:v>3-Sep-13</c:v>
                </c:pt>
                <c:pt idx="362">
                  <c:v>10-Sep-13</c:v>
                </c:pt>
                <c:pt idx="363">
                  <c:v>17-Sep-13</c:v>
                </c:pt>
                <c:pt idx="364">
                  <c:v>24-Sep-13</c:v>
                </c:pt>
                <c:pt idx="365">
                  <c:v>1-Oct-13</c:v>
                </c:pt>
                <c:pt idx="366">
                  <c:v>8-Oct-13</c:v>
                </c:pt>
                <c:pt idx="367">
                  <c:v>15-Oct-13</c:v>
                </c:pt>
                <c:pt idx="368">
                  <c:v>22-Oct-13</c:v>
                </c:pt>
                <c:pt idx="369">
                  <c:v>29-Oct-13</c:v>
                </c:pt>
                <c:pt idx="370">
                  <c:v>5-Nov-13</c:v>
                </c:pt>
                <c:pt idx="371">
                  <c:v>12-Nov-13</c:v>
                </c:pt>
                <c:pt idx="372">
                  <c:v>19-Nov-13</c:v>
                </c:pt>
                <c:pt idx="373">
                  <c:v>26-Nov-13</c:v>
                </c:pt>
                <c:pt idx="374">
                  <c:v>3-Dec-13</c:v>
                </c:pt>
                <c:pt idx="375">
                  <c:v>10-Dec-13</c:v>
                </c:pt>
                <c:pt idx="376">
                  <c:v>17-Dec-13</c:v>
                </c:pt>
                <c:pt idx="377">
                  <c:v>24-Dec-13</c:v>
                </c:pt>
                <c:pt idx="378">
                  <c:v>31-Dec-13</c:v>
                </c:pt>
                <c:pt idx="379">
                  <c:v>7-Jan-14</c:v>
                </c:pt>
                <c:pt idx="380">
                  <c:v>14-Jan-14</c:v>
                </c:pt>
                <c:pt idx="381">
                  <c:v>21-Jan-14</c:v>
                </c:pt>
                <c:pt idx="382">
                  <c:v>28-Jan-14</c:v>
                </c:pt>
                <c:pt idx="383">
                  <c:v>4-Feb-14</c:v>
                </c:pt>
                <c:pt idx="384">
                  <c:v>11-Feb-14</c:v>
                </c:pt>
                <c:pt idx="385">
                  <c:v>18-Feb-14</c:v>
                </c:pt>
                <c:pt idx="386">
                  <c:v>25-Feb-14</c:v>
                </c:pt>
                <c:pt idx="387">
                  <c:v>4-Mar-14</c:v>
                </c:pt>
                <c:pt idx="388">
                  <c:v>11-Mar-14</c:v>
                </c:pt>
                <c:pt idx="389">
                  <c:v>18-Mar-14</c:v>
                </c:pt>
                <c:pt idx="390">
                  <c:v>25-Mar-14</c:v>
                </c:pt>
                <c:pt idx="391">
                  <c:v>1-Apr-14</c:v>
                </c:pt>
                <c:pt idx="392">
                  <c:v>8-Apr-14</c:v>
                </c:pt>
                <c:pt idx="393">
                  <c:v>15-Apr-14</c:v>
                </c:pt>
                <c:pt idx="394">
                  <c:v>22-Apr-14</c:v>
                </c:pt>
                <c:pt idx="395">
                  <c:v>29-Apr-14</c:v>
                </c:pt>
                <c:pt idx="396">
                  <c:v>6-May-14</c:v>
                </c:pt>
                <c:pt idx="397">
                  <c:v>13-May-14</c:v>
                </c:pt>
                <c:pt idx="398">
                  <c:v>20-May-14</c:v>
                </c:pt>
                <c:pt idx="399">
                  <c:v>27-May-14</c:v>
                </c:pt>
                <c:pt idx="400">
                  <c:v>3-Jun-14</c:v>
                </c:pt>
                <c:pt idx="401">
                  <c:v>10-Jun-14</c:v>
                </c:pt>
                <c:pt idx="402">
                  <c:v>17-Jun-14</c:v>
                </c:pt>
                <c:pt idx="403">
                  <c:v>24-Jun-14</c:v>
                </c:pt>
                <c:pt idx="404">
                  <c:v>1-Jul-14</c:v>
                </c:pt>
                <c:pt idx="405">
                  <c:v>8-Jul-14</c:v>
                </c:pt>
                <c:pt idx="406">
                  <c:v>15-Jul-14</c:v>
                </c:pt>
                <c:pt idx="407">
                  <c:v>22-Jul-14</c:v>
                </c:pt>
                <c:pt idx="408">
                  <c:v>29-Jul-14</c:v>
                </c:pt>
                <c:pt idx="409">
                  <c:v>5-Aug-14</c:v>
                </c:pt>
                <c:pt idx="410">
                  <c:v>12-Aug-14</c:v>
                </c:pt>
                <c:pt idx="411">
                  <c:v>19-Aug-14</c:v>
                </c:pt>
                <c:pt idx="412">
                  <c:v>26-Aug-14</c:v>
                </c:pt>
                <c:pt idx="413">
                  <c:v>2-Sep-14</c:v>
                </c:pt>
                <c:pt idx="414">
                  <c:v>9-Sep-14</c:v>
                </c:pt>
                <c:pt idx="415">
                  <c:v>16-Sep-14</c:v>
                </c:pt>
                <c:pt idx="416">
                  <c:v>23-Sep-14</c:v>
                </c:pt>
                <c:pt idx="417">
                  <c:v>30-Sep-14</c:v>
                </c:pt>
                <c:pt idx="418">
                  <c:v>7-Oct-14</c:v>
                </c:pt>
                <c:pt idx="419">
                  <c:v>14-Oct-14</c:v>
                </c:pt>
                <c:pt idx="420">
                  <c:v>21-Oct-14</c:v>
                </c:pt>
                <c:pt idx="421">
                  <c:v>28-Oct-14</c:v>
                </c:pt>
                <c:pt idx="422">
                  <c:v>4-Nov-14</c:v>
                </c:pt>
                <c:pt idx="423">
                  <c:v>11-Nov-14</c:v>
                </c:pt>
                <c:pt idx="424">
                  <c:v>18-Nov-14</c:v>
                </c:pt>
                <c:pt idx="425">
                  <c:v>25-Nov-14</c:v>
                </c:pt>
                <c:pt idx="426">
                  <c:v>2-Dec-14</c:v>
                </c:pt>
                <c:pt idx="427">
                  <c:v>9-Dec-14</c:v>
                </c:pt>
                <c:pt idx="428">
                  <c:v>16-Dec-14</c:v>
                </c:pt>
                <c:pt idx="429">
                  <c:v>23-Dec-14</c:v>
                </c:pt>
                <c:pt idx="430">
                  <c:v>30-Dec-14</c:v>
                </c:pt>
                <c:pt idx="431">
                  <c:v>6-Jan-15</c:v>
                </c:pt>
                <c:pt idx="432">
                  <c:v>13-Jan-15</c:v>
                </c:pt>
                <c:pt idx="433">
                  <c:v>20-Jan-15</c:v>
                </c:pt>
                <c:pt idx="434">
                  <c:v>27-Jan-15</c:v>
                </c:pt>
                <c:pt idx="435">
                  <c:v>3-Feb-15</c:v>
                </c:pt>
                <c:pt idx="436">
                  <c:v>10-Feb-15</c:v>
                </c:pt>
                <c:pt idx="437">
                  <c:v>17-Feb-15</c:v>
                </c:pt>
                <c:pt idx="438">
                  <c:v>24-Feb-15</c:v>
                </c:pt>
                <c:pt idx="439">
                  <c:v>3-Mar-15</c:v>
                </c:pt>
                <c:pt idx="440">
                  <c:v>10-Mar-15</c:v>
                </c:pt>
                <c:pt idx="441">
                  <c:v>17-Mar-15</c:v>
                </c:pt>
                <c:pt idx="442">
                  <c:v>24-Mar-15</c:v>
                </c:pt>
                <c:pt idx="443">
                  <c:v>31-Mar-15</c:v>
                </c:pt>
                <c:pt idx="444">
                  <c:v>7-Apr-15</c:v>
                </c:pt>
                <c:pt idx="445">
                  <c:v>14-Apr-15</c:v>
                </c:pt>
                <c:pt idx="446">
                  <c:v>21-Apr-15</c:v>
                </c:pt>
                <c:pt idx="447">
                  <c:v>28-Apr-15</c:v>
                </c:pt>
                <c:pt idx="448">
                  <c:v>5-May-15</c:v>
                </c:pt>
                <c:pt idx="449">
                  <c:v>12-May-15</c:v>
                </c:pt>
                <c:pt idx="450">
                  <c:v>19-May-15</c:v>
                </c:pt>
                <c:pt idx="451">
                  <c:v>26-May-15</c:v>
                </c:pt>
                <c:pt idx="452">
                  <c:v>2-Jun-15</c:v>
                </c:pt>
                <c:pt idx="453">
                  <c:v>9-Jun-15</c:v>
                </c:pt>
                <c:pt idx="454">
                  <c:v>16-Jun-15</c:v>
                </c:pt>
                <c:pt idx="455">
                  <c:v>23-Jun-15</c:v>
                </c:pt>
                <c:pt idx="456">
                  <c:v>30-Jun-15</c:v>
                </c:pt>
                <c:pt idx="457">
                  <c:v>7-Jul-15</c:v>
                </c:pt>
                <c:pt idx="458">
                  <c:v>14-Jul-15</c:v>
                </c:pt>
                <c:pt idx="459">
                  <c:v>21-Jul-15</c:v>
                </c:pt>
                <c:pt idx="460">
                  <c:v>28-Jul-15</c:v>
                </c:pt>
                <c:pt idx="461">
                  <c:v>4-Aug-15</c:v>
                </c:pt>
                <c:pt idx="462">
                  <c:v>11-Aug-15</c:v>
                </c:pt>
                <c:pt idx="463">
                  <c:v>18-Aug-15</c:v>
                </c:pt>
                <c:pt idx="464">
                  <c:v>25-Aug-15</c:v>
                </c:pt>
                <c:pt idx="465">
                  <c:v>1-Sep-15</c:v>
                </c:pt>
                <c:pt idx="466">
                  <c:v>8-Sep-15</c:v>
                </c:pt>
                <c:pt idx="467">
                  <c:v>15-Sep-15</c:v>
                </c:pt>
                <c:pt idx="468">
                  <c:v>22-Sep-15</c:v>
                </c:pt>
                <c:pt idx="469">
                  <c:v>29-Sep-15</c:v>
                </c:pt>
                <c:pt idx="470">
                  <c:v>6-Oct-15</c:v>
                </c:pt>
                <c:pt idx="471">
                  <c:v>13-Oct-15</c:v>
                </c:pt>
                <c:pt idx="472">
                  <c:v>20-Oct-15</c:v>
                </c:pt>
                <c:pt idx="473">
                  <c:v>27-Oct-15</c:v>
                </c:pt>
                <c:pt idx="474">
                  <c:v>3-Nov-15</c:v>
                </c:pt>
                <c:pt idx="475">
                  <c:v>10-Nov-15</c:v>
                </c:pt>
                <c:pt idx="476">
                  <c:v>17-Nov-15</c:v>
                </c:pt>
                <c:pt idx="477">
                  <c:v>24-Nov-15</c:v>
                </c:pt>
                <c:pt idx="478">
                  <c:v>1-Dec-15</c:v>
                </c:pt>
                <c:pt idx="479">
                  <c:v>8-Dec-15</c:v>
                </c:pt>
                <c:pt idx="480">
                  <c:v>15-Dec-15</c:v>
                </c:pt>
                <c:pt idx="481">
                  <c:v>22-Dec-15</c:v>
                </c:pt>
                <c:pt idx="482">
                  <c:v>29-Dec-15</c:v>
                </c:pt>
                <c:pt idx="483">
                  <c:v>5-Jan-16</c:v>
                </c:pt>
                <c:pt idx="484">
                  <c:v>12-Jan-16</c:v>
                </c:pt>
                <c:pt idx="485">
                  <c:v>19-Jan-16</c:v>
                </c:pt>
                <c:pt idx="486">
                  <c:v>26-Jan-16</c:v>
                </c:pt>
                <c:pt idx="487">
                  <c:v>2-Feb-16</c:v>
                </c:pt>
                <c:pt idx="488">
                  <c:v>9-Feb-16</c:v>
                </c:pt>
                <c:pt idx="489">
                  <c:v>16-Feb-16</c:v>
                </c:pt>
                <c:pt idx="490">
                  <c:v>23-Feb-16</c:v>
                </c:pt>
                <c:pt idx="491">
                  <c:v>1-Mar-16</c:v>
                </c:pt>
                <c:pt idx="492">
                  <c:v>8-Mar-16</c:v>
                </c:pt>
                <c:pt idx="493">
                  <c:v>15-Mar-16</c:v>
                </c:pt>
                <c:pt idx="494">
                  <c:v>22-Mar-16</c:v>
                </c:pt>
                <c:pt idx="495">
                  <c:v>29-Mar-16</c:v>
                </c:pt>
                <c:pt idx="496">
                  <c:v>5-Apr-16</c:v>
                </c:pt>
                <c:pt idx="497">
                  <c:v>12-Apr-16</c:v>
                </c:pt>
                <c:pt idx="498">
                  <c:v>19-Apr-16</c:v>
                </c:pt>
                <c:pt idx="499">
                  <c:v>26-Apr-16</c:v>
                </c:pt>
                <c:pt idx="500">
                  <c:v>3-May-16</c:v>
                </c:pt>
                <c:pt idx="501">
                  <c:v>10-May-16</c:v>
                </c:pt>
                <c:pt idx="502">
                  <c:v>17-May-16</c:v>
                </c:pt>
                <c:pt idx="503">
                  <c:v>24-May-16</c:v>
                </c:pt>
                <c:pt idx="504">
                  <c:v>31-May-16</c:v>
                </c:pt>
                <c:pt idx="505">
                  <c:v>7-Jun-16</c:v>
                </c:pt>
                <c:pt idx="506">
                  <c:v>14-Jun-16</c:v>
                </c:pt>
                <c:pt idx="507">
                  <c:v>21-Jun-16</c:v>
                </c:pt>
                <c:pt idx="508">
                  <c:v>28-Jun-16</c:v>
                </c:pt>
                <c:pt idx="509">
                  <c:v>5-Jul-16</c:v>
                </c:pt>
                <c:pt idx="510">
                  <c:v>12-Jul-16</c:v>
                </c:pt>
                <c:pt idx="511">
                  <c:v>19-Jul-16</c:v>
                </c:pt>
                <c:pt idx="512">
                  <c:v>26-Jul-16</c:v>
                </c:pt>
                <c:pt idx="513">
                  <c:v>2-Aug-16</c:v>
                </c:pt>
                <c:pt idx="514">
                  <c:v>9-Aug-16</c:v>
                </c:pt>
                <c:pt idx="515">
                  <c:v>16-Aug-16</c:v>
                </c:pt>
                <c:pt idx="516">
                  <c:v>23-Aug-16</c:v>
                </c:pt>
                <c:pt idx="517">
                  <c:v>30-Aug-16</c:v>
                </c:pt>
                <c:pt idx="518">
                  <c:v>6-Sep-16</c:v>
                </c:pt>
                <c:pt idx="519">
                  <c:v>13-Sep-16</c:v>
                </c:pt>
                <c:pt idx="520">
                  <c:v>20-Sep-16</c:v>
                </c:pt>
                <c:pt idx="521">
                  <c:v>27-Sep-16</c:v>
                </c:pt>
                <c:pt idx="522">
                  <c:v>4-Oct-16</c:v>
                </c:pt>
                <c:pt idx="523">
                  <c:v>11-Oct-16</c:v>
                </c:pt>
                <c:pt idx="524">
                  <c:v>18-Oct-16</c:v>
                </c:pt>
                <c:pt idx="525">
                  <c:v>25-Oct-16</c:v>
                </c:pt>
                <c:pt idx="526">
                  <c:v>1-Nov-16</c:v>
                </c:pt>
                <c:pt idx="527">
                  <c:v>8-Nov-16</c:v>
                </c:pt>
                <c:pt idx="528">
                  <c:v>15-Nov-16</c:v>
                </c:pt>
                <c:pt idx="529">
                  <c:v>22-Nov-16</c:v>
                </c:pt>
                <c:pt idx="530">
                  <c:v>29-Nov-16</c:v>
                </c:pt>
                <c:pt idx="531">
                  <c:v>6-Dec-16</c:v>
                </c:pt>
                <c:pt idx="532">
                  <c:v>13-Dec-16</c:v>
                </c:pt>
                <c:pt idx="533">
                  <c:v>20-Dec-16</c:v>
                </c:pt>
                <c:pt idx="534">
                  <c:v>27-Dec-16</c:v>
                </c:pt>
                <c:pt idx="535">
                  <c:v>3-Jan-17</c:v>
                </c:pt>
                <c:pt idx="536">
                  <c:v>10-Jan-17</c:v>
                </c:pt>
                <c:pt idx="537">
                  <c:v>17-Jan-17</c:v>
                </c:pt>
                <c:pt idx="538">
                  <c:v>24-Jan-17</c:v>
                </c:pt>
                <c:pt idx="539">
                  <c:v>31-Jan-17</c:v>
                </c:pt>
                <c:pt idx="540">
                  <c:v>7-Feb-17</c:v>
                </c:pt>
                <c:pt idx="541">
                  <c:v>14-Feb-17</c:v>
                </c:pt>
                <c:pt idx="542">
                  <c:v>21-Feb-17</c:v>
                </c:pt>
                <c:pt idx="543">
                  <c:v>28-Feb-17</c:v>
                </c:pt>
                <c:pt idx="544">
                  <c:v>7-Mar-17</c:v>
                </c:pt>
                <c:pt idx="545">
                  <c:v>14-Mar-17</c:v>
                </c:pt>
                <c:pt idx="546">
                  <c:v>21-Mar-17</c:v>
                </c:pt>
                <c:pt idx="547">
                  <c:v>28-Mar-17</c:v>
                </c:pt>
                <c:pt idx="548">
                  <c:v>4-Apr-17</c:v>
                </c:pt>
                <c:pt idx="549">
                  <c:v>11-Apr-17</c:v>
                </c:pt>
                <c:pt idx="550">
                  <c:v>18-Apr-17</c:v>
                </c:pt>
                <c:pt idx="551">
                  <c:v>25-Apr-17</c:v>
                </c:pt>
                <c:pt idx="552">
                  <c:v>2-May-17</c:v>
                </c:pt>
                <c:pt idx="553">
                  <c:v>9-May-17</c:v>
                </c:pt>
                <c:pt idx="554">
                  <c:v>16-May-17</c:v>
                </c:pt>
                <c:pt idx="555">
                  <c:v>23-May-17</c:v>
                </c:pt>
                <c:pt idx="556">
                  <c:v>30-May-17</c:v>
                </c:pt>
                <c:pt idx="557">
                  <c:v>6-Jun-17</c:v>
                </c:pt>
                <c:pt idx="558">
                  <c:v>13-Jun-17</c:v>
                </c:pt>
                <c:pt idx="559">
                  <c:v>20-Jun-17</c:v>
                </c:pt>
                <c:pt idx="560">
                  <c:v>27-Jun-17</c:v>
                </c:pt>
                <c:pt idx="561">
                  <c:v>4-Jul-17</c:v>
                </c:pt>
                <c:pt idx="562">
                  <c:v>11-Jul-17</c:v>
                </c:pt>
                <c:pt idx="563">
                  <c:v>18-Jul-17</c:v>
                </c:pt>
                <c:pt idx="564">
                  <c:v>25-Jul-17</c:v>
                </c:pt>
                <c:pt idx="565">
                  <c:v>1-Aug-17</c:v>
                </c:pt>
                <c:pt idx="566">
                  <c:v>8-Aug-17</c:v>
                </c:pt>
                <c:pt idx="567">
                  <c:v>15-Aug-17</c:v>
                </c:pt>
                <c:pt idx="568">
                  <c:v>22-Aug-17</c:v>
                </c:pt>
                <c:pt idx="569">
                  <c:v>29-Aug-17</c:v>
                </c:pt>
                <c:pt idx="570">
                  <c:v>5-Sep-17</c:v>
                </c:pt>
                <c:pt idx="571">
                  <c:v>12-Sep-17</c:v>
                </c:pt>
                <c:pt idx="572">
                  <c:v>19-Sep-17</c:v>
                </c:pt>
                <c:pt idx="573">
                  <c:v>26-Sep-17</c:v>
                </c:pt>
                <c:pt idx="574">
                  <c:v>3-Oct-17</c:v>
                </c:pt>
                <c:pt idx="575">
                  <c:v>10-Oct-17</c:v>
                </c:pt>
                <c:pt idx="576">
                  <c:v>17-Oct-17</c:v>
                </c:pt>
                <c:pt idx="577">
                  <c:v>24-Oct-17</c:v>
                </c:pt>
                <c:pt idx="578">
                  <c:v>31-Oct-17</c:v>
                </c:pt>
                <c:pt idx="579">
                  <c:v>7-Nov-17</c:v>
                </c:pt>
                <c:pt idx="580">
                  <c:v>14-Nov-17</c:v>
                </c:pt>
                <c:pt idx="581">
                  <c:v>21-Nov-17</c:v>
                </c:pt>
                <c:pt idx="582">
                  <c:v>28-Nov-17</c:v>
                </c:pt>
                <c:pt idx="583">
                  <c:v>5-Dec-17</c:v>
                </c:pt>
                <c:pt idx="584">
                  <c:v>12-Dec-17</c:v>
                </c:pt>
                <c:pt idx="585">
                  <c:v>19-Dec-17</c:v>
                </c:pt>
                <c:pt idx="586">
                  <c:v>26-Dec-17</c:v>
                </c:pt>
                <c:pt idx="587">
                  <c:v>2-Jan-18</c:v>
                </c:pt>
                <c:pt idx="588">
                  <c:v>9-Jan-18</c:v>
                </c:pt>
                <c:pt idx="589">
                  <c:v>16-Jan-18</c:v>
                </c:pt>
                <c:pt idx="590">
                  <c:v>23-Jan-18</c:v>
                </c:pt>
                <c:pt idx="591">
                  <c:v>30-Jan-18</c:v>
                </c:pt>
                <c:pt idx="592">
                  <c:v>6-Feb-18</c:v>
                </c:pt>
                <c:pt idx="593">
                  <c:v>13-Feb-18</c:v>
                </c:pt>
                <c:pt idx="594">
                  <c:v>20-Feb-18</c:v>
                </c:pt>
                <c:pt idx="595">
                  <c:v>27-Feb-18</c:v>
                </c:pt>
                <c:pt idx="596">
                  <c:v>6-Mar-18</c:v>
                </c:pt>
                <c:pt idx="597">
                  <c:v>13-Mar-18</c:v>
                </c:pt>
                <c:pt idx="598">
                  <c:v>20-Mar-18</c:v>
                </c:pt>
                <c:pt idx="599">
                  <c:v>27-Mar-18</c:v>
                </c:pt>
                <c:pt idx="600">
                  <c:v>3-Apr-18</c:v>
                </c:pt>
                <c:pt idx="601">
                  <c:v>10-Apr-18</c:v>
                </c:pt>
                <c:pt idx="602">
                  <c:v>17-Apr-18</c:v>
                </c:pt>
                <c:pt idx="603">
                  <c:v>24-Apr-18</c:v>
                </c:pt>
                <c:pt idx="604">
                  <c:v>1-May-18</c:v>
                </c:pt>
                <c:pt idx="605">
                  <c:v>8-May-18</c:v>
                </c:pt>
                <c:pt idx="606">
                  <c:v>15-May-18</c:v>
                </c:pt>
                <c:pt idx="607">
                  <c:v>22-May-18</c:v>
                </c:pt>
                <c:pt idx="608">
                  <c:v>29-May-18</c:v>
                </c:pt>
                <c:pt idx="609">
                  <c:v>5-Jun-18</c:v>
                </c:pt>
                <c:pt idx="610">
                  <c:v>12-Jun-18</c:v>
                </c:pt>
                <c:pt idx="611">
                  <c:v>19-Jun-18</c:v>
                </c:pt>
                <c:pt idx="612">
                  <c:v>26-Jun-18</c:v>
                </c:pt>
                <c:pt idx="613">
                  <c:v>3-Jul-18</c:v>
                </c:pt>
                <c:pt idx="614">
                  <c:v>10-Jul-18</c:v>
                </c:pt>
                <c:pt idx="615">
                  <c:v>17-Jul-18</c:v>
                </c:pt>
                <c:pt idx="616">
                  <c:v>24-Jul-18</c:v>
                </c:pt>
                <c:pt idx="617">
                  <c:v>31-Jul-18</c:v>
                </c:pt>
                <c:pt idx="618">
                  <c:v>7-Aug-18</c:v>
                </c:pt>
                <c:pt idx="619">
                  <c:v>14-Aug-18</c:v>
                </c:pt>
                <c:pt idx="620">
                  <c:v>21-Aug-18</c:v>
                </c:pt>
                <c:pt idx="621">
                  <c:v>28-Aug-18</c:v>
                </c:pt>
                <c:pt idx="622">
                  <c:v>4-Sep-18</c:v>
                </c:pt>
                <c:pt idx="623">
                  <c:v>11-Sep-18</c:v>
                </c:pt>
                <c:pt idx="624">
                  <c:v>18-Sep-18</c:v>
                </c:pt>
                <c:pt idx="625">
                  <c:v>25-Sep-18</c:v>
                </c:pt>
                <c:pt idx="626">
                  <c:v>2-Oct-18</c:v>
                </c:pt>
                <c:pt idx="627">
                  <c:v>9-Oct-18</c:v>
                </c:pt>
                <c:pt idx="628">
                  <c:v>16-Oct-18</c:v>
                </c:pt>
                <c:pt idx="629">
                  <c:v>23-Oct-18</c:v>
                </c:pt>
                <c:pt idx="630">
                  <c:v>30-Oct-18</c:v>
                </c:pt>
                <c:pt idx="631">
                  <c:v>6-Nov-18</c:v>
                </c:pt>
                <c:pt idx="632">
                  <c:v>13-Nov-18</c:v>
                </c:pt>
                <c:pt idx="633">
                  <c:v>20-Nov-18</c:v>
                </c:pt>
                <c:pt idx="634">
                  <c:v>27-Nov-18</c:v>
                </c:pt>
                <c:pt idx="635">
                  <c:v>4-Dec-18</c:v>
                </c:pt>
                <c:pt idx="636">
                  <c:v>11-Dec-18</c:v>
                </c:pt>
                <c:pt idx="637">
                  <c:v>18-Dec-18</c:v>
                </c:pt>
                <c:pt idx="638">
                  <c:v>25-Dec-18</c:v>
                </c:pt>
                <c:pt idx="639">
                  <c:v>1-Jan-19</c:v>
                </c:pt>
                <c:pt idx="640">
                  <c:v>8-Jan-19</c:v>
                </c:pt>
                <c:pt idx="641">
                  <c:v>15-Jan-19</c:v>
                </c:pt>
                <c:pt idx="642">
                  <c:v>22-Jan-19</c:v>
                </c:pt>
                <c:pt idx="643">
                  <c:v>29-Jan-19</c:v>
                </c:pt>
                <c:pt idx="644">
                  <c:v>5-Feb-19</c:v>
                </c:pt>
                <c:pt idx="645">
                  <c:v>12-Feb-19</c:v>
                </c:pt>
                <c:pt idx="646">
                  <c:v>19-Feb-19</c:v>
                </c:pt>
                <c:pt idx="647">
                  <c:v>26-Feb-19</c:v>
                </c:pt>
                <c:pt idx="648">
                  <c:v>5-Mar-19</c:v>
                </c:pt>
                <c:pt idx="649">
                  <c:v>12-Mar-19</c:v>
                </c:pt>
                <c:pt idx="650">
                  <c:v>19-Mar-19</c:v>
                </c:pt>
                <c:pt idx="651">
                  <c:v>26-Mar-19</c:v>
                </c:pt>
                <c:pt idx="652">
                  <c:v>2-Apr-19</c:v>
                </c:pt>
                <c:pt idx="653">
                  <c:v>9-Apr-19</c:v>
                </c:pt>
                <c:pt idx="654">
                  <c:v>16-Apr-19</c:v>
                </c:pt>
                <c:pt idx="655">
                  <c:v>23-Apr-19</c:v>
                </c:pt>
                <c:pt idx="656">
                  <c:v>30-Apr-19</c:v>
                </c:pt>
                <c:pt idx="657">
                  <c:v>7-May-19</c:v>
                </c:pt>
                <c:pt idx="658">
                  <c:v>14-May-19</c:v>
                </c:pt>
                <c:pt idx="659">
                  <c:v>21-May-19</c:v>
                </c:pt>
                <c:pt idx="660">
                  <c:v>28-May-19</c:v>
                </c:pt>
                <c:pt idx="661">
                  <c:v>4-Jun-19</c:v>
                </c:pt>
                <c:pt idx="662">
                  <c:v>11-Jun-19</c:v>
                </c:pt>
                <c:pt idx="663">
                  <c:v>18-Jun-19</c:v>
                </c:pt>
                <c:pt idx="664">
                  <c:v>25-Jun-19</c:v>
                </c:pt>
                <c:pt idx="665">
                  <c:v>2-Jul-19</c:v>
                </c:pt>
                <c:pt idx="666">
                  <c:v>9-Jul-19</c:v>
                </c:pt>
                <c:pt idx="667">
                  <c:v>16-Jul-19</c:v>
                </c:pt>
                <c:pt idx="668">
                  <c:v>23-Jul-19</c:v>
                </c:pt>
                <c:pt idx="669">
                  <c:v>30-Jul-19</c:v>
                </c:pt>
                <c:pt idx="670">
                  <c:v>6-Aug-19</c:v>
                </c:pt>
                <c:pt idx="671">
                  <c:v>13-Aug-19</c:v>
                </c:pt>
                <c:pt idx="672">
                  <c:v>20-Aug-19</c:v>
                </c:pt>
                <c:pt idx="673">
                  <c:v>27-Aug-19</c:v>
                </c:pt>
                <c:pt idx="674">
                  <c:v>3-Sep-19</c:v>
                </c:pt>
                <c:pt idx="675">
                  <c:v>10-Sep-19</c:v>
                </c:pt>
                <c:pt idx="676">
                  <c:v>17-Sep-19</c:v>
                </c:pt>
                <c:pt idx="677">
                  <c:v>24-Sep-19</c:v>
                </c:pt>
                <c:pt idx="678">
                  <c:v>1-Oct-19</c:v>
                </c:pt>
                <c:pt idx="679">
                  <c:v>8-Oct-19</c:v>
                </c:pt>
                <c:pt idx="680">
                  <c:v>15-Oct-19</c:v>
                </c:pt>
                <c:pt idx="681">
                  <c:v>22-Oct-19</c:v>
                </c:pt>
                <c:pt idx="682">
                  <c:v>29-Oct-19</c:v>
                </c:pt>
                <c:pt idx="683">
                  <c:v>5-Nov-19</c:v>
                </c:pt>
                <c:pt idx="684">
                  <c:v>12-Nov-19</c:v>
                </c:pt>
                <c:pt idx="685">
                  <c:v>19-Nov-19</c:v>
                </c:pt>
                <c:pt idx="686">
                  <c:v>26-Nov-19</c:v>
                </c:pt>
                <c:pt idx="687">
                  <c:v>3-Dec-19</c:v>
                </c:pt>
                <c:pt idx="688">
                  <c:v>10-Dec-19</c:v>
                </c:pt>
                <c:pt idx="689">
                  <c:v>17-Dec-19</c:v>
                </c:pt>
                <c:pt idx="690">
                  <c:v>24-Dec-19</c:v>
                </c:pt>
                <c:pt idx="691">
                  <c:v>31-Dec-19</c:v>
                </c:pt>
                <c:pt idx="692">
                  <c:v>7-Jan-20</c:v>
                </c:pt>
                <c:pt idx="693">
                  <c:v>14-Jan-20</c:v>
                </c:pt>
                <c:pt idx="694">
                  <c:v>21-Jan-20</c:v>
                </c:pt>
                <c:pt idx="695">
                  <c:v>28-Jan-20</c:v>
                </c:pt>
                <c:pt idx="696">
                  <c:v>4-Feb-20</c:v>
                </c:pt>
                <c:pt idx="697">
                  <c:v>11-Feb-20</c:v>
                </c:pt>
                <c:pt idx="698">
                  <c:v>18-Feb-20</c:v>
                </c:pt>
                <c:pt idx="699">
                  <c:v>25-Feb-20</c:v>
                </c:pt>
                <c:pt idx="700">
                  <c:v>3-Mar-20</c:v>
                </c:pt>
                <c:pt idx="701">
                  <c:v>10-Mar-20</c:v>
                </c:pt>
                <c:pt idx="702">
                  <c:v>17-Mar-20</c:v>
                </c:pt>
                <c:pt idx="703">
                  <c:v>24-Mar-20</c:v>
                </c:pt>
                <c:pt idx="704">
                  <c:v>31-Mar-20</c:v>
                </c:pt>
                <c:pt idx="705">
                  <c:v>7-Apr-20</c:v>
                </c:pt>
                <c:pt idx="706">
                  <c:v>14-Apr-20</c:v>
                </c:pt>
                <c:pt idx="707">
                  <c:v>21-Apr-20</c:v>
                </c:pt>
                <c:pt idx="708">
                  <c:v>28-Apr-20</c:v>
                </c:pt>
                <c:pt idx="709">
                  <c:v>5-May-20</c:v>
                </c:pt>
                <c:pt idx="710">
                  <c:v>12-May-20</c:v>
                </c:pt>
                <c:pt idx="711">
                  <c:v>19-May-20</c:v>
                </c:pt>
                <c:pt idx="712">
                  <c:v>26-May-20</c:v>
                </c:pt>
                <c:pt idx="713">
                  <c:v>2-Jun-20</c:v>
                </c:pt>
                <c:pt idx="714">
                  <c:v>9-Jun-20</c:v>
                </c:pt>
                <c:pt idx="715">
                  <c:v>16-Jun-20</c:v>
                </c:pt>
                <c:pt idx="716">
                  <c:v>23-Jun-20</c:v>
                </c:pt>
                <c:pt idx="717">
                  <c:v>30-Jun-20</c:v>
                </c:pt>
                <c:pt idx="718">
                  <c:v>7-Jul-20</c:v>
                </c:pt>
                <c:pt idx="719">
                  <c:v>14-Jul-20</c:v>
                </c:pt>
                <c:pt idx="720">
                  <c:v>21-Jul-20</c:v>
                </c:pt>
                <c:pt idx="721">
                  <c:v>28-Jul-20</c:v>
                </c:pt>
                <c:pt idx="722">
                  <c:v>4-Aug-20</c:v>
                </c:pt>
                <c:pt idx="723">
                  <c:v>11-Aug-20</c:v>
                </c:pt>
                <c:pt idx="724">
                  <c:v>18-Aug-20</c:v>
                </c:pt>
                <c:pt idx="725">
                  <c:v>25-Aug-20</c:v>
                </c:pt>
                <c:pt idx="726">
                  <c:v>1-Sep-20</c:v>
                </c:pt>
                <c:pt idx="727">
                  <c:v>8-Sep-20</c:v>
                </c:pt>
                <c:pt idx="728">
                  <c:v>15-Sep-20</c:v>
                </c:pt>
                <c:pt idx="729">
                  <c:v>22-Sep-20</c:v>
                </c:pt>
                <c:pt idx="730">
                  <c:v>29-Sep-20</c:v>
                </c:pt>
                <c:pt idx="731">
                  <c:v>6-Oct-20</c:v>
                </c:pt>
                <c:pt idx="732">
                  <c:v>13-Oct-20</c:v>
                </c:pt>
                <c:pt idx="733">
                  <c:v>20-Oct-20</c:v>
                </c:pt>
                <c:pt idx="734">
                  <c:v>27-Oct-20</c:v>
                </c:pt>
                <c:pt idx="735">
                  <c:v>3-Nov-20</c:v>
                </c:pt>
                <c:pt idx="736">
                  <c:v>10-Nov-20</c:v>
                </c:pt>
                <c:pt idx="737">
                  <c:v>17-Nov-20</c:v>
                </c:pt>
                <c:pt idx="738">
                  <c:v>24-Nov-20</c:v>
                </c:pt>
                <c:pt idx="739">
                  <c:v>1-Dec-20</c:v>
                </c:pt>
                <c:pt idx="740">
                  <c:v>8-Dec-20</c:v>
                </c:pt>
                <c:pt idx="741">
                  <c:v>15-Dec-20</c:v>
                </c:pt>
                <c:pt idx="742">
                  <c:v>22-Dec-20</c:v>
                </c:pt>
                <c:pt idx="743">
                  <c:v>29-Dec-20</c:v>
                </c:pt>
                <c:pt idx="744">
                  <c:v>5-Jan-21</c:v>
                </c:pt>
                <c:pt idx="745">
                  <c:v>12-Jan-21</c:v>
                </c:pt>
                <c:pt idx="746">
                  <c:v>19-Jan-21</c:v>
                </c:pt>
                <c:pt idx="747">
                  <c:v>26-Jan-21</c:v>
                </c:pt>
                <c:pt idx="748">
                  <c:v>2-Feb-21</c:v>
                </c:pt>
                <c:pt idx="749">
                  <c:v>9-Feb-21</c:v>
                </c:pt>
                <c:pt idx="750">
                  <c:v>16-Feb-21</c:v>
                </c:pt>
                <c:pt idx="751">
                  <c:v>23-Feb-21</c:v>
                </c:pt>
                <c:pt idx="752">
                  <c:v>2-Mar-21</c:v>
                </c:pt>
                <c:pt idx="753">
                  <c:v>9-Mar-21</c:v>
                </c:pt>
                <c:pt idx="754">
                  <c:v>16-Mar-21</c:v>
                </c:pt>
                <c:pt idx="755">
                  <c:v>23-Mar-21</c:v>
                </c:pt>
                <c:pt idx="756">
                  <c:v>30-Mar-21</c:v>
                </c:pt>
                <c:pt idx="757">
                  <c:v>6-Apr-21</c:v>
                </c:pt>
                <c:pt idx="758">
                  <c:v>13-Apr-21</c:v>
                </c:pt>
                <c:pt idx="759">
                  <c:v>20-Apr-21</c:v>
                </c:pt>
                <c:pt idx="760">
                  <c:v>27-Apr-21</c:v>
                </c:pt>
                <c:pt idx="761">
                  <c:v>4-May-21</c:v>
                </c:pt>
                <c:pt idx="762">
                  <c:v>11-May-21</c:v>
                </c:pt>
                <c:pt idx="763">
                  <c:v>18-May-21</c:v>
                </c:pt>
                <c:pt idx="764">
                  <c:v>25-May-21</c:v>
                </c:pt>
                <c:pt idx="765">
                  <c:v>1-Jun-21</c:v>
                </c:pt>
                <c:pt idx="766">
                  <c:v>8-Jun-21</c:v>
                </c:pt>
                <c:pt idx="767">
                  <c:v>15-Jun-21</c:v>
                </c:pt>
                <c:pt idx="768">
                  <c:v>22-Jun-21</c:v>
                </c:pt>
                <c:pt idx="769">
                  <c:v>29-Jun-21</c:v>
                </c:pt>
                <c:pt idx="770">
                  <c:v>6-Jul-21</c:v>
                </c:pt>
                <c:pt idx="771">
                  <c:v>13-Jul-21</c:v>
                </c:pt>
                <c:pt idx="772">
                  <c:v>20-Jul-21</c:v>
                </c:pt>
                <c:pt idx="773">
                  <c:v>27-Jul-21</c:v>
                </c:pt>
                <c:pt idx="774">
                  <c:v>3-Aug-21</c:v>
                </c:pt>
                <c:pt idx="775">
                  <c:v>10-Aug-21</c:v>
                </c:pt>
                <c:pt idx="776">
                  <c:v>17-Aug-21</c:v>
                </c:pt>
                <c:pt idx="777">
                  <c:v>24-Aug-21</c:v>
                </c:pt>
                <c:pt idx="778">
                  <c:v>31-Aug-21</c:v>
                </c:pt>
                <c:pt idx="779">
                  <c:v>7-Sep-21</c:v>
                </c:pt>
                <c:pt idx="780">
                  <c:v>14-Sep-21</c:v>
                </c:pt>
                <c:pt idx="781">
                  <c:v>21-Sep-21</c:v>
                </c:pt>
                <c:pt idx="782">
                  <c:v>28-Sep-21</c:v>
                </c:pt>
                <c:pt idx="783">
                  <c:v>5-Oct-21</c:v>
                </c:pt>
                <c:pt idx="784">
                  <c:v>12-Oct-21</c:v>
                </c:pt>
                <c:pt idx="785">
                  <c:v>19-Oct-21</c:v>
                </c:pt>
                <c:pt idx="786">
                  <c:v>26-Oct-21</c:v>
                </c:pt>
                <c:pt idx="787">
                  <c:v>2-Nov-21</c:v>
                </c:pt>
                <c:pt idx="788">
                  <c:v>9-Nov-21</c:v>
                </c:pt>
                <c:pt idx="789">
                  <c:v>16-Nov-21</c:v>
                </c:pt>
                <c:pt idx="790">
                  <c:v>23-Nov-21</c:v>
                </c:pt>
                <c:pt idx="791">
                  <c:v>30-Nov-21</c:v>
                </c:pt>
                <c:pt idx="792">
                  <c:v>7-Dec-21</c:v>
                </c:pt>
                <c:pt idx="793">
                  <c:v>14-Dec-21</c:v>
                </c:pt>
                <c:pt idx="794">
                  <c:v>21-Dec-21</c:v>
                </c:pt>
                <c:pt idx="795">
                  <c:v>28-Dec-21</c:v>
                </c:pt>
                <c:pt idx="796">
                  <c:v>4-Jan-22</c:v>
                </c:pt>
                <c:pt idx="797">
                  <c:v>11-Jan-22</c:v>
                </c:pt>
                <c:pt idx="798">
                  <c:v>18-Jan-22</c:v>
                </c:pt>
                <c:pt idx="799">
                  <c:v>25-Jan-22</c:v>
                </c:pt>
                <c:pt idx="800">
                  <c:v>1-Feb-22</c:v>
                </c:pt>
                <c:pt idx="801">
                  <c:v>8-Feb-22</c:v>
                </c:pt>
                <c:pt idx="802">
                  <c:v>15-Feb-22</c:v>
                </c:pt>
                <c:pt idx="803">
                  <c:v>22-Feb-22</c:v>
                </c:pt>
                <c:pt idx="804">
                  <c:v>1-Mar-22</c:v>
                </c:pt>
                <c:pt idx="805">
                  <c:v>8-Mar-22</c:v>
                </c:pt>
                <c:pt idx="806">
                  <c:v>15-Mar-22</c:v>
                </c:pt>
                <c:pt idx="807">
                  <c:v>22-Mar-22</c:v>
                </c:pt>
                <c:pt idx="808">
                  <c:v>29-Mar-22</c:v>
                </c:pt>
                <c:pt idx="809">
                  <c:v>5-Apr-22</c:v>
                </c:pt>
                <c:pt idx="810">
                  <c:v>12-Apr-22</c:v>
                </c:pt>
                <c:pt idx="811">
                  <c:v>19-Apr-22</c:v>
                </c:pt>
                <c:pt idx="812">
                  <c:v>26-Apr-22</c:v>
                </c:pt>
                <c:pt idx="813">
                  <c:v>3-May-22</c:v>
                </c:pt>
                <c:pt idx="814">
                  <c:v>10-May-22</c:v>
                </c:pt>
                <c:pt idx="815">
                  <c:v>17-May-22</c:v>
                </c:pt>
                <c:pt idx="816">
                  <c:v>24-May-22</c:v>
                </c:pt>
                <c:pt idx="817">
                  <c:v>31-May-22</c:v>
                </c:pt>
                <c:pt idx="818">
                  <c:v>7-Jun-22</c:v>
                </c:pt>
                <c:pt idx="819">
                  <c:v>14-Jun-22</c:v>
                </c:pt>
                <c:pt idx="820">
                  <c:v>21-Jun-22</c:v>
                </c:pt>
                <c:pt idx="821">
                  <c:v>28-Jun-22</c:v>
                </c:pt>
                <c:pt idx="822">
                  <c:v>5-Jul-22</c:v>
                </c:pt>
                <c:pt idx="823">
                  <c:v>12-Jul-22</c:v>
                </c:pt>
                <c:pt idx="824">
                  <c:v>19-Jul-22</c:v>
                </c:pt>
                <c:pt idx="825">
                  <c:v>26-Jul-22</c:v>
                </c:pt>
                <c:pt idx="826">
                  <c:v>2-Aug-22</c:v>
                </c:pt>
                <c:pt idx="827">
                  <c:v>9-Aug-22</c:v>
                </c:pt>
                <c:pt idx="828">
                  <c:v>16-Aug-22</c:v>
                </c:pt>
                <c:pt idx="829">
                  <c:v>23-Aug-22</c:v>
                </c:pt>
                <c:pt idx="830">
                  <c:v>30-Aug-22</c:v>
                </c:pt>
                <c:pt idx="831">
                  <c:v>6-Sep-22</c:v>
                </c:pt>
                <c:pt idx="832">
                  <c:v>13-Sep-22</c:v>
                </c:pt>
                <c:pt idx="833">
                  <c:v>20-Sep-22</c:v>
                </c:pt>
                <c:pt idx="834">
                  <c:v>27-Sep-22</c:v>
                </c:pt>
                <c:pt idx="835">
                  <c:v>4-Oct-22</c:v>
                </c:pt>
                <c:pt idx="836">
                  <c:v>11-Oct-22</c:v>
                </c:pt>
                <c:pt idx="837">
                  <c:v>18-Oct-22</c:v>
                </c:pt>
                <c:pt idx="838">
                  <c:v>25-Oct-22</c:v>
                </c:pt>
                <c:pt idx="839">
                  <c:v>1-Nov-22</c:v>
                </c:pt>
                <c:pt idx="840">
                  <c:v>8-Nov-22</c:v>
                </c:pt>
                <c:pt idx="841">
                  <c:v>15-Nov-22</c:v>
                </c:pt>
                <c:pt idx="842">
                  <c:v>22-Nov-22</c:v>
                </c:pt>
                <c:pt idx="843">
                  <c:v>29-Nov-22</c:v>
                </c:pt>
                <c:pt idx="844">
                  <c:v>6-Dec-22</c:v>
                </c:pt>
                <c:pt idx="845">
                  <c:v>13-Dec-22</c:v>
                </c:pt>
                <c:pt idx="846">
                  <c:v>20-Dec-22</c:v>
                </c:pt>
                <c:pt idx="847">
                  <c:v>27-Dec-22</c:v>
                </c:pt>
                <c:pt idx="848">
                  <c:v>3-Jan-23</c:v>
                </c:pt>
                <c:pt idx="849">
                  <c:v>10-Jan-23</c:v>
                </c:pt>
                <c:pt idx="850">
                  <c:v>17-Jan-23</c:v>
                </c:pt>
                <c:pt idx="851">
                  <c:v>24-Jan-23</c:v>
                </c:pt>
                <c:pt idx="852">
                  <c:v>31-Jan-23</c:v>
                </c:pt>
                <c:pt idx="853">
                  <c:v>7-Feb-23</c:v>
                </c:pt>
                <c:pt idx="854">
                  <c:v>14-Feb-23</c:v>
                </c:pt>
                <c:pt idx="855">
                  <c:v>21-Feb-23</c:v>
                </c:pt>
                <c:pt idx="856">
                  <c:v>28-Feb-23</c:v>
                </c:pt>
                <c:pt idx="857">
                  <c:v>7-Mar-23</c:v>
                </c:pt>
                <c:pt idx="858">
                  <c:v>14-Mar-23</c:v>
                </c:pt>
                <c:pt idx="859">
                  <c:v>21-Mar-23</c:v>
                </c:pt>
                <c:pt idx="860">
                  <c:v>28-Mar-23</c:v>
                </c:pt>
                <c:pt idx="861">
                  <c:v>4-Apr-23</c:v>
                </c:pt>
                <c:pt idx="862">
                  <c:v>11-Apr-23</c:v>
                </c:pt>
                <c:pt idx="863">
                  <c:v>18-Apr-23</c:v>
                </c:pt>
                <c:pt idx="864">
                  <c:v>25-Apr-23</c:v>
                </c:pt>
                <c:pt idx="865">
                  <c:v>2-May-23</c:v>
                </c:pt>
                <c:pt idx="866">
                  <c:v>9-May-23</c:v>
                </c:pt>
                <c:pt idx="867">
                  <c:v>16-May-23</c:v>
                </c:pt>
                <c:pt idx="868">
                  <c:v>23-May-23</c:v>
                </c:pt>
                <c:pt idx="869">
                  <c:v>30-May-23</c:v>
                </c:pt>
                <c:pt idx="870">
                  <c:v>6-Jun-23</c:v>
                </c:pt>
                <c:pt idx="871">
                  <c:v>13-Jun-23</c:v>
                </c:pt>
                <c:pt idx="872">
                  <c:v>20-Jun-23</c:v>
                </c:pt>
                <c:pt idx="873">
                  <c:v>27-Jun-23</c:v>
                </c:pt>
                <c:pt idx="874">
                  <c:v>4-Jul-23</c:v>
                </c:pt>
                <c:pt idx="875">
                  <c:v>11-Jul-23</c:v>
                </c:pt>
                <c:pt idx="876">
                  <c:v>18-Jul-23</c:v>
                </c:pt>
                <c:pt idx="877">
                  <c:v>25-Jul-23</c:v>
                </c:pt>
                <c:pt idx="878">
                  <c:v>1-Aug-23</c:v>
                </c:pt>
                <c:pt idx="879">
                  <c:v>8-Aug-23</c:v>
                </c:pt>
                <c:pt idx="880">
                  <c:v>15-Aug-23</c:v>
                </c:pt>
                <c:pt idx="881">
                  <c:v>22-Aug-23</c:v>
                </c:pt>
                <c:pt idx="882">
                  <c:v>29-Aug-23</c:v>
                </c:pt>
                <c:pt idx="883">
                  <c:v>5-Sep-23</c:v>
                </c:pt>
                <c:pt idx="884">
                  <c:v>12-Sep-23</c:v>
                </c:pt>
                <c:pt idx="885">
                  <c:v>19-Sep-23</c:v>
                </c:pt>
                <c:pt idx="886">
                  <c:v>26-Sep-23</c:v>
                </c:pt>
                <c:pt idx="887">
                  <c:v>3-Oct-23</c:v>
                </c:pt>
                <c:pt idx="888">
                  <c:v>10-Oct-23</c:v>
                </c:pt>
                <c:pt idx="889">
                  <c:v>17-Oct-23</c:v>
                </c:pt>
                <c:pt idx="890">
                  <c:v>24-Oct-23</c:v>
                </c:pt>
                <c:pt idx="891">
                  <c:v>31-Oct-23</c:v>
                </c:pt>
                <c:pt idx="892">
                  <c:v>7-Nov-23</c:v>
                </c:pt>
                <c:pt idx="893">
                  <c:v>14-Nov-23</c:v>
                </c:pt>
                <c:pt idx="894">
                  <c:v>21-Nov-23</c:v>
                </c:pt>
                <c:pt idx="895">
                  <c:v>28-Nov-23</c:v>
                </c:pt>
                <c:pt idx="896">
                  <c:v>5-Dec-23</c:v>
                </c:pt>
                <c:pt idx="897">
                  <c:v>12-Dec-23</c:v>
                </c:pt>
                <c:pt idx="898">
                  <c:v>19-Dec-23</c:v>
                </c:pt>
                <c:pt idx="899">
                  <c:v>26-Dec-23</c:v>
                </c:pt>
                <c:pt idx="900">
                  <c:v>2-Jan-24</c:v>
                </c:pt>
                <c:pt idx="901">
                  <c:v>9-Jan-24</c:v>
                </c:pt>
                <c:pt idx="902">
                  <c:v>16-Jan-24</c:v>
                </c:pt>
                <c:pt idx="903">
                  <c:v>23-Jan-24</c:v>
                </c:pt>
                <c:pt idx="904">
                  <c:v>30-Jan-24</c:v>
                </c:pt>
                <c:pt idx="905">
                  <c:v>6-Feb-24</c:v>
                </c:pt>
                <c:pt idx="906">
                  <c:v>13-Feb-24</c:v>
                </c:pt>
                <c:pt idx="907">
                  <c:v>20-Feb-24</c:v>
                </c:pt>
                <c:pt idx="908">
                  <c:v>27-Feb-24</c:v>
                </c:pt>
                <c:pt idx="909">
                  <c:v>5-Mar-24</c:v>
                </c:pt>
                <c:pt idx="910">
                  <c:v>12-Mar-24</c:v>
                </c:pt>
                <c:pt idx="911">
                  <c:v>19-Mar-24</c:v>
                </c:pt>
                <c:pt idx="912">
                  <c:v>26-Mar-24</c:v>
                </c:pt>
                <c:pt idx="913">
                  <c:v>2-Apr-24</c:v>
                </c:pt>
                <c:pt idx="914">
                  <c:v>9-Apr-24</c:v>
                </c:pt>
                <c:pt idx="915">
                  <c:v>16-Apr-24</c:v>
                </c:pt>
                <c:pt idx="916">
                  <c:v>23-Apr-24</c:v>
                </c:pt>
                <c:pt idx="917">
                  <c:v>30-Apr-24</c:v>
                </c:pt>
                <c:pt idx="918">
                  <c:v>7-May-24</c:v>
                </c:pt>
                <c:pt idx="919">
                  <c:v>14-May-24</c:v>
                </c:pt>
                <c:pt idx="920">
                  <c:v>21-May-24</c:v>
                </c:pt>
                <c:pt idx="921">
                  <c:v>28-May-24</c:v>
                </c:pt>
                <c:pt idx="922">
                  <c:v>4-Jun-24</c:v>
                </c:pt>
                <c:pt idx="923">
                  <c:v>11-Jun-24</c:v>
                </c:pt>
                <c:pt idx="924">
                  <c:v>18-Jun-24</c:v>
                </c:pt>
                <c:pt idx="925">
                  <c:v>25-Jun-24</c:v>
                </c:pt>
                <c:pt idx="926">
                  <c:v>2-Jul-24</c:v>
                </c:pt>
                <c:pt idx="927">
                  <c:v>9-Jul-24</c:v>
                </c:pt>
                <c:pt idx="928">
                  <c:v>16-Jul-24</c:v>
                </c:pt>
                <c:pt idx="929">
                  <c:v>23-Jul-24</c:v>
                </c:pt>
                <c:pt idx="930">
                  <c:v>30-Jul-24</c:v>
                </c:pt>
                <c:pt idx="931">
                  <c:v>6-Aug-24</c:v>
                </c:pt>
                <c:pt idx="932">
                  <c:v>13-Aug-24</c:v>
                </c:pt>
                <c:pt idx="933">
                  <c:v>20-Aug-24</c:v>
                </c:pt>
                <c:pt idx="934">
                  <c:v>27-Aug-24</c:v>
                </c:pt>
                <c:pt idx="935">
                  <c:v>3-Sep-24</c:v>
                </c:pt>
                <c:pt idx="936">
                  <c:v>10-Sep-24</c:v>
                </c:pt>
                <c:pt idx="937">
                  <c:v>17-Sep-24</c:v>
                </c:pt>
                <c:pt idx="938">
                  <c:v>24-Sep-24</c:v>
                </c:pt>
                <c:pt idx="939">
                  <c:v>1-Oct-24</c:v>
                </c:pt>
                <c:pt idx="940">
                  <c:v>8-Oct-24</c:v>
                </c:pt>
                <c:pt idx="941">
                  <c:v>15-Oct-24</c:v>
                </c:pt>
                <c:pt idx="942">
                  <c:v>22-Oct-24</c:v>
                </c:pt>
                <c:pt idx="943">
                  <c:v>29-Oct-24</c:v>
                </c:pt>
                <c:pt idx="944">
                  <c:v>5-Nov-24</c:v>
                </c:pt>
                <c:pt idx="945">
                  <c:v>12-Nov-24</c:v>
                </c:pt>
                <c:pt idx="946">
                  <c:v>19-Nov-24</c:v>
                </c:pt>
                <c:pt idx="947">
                  <c:v>26-Nov-24</c:v>
                </c:pt>
                <c:pt idx="948">
                  <c:v>3-Dec-24</c:v>
                </c:pt>
                <c:pt idx="949">
                  <c:v>10-Dec-24</c:v>
                </c:pt>
                <c:pt idx="997">
                  <c:v>USE THE CONTINUOUS NEARBY CONTRACT FROM THE WEEKLY TIMEFRAME FOR THE CHART DATA. </c:v>
                </c:pt>
              </c:strCache>
            </c:strRef>
          </c:cat>
          <c:val>
            <c:numRef>
              <c:f>'Oil Share Data'!$D$3:$D$1000</c:f>
              <c:numCache>
                <c:formatCode>#,##0_);[Red]\(#,##0\)</c:formatCode>
                <c:ptCount val="998"/>
                <c:pt idx="0">
                  <c:v>-8080</c:v>
                </c:pt>
                <c:pt idx="1">
                  <c:v>-2136</c:v>
                </c:pt>
                <c:pt idx="2">
                  <c:v>-16023</c:v>
                </c:pt>
                <c:pt idx="3">
                  <c:v>-13294</c:v>
                </c:pt>
                <c:pt idx="4">
                  <c:v>-5224</c:v>
                </c:pt>
                <c:pt idx="5">
                  <c:v>-3182</c:v>
                </c:pt>
                <c:pt idx="6">
                  <c:v>-4819</c:v>
                </c:pt>
                <c:pt idx="7">
                  <c:v>17453</c:v>
                </c:pt>
                <c:pt idx="8">
                  <c:v>-10915</c:v>
                </c:pt>
                <c:pt idx="9">
                  <c:v>-1062</c:v>
                </c:pt>
                <c:pt idx="10">
                  <c:v>13049</c:v>
                </c:pt>
                <c:pt idx="11">
                  <c:v>3772</c:v>
                </c:pt>
                <c:pt idx="12">
                  <c:v>-1812</c:v>
                </c:pt>
                <c:pt idx="13">
                  <c:v>10668</c:v>
                </c:pt>
                <c:pt idx="14">
                  <c:v>-2695</c:v>
                </c:pt>
                <c:pt idx="15">
                  <c:v>-178</c:v>
                </c:pt>
                <c:pt idx="16">
                  <c:v>-5133</c:v>
                </c:pt>
                <c:pt idx="17">
                  <c:v>8</c:v>
                </c:pt>
                <c:pt idx="18">
                  <c:v>-10525</c:v>
                </c:pt>
                <c:pt idx="19">
                  <c:v>1672</c:v>
                </c:pt>
                <c:pt idx="20">
                  <c:v>432</c:v>
                </c:pt>
                <c:pt idx="21">
                  <c:v>3030</c:v>
                </c:pt>
                <c:pt idx="22">
                  <c:v>-17125</c:v>
                </c:pt>
                <c:pt idx="23">
                  <c:v>-6463</c:v>
                </c:pt>
                <c:pt idx="24">
                  <c:v>10042</c:v>
                </c:pt>
                <c:pt idx="25">
                  <c:v>2742</c:v>
                </c:pt>
                <c:pt idx="26">
                  <c:v>5765</c:v>
                </c:pt>
                <c:pt idx="27">
                  <c:v>5741</c:v>
                </c:pt>
                <c:pt idx="28">
                  <c:v>18566</c:v>
                </c:pt>
                <c:pt idx="29">
                  <c:v>8211</c:v>
                </c:pt>
                <c:pt idx="30">
                  <c:v>9111</c:v>
                </c:pt>
                <c:pt idx="31">
                  <c:v>-2311</c:v>
                </c:pt>
                <c:pt idx="32">
                  <c:v>-9652</c:v>
                </c:pt>
                <c:pt idx="33">
                  <c:v>7994</c:v>
                </c:pt>
                <c:pt idx="34">
                  <c:v>1166</c:v>
                </c:pt>
                <c:pt idx="35">
                  <c:v>3742</c:v>
                </c:pt>
                <c:pt idx="36">
                  <c:v>-7939</c:v>
                </c:pt>
                <c:pt idx="37">
                  <c:v>-4968</c:v>
                </c:pt>
                <c:pt idx="38">
                  <c:v>-7085</c:v>
                </c:pt>
                <c:pt idx="39">
                  <c:v>-6908</c:v>
                </c:pt>
                <c:pt idx="40">
                  <c:v>-3578</c:v>
                </c:pt>
                <c:pt idx="41">
                  <c:v>-12330</c:v>
                </c:pt>
                <c:pt idx="42">
                  <c:v>1593</c:v>
                </c:pt>
                <c:pt idx="43">
                  <c:v>-4888</c:v>
                </c:pt>
                <c:pt idx="44">
                  <c:v>-4127</c:v>
                </c:pt>
                <c:pt idx="45">
                  <c:v>8795</c:v>
                </c:pt>
                <c:pt idx="46">
                  <c:v>5818</c:v>
                </c:pt>
                <c:pt idx="47">
                  <c:v>-12979</c:v>
                </c:pt>
                <c:pt idx="48">
                  <c:v>-11537</c:v>
                </c:pt>
                <c:pt idx="49">
                  <c:v>-16509</c:v>
                </c:pt>
                <c:pt idx="50">
                  <c:v>-8589</c:v>
                </c:pt>
                <c:pt idx="51">
                  <c:v>6597</c:v>
                </c:pt>
                <c:pt idx="52">
                  <c:v>8218</c:v>
                </c:pt>
                <c:pt idx="53">
                  <c:v>557</c:v>
                </c:pt>
                <c:pt idx="54">
                  <c:v>-268</c:v>
                </c:pt>
                <c:pt idx="55">
                  <c:v>-1068</c:v>
                </c:pt>
                <c:pt idx="56">
                  <c:v>2063</c:v>
                </c:pt>
                <c:pt idx="57">
                  <c:v>977</c:v>
                </c:pt>
                <c:pt idx="58">
                  <c:v>-4380</c:v>
                </c:pt>
                <c:pt idx="59">
                  <c:v>-197</c:v>
                </c:pt>
                <c:pt idx="60">
                  <c:v>-1010</c:v>
                </c:pt>
                <c:pt idx="61">
                  <c:v>-2107</c:v>
                </c:pt>
                <c:pt idx="62">
                  <c:v>1321</c:v>
                </c:pt>
                <c:pt idx="63">
                  <c:v>443</c:v>
                </c:pt>
                <c:pt idx="64">
                  <c:v>-4551</c:v>
                </c:pt>
                <c:pt idx="65">
                  <c:v>-14308</c:v>
                </c:pt>
                <c:pt idx="66">
                  <c:v>-452</c:v>
                </c:pt>
                <c:pt idx="67">
                  <c:v>17095</c:v>
                </c:pt>
                <c:pt idx="68">
                  <c:v>3275</c:v>
                </c:pt>
                <c:pt idx="69">
                  <c:v>3819</c:v>
                </c:pt>
                <c:pt idx="70">
                  <c:v>-158</c:v>
                </c:pt>
                <c:pt idx="71">
                  <c:v>1805</c:v>
                </c:pt>
                <c:pt idx="72">
                  <c:v>-106</c:v>
                </c:pt>
                <c:pt idx="73">
                  <c:v>-4930</c:v>
                </c:pt>
                <c:pt idx="74">
                  <c:v>658</c:v>
                </c:pt>
                <c:pt idx="75">
                  <c:v>-9236</c:v>
                </c:pt>
                <c:pt idx="76">
                  <c:v>9965</c:v>
                </c:pt>
                <c:pt idx="77">
                  <c:v>-1590</c:v>
                </c:pt>
                <c:pt idx="78">
                  <c:v>672</c:v>
                </c:pt>
                <c:pt idx="79">
                  <c:v>-5369</c:v>
                </c:pt>
                <c:pt idx="80">
                  <c:v>-7199</c:v>
                </c:pt>
                <c:pt idx="81">
                  <c:v>8696</c:v>
                </c:pt>
                <c:pt idx="82">
                  <c:v>3180</c:v>
                </c:pt>
                <c:pt idx="83">
                  <c:v>406</c:v>
                </c:pt>
                <c:pt idx="84">
                  <c:v>-1579</c:v>
                </c:pt>
                <c:pt idx="85">
                  <c:v>2538</c:v>
                </c:pt>
                <c:pt idx="86">
                  <c:v>-3940</c:v>
                </c:pt>
                <c:pt idx="87">
                  <c:v>-1956</c:v>
                </c:pt>
                <c:pt idx="88">
                  <c:v>-3217</c:v>
                </c:pt>
                <c:pt idx="89">
                  <c:v>-8284</c:v>
                </c:pt>
                <c:pt idx="90">
                  <c:v>-5092</c:v>
                </c:pt>
                <c:pt idx="91">
                  <c:v>-4870</c:v>
                </c:pt>
                <c:pt idx="92">
                  <c:v>6164</c:v>
                </c:pt>
                <c:pt idx="93">
                  <c:v>-1471</c:v>
                </c:pt>
                <c:pt idx="94">
                  <c:v>-1414</c:v>
                </c:pt>
                <c:pt idx="95">
                  <c:v>4368</c:v>
                </c:pt>
                <c:pt idx="96">
                  <c:v>292</c:v>
                </c:pt>
                <c:pt idx="97">
                  <c:v>378</c:v>
                </c:pt>
                <c:pt idx="98">
                  <c:v>-4014</c:v>
                </c:pt>
                <c:pt idx="99">
                  <c:v>2318</c:v>
                </c:pt>
                <c:pt idx="100">
                  <c:v>-2328</c:v>
                </c:pt>
                <c:pt idx="101">
                  <c:v>700</c:v>
                </c:pt>
                <c:pt idx="102">
                  <c:v>-672</c:v>
                </c:pt>
                <c:pt idx="103">
                  <c:v>1908</c:v>
                </c:pt>
                <c:pt idx="104">
                  <c:v>5065</c:v>
                </c:pt>
                <c:pt idx="105">
                  <c:v>8679</c:v>
                </c:pt>
                <c:pt idx="106">
                  <c:v>4719</c:v>
                </c:pt>
                <c:pt idx="107">
                  <c:v>3829</c:v>
                </c:pt>
                <c:pt idx="108">
                  <c:v>-8120</c:v>
                </c:pt>
                <c:pt idx="109">
                  <c:v>-2033</c:v>
                </c:pt>
                <c:pt idx="110">
                  <c:v>2730</c:v>
                </c:pt>
                <c:pt idx="111">
                  <c:v>1729</c:v>
                </c:pt>
                <c:pt idx="112">
                  <c:v>-2239</c:v>
                </c:pt>
                <c:pt idx="113">
                  <c:v>-860</c:v>
                </c:pt>
                <c:pt idx="114">
                  <c:v>293</c:v>
                </c:pt>
                <c:pt idx="115">
                  <c:v>-899</c:v>
                </c:pt>
                <c:pt idx="116">
                  <c:v>3203</c:v>
                </c:pt>
                <c:pt idx="117">
                  <c:v>-5220</c:v>
                </c:pt>
                <c:pt idx="118">
                  <c:v>2526</c:v>
                </c:pt>
                <c:pt idx="119">
                  <c:v>2381</c:v>
                </c:pt>
                <c:pt idx="120">
                  <c:v>-5271</c:v>
                </c:pt>
                <c:pt idx="121">
                  <c:v>-7730</c:v>
                </c:pt>
                <c:pt idx="122">
                  <c:v>-3512</c:v>
                </c:pt>
                <c:pt idx="123">
                  <c:v>-1087</c:v>
                </c:pt>
                <c:pt idx="124">
                  <c:v>1629</c:v>
                </c:pt>
                <c:pt idx="125">
                  <c:v>4073</c:v>
                </c:pt>
                <c:pt idx="126">
                  <c:v>-1181</c:v>
                </c:pt>
                <c:pt idx="127">
                  <c:v>1788</c:v>
                </c:pt>
                <c:pt idx="128">
                  <c:v>-11354</c:v>
                </c:pt>
                <c:pt idx="129">
                  <c:v>-579</c:v>
                </c:pt>
                <c:pt idx="130">
                  <c:v>6477</c:v>
                </c:pt>
                <c:pt idx="131">
                  <c:v>8717</c:v>
                </c:pt>
                <c:pt idx="132">
                  <c:v>308</c:v>
                </c:pt>
                <c:pt idx="133">
                  <c:v>-8127</c:v>
                </c:pt>
                <c:pt idx="134">
                  <c:v>2727</c:v>
                </c:pt>
                <c:pt idx="135">
                  <c:v>-3603</c:v>
                </c:pt>
                <c:pt idx="136">
                  <c:v>8681</c:v>
                </c:pt>
                <c:pt idx="137">
                  <c:v>-14801</c:v>
                </c:pt>
                <c:pt idx="138">
                  <c:v>-8854</c:v>
                </c:pt>
                <c:pt idx="139">
                  <c:v>6689</c:v>
                </c:pt>
                <c:pt idx="140">
                  <c:v>-1196</c:v>
                </c:pt>
                <c:pt idx="141">
                  <c:v>-19075</c:v>
                </c:pt>
                <c:pt idx="142">
                  <c:v>5104</c:v>
                </c:pt>
                <c:pt idx="143">
                  <c:v>-6526</c:v>
                </c:pt>
                <c:pt idx="144">
                  <c:v>1262</c:v>
                </c:pt>
                <c:pt idx="145">
                  <c:v>2610</c:v>
                </c:pt>
                <c:pt idx="146">
                  <c:v>2770</c:v>
                </c:pt>
                <c:pt idx="147">
                  <c:v>-1780</c:v>
                </c:pt>
                <c:pt idx="148">
                  <c:v>7519</c:v>
                </c:pt>
                <c:pt idx="149">
                  <c:v>5631</c:v>
                </c:pt>
                <c:pt idx="150">
                  <c:v>5044</c:v>
                </c:pt>
                <c:pt idx="151">
                  <c:v>3534</c:v>
                </c:pt>
                <c:pt idx="152">
                  <c:v>-17203</c:v>
                </c:pt>
                <c:pt idx="153">
                  <c:v>-3623</c:v>
                </c:pt>
                <c:pt idx="154">
                  <c:v>-2163</c:v>
                </c:pt>
                <c:pt idx="155">
                  <c:v>4890</c:v>
                </c:pt>
                <c:pt idx="156">
                  <c:v>-4321</c:v>
                </c:pt>
                <c:pt idx="157">
                  <c:v>4628</c:v>
                </c:pt>
                <c:pt idx="158">
                  <c:v>7681</c:v>
                </c:pt>
                <c:pt idx="159">
                  <c:v>19902</c:v>
                </c:pt>
                <c:pt idx="160">
                  <c:v>19777</c:v>
                </c:pt>
                <c:pt idx="161">
                  <c:v>-16319</c:v>
                </c:pt>
                <c:pt idx="162">
                  <c:v>5243</c:v>
                </c:pt>
                <c:pt idx="163">
                  <c:v>18233</c:v>
                </c:pt>
                <c:pt idx="164">
                  <c:v>3536</c:v>
                </c:pt>
                <c:pt idx="165">
                  <c:v>-1929</c:v>
                </c:pt>
                <c:pt idx="166">
                  <c:v>3196</c:v>
                </c:pt>
                <c:pt idx="167">
                  <c:v>-8348</c:v>
                </c:pt>
                <c:pt idx="168">
                  <c:v>-8765</c:v>
                </c:pt>
                <c:pt idx="169">
                  <c:v>8765</c:v>
                </c:pt>
                <c:pt idx="170">
                  <c:v>-2668</c:v>
                </c:pt>
                <c:pt idx="171">
                  <c:v>-6686</c:v>
                </c:pt>
                <c:pt idx="172">
                  <c:v>-15089</c:v>
                </c:pt>
                <c:pt idx="173">
                  <c:v>-8525</c:v>
                </c:pt>
                <c:pt idx="174">
                  <c:v>6583</c:v>
                </c:pt>
                <c:pt idx="175">
                  <c:v>12335</c:v>
                </c:pt>
                <c:pt idx="176">
                  <c:v>9571</c:v>
                </c:pt>
                <c:pt idx="177">
                  <c:v>-1675</c:v>
                </c:pt>
                <c:pt idx="178">
                  <c:v>13447</c:v>
                </c:pt>
                <c:pt idx="179">
                  <c:v>15053</c:v>
                </c:pt>
                <c:pt idx="180">
                  <c:v>-7157</c:v>
                </c:pt>
                <c:pt idx="181">
                  <c:v>-13142</c:v>
                </c:pt>
                <c:pt idx="182">
                  <c:v>-22116</c:v>
                </c:pt>
                <c:pt idx="183">
                  <c:v>16954</c:v>
                </c:pt>
                <c:pt idx="184">
                  <c:v>11550</c:v>
                </c:pt>
                <c:pt idx="185">
                  <c:v>-24166</c:v>
                </c:pt>
                <c:pt idx="186">
                  <c:v>-22765</c:v>
                </c:pt>
                <c:pt idx="187">
                  <c:v>-18785</c:v>
                </c:pt>
                <c:pt idx="188">
                  <c:v>5601</c:v>
                </c:pt>
                <c:pt idx="189">
                  <c:v>-9235</c:v>
                </c:pt>
                <c:pt idx="190">
                  <c:v>-7148</c:v>
                </c:pt>
                <c:pt idx="191">
                  <c:v>14514</c:v>
                </c:pt>
                <c:pt idx="192">
                  <c:v>-14898</c:v>
                </c:pt>
                <c:pt idx="193">
                  <c:v>-2500</c:v>
                </c:pt>
                <c:pt idx="194">
                  <c:v>7159</c:v>
                </c:pt>
                <c:pt idx="195">
                  <c:v>-25756</c:v>
                </c:pt>
                <c:pt idx="196">
                  <c:v>-2753</c:v>
                </c:pt>
                <c:pt idx="197">
                  <c:v>8782</c:v>
                </c:pt>
                <c:pt idx="198">
                  <c:v>14154</c:v>
                </c:pt>
                <c:pt idx="199">
                  <c:v>13464</c:v>
                </c:pt>
                <c:pt idx="200">
                  <c:v>22704</c:v>
                </c:pt>
                <c:pt idx="201">
                  <c:v>7177</c:v>
                </c:pt>
                <c:pt idx="202">
                  <c:v>6638</c:v>
                </c:pt>
                <c:pt idx="203">
                  <c:v>-14825</c:v>
                </c:pt>
                <c:pt idx="204">
                  <c:v>-18049</c:v>
                </c:pt>
                <c:pt idx="205">
                  <c:v>3037</c:v>
                </c:pt>
                <c:pt idx="206">
                  <c:v>21005</c:v>
                </c:pt>
                <c:pt idx="207">
                  <c:v>-5151</c:v>
                </c:pt>
                <c:pt idx="208">
                  <c:v>33289</c:v>
                </c:pt>
                <c:pt idx="209">
                  <c:v>30587</c:v>
                </c:pt>
                <c:pt idx="210">
                  <c:v>-5989</c:v>
                </c:pt>
                <c:pt idx="211">
                  <c:v>172</c:v>
                </c:pt>
                <c:pt idx="212">
                  <c:v>-1497</c:v>
                </c:pt>
                <c:pt idx="213">
                  <c:v>2819</c:v>
                </c:pt>
                <c:pt idx="214">
                  <c:v>-15558</c:v>
                </c:pt>
                <c:pt idx="215">
                  <c:v>3636</c:v>
                </c:pt>
                <c:pt idx="216">
                  <c:v>-7145</c:v>
                </c:pt>
                <c:pt idx="217">
                  <c:v>222</c:v>
                </c:pt>
                <c:pt idx="218">
                  <c:v>5513</c:v>
                </c:pt>
                <c:pt idx="219">
                  <c:v>6666</c:v>
                </c:pt>
                <c:pt idx="220">
                  <c:v>-4102</c:v>
                </c:pt>
                <c:pt idx="221">
                  <c:v>-1555</c:v>
                </c:pt>
                <c:pt idx="222">
                  <c:v>-1678</c:v>
                </c:pt>
                <c:pt idx="223">
                  <c:v>996</c:v>
                </c:pt>
                <c:pt idx="224">
                  <c:v>1758</c:v>
                </c:pt>
                <c:pt idx="225">
                  <c:v>-8671</c:v>
                </c:pt>
                <c:pt idx="226">
                  <c:v>16220</c:v>
                </c:pt>
                <c:pt idx="227">
                  <c:v>8359</c:v>
                </c:pt>
                <c:pt idx="228">
                  <c:v>-6001</c:v>
                </c:pt>
                <c:pt idx="229">
                  <c:v>-4315</c:v>
                </c:pt>
                <c:pt idx="230">
                  <c:v>14201</c:v>
                </c:pt>
                <c:pt idx="231">
                  <c:v>8026</c:v>
                </c:pt>
                <c:pt idx="232">
                  <c:v>-18925</c:v>
                </c:pt>
                <c:pt idx="233">
                  <c:v>-10252</c:v>
                </c:pt>
                <c:pt idx="234">
                  <c:v>8643</c:v>
                </c:pt>
                <c:pt idx="235">
                  <c:v>15585</c:v>
                </c:pt>
                <c:pt idx="236">
                  <c:v>4339</c:v>
                </c:pt>
                <c:pt idx="237">
                  <c:v>2796</c:v>
                </c:pt>
                <c:pt idx="238">
                  <c:v>-10548</c:v>
                </c:pt>
                <c:pt idx="239">
                  <c:v>-6617</c:v>
                </c:pt>
                <c:pt idx="240">
                  <c:v>-17439</c:v>
                </c:pt>
                <c:pt idx="241">
                  <c:v>-3119</c:v>
                </c:pt>
                <c:pt idx="242">
                  <c:v>4565</c:v>
                </c:pt>
                <c:pt idx="243">
                  <c:v>16126</c:v>
                </c:pt>
                <c:pt idx="244">
                  <c:v>-5246</c:v>
                </c:pt>
                <c:pt idx="245">
                  <c:v>-14710</c:v>
                </c:pt>
                <c:pt idx="246">
                  <c:v>1217</c:v>
                </c:pt>
                <c:pt idx="247">
                  <c:v>7106</c:v>
                </c:pt>
                <c:pt idx="248">
                  <c:v>-8755</c:v>
                </c:pt>
                <c:pt idx="249">
                  <c:v>5012</c:v>
                </c:pt>
                <c:pt idx="250">
                  <c:v>-9189</c:v>
                </c:pt>
                <c:pt idx="251">
                  <c:v>-18582</c:v>
                </c:pt>
                <c:pt idx="252">
                  <c:v>2955</c:v>
                </c:pt>
                <c:pt idx="253">
                  <c:v>-21115</c:v>
                </c:pt>
                <c:pt idx="254">
                  <c:v>6976</c:v>
                </c:pt>
                <c:pt idx="255">
                  <c:v>-2505</c:v>
                </c:pt>
                <c:pt idx="256">
                  <c:v>18638</c:v>
                </c:pt>
                <c:pt idx="257">
                  <c:v>-2576</c:v>
                </c:pt>
                <c:pt idx="258">
                  <c:v>7306</c:v>
                </c:pt>
                <c:pt idx="259">
                  <c:v>10277</c:v>
                </c:pt>
                <c:pt idx="260">
                  <c:v>-5644</c:v>
                </c:pt>
                <c:pt idx="261">
                  <c:v>-1219</c:v>
                </c:pt>
                <c:pt idx="262">
                  <c:v>1937</c:v>
                </c:pt>
                <c:pt idx="263">
                  <c:v>8532</c:v>
                </c:pt>
                <c:pt idx="264">
                  <c:v>-14811</c:v>
                </c:pt>
                <c:pt idx="265">
                  <c:v>4817</c:v>
                </c:pt>
                <c:pt idx="266">
                  <c:v>-560</c:v>
                </c:pt>
                <c:pt idx="267">
                  <c:v>19885</c:v>
                </c:pt>
                <c:pt idx="268">
                  <c:v>-9206</c:v>
                </c:pt>
                <c:pt idx="269">
                  <c:v>-2865</c:v>
                </c:pt>
                <c:pt idx="270">
                  <c:v>8736</c:v>
                </c:pt>
                <c:pt idx="271">
                  <c:v>917</c:v>
                </c:pt>
                <c:pt idx="272">
                  <c:v>-6786</c:v>
                </c:pt>
                <c:pt idx="273">
                  <c:v>1706</c:v>
                </c:pt>
                <c:pt idx="274">
                  <c:v>11054</c:v>
                </c:pt>
                <c:pt idx="275">
                  <c:v>-2014</c:v>
                </c:pt>
                <c:pt idx="276">
                  <c:v>-15775</c:v>
                </c:pt>
                <c:pt idx="277">
                  <c:v>-10176</c:v>
                </c:pt>
                <c:pt idx="278">
                  <c:v>-7853</c:v>
                </c:pt>
                <c:pt idx="279">
                  <c:v>6569</c:v>
                </c:pt>
                <c:pt idx="280">
                  <c:v>15644</c:v>
                </c:pt>
                <c:pt idx="281">
                  <c:v>2224</c:v>
                </c:pt>
                <c:pt idx="282">
                  <c:v>-4134</c:v>
                </c:pt>
                <c:pt idx="283">
                  <c:v>-39139</c:v>
                </c:pt>
                <c:pt idx="284">
                  <c:v>-7057</c:v>
                </c:pt>
                <c:pt idx="285">
                  <c:v>-2634</c:v>
                </c:pt>
                <c:pt idx="286">
                  <c:v>-7230</c:v>
                </c:pt>
                <c:pt idx="287">
                  <c:v>575</c:v>
                </c:pt>
                <c:pt idx="288">
                  <c:v>12574</c:v>
                </c:pt>
                <c:pt idx="289">
                  <c:v>-10021</c:v>
                </c:pt>
                <c:pt idx="290">
                  <c:v>-14418</c:v>
                </c:pt>
                <c:pt idx="291">
                  <c:v>-14660</c:v>
                </c:pt>
                <c:pt idx="292">
                  <c:v>-12281</c:v>
                </c:pt>
                <c:pt idx="293">
                  <c:v>-15548</c:v>
                </c:pt>
                <c:pt idx="294">
                  <c:v>-3999</c:v>
                </c:pt>
                <c:pt idx="295">
                  <c:v>-2441</c:v>
                </c:pt>
                <c:pt idx="296">
                  <c:v>6230</c:v>
                </c:pt>
                <c:pt idx="297">
                  <c:v>-5702</c:v>
                </c:pt>
                <c:pt idx="298">
                  <c:v>-2335</c:v>
                </c:pt>
                <c:pt idx="299">
                  <c:v>3259</c:v>
                </c:pt>
                <c:pt idx="300">
                  <c:v>2945</c:v>
                </c:pt>
                <c:pt idx="301">
                  <c:v>28066</c:v>
                </c:pt>
                <c:pt idx="302">
                  <c:v>5090</c:v>
                </c:pt>
                <c:pt idx="303">
                  <c:v>3124</c:v>
                </c:pt>
                <c:pt idx="304">
                  <c:v>10357</c:v>
                </c:pt>
                <c:pt idx="305">
                  <c:v>-5988</c:v>
                </c:pt>
                <c:pt idx="306">
                  <c:v>6006</c:v>
                </c:pt>
                <c:pt idx="307">
                  <c:v>11289</c:v>
                </c:pt>
                <c:pt idx="308">
                  <c:v>17775</c:v>
                </c:pt>
                <c:pt idx="309">
                  <c:v>7960</c:v>
                </c:pt>
                <c:pt idx="310">
                  <c:v>4221</c:v>
                </c:pt>
                <c:pt idx="311">
                  <c:v>3523</c:v>
                </c:pt>
                <c:pt idx="312">
                  <c:v>-1981</c:v>
                </c:pt>
                <c:pt idx="313">
                  <c:v>-14285</c:v>
                </c:pt>
                <c:pt idx="314">
                  <c:v>-9559</c:v>
                </c:pt>
                <c:pt idx="315">
                  <c:v>-17771</c:v>
                </c:pt>
                <c:pt idx="316">
                  <c:v>-3172</c:v>
                </c:pt>
                <c:pt idx="317">
                  <c:v>-13313</c:v>
                </c:pt>
                <c:pt idx="318">
                  <c:v>-10327</c:v>
                </c:pt>
                <c:pt idx="319">
                  <c:v>8680</c:v>
                </c:pt>
                <c:pt idx="320">
                  <c:v>-7428</c:v>
                </c:pt>
                <c:pt idx="321">
                  <c:v>8077</c:v>
                </c:pt>
                <c:pt idx="322">
                  <c:v>2143</c:v>
                </c:pt>
                <c:pt idx="323">
                  <c:v>4164</c:v>
                </c:pt>
                <c:pt idx="324">
                  <c:v>-11523</c:v>
                </c:pt>
                <c:pt idx="325">
                  <c:v>-5827</c:v>
                </c:pt>
                <c:pt idx="326">
                  <c:v>3978</c:v>
                </c:pt>
                <c:pt idx="327">
                  <c:v>6731</c:v>
                </c:pt>
                <c:pt idx="328">
                  <c:v>14135</c:v>
                </c:pt>
                <c:pt idx="329">
                  <c:v>12715</c:v>
                </c:pt>
                <c:pt idx="330">
                  <c:v>7688</c:v>
                </c:pt>
                <c:pt idx="331">
                  <c:v>574</c:v>
                </c:pt>
                <c:pt idx="332">
                  <c:v>-21270</c:v>
                </c:pt>
                <c:pt idx="333">
                  <c:v>5077</c:v>
                </c:pt>
                <c:pt idx="334">
                  <c:v>-35252</c:v>
                </c:pt>
                <c:pt idx="335">
                  <c:v>-22001</c:v>
                </c:pt>
                <c:pt idx="336">
                  <c:v>-2241</c:v>
                </c:pt>
                <c:pt idx="337">
                  <c:v>14095</c:v>
                </c:pt>
                <c:pt idx="338">
                  <c:v>26139</c:v>
                </c:pt>
                <c:pt idx="339">
                  <c:v>13003</c:v>
                </c:pt>
                <c:pt idx="340">
                  <c:v>911</c:v>
                </c:pt>
                <c:pt idx="341">
                  <c:v>-6640</c:v>
                </c:pt>
                <c:pt idx="342">
                  <c:v>7137</c:v>
                </c:pt>
                <c:pt idx="343">
                  <c:v>3800</c:v>
                </c:pt>
                <c:pt idx="344">
                  <c:v>4798</c:v>
                </c:pt>
                <c:pt idx="345">
                  <c:v>875</c:v>
                </c:pt>
                <c:pt idx="346">
                  <c:v>-7600</c:v>
                </c:pt>
                <c:pt idx="347">
                  <c:v>-2683</c:v>
                </c:pt>
                <c:pt idx="348">
                  <c:v>-21693</c:v>
                </c:pt>
                <c:pt idx="349">
                  <c:v>-7356</c:v>
                </c:pt>
                <c:pt idx="350">
                  <c:v>2130</c:v>
                </c:pt>
                <c:pt idx="351">
                  <c:v>-2721</c:v>
                </c:pt>
                <c:pt idx="352">
                  <c:v>626</c:v>
                </c:pt>
                <c:pt idx="353">
                  <c:v>2600</c:v>
                </c:pt>
                <c:pt idx="354">
                  <c:v>-1106</c:v>
                </c:pt>
                <c:pt idx="355">
                  <c:v>-6777</c:v>
                </c:pt>
                <c:pt idx="356">
                  <c:v>17771</c:v>
                </c:pt>
                <c:pt idx="357">
                  <c:v>-1419</c:v>
                </c:pt>
                <c:pt idx="358">
                  <c:v>3823</c:v>
                </c:pt>
                <c:pt idx="359">
                  <c:v>-5521</c:v>
                </c:pt>
                <c:pt idx="360">
                  <c:v>4990</c:v>
                </c:pt>
                <c:pt idx="361">
                  <c:v>-5887</c:v>
                </c:pt>
                <c:pt idx="362">
                  <c:v>-5773</c:v>
                </c:pt>
                <c:pt idx="363">
                  <c:v>94</c:v>
                </c:pt>
                <c:pt idx="364">
                  <c:v>284</c:v>
                </c:pt>
                <c:pt idx="365">
                  <c:v>3538</c:v>
                </c:pt>
                <c:pt idx="366">
                  <c:v>5203</c:v>
                </c:pt>
                <c:pt idx="367">
                  <c:v>913</c:v>
                </c:pt>
                <c:pt idx="368">
                  <c:v>2627</c:v>
                </c:pt>
                <c:pt idx="369">
                  <c:v>-2436</c:v>
                </c:pt>
                <c:pt idx="370">
                  <c:v>14592</c:v>
                </c:pt>
                <c:pt idx="371">
                  <c:v>-13010</c:v>
                </c:pt>
                <c:pt idx="372">
                  <c:v>-7252</c:v>
                </c:pt>
                <c:pt idx="373">
                  <c:v>1005</c:v>
                </c:pt>
                <c:pt idx="374">
                  <c:v>-13786</c:v>
                </c:pt>
                <c:pt idx="375">
                  <c:v>-10689</c:v>
                </c:pt>
                <c:pt idx="376">
                  <c:v>-138</c:v>
                </c:pt>
                <c:pt idx="377">
                  <c:v>989</c:v>
                </c:pt>
                <c:pt idx="378">
                  <c:v>-257</c:v>
                </c:pt>
                <c:pt idx="379">
                  <c:v>1927</c:v>
                </c:pt>
                <c:pt idx="380">
                  <c:v>-16763</c:v>
                </c:pt>
                <c:pt idx="381">
                  <c:v>-4645</c:v>
                </c:pt>
                <c:pt idx="382">
                  <c:v>2223</c:v>
                </c:pt>
                <c:pt idx="383">
                  <c:v>-3577</c:v>
                </c:pt>
                <c:pt idx="384">
                  <c:v>6405</c:v>
                </c:pt>
                <c:pt idx="385">
                  <c:v>10461</c:v>
                </c:pt>
                <c:pt idx="386">
                  <c:v>17194</c:v>
                </c:pt>
                <c:pt idx="387">
                  <c:v>17240</c:v>
                </c:pt>
                <c:pt idx="388">
                  <c:v>29568</c:v>
                </c:pt>
                <c:pt idx="389">
                  <c:v>7987</c:v>
                </c:pt>
                <c:pt idx="390">
                  <c:v>-12315</c:v>
                </c:pt>
                <c:pt idx="391">
                  <c:v>-11940</c:v>
                </c:pt>
                <c:pt idx="392">
                  <c:v>-903</c:v>
                </c:pt>
                <c:pt idx="393">
                  <c:v>9714</c:v>
                </c:pt>
                <c:pt idx="394">
                  <c:v>8445</c:v>
                </c:pt>
                <c:pt idx="395">
                  <c:v>3079</c:v>
                </c:pt>
                <c:pt idx="396">
                  <c:v>-1982</c:v>
                </c:pt>
                <c:pt idx="397">
                  <c:v>-11519</c:v>
                </c:pt>
                <c:pt idx="398">
                  <c:v>-15908</c:v>
                </c:pt>
                <c:pt idx="399">
                  <c:v>-776</c:v>
                </c:pt>
                <c:pt idx="400">
                  <c:v>-14082</c:v>
                </c:pt>
                <c:pt idx="401">
                  <c:v>-3074</c:v>
                </c:pt>
                <c:pt idx="402">
                  <c:v>13084</c:v>
                </c:pt>
                <c:pt idx="403">
                  <c:v>31009</c:v>
                </c:pt>
                <c:pt idx="404">
                  <c:v>21162</c:v>
                </c:pt>
                <c:pt idx="405">
                  <c:v>155</c:v>
                </c:pt>
                <c:pt idx="406">
                  <c:v>-4999</c:v>
                </c:pt>
                <c:pt idx="407">
                  <c:v>-8246</c:v>
                </c:pt>
                <c:pt idx="408">
                  <c:v>-2622</c:v>
                </c:pt>
                <c:pt idx="409">
                  <c:v>6133</c:v>
                </c:pt>
                <c:pt idx="410">
                  <c:v>-19665</c:v>
                </c:pt>
                <c:pt idx="411">
                  <c:v>-5988</c:v>
                </c:pt>
                <c:pt idx="412">
                  <c:v>8814</c:v>
                </c:pt>
                <c:pt idx="413">
                  <c:v>-16961</c:v>
                </c:pt>
                <c:pt idx="414">
                  <c:v>10102</c:v>
                </c:pt>
                <c:pt idx="415">
                  <c:v>15522</c:v>
                </c:pt>
                <c:pt idx="416">
                  <c:v>9846</c:v>
                </c:pt>
                <c:pt idx="417">
                  <c:v>1939</c:v>
                </c:pt>
                <c:pt idx="418">
                  <c:v>13097</c:v>
                </c:pt>
                <c:pt idx="419">
                  <c:v>-7076</c:v>
                </c:pt>
                <c:pt idx="420">
                  <c:v>-11217</c:v>
                </c:pt>
                <c:pt idx="421">
                  <c:v>1760</c:v>
                </c:pt>
                <c:pt idx="422">
                  <c:v>-3399</c:v>
                </c:pt>
                <c:pt idx="423">
                  <c:v>-20677</c:v>
                </c:pt>
                <c:pt idx="424">
                  <c:v>5418</c:v>
                </c:pt>
                <c:pt idx="425">
                  <c:v>13644</c:v>
                </c:pt>
                <c:pt idx="426">
                  <c:v>-2885</c:v>
                </c:pt>
                <c:pt idx="427">
                  <c:v>2937</c:v>
                </c:pt>
                <c:pt idx="428">
                  <c:v>13136</c:v>
                </c:pt>
                <c:pt idx="429">
                  <c:v>-5859</c:v>
                </c:pt>
                <c:pt idx="430">
                  <c:v>10572</c:v>
                </c:pt>
                <c:pt idx="431">
                  <c:v>9935</c:v>
                </c:pt>
                <c:pt idx="432">
                  <c:v>26870</c:v>
                </c:pt>
                <c:pt idx="433">
                  <c:v>5665</c:v>
                </c:pt>
                <c:pt idx="434">
                  <c:v>-34903</c:v>
                </c:pt>
                <c:pt idx="435">
                  <c:v>-18879</c:v>
                </c:pt>
                <c:pt idx="436">
                  <c:v>24000</c:v>
                </c:pt>
                <c:pt idx="437">
                  <c:v>10403</c:v>
                </c:pt>
                <c:pt idx="438">
                  <c:v>-11791</c:v>
                </c:pt>
                <c:pt idx="439">
                  <c:v>26985</c:v>
                </c:pt>
                <c:pt idx="440">
                  <c:v>-24644</c:v>
                </c:pt>
                <c:pt idx="441">
                  <c:v>-1989</c:v>
                </c:pt>
                <c:pt idx="442">
                  <c:v>5484</c:v>
                </c:pt>
                <c:pt idx="443">
                  <c:v>-14302</c:v>
                </c:pt>
                <c:pt idx="444">
                  <c:v>23914</c:v>
                </c:pt>
                <c:pt idx="445">
                  <c:v>29714</c:v>
                </c:pt>
                <c:pt idx="446">
                  <c:v>-3738</c:v>
                </c:pt>
                <c:pt idx="447">
                  <c:v>-18636</c:v>
                </c:pt>
                <c:pt idx="448">
                  <c:v>23384</c:v>
                </c:pt>
                <c:pt idx="449">
                  <c:v>14120</c:v>
                </c:pt>
                <c:pt idx="450">
                  <c:v>-15476</c:v>
                </c:pt>
                <c:pt idx="451">
                  <c:v>859</c:v>
                </c:pt>
                <c:pt idx="452">
                  <c:v>30068</c:v>
                </c:pt>
                <c:pt idx="453">
                  <c:v>-2448</c:v>
                </c:pt>
                <c:pt idx="454">
                  <c:v>-35930</c:v>
                </c:pt>
                <c:pt idx="455">
                  <c:v>-37394</c:v>
                </c:pt>
                <c:pt idx="456">
                  <c:v>-2024</c:v>
                </c:pt>
                <c:pt idx="457">
                  <c:v>-20156</c:v>
                </c:pt>
                <c:pt idx="458">
                  <c:v>2882</c:v>
                </c:pt>
                <c:pt idx="459">
                  <c:v>-17315</c:v>
                </c:pt>
                <c:pt idx="460">
                  <c:v>-14665</c:v>
                </c:pt>
                <c:pt idx="461">
                  <c:v>-11457</c:v>
                </c:pt>
                <c:pt idx="462">
                  <c:v>6707</c:v>
                </c:pt>
                <c:pt idx="463">
                  <c:v>11500</c:v>
                </c:pt>
                <c:pt idx="464">
                  <c:v>-1793</c:v>
                </c:pt>
                <c:pt idx="465">
                  <c:v>12264</c:v>
                </c:pt>
                <c:pt idx="466">
                  <c:v>799</c:v>
                </c:pt>
                <c:pt idx="467">
                  <c:v>-12783</c:v>
                </c:pt>
                <c:pt idx="468">
                  <c:v>16859</c:v>
                </c:pt>
                <c:pt idx="469">
                  <c:v>13859</c:v>
                </c:pt>
                <c:pt idx="470">
                  <c:v>16780</c:v>
                </c:pt>
                <c:pt idx="471">
                  <c:v>-5790</c:v>
                </c:pt>
                <c:pt idx="472">
                  <c:v>10074</c:v>
                </c:pt>
                <c:pt idx="473">
                  <c:v>14191</c:v>
                </c:pt>
                <c:pt idx="474">
                  <c:v>475</c:v>
                </c:pt>
                <c:pt idx="475">
                  <c:v>-6619</c:v>
                </c:pt>
                <c:pt idx="476">
                  <c:v>11801</c:v>
                </c:pt>
                <c:pt idx="477">
                  <c:v>28026</c:v>
                </c:pt>
                <c:pt idx="478">
                  <c:v>17050</c:v>
                </c:pt>
                <c:pt idx="479">
                  <c:v>21388</c:v>
                </c:pt>
                <c:pt idx="480">
                  <c:v>19408</c:v>
                </c:pt>
                <c:pt idx="481">
                  <c:v>-4179</c:v>
                </c:pt>
                <c:pt idx="482">
                  <c:v>2270</c:v>
                </c:pt>
                <c:pt idx="483">
                  <c:v>-4970</c:v>
                </c:pt>
                <c:pt idx="484">
                  <c:v>-17845</c:v>
                </c:pt>
                <c:pt idx="485">
                  <c:v>7890</c:v>
                </c:pt>
                <c:pt idx="486">
                  <c:v>58</c:v>
                </c:pt>
                <c:pt idx="487">
                  <c:v>-3261</c:v>
                </c:pt>
                <c:pt idx="488">
                  <c:v>12509</c:v>
                </c:pt>
                <c:pt idx="489">
                  <c:v>6604</c:v>
                </c:pt>
                <c:pt idx="490">
                  <c:v>-5493</c:v>
                </c:pt>
                <c:pt idx="491">
                  <c:v>-6950</c:v>
                </c:pt>
                <c:pt idx="492">
                  <c:v>-26949</c:v>
                </c:pt>
                <c:pt idx="493">
                  <c:v>34568</c:v>
                </c:pt>
                <c:pt idx="494">
                  <c:v>23551</c:v>
                </c:pt>
                <c:pt idx="495">
                  <c:v>-2617</c:v>
                </c:pt>
                <c:pt idx="496">
                  <c:v>10103</c:v>
                </c:pt>
                <c:pt idx="497">
                  <c:v>-25804</c:v>
                </c:pt>
                <c:pt idx="498">
                  <c:v>-23543</c:v>
                </c:pt>
                <c:pt idx="499">
                  <c:v>-16362</c:v>
                </c:pt>
                <c:pt idx="500">
                  <c:v>-35060</c:v>
                </c:pt>
                <c:pt idx="501">
                  <c:v>-20025</c:v>
                </c:pt>
                <c:pt idx="502">
                  <c:v>-3934</c:v>
                </c:pt>
                <c:pt idx="503">
                  <c:v>-28456</c:v>
                </c:pt>
                <c:pt idx="504">
                  <c:v>-13996</c:v>
                </c:pt>
                <c:pt idx="505">
                  <c:v>5199</c:v>
                </c:pt>
                <c:pt idx="506">
                  <c:v>16393</c:v>
                </c:pt>
                <c:pt idx="507">
                  <c:v>-14378</c:v>
                </c:pt>
                <c:pt idx="508">
                  <c:v>-11239</c:v>
                </c:pt>
                <c:pt idx="509">
                  <c:v>-17252</c:v>
                </c:pt>
                <c:pt idx="510">
                  <c:v>-1855</c:v>
                </c:pt>
                <c:pt idx="511">
                  <c:v>807</c:v>
                </c:pt>
                <c:pt idx="512">
                  <c:v>-13085</c:v>
                </c:pt>
                <c:pt idx="513">
                  <c:v>63</c:v>
                </c:pt>
                <c:pt idx="514">
                  <c:v>28545</c:v>
                </c:pt>
                <c:pt idx="515">
                  <c:v>36597</c:v>
                </c:pt>
                <c:pt idx="516">
                  <c:v>34564</c:v>
                </c:pt>
                <c:pt idx="517">
                  <c:v>13749</c:v>
                </c:pt>
                <c:pt idx="518">
                  <c:v>8229</c:v>
                </c:pt>
                <c:pt idx="519">
                  <c:v>-12052</c:v>
                </c:pt>
                <c:pt idx="520">
                  <c:v>15052</c:v>
                </c:pt>
                <c:pt idx="521">
                  <c:v>31399</c:v>
                </c:pt>
                <c:pt idx="522">
                  <c:v>-4580</c:v>
                </c:pt>
                <c:pt idx="523">
                  <c:v>-8621</c:v>
                </c:pt>
                <c:pt idx="524">
                  <c:v>18258</c:v>
                </c:pt>
                <c:pt idx="525">
                  <c:v>13117</c:v>
                </c:pt>
                <c:pt idx="526">
                  <c:v>4856</c:v>
                </c:pt>
                <c:pt idx="527">
                  <c:v>-3000</c:v>
                </c:pt>
                <c:pt idx="528">
                  <c:v>-18885</c:v>
                </c:pt>
                <c:pt idx="529">
                  <c:v>-7481</c:v>
                </c:pt>
                <c:pt idx="530">
                  <c:v>16436</c:v>
                </c:pt>
                <c:pt idx="531">
                  <c:v>-5999</c:v>
                </c:pt>
                <c:pt idx="532">
                  <c:v>-3791</c:v>
                </c:pt>
                <c:pt idx="533">
                  <c:v>-897</c:v>
                </c:pt>
                <c:pt idx="534">
                  <c:v>-15920</c:v>
                </c:pt>
                <c:pt idx="535">
                  <c:v>-13708</c:v>
                </c:pt>
                <c:pt idx="536">
                  <c:v>3338</c:v>
                </c:pt>
                <c:pt idx="537">
                  <c:v>-19828</c:v>
                </c:pt>
                <c:pt idx="538">
                  <c:v>-8267</c:v>
                </c:pt>
                <c:pt idx="539">
                  <c:v>-26559</c:v>
                </c:pt>
                <c:pt idx="540">
                  <c:v>1066</c:v>
                </c:pt>
                <c:pt idx="541">
                  <c:v>4</c:v>
                </c:pt>
                <c:pt idx="542">
                  <c:v>-30598</c:v>
                </c:pt>
                <c:pt idx="543">
                  <c:v>-14869</c:v>
                </c:pt>
                <c:pt idx="544">
                  <c:v>8267</c:v>
                </c:pt>
                <c:pt idx="545">
                  <c:v>-23991</c:v>
                </c:pt>
                <c:pt idx="546">
                  <c:v>-25339</c:v>
                </c:pt>
                <c:pt idx="547">
                  <c:v>35218</c:v>
                </c:pt>
                <c:pt idx="548">
                  <c:v>-3457</c:v>
                </c:pt>
                <c:pt idx="549">
                  <c:v>-5504</c:v>
                </c:pt>
                <c:pt idx="550">
                  <c:v>8307</c:v>
                </c:pt>
                <c:pt idx="551">
                  <c:v>14727</c:v>
                </c:pt>
                <c:pt idx="552">
                  <c:v>10763</c:v>
                </c:pt>
                <c:pt idx="553">
                  <c:v>11631</c:v>
                </c:pt>
                <c:pt idx="554">
                  <c:v>18494</c:v>
                </c:pt>
                <c:pt idx="555">
                  <c:v>21160</c:v>
                </c:pt>
                <c:pt idx="556">
                  <c:v>-4653</c:v>
                </c:pt>
                <c:pt idx="557">
                  <c:v>-5547</c:v>
                </c:pt>
                <c:pt idx="558">
                  <c:v>11266</c:v>
                </c:pt>
                <c:pt idx="559">
                  <c:v>21973</c:v>
                </c:pt>
                <c:pt idx="560">
                  <c:v>15062</c:v>
                </c:pt>
                <c:pt idx="561">
                  <c:v>-2256</c:v>
                </c:pt>
                <c:pt idx="562">
                  <c:v>-12479</c:v>
                </c:pt>
                <c:pt idx="563">
                  <c:v>-622</c:v>
                </c:pt>
                <c:pt idx="564">
                  <c:v>17425</c:v>
                </c:pt>
                <c:pt idx="565">
                  <c:v>8318</c:v>
                </c:pt>
                <c:pt idx="566">
                  <c:v>4045</c:v>
                </c:pt>
                <c:pt idx="567">
                  <c:v>-7767</c:v>
                </c:pt>
                <c:pt idx="568">
                  <c:v>7554</c:v>
                </c:pt>
                <c:pt idx="569">
                  <c:v>23864</c:v>
                </c:pt>
                <c:pt idx="570">
                  <c:v>21955</c:v>
                </c:pt>
                <c:pt idx="571">
                  <c:v>7274</c:v>
                </c:pt>
                <c:pt idx="572">
                  <c:v>-22463</c:v>
                </c:pt>
                <c:pt idx="573">
                  <c:v>-28668</c:v>
                </c:pt>
                <c:pt idx="574">
                  <c:v>-51560</c:v>
                </c:pt>
                <c:pt idx="575">
                  <c:v>-19484</c:v>
                </c:pt>
                <c:pt idx="576">
                  <c:v>-6279</c:v>
                </c:pt>
                <c:pt idx="577">
                  <c:v>14136</c:v>
                </c:pt>
                <c:pt idx="578">
                  <c:v>17503</c:v>
                </c:pt>
                <c:pt idx="579">
                  <c:v>10491</c:v>
                </c:pt>
                <c:pt idx="580">
                  <c:v>4441</c:v>
                </c:pt>
                <c:pt idx="581">
                  <c:v>-18614</c:v>
                </c:pt>
                <c:pt idx="582">
                  <c:v>-44057</c:v>
                </c:pt>
                <c:pt idx="583">
                  <c:v>-37926</c:v>
                </c:pt>
                <c:pt idx="584">
                  <c:v>-4779</c:v>
                </c:pt>
                <c:pt idx="585">
                  <c:v>15671</c:v>
                </c:pt>
                <c:pt idx="586">
                  <c:v>11485</c:v>
                </c:pt>
                <c:pt idx="587">
                  <c:v>12540</c:v>
                </c:pt>
                <c:pt idx="588">
                  <c:v>11489</c:v>
                </c:pt>
                <c:pt idx="589">
                  <c:v>-10084</c:v>
                </c:pt>
                <c:pt idx="590">
                  <c:v>-40811</c:v>
                </c:pt>
                <c:pt idx="591">
                  <c:v>-17106</c:v>
                </c:pt>
                <c:pt idx="592">
                  <c:v>17132</c:v>
                </c:pt>
                <c:pt idx="593">
                  <c:v>-29930</c:v>
                </c:pt>
                <c:pt idx="594">
                  <c:v>-27603</c:v>
                </c:pt>
                <c:pt idx="595">
                  <c:v>-3403</c:v>
                </c:pt>
                <c:pt idx="596">
                  <c:v>-8919</c:v>
                </c:pt>
                <c:pt idx="597">
                  <c:v>-8124</c:v>
                </c:pt>
                <c:pt idx="598">
                  <c:v>8272</c:v>
                </c:pt>
                <c:pt idx="599">
                  <c:v>-13791</c:v>
                </c:pt>
                <c:pt idx="600">
                  <c:v>17520</c:v>
                </c:pt>
                <c:pt idx="601">
                  <c:v>-21500</c:v>
                </c:pt>
                <c:pt idx="602">
                  <c:v>-7810</c:v>
                </c:pt>
                <c:pt idx="603">
                  <c:v>-8168</c:v>
                </c:pt>
                <c:pt idx="604">
                  <c:v>-48942</c:v>
                </c:pt>
                <c:pt idx="605">
                  <c:v>8755</c:v>
                </c:pt>
                <c:pt idx="606">
                  <c:v>21360</c:v>
                </c:pt>
                <c:pt idx="607">
                  <c:v>14429</c:v>
                </c:pt>
                <c:pt idx="608">
                  <c:v>782</c:v>
                </c:pt>
                <c:pt idx="609">
                  <c:v>3307</c:v>
                </c:pt>
                <c:pt idx="610">
                  <c:v>-4806</c:v>
                </c:pt>
                <c:pt idx="611">
                  <c:v>-13451</c:v>
                </c:pt>
                <c:pt idx="612">
                  <c:v>23397</c:v>
                </c:pt>
                <c:pt idx="613">
                  <c:v>8001</c:v>
                </c:pt>
                <c:pt idx="614">
                  <c:v>8624</c:v>
                </c:pt>
                <c:pt idx="615">
                  <c:v>-6898</c:v>
                </c:pt>
                <c:pt idx="616">
                  <c:v>3697</c:v>
                </c:pt>
                <c:pt idx="617">
                  <c:v>-4486</c:v>
                </c:pt>
                <c:pt idx="618">
                  <c:v>6197</c:v>
                </c:pt>
                <c:pt idx="619">
                  <c:v>-15836</c:v>
                </c:pt>
                <c:pt idx="620">
                  <c:v>6075</c:v>
                </c:pt>
                <c:pt idx="621">
                  <c:v>34008</c:v>
                </c:pt>
                <c:pt idx="622">
                  <c:v>4504</c:v>
                </c:pt>
                <c:pt idx="623">
                  <c:v>-18060</c:v>
                </c:pt>
                <c:pt idx="624">
                  <c:v>-4349</c:v>
                </c:pt>
                <c:pt idx="625">
                  <c:v>24852</c:v>
                </c:pt>
                <c:pt idx="626">
                  <c:v>29313</c:v>
                </c:pt>
                <c:pt idx="627">
                  <c:v>-2207</c:v>
                </c:pt>
                <c:pt idx="628">
                  <c:v>4785</c:v>
                </c:pt>
                <c:pt idx="629">
                  <c:v>6993</c:v>
                </c:pt>
                <c:pt idx="630">
                  <c:v>-10795</c:v>
                </c:pt>
                <c:pt idx="631">
                  <c:v>211</c:v>
                </c:pt>
                <c:pt idx="632">
                  <c:v>6496</c:v>
                </c:pt>
                <c:pt idx="633">
                  <c:v>-7928</c:v>
                </c:pt>
                <c:pt idx="634">
                  <c:v>7549</c:v>
                </c:pt>
                <c:pt idx="635">
                  <c:v>15581</c:v>
                </c:pt>
                <c:pt idx="636">
                  <c:v>18208</c:v>
                </c:pt>
                <c:pt idx="637">
                  <c:v>-4601</c:v>
                </c:pt>
                <c:pt idx="638">
                  <c:v>-7506</c:v>
                </c:pt>
                <c:pt idx="639">
                  <c:v>-14687</c:v>
                </c:pt>
                <c:pt idx="640">
                  <c:v>-10616</c:v>
                </c:pt>
                <c:pt idx="641">
                  <c:v>17271</c:v>
                </c:pt>
                <c:pt idx="642">
                  <c:v>20662</c:v>
                </c:pt>
                <c:pt idx="643">
                  <c:v>40345</c:v>
                </c:pt>
                <c:pt idx="644">
                  <c:v>41223</c:v>
                </c:pt>
                <c:pt idx="645">
                  <c:v>20778</c:v>
                </c:pt>
                <c:pt idx="646">
                  <c:v>5738</c:v>
                </c:pt>
                <c:pt idx="647">
                  <c:v>2071</c:v>
                </c:pt>
                <c:pt idx="648">
                  <c:v>-8659</c:v>
                </c:pt>
                <c:pt idx="649">
                  <c:v>267</c:v>
                </c:pt>
                <c:pt idx="650">
                  <c:v>-23284</c:v>
                </c:pt>
                <c:pt idx="651">
                  <c:v>-36478</c:v>
                </c:pt>
                <c:pt idx="652">
                  <c:v>-18287</c:v>
                </c:pt>
                <c:pt idx="653">
                  <c:v>-8450</c:v>
                </c:pt>
                <c:pt idx="654">
                  <c:v>608</c:v>
                </c:pt>
                <c:pt idx="655">
                  <c:v>-8822</c:v>
                </c:pt>
                <c:pt idx="656">
                  <c:v>-11265</c:v>
                </c:pt>
                <c:pt idx="657">
                  <c:v>4758</c:v>
                </c:pt>
                <c:pt idx="658">
                  <c:v>-3058</c:v>
                </c:pt>
                <c:pt idx="659">
                  <c:v>6847</c:v>
                </c:pt>
                <c:pt idx="660">
                  <c:v>-7937</c:v>
                </c:pt>
                <c:pt idx="661">
                  <c:v>-16111</c:v>
                </c:pt>
                <c:pt idx="662">
                  <c:v>-494</c:v>
                </c:pt>
                <c:pt idx="663">
                  <c:v>15704</c:v>
                </c:pt>
                <c:pt idx="664">
                  <c:v>7705</c:v>
                </c:pt>
                <c:pt idx="665">
                  <c:v>13426</c:v>
                </c:pt>
                <c:pt idx="666">
                  <c:v>11411</c:v>
                </c:pt>
                <c:pt idx="667">
                  <c:v>42</c:v>
                </c:pt>
                <c:pt idx="668">
                  <c:v>-3316</c:v>
                </c:pt>
                <c:pt idx="669">
                  <c:v>21387</c:v>
                </c:pt>
                <c:pt idx="670">
                  <c:v>-5903</c:v>
                </c:pt>
                <c:pt idx="671">
                  <c:v>44765</c:v>
                </c:pt>
                <c:pt idx="672">
                  <c:v>-7609</c:v>
                </c:pt>
                <c:pt idx="673">
                  <c:v>-18650</c:v>
                </c:pt>
                <c:pt idx="674">
                  <c:v>10303</c:v>
                </c:pt>
                <c:pt idx="675">
                  <c:v>-2297</c:v>
                </c:pt>
                <c:pt idx="676">
                  <c:v>46182</c:v>
                </c:pt>
                <c:pt idx="677">
                  <c:v>-4300</c:v>
                </c:pt>
                <c:pt idx="678">
                  <c:v>-19352</c:v>
                </c:pt>
                <c:pt idx="679">
                  <c:v>11433</c:v>
                </c:pt>
                <c:pt idx="680">
                  <c:v>6064</c:v>
                </c:pt>
                <c:pt idx="681">
                  <c:v>20302</c:v>
                </c:pt>
                <c:pt idx="682">
                  <c:v>15574</c:v>
                </c:pt>
                <c:pt idx="683">
                  <c:v>17794</c:v>
                </c:pt>
                <c:pt idx="684">
                  <c:v>-10617</c:v>
                </c:pt>
                <c:pt idx="685">
                  <c:v>-9664</c:v>
                </c:pt>
                <c:pt idx="686">
                  <c:v>-2724</c:v>
                </c:pt>
                <c:pt idx="687">
                  <c:v>3896</c:v>
                </c:pt>
                <c:pt idx="688">
                  <c:v>7283</c:v>
                </c:pt>
                <c:pt idx="689">
                  <c:v>24314</c:v>
                </c:pt>
                <c:pt idx="690">
                  <c:v>9081</c:v>
                </c:pt>
                <c:pt idx="691">
                  <c:v>-6173</c:v>
                </c:pt>
                <c:pt idx="692">
                  <c:v>1183</c:v>
                </c:pt>
                <c:pt idx="693">
                  <c:v>5855</c:v>
                </c:pt>
                <c:pt idx="694">
                  <c:v>-6676</c:v>
                </c:pt>
                <c:pt idx="695">
                  <c:v>-1498</c:v>
                </c:pt>
                <c:pt idx="696">
                  <c:v>-4195</c:v>
                </c:pt>
                <c:pt idx="697">
                  <c:v>-11443</c:v>
                </c:pt>
                <c:pt idx="698">
                  <c:v>-8723</c:v>
                </c:pt>
                <c:pt idx="699">
                  <c:v>-11936</c:v>
                </c:pt>
                <c:pt idx="700">
                  <c:v>-66846</c:v>
                </c:pt>
                <c:pt idx="701">
                  <c:v>-19719</c:v>
                </c:pt>
                <c:pt idx="702">
                  <c:v>-27983</c:v>
                </c:pt>
                <c:pt idx="703">
                  <c:v>-25457</c:v>
                </c:pt>
                <c:pt idx="704">
                  <c:v>-15127</c:v>
                </c:pt>
                <c:pt idx="705">
                  <c:v>26133</c:v>
                </c:pt>
                <c:pt idx="706">
                  <c:v>20991</c:v>
                </c:pt>
                <c:pt idx="707">
                  <c:v>-3563</c:v>
                </c:pt>
                <c:pt idx="708">
                  <c:v>7469</c:v>
                </c:pt>
                <c:pt idx="709">
                  <c:v>8888</c:v>
                </c:pt>
                <c:pt idx="710">
                  <c:v>-1684</c:v>
                </c:pt>
                <c:pt idx="711">
                  <c:v>28823</c:v>
                </c:pt>
                <c:pt idx="712">
                  <c:v>13674</c:v>
                </c:pt>
                <c:pt idx="713">
                  <c:v>16598</c:v>
                </c:pt>
                <c:pt idx="714">
                  <c:v>-9427</c:v>
                </c:pt>
                <c:pt idx="715">
                  <c:v>-9508</c:v>
                </c:pt>
                <c:pt idx="716">
                  <c:v>1869</c:v>
                </c:pt>
                <c:pt idx="717">
                  <c:v>8053</c:v>
                </c:pt>
                <c:pt idx="718">
                  <c:v>-12016</c:v>
                </c:pt>
                <c:pt idx="719">
                  <c:v>-679</c:v>
                </c:pt>
                <c:pt idx="720">
                  <c:v>25426</c:v>
                </c:pt>
                <c:pt idx="721">
                  <c:v>-9062</c:v>
                </c:pt>
                <c:pt idx="722">
                  <c:v>12305</c:v>
                </c:pt>
                <c:pt idx="723">
                  <c:v>12116</c:v>
                </c:pt>
                <c:pt idx="724">
                  <c:v>-34889</c:v>
                </c:pt>
                <c:pt idx="725">
                  <c:v>17585</c:v>
                </c:pt>
                <c:pt idx="726">
                  <c:v>1556</c:v>
                </c:pt>
                <c:pt idx="727">
                  <c:v>-12506</c:v>
                </c:pt>
                <c:pt idx="728">
                  <c:v>-2313</c:v>
                </c:pt>
                <c:pt idx="729">
                  <c:v>-14413</c:v>
                </c:pt>
                <c:pt idx="730">
                  <c:v>-15355</c:v>
                </c:pt>
                <c:pt idx="731">
                  <c:v>-17172</c:v>
                </c:pt>
                <c:pt idx="732">
                  <c:v>1193</c:v>
                </c:pt>
                <c:pt idx="733">
                  <c:v>-4710</c:v>
                </c:pt>
                <c:pt idx="734">
                  <c:v>9737</c:v>
                </c:pt>
                <c:pt idx="735">
                  <c:v>-6226</c:v>
                </c:pt>
                <c:pt idx="736">
                  <c:v>9392</c:v>
                </c:pt>
                <c:pt idx="737">
                  <c:v>11979</c:v>
                </c:pt>
                <c:pt idx="738">
                  <c:v>8914</c:v>
                </c:pt>
                <c:pt idx="739">
                  <c:v>123</c:v>
                </c:pt>
                <c:pt idx="740">
                  <c:v>-7908</c:v>
                </c:pt>
                <c:pt idx="741">
                  <c:v>-5909</c:v>
                </c:pt>
                <c:pt idx="742">
                  <c:v>-2644</c:v>
                </c:pt>
                <c:pt idx="743">
                  <c:v>5634</c:v>
                </c:pt>
                <c:pt idx="744">
                  <c:v>4821</c:v>
                </c:pt>
                <c:pt idx="745">
                  <c:v>-19195</c:v>
                </c:pt>
                <c:pt idx="746">
                  <c:v>3940</c:v>
                </c:pt>
                <c:pt idx="747">
                  <c:v>19676</c:v>
                </c:pt>
                <c:pt idx="748">
                  <c:v>5675</c:v>
                </c:pt>
                <c:pt idx="749">
                  <c:v>2348</c:v>
                </c:pt>
                <c:pt idx="750">
                  <c:v>207</c:v>
                </c:pt>
                <c:pt idx="751">
                  <c:v>2184</c:v>
                </c:pt>
                <c:pt idx="752">
                  <c:v>-501</c:v>
                </c:pt>
                <c:pt idx="753">
                  <c:v>-7327</c:v>
                </c:pt>
                <c:pt idx="754">
                  <c:v>2120</c:v>
                </c:pt>
                <c:pt idx="755">
                  <c:v>-1093</c:v>
                </c:pt>
                <c:pt idx="756">
                  <c:v>-13752</c:v>
                </c:pt>
                <c:pt idx="757">
                  <c:v>-6913</c:v>
                </c:pt>
                <c:pt idx="758">
                  <c:v>21643</c:v>
                </c:pt>
                <c:pt idx="759">
                  <c:v>4610</c:v>
                </c:pt>
                <c:pt idx="760">
                  <c:v>-3444</c:v>
                </c:pt>
                <c:pt idx="761">
                  <c:v>-5146</c:v>
                </c:pt>
                <c:pt idx="762">
                  <c:v>-17121</c:v>
                </c:pt>
                <c:pt idx="763">
                  <c:v>16141</c:v>
                </c:pt>
                <c:pt idx="764">
                  <c:v>27720</c:v>
                </c:pt>
                <c:pt idx="765">
                  <c:v>5104</c:v>
                </c:pt>
                <c:pt idx="766">
                  <c:v>-10599</c:v>
                </c:pt>
                <c:pt idx="767">
                  <c:v>-6466</c:v>
                </c:pt>
                <c:pt idx="768">
                  <c:v>-16114</c:v>
                </c:pt>
                <c:pt idx="769">
                  <c:v>341</c:v>
                </c:pt>
                <c:pt idx="770">
                  <c:v>-5151</c:v>
                </c:pt>
                <c:pt idx="771">
                  <c:v>5013</c:v>
                </c:pt>
                <c:pt idx="772">
                  <c:v>3427</c:v>
                </c:pt>
                <c:pt idx="773">
                  <c:v>3419</c:v>
                </c:pt>
                <c:pt idx="774">
                  <c:v>7689</c:v>
                </c:pt>
                <c:pt idx="775">
                  <c:v>-8442</c:v>
                </c:pt>
                <c:pt idx="776">
                  <c:v>3039</c:v>
                </c:pt>
                <c:pt idx="777">
                  <c:v>4904</c:v>
                </c:pt>
                <c:pt idx="778">
                  <c:v>-2809</c:v>
                </c:pt>
                <c:pt idx="779">
                  <c:v>17392</c:v>
                </c:pt>
                <c:pt idx="780">
                  <c:v>2584</c:v>
                </c:pt>
                <c:pt idx="781">
                  <c:v>-5893</c:v>
                </c:pt>
                <c:pt idx="782">
                  <c:v>4921</c:v>
                </c:pt>
                <c:pt idx="783">
                  <c:v>44788</c:v>
                </c:pt>
                <c:pt idx="784">
                  <c:v>6066</c:v>
                </c:pt>
                <c:pt idx="785">
                  <c:v>1062</c:v>
                </c:pt>
                <c:pt idx="786">
                  <c:v>-13598</c:v>
                </c:pt>
                <c:pt idx="787">
                  <c:v>-5690</c:v>
                </c:pt>
                <c:pt idx="788">
                  <c:v>-31776</c:v>
                </c:pt>
                <c:pt idx="789">
                  <c:v>-24582</c:v>
                </c:pt>
                <c:pt idx="790">
                  <c:v>-9929</c:v>
                </c:pt>
                <c:pt idx="791">
                  <c:v>-2116</c:v>
                </c:pt>
                <c:pt idx="792">
                  <c:v>4251</c:v>
                </c:pt>
                <c:pt idx="793">
                  <c:v>-26681</c:v>
                </c:pt>
                <c:pt idx="794">
                  <c:v>-15722</c:v>
                </c:pt>
                <c:pt idx="795">
                  <c:v>-4295</c:v>
                </c:pt>
                <c:pt idx="796">
                  <c:v>-1812</c:v>
                </c:pt>
                <c:pt idx="797">
                  <c:v>567</c:v>
                </c:pt>
                <c:pt idx="798">
                  <c:v>10478</c:v>
                </c:pt>
                <c:pt idx="799">
                  <c:v>10974</c:v>
                </c:pt>
                <c:pt idx="800">
                  <c:v>-706</c:v>
                </c:pt>
                <c:pt idx="801">
                  <c:v>-19089</c:v>
                </c:pt>
                <c:pt idx="802">
                  <c:v>-3433</c:v>
                </c:pt>
                <c:pt idx="803">
                  <c:v>7572</c:v>
                </c:pt>
                <c:pt idx="804">
                  <c:v>-2181</c:v>
                </c:pt>
                <c:pt idx="805">
                  <c:v>2440</c:v>
                </c:pt>
                <c:pt idx="806">
                  <c:v>-3030</c:v>
                </c:pt>
                <c:pt idx="807">
                  <c:v>-3098</c:v>
                </c:pt>
                <c:pt idx="808">
                  <c:v>-4261</c:v>
                </c:pt>
                <c:pt idx="809">
                  <c:v>-2447</c:v>
                </c:pt>
                <c:pt idx="810">
                  <c:v>14446</c:v>
                </c:pt>
                <c:pt idx="811">
                  <c:v>5894</c:v>
                </c:pt>
                <c:pt idx="812">
                  <c:v>9846</c:v>
                </c:pt>
                <c:pt idx="813">
                  <c:v>5500</c:v>
                </c:pt>
                <c:pt idx="814">
                  <c:v>24170</c:v>
                </c:pt>
                <c:pt idx="815">
                  <c:v>14252</c:v>
                </c:pt>
                <c:pt idx="816">
                  <c:v>-30474</c:v>
                </c:pt>
                <c:pt idx="817">
                  <c:v>-2741</c:v>
                </c:pt>
                <c:pt idx="818">
                  <c:v>-1445</c:v>
                </c:pt>
                <c:pt idx="819">
                  <c:v>-5115</c:v>
                </c:pt>
                <c:pt idx="820">
                  <c:v>-20034</c:v>
                </c:pt>
                <c:pt idx="821">
                  <c:v>-19357</c:v>
                </c:pt>
                <c:pt idx="822">
                  <c:v>-11996</c:v>
                </c:pt>
                <c:pt idx="823">
                  <c:v>-8565</c:v>
                </c:pt>
                <c:pt idx="824">
                  <c:v>669</c:v>
                </c:pt>
                <c:pt idx="825">
                  <c:v>-9728</c:v>
                </c:pt>
                <c:pt idx="826">
                  <c:v>595</c:v>
                </c:pt>
                <c:pt idx="827">
                  <c:v>-4295</c:v>
                </c:pt>
                <c:pt idx="828">
                  <c:v>9143</c:v>
                </c:pt>
                <c:pt idx="829">
                  <c:v>-481</c:v>
                </c:pt>
                <c:pt idx="830">
                  <c:v>9070</c:v>
                </c:pt>
                <c:pt idx="831">
                  <c:v>6801</c:v>
                </c:pt>
                <c:pt idx="832">
                  <c:v>5195</c:v>
                </c:pt>
                <c:pt idx="833">
                  <c:v>-11414</c:v>
                </c:pt>
                <c:pt idx="834">
                  <c:v>8730</c:v>
                </c:pt>
                <c:pt idx="835">
                  <c:v>18182</c:v>
                </c:pt>
                <c:pt idx="836">
                  <c:v>7541</c:v>
                </c:pt>
                <c:pt idx="837">
                  <c:v>13582</c:v>
                </c:pt>
                <c:pt idx="838">
                  <c:v>4954</c:v>
                </c:pt>
                <c:pt idx="839">
                  <c:v>-2430</c:v>
                </c:pt>
                <c:pt idx="840">
                  <c:v>3089</c:v>
                </c:pt>
                <c:pt idx="841">
                  <c:v>24871</c:v>
                </c:pt>
                <c:pt idx="842">
                  <c:v>-6202</c:v>
                </c:pt>
                <c:pt idx="843">
                  <c:v>2183</c:v>
                </c:pt>
                <c:pt idx="844">
                  <c:v>-66567</c:v>
                </c:pt>
                <c:pt idx="845">
                  <c:v>-25212</c:v>
                </c:pt>
                <c:pt idx="846">
                  <c:v>-1996</c:v>
                </c:pt>
                <c:pt idx="847">
                  <c:v>-1269</c:v>
                </c:pt>
                <c:pt idx="848">
                  <c:v>-13713</c:v>
                </c:pt>
                <c:pt idx="849">
                  <c:v>-9982</c:v>
                </c:pt>
                <c:pt idx="850">
                  <c:v>-8834</c:v>
                </c:pt>
                <c:pt idx="851">
                  <c:v>-2611</c:v>
                </c:pt>
                <c:pt idx="852">
                  <c:v>-10177</c:v>
                </c:pt>
                <c:pt idx="853">
                  <c:v>-10496</c:v>
                </c:pt>
                <c:pt idx="854">
                  <c:v>-9861</c:v>
                </c:pt>
                <c:pt idx="855">
                  <c:v>10236</c:v>
                </c:pt>
                <c:pt idx="856">
                  <c:v>7962</c:v>
                </c:pt>
                <c:pt idx="857">
                  <c:v>-22659</c:v>
                </c:pt>
                <c:pt idx="858">
                  <c:v>-622</c:v>
                </c:pt>
                <c:pt idx="859">
                  <c:v>14227</c:v>
                </c:pt>
                <c:pt idx="860">
                  <c:v>12344</c:v>
                </c:pt>
                <c:pt idx="861">
                  <c:v>2268</c:v>
                </c:pt>
                <c:pt idx="862">
                  <c:v>-1926</c:v>
                </c:pt>
                <c:pt idx="863">
                  <c:v>-13179</c:v>
                </c:pt>
                <c:pt idx="864">
                  <c:v>15497</c:v>
                </c:pt>
                <c:pt idx="865">
                  <c:v>21637</c:v>
                </c:pt>
                <c:pt idx="866">
                  <c:v>8545</c:v>
                </c:pt>
                <c:pt idx="867">
                  <c:v>-40922</c:v>
                </c:pt>
                <c:pt idx="868">
                  <c:v>6002</c:v>
                </c:pt>
                <c:pt idx="869">
                  <c:v>13541</c:v>
                </c:pt>
                <c:pt idx="870">
                  <c:v>13003</c:v>
                </c:pt>
                <c:pt idx="871">
                  <c:v>32262</c:v>
                </c:pt>
                <c:pt idx="872">
                  <c:v>17753</c:v>
                </c:pt>
                <c:pt idx="873">
                  <c:v>13878</c:v>
                </c:pt>
                <c:pt idx="874">
                  <c:v>9327</c:v>
                </c:pt>
                <c:pt idx="875">
                  <c:v>6275</c:v>
                </c:pt>
                <c:pt idx="876">
                  <c:v>-9408</c:v>
                </c:pt>
                <c:pt idx="877">
                  <c:v>-1949</c:v>
                </c:pt>
                <c:pt idx="878">
                  <c:v>-4890</c:v>
                </c:pt>
                <c:pt idx="879">
                  <c:v>-1746</c:v>
                </c:pt>
                <c:pt idx="880">
                  <c:v>12428</c:v>
                </c:pt>
                <c:pt idx="881">
                  <c:v>12449</c:v>
                </c:pt>
                <c:pt idx="882">
                  <c:v>-17693</c:v>
                </c:pt>
                <c:pt idx="883">
                  <c:v>5473</c:v>
                </c:pt>
                <c:pt idx="884">
                  <c:v>-11374</c:v>
                </c:pt>
                <c:pt idx="885">
                  <c:v>12528</c:v>
                </c:pt>
                <c:pt idx="886">
                  <c:v>-15337</c:v>
                </c:pt>
                <c:pt idx="887">
                  <c:v>24545</c:v>
                </c:pt>
                <c:pt idx="888">
                  <c:v>-6491</c:v>
                </c:pt>
                <c:pt idx="889">
                  <c:v>-23877</c:v>
                </c:pt>
                <c:pt idx="890">
                  <c:v>-50535</c:v>
                </c:pt>
                <c:pt idx="891">
                  <c:v>-21584</c:v>
                </c:pt>
                <c:pt idx="892">
                  <c:v>-20251</c:v>
                </c:pt>
                <c:pt idx="893">
                  <c:v>-15662</c:v>
                </c:pt>
                <c:pt idx="894">
                  <c:v>-2633</c:v>
                </c:pt>
                <c:pt idx="895">
                  <c:v>116</c:v>
                </c:pt>
                <c:pt idx="896">
                  <c:v>4434</c:v>
                </c:pt>
                <c:pt idx="897">
                  <c:v>20780</c:v>
                </c:pt>
                <c:pt idx="898">
                  <c:v>8513</c:v>
                </c:pt>
                <c:pt idx="899">
                  <c:v>-2095</c:v>
                </c:pt>
                <c:pt idx="900">
                  <c:v>15293</c:v>
                </c:pt>
                <c:pt idx="901">
                  <c:v>36524</c:v>
                </c:pt>
                <c:pt idx="902">
                  <c:v>14137</c:v>
                </c:pt>
                <c:pt idx="903">
                  <c:v>17243</c:v>
                </c:pt>
                <c:pt idx="904">
                  <c:v>-6661</c:v>
                </c:pt>
                <c:pt idx="905">
                  <c:v>2715</c:v>
                </c:pt>
                <c:pt idx="906">
                  <c:v>21787</c:v>
                </c:pt>
                <c:pt idx="907">
                  <c:v>-14309</c:v>
                </c:pt>
                <c:pt idx="908">
                  <c:v>17478</c:v>
                </c:pt>
                <c:pt idx="909">
                  <c:v>-8268</c:v>
                </c:pt>
                <c:pt idx="910">
                  <c:v>30472</c:v>
                </c:pt>
                <c:pt idx="911">
                  <c:v>14601</c:v>
                </c:pt>
                <c:pt idx="912">
                  <c:v>-1386</c:v>
                </c:pt>
                <c:pt idx="913">
                  <c:v>20535</c:v>
                </c:pt>
                <c:pt idx="914">
                  <c:v>-31331</c:v>
                </c:pt>
                <c:pt idx="915">
                  <c:v>-62696</c:v>
                </c:pt>
                <c:pt idx="916">
                  <c:v>-26457</c:v>
                </c:pt>
                <c:pt idx="917">
                  <c:v>-41269</c:v>
                </c:pt>
                <c:pt idx="918">
                  <c:v>-43219</c:v>
                </c:pt>
                <c:pt idx="919">
                  <c:v>-7325</c:v>
                </c:pt>
                <c:pt idx="920">
                  <c:v>13557</c:v>
                </c:pt>
                <c:pt idx="921">
                  <c:v>-12661</c:v>
                </c:pt>
                <c:pt idx="922">
                  <c:v>1737</c:v>
                </c:pt>
                <c:pt idx="923">
                  <c:v>-10362</c:v>
                </c:pt>
                <c:pt idx="924">
                  <c:v>-15501</c:v>
                </c:pt>
                <c:pt idx="925">
                  <c:v>-11598</c:v>
                </c:pt>
                <c:pt idx="926">
                  <c:v>60537</c:v>
                </c:pt>
                <c:pt idx="927">
                  <c:v>57602</c:v>
                </c:pt>
                <c:pt idx="928">
                  <c:v>34147</c:v>
                </c:pt>
                <c:pt idx="929">
                  <c:v>-1397</c:v>
                </c:pt>
                <c:pt idx="930">
                  <c:v>-46356</c:v>
                </c:pt>
                <c:pt idx="931">
                  <c:v>-29961</c:v>
                </c:pt>
                <c:pt idx="932">
                  <c:v>40226</c:v>
                </c:pt>
                <c:pt idx="933">
                  <c:v>-6928</c:v>
                </c:pt>
                <c:pt idx="934">
                  <c:v>14572</c:v>
                </c:pt>
                <c:pt idx="935">
                  <c:v>2710</c:v>
                </c:pt>
                <c:pt idx="936">
                  <c:v>-13967</c:v>
                </c:pt>
                <c:pt idx="937">
                  <c:v>-5681</c:v>
                </c:pt>
                <c:pt idx="938">
                  <c:v>13231</c:v>
                </c:pt>
                <c:pt idx="939">
                  <c:v>-10291</c:v>
                </c:pt>
                <c:pt idx="940">
                  <c:v>23321</c:v>
                </c:pt>
                <c:pt idx="941">
                  <c:v>35312</c:v>
                </c:pt>
                <c:pt idx="942">
                  <c:v>12974</c:v>
                </c:pt>
                <c:pt idx="943">
                  <c:v>40428</c:v>
                </c:pt>
                <c:pt idx="944">
                  <c:v>47208</c:v>
                </c:pt>
                <c:pt idx="945">
                  <c:v>30938</c:v>
                </c:pt>
                <c:pt idx="946">
                  <c:v>16985</c:v>
                </c:pt>
                <c:pt idx="947">
                  <c:v>-21151</c:v>
                </c:pt>
                <c:pt idx="948">
                  <c:v>-15883</c:v>
                </c:pt>
                <c:pt idx="949">
                  <c:v>7220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F-49CA-83E4-B119D3CDD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52048"/>
        <c:axId val="579050608"/>
      </c:barChart>
      <c:lineChart>
        <c:grouping val="standard"/>
        <c:varyColors val="0"/>
        <c:ser>
          <c:idx val="1"/>
          <c:order val="1"/>
          <c:tx>
            <c:strRef>
              <c:f>'Oil Share Data'!$C$1</c:f>
              <c:strCache>
                <c:ptCount val="1"/>
                <c:pt idx="0">
                  <c:v>Nearby Soybean Oil Futures</c:v>
                </c:pt>
              </c:strCache>
            </c:strRef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'Oil Share Data'!$A$2:$A$945</c:f>
              <c:numCache>
                <c:formatCode>[$-409]d\-mmm\-yy;@</c:formatCode>
                <c:ptCount val="944"/>
                <c:pt idx="0">
                  <c:v>38965</c:v>
                </c:pt>
                <c:pt idx="1">
                  <c:v>38972</c:v>
                </c:pt>
                <c:pt idx="2">
                  <c:v>38979</c:v>
                </c:pt>
                <c:pt idx="3">
                  <c:v>38986</c:v>
                </c:pt>
                <c:pt idx="4">
                  <c:v>38993</c:v>
                </c:pt>
                <c:pt idx="5">
                  <c:v>39000</c:v>
                </c:pt>
                <c:pt idx="6">
                  <c:v>39007</c:v>
                </c:pt>
                <c:pt idx="7">
                  <c:v>39014</c:v>
                </c:pt>
                <c:pt idx="8">
                  <c:v>39021</c:v>
                </c:pt>
                <c:pt idx="9">
                  <c:v>39028</c:v>
                </c:pt>
                <c:pt idx="10">
                  <c:v>39035</c:v>
                </c:pt>
                <c:pt idx="11">
                  <c:v>39042</c:v>
                </c:pt>
                <c:pt idx="12">
                  <c:v>39049</c:v>
                </c:pt>
                <c:pt idx="13">
                  <c:v>39056</c:v>
                </c:pt>
                <c:pt idx="14">
                  <c:v>39063</c:v>
                </c:pt>
                <c:pt idx="15">
                  <c:v>39070</c:v>
                </c:pt>
                <c:pt idx="16">
                  <c:v>39077</c:v>
                </c:pt>
                <c:pt idx="17">
                  <c:v>39084</c:v>
                </c:pt>
                <c:pt idx="18">
                  <c:v>39091</c:v>
                </c:pt>
                <c:pt idx="19">
                  <c:v>39098</c:v>
                </c:pt>
                <c:pt idx="20">
                  <c:v>39105</c:v>
                </c:pt>
                <c:pt idx="21">
                  <c:v>39112</c:v>
                </c:pt>
                <c:pt idx="22">
                  <c:v>39119</c:v>
                </c:pt>
                <c:pt idx="23">
                  <c:v>39126</c:v>
                </c:pt>
                <c:pt idx="24">
                  <c:v>39133</c:v>
                </c:pt>
                <c:pt idx="25">
                  <c:v>39140</c:v>
                </c:pt>
                <c:pt idx="26">
                  <c:v>39147</c:v>
                </c:pt>
                <c:pt idx="27">
                  <c:v>39154</c:v>
                </c:pt>
                <c:pt idx="28">
                  <c:v>39161</c:v>
                </c:pt>
                <c:pt idx="29">
                  <c:v>39168</c:v>
                </c:pt>
                <c:pt idx="30">
                  <c:v>39175</c:v>
                </c:pt>
                <c:pt idx="31">
                  <c:v>39182</c:v>
                </c:pt>
                <c:pt idx="32">
                  <c:v>39189</c:v>
                </c:pt>
                <c:pt idx="33">
                  <c:v>39196</c:v>
                </c:pt>
                <c:pt idx="34">
                  <c:v>39203</c:v>
                </c:pt>
                <c:pt idx="35">
                  <c:v>39210</c:v>
                </c:pt>
                <c:pt idx="36">
                  <c:v>39217</c:v>
                </c:pt>
                <c:pt idx="37">
                  <c:v>39224</c:v>
                </c:pt>
                <c:pt idx="38">
                  <c:v>39231</c:v>
                </c:pt>
                <c:pt idx="39">
                  <c:v>39238</c:v>
                </c:pt>
                <c:pt idx="40">
                  <c:v>39245</c:v>
                </c:pt>
                <c:pt idx="41">
                  <c:v>39252</c:v>
                </c:pt>
                <c:pt idx="42">
                  <c:v>39259</c:v>
                </c:pt>
                <c:pt idx="43">
                  <c:v>39266</c:v>
                </c:pt>
                <c:pt idx="44">
                  <c:v>39273</c:v>
                </c:pt>
                <c:pt idx="45">
                  <c:v>39280</c:v>
                </c:pt>
                <c:pt idx="46">
                  <c:v>39287</c:v>
                </c:pt>
                <c:pt idx="47">
                  <c:v>39294</c:v>
                </c:pt>
                <c:pt idx="48">
                  <c:v>39301</c:v>
                </c:pt>
                <c:pt idx="49">
                  <c:v>39308</c:v>
                </c:pt>
                <c:pt idx="50">
                  <c:v>39315</c:v>
                </c:pt>
                <c:pt idx="51">
                  <c:v>39322</c:v>
                </c:pt>
                <c:pt idx="52">
                  <c:v>39329</c:v>
                </c:pt>
                <c:pt idx="53">
                  <c:v>39336</c:v>
                </c:pt>
                <c:pt idx="54">
                  <c:v>39343</c:v>
                </c:pt>
                <c:pt idx="55">
                  <c:v>39350</c:v>
                </c:pt>
                <c:pt idx="56">
                  <c:v>39357</c:v>
                </c:pt>
                <c:pt idx="57">
                  <c:v>39364</c:v>
                </c:pt>
                <c:pt idx="58">
                  <c:v>39371</c:v>
                </c:pt>
                <c:pt idx="59">
                  <c:v>39378</c:v>
                </c:pt>
                <c:pt idx="60">
                  <c:v>39385</c:v>
                </c:pt>
                <c:pt idx="61">
                  <c:v>39392</c:v>
                </c:pt>
                <c:pt idx="62">
                  <c:v>39399</c:v>
                </c:pt>
                <c:pt idx="63">
                  <c:v>39406</c:v>
                </c:pt>
                <c:pt idx="64">
                  <c:v>39413</c:v>
                </c:pt>
                <c:pt idx="65">
                  <c:v>39420</c:v>
                </c:pt>
                <c:pt idx="66">
                  <c:v>39427</c:v>
                </c:pt>
                <c:pt idx="67">
                  <c:v>39434</c:v>
                </c:pt>
                <c:pt idx="68">
                  <c:v>39455</c:v>
                </c:pt>
                <c:pt idx="69">
                  <c:v>39462</c:v>
                </c:pt>
                <c:pt idx="70">
                  <c:v>39469</c:v>
                </c:pt>
                <c:pt idx="71">
                  <c:v>39476</c:v>
                </c:pt>
                <c:pt idx="72">
                  <c:v>39483</c:v>
                </c:pt>
                <c:pt idx="73">
                  <c:v>39490</c:v>
                </c:pt>
                <c:pt idx="74">
                  <c:v>39497</c:v>
                </c:pt>
                <c:pt idx="75">
                  <c:v>39504</c:v>
                </c:pt>
                <c:pt idx="76">
                  <c:v>39511</c:v>
                </c:pt>
                <c:pt idx="77">
                  <c:v>39518</c:v>
                </c:pt>
                <c:pt idx="78">
                  <c:v>39525</c:v>
                </c:pt>
                <c:pt idx="79">
                  <c:v>39532</c:v>
                </c:pt>
                <c:pt idx="80">
                  <c:v>39539</c:v>
                </c:pt>
                <c:pt idx="81">
                  <c:v>39546</c:v>
                </c:pt>
                <c:pt idx="82">
                  <c:v>39553</c:v>
                </c:pt>
                <c:pt idx="83">
                  <c:v>39560</c:v>
                </c:pt>
                <c:pt idx="84">
                  <c:v>39567</c:v>
                </c:pt>
                <c:pt idx="85">
                  <c:v>39574</c:v>
                </c:pt>
                <c:pt idx="86">
                  <c:v>39581</c:v>
                </c:pt>
                <c:pt idx="87">
                  <c:v>39588</c:v>
                </c:pt>
                <c:pt idx="88">
                  <c:v>39595</c:v>
                </c:pt>
                <c:pt idx="89">
                  <c:v>39602</c:v>
                </c:pt>
                <c:pt idx="90">
                  <c:v>39609</c:v>
                </c:pt>
                <c:pt idx="91">
                  <c:v>39616</c:v>
                </c:pt>
                <c:pt idx="92">
                  <c:v>39623</c:v>
                </c:pt>
                <c:pt idx="93">
                  <c:v>39630</c:v>
                </c:pt>
                <c:pt idx="94">
                  <c:v>39637</c:v>
                </c:pt>
                <c:pt idx="95">
                  <c:v>39644</c:v>
                </c:pt>
                <c:pt idx="96">
                  <c:v>39651</c:v>
                </c:pt>
                <c:pt idx="97">
                  <c:v>39658</c:v>
                </c:pt>
                <c:pt idx="98">
                  <c:v>39665</c:v>
                </c:pt>
                <c:pt idx="99">
                  <c:v>39672</c:v>
                </c:pt>
                <c:pt idx="100">
                  <c:v>39679</c:v>
                </c:pt>
                <c:pt idx="101">
                  <c:v>39686</c:v>
                </c:pt>
                <c:pt idx="102">
                  <c:v>39693</c:v>
                </c:pt>
                <c:pt idx="103">
                  <c:v>39700</c:v>
                </c:pt>
                <c:pt idx="104">
                  <c:v>39707</c:v>
                </c:pt>
                <c:pt idx="105">
                  <c:v>39714</c:v>
                </c:pt>
                <c:pt idx="106">
                  <c:v>39721</c:v>
                </c:pt>
                <c:pt idx="107">
                  <c:v>39728</c:v>
                </c:pt>
                <c:pt idx="108">
                  <c:v>39735</c:v>
                </c:pt>
                <c:pt idx="109">
                  <c:v>39742</c:v>
                </c:pt>
                <c:pt idx="110">
                  <c:v>39749</c:v>
                </c:pt>
                <c:pt idx="111">
                  <c:v>39756</c:v>
                </c:pt>
                <c:pt idx="112">
                  <c:v>39763</c:v>
                </c:pt>
                <c:pt idx="113">
                  <c:v>39770</c:v>
                </c:pt>
                <c:pt idx="114">
                  <c:v>39777</c:v>
                </c:pt>
                <c:pt idx="115">
                  <c:v>39784</c:v>
                </c:pt>
                <c:pt idx="116">
                  <c:v>39791</c:v>
                </c:pt>
                <c:pt idx="117">
                  <c:v>39798</c:v>
                </c:pt>
                <c:pt idx="118">
                  <c:v>39812</c:v>
                </c:pt>
                <c:pt idx="119">
                  <c:v>39819</c:v>
                </c:pt>
                <c:pt idx="120">
                  <c:v>39826</c:v>
                </c:pt>
                <c:pt idx="121">
                  <c:v>39833</c:v>
                </c:pt>
                <c:pt idx="122">
                  <c:v>39840</c:v>
                </c:pt>
                <c:pt idx="123">
                  <c:v>39847</c:v>
                </c:pt>
                <c:pt idx="124">
                  <c:v>39854</c:v>
                </c:pt>
                <c:pt idx="125">
                  <c:v>39861</c:v>
                </c:pt>
                <c:pt idx="126">
                  <c:v>39868</c:v>
                </c:pt>
                <c:pt idx="127">
                  <c:v>39875</c:v>
                </c:pt>
                <c:pt idx="128">
                  <c:v>39882</c:v>
                </c:pt>
                <c:pt idx="129">
                  <c:v>39889</c:v>
                </c:pt>
                <c:pt idx="130">
                  <c:v>39896</c:v>
                </c:pt>
                <c:pt idx="131">
                  <c:v>39903</c:v>
                </c:pt>
                <c:pt idx="132">
                  <c:v>39910</c:v>
                </c:pt>
                <c:pt idx="133">
                  <c:v>39917</c:v>
                </c:pt>
                <c:pt idx="134">
                  <c:v>39924</c:v>
                </c:pt>
                <c:pt idx="135">
                  <c:v>39931</c:v>
                </c:pt>
                <c:pt idx="136">
                  <c:v>39938</c:v>
                </c:pt>
                <c:pt idx="137">
                  <c:v>39945</c:v>
                </c:pt>
                <c:pt idx="138">
                  <c:v>39952</c:v>
                </c:pt>
                <c:pt idx="139">
                  <c:v>39959</c:v>
                </c:pt>
                <c:pt idx="140">
                  <c:v>39966</c:v>
                </c:pt>
                <c:pt idx="141">
                  <c:v>39973</c:v>
                </c:pt>
                <c:pt idx="142">
                  <c:v>39980</c:v>
                </c:pt>
                <c:pt idx="143">
                  <c:v>39987</c:v>
                </c:pt>
                <c:pt idx="144">
                  <c:v>39994</c:v>
                </c:pt>
                <c:pt idx="145">
                  <c:v>40001</c:v>
                </c:pt>
                <c:pt idx="146">
                  <c:v>40008</c:v>
                </c:pt>
                <c:pt idx="147">
                  <c:v>40015</c:v>
                </c:pt>
                <c:pt idx="148">
                  <c:v>40022</c:v>
                </c:pt>
                <c:pt idx="149">
                  <c:v>40029</c:v>
                </c:pt>
                <c:pt idx="150">
                  <c:v>40036</c:v>
                </c:pt>
                <c:pt idx="151">
                  <c:v>40043</c:v>
                </c:pt>
                <c:pt idx="152">
                  <c:v>40050</c:v>
                </c:pt>
                <c:pt idx="153">
                  <c:v>40057</c:v>
                </c:pt>
                <c:pt idx="154">
                  <c:v>40064</c:v>
                </c:pt>
                <c:pt idx="155">
                  <c:v>40071</c:v>
                </c:pt>
                <c:pt idx="156">
                  <c:v>40078</c:v>
                </c:pt>
                <c:pt idx="157">
                  <c:v>40085</c:v>
                </c:pt>
                <c:pt idx="158">
                  <c:v>40092</c:v>
                </c:pt>
                <c:pt idx="159">
                  <c:v>40099</c:v>
                </c:pt>
                <c:pt idx="160">
                  <c:v>40106</c:v>
                </c:pt>
                <c:pt idx="161">
                  <c:v>40113</c:v>
                </c:pt>
                <c:pt idx="162">
                  <c:v>40120</c:v>
                </c:pt>
                <c:pt idx="163">
                  <c:v>40127</c:v>
                </c:pt>
                <c:pt idx="164">
                  <c:v>40134</c:v>
                </c:pt>
                <c:pt idx="165">
                  <c:v>40141</c:v>
                </c:pt>
                <c:pt idx="166">
                  <c:v>40148</c:v>
                </c:pt>
                <c:pt idx="167">
                  <c:v>40155</c:v>
                </c:pt>
                <c:pt idx="168">
                  <c:v>40162</c:v>
                </c:pt>
                <c:pt idx="169">
                  <c:v>40169</c:v>
                </c:pt>
                <c:pt idx="170">
                  <c:v>40176</c:v>
                </c:pt>
                <c:pt idx="171">
                  <c:v>40183</c:v>
                </c:pt>
                <c:pt idx="172">
                  <c:v>40190</c:v>
                </c:pt>
                <c:pt idx="173">
                  <c:v>40197</c:v>
                </c:pt>
                <c:pt idx="174">
                  <c:v>40204</c:v>
                </c:pt>
                <c:pt idx="175">
                  <c:v>40211</c:v>
                </c:pt>
                <c:pt idx="176">
                  <c:v>40218</c:v>
                </c:pt>
                <c:pt idx="177">
                  <c:v>40225</c:v>
                </c:pt>
                <c:pt idx="178">
                  <c:v>40232</c:v>
                </c:pt>
                <c:pt idx="179">
                  <c:v>40239</c:v>
                </c:pt>
                <c:pt idx="180">
                  <c:v>40246</c:v>
                </c:pt>
                <c:pt idx="181">
                  <c:v>40253</c:v>
                </c:pt>
                <c:pt idx="182">
                  <c:v>40260</c:v>
                </c:pt>
                <c:pt idx="183">
                  <c:v>40267</c:v>
                </c:pt>
                <c:pt idx="184">
                  <c:v>40274</c:v>
                </c:pt>
                <c:pt idx="185">
                  <c:v>40281</c:v>
                </c:pt>
                <c:pt idx="186">
                  <c:v>40288</c:v>
                </c:pt>
                <c:pt idx="187">
                  <c:v>40295</c:v>
                </c:pt>
                <c:pt idx="188">
                  <c:v>40302</c:v>
                </c:pt>
                <c:pt idx="189">
                  <c:v>40309</c:v>
                </c:pt>
                <c:pt idx="190">
                  <c:v>40316</c:v>
                </c:pt>
                <c:pt idx="191">
                  <c:v>40323</c:v>
                </c:pt>
                <c:pt idx="192">
                  <c:v>40330</c:v>
                </c:pt>
                <c:pt idx="193">
                  <c:v>40337</c:v>
                </c:pt>
                <c:pt idx="194">
                  <c:v>40344</c:v>
                </c:pt>
                <c:pt idx="195">
                  <c:v>40351</c:v>
                </c:pt>
                <c:pt idx="196">
                  <c:v>40358</c:v>
                </c:pt>
                <c:pt idx="197">
                  <c:v>40365</c:v>
                </c:pt>
                <c:pt idx="198">
                  <c:v>40372</c:v>
                </c:pt>
                <c:pt idx="199">
                  <c:v>40379</c:v>
                </c:pt>
                <c:pt idx="200">
                  <c:v>40386</c:v>
                </c:pt>
                <c:pt idx="201">
                  <c:v>40393</c:v>
                </c:pt>
                <c:pt idx="202">
                  <c:v>40400</c:v>
                </c:pt>
                <c:pt idx="203">
                  <c:v>40407</c:v>
                </c:pt>
                <c:pt idx="204">
                  <c:v>40414</c:v>
                </c:pt>
                <c:pt idx="205">
                  <c:v>40421</c:v>
                </c:pt>
                <c:pt idx="206">
                  <c:v>40428</c:v>
                </c:pt>
                <c:pt idx="207">
                  <c:v>40435</c:v>
                </c:pt>
                <c:pt idx="208">
                  <c:v>40442</c:v>
                </c:pt>
                <c:pt idx="209">
                  <c:v>40449</c:v>
                </c:pt>
                <c:pt idx="210">
                  <c:v>40456</c:v>
                </c:pt>
                <c:pt idx="211">
                  <c:v>40463</c:v>
                </c:pt>
                <c:pt idx="212">
                  <c:v>40470</c:v>
                </c:pt>
                <c:pt idx="213">
                  <c:v>40477</c:v>
                </c:pt>
                <c:pt idx="214">
                  <c:v>40484</c:v>
                </c:pt>
                <c:pt idx="215">
                  <c:v>40491</c:v>
                </c:pt>
                <c:pt idx="216">
                  <c:v>40498</c:v>
                </c:pt>
                <c:pt idx="217">
                  <c:v>40505</c:v>
                </c:pt>
                <c:pt idx="218">
                  <c:v>40512</c:v>
                </c:pt>
                <c:pt idx="219">
                  <c:v>40519</c:v>
                </c:pt>
                <c:pt idx="220">
                  <c:v>40526</c:v>
                </c:pt>
                <c:pt idx="221">
                  <c:v>40533</c:v>
                </c:pt>
                <c:pt idx="222">
                  <c:v>40540</c:v>
                </c:pt>
                <c:pt idx="223">
                  <c:v>40547</c:v>
                </c:pt>
                <c:pt idx="224">
                  <c:v>40554</c:v>
                </c:pt>
                <c:pt idx="225">
                  <c:v>40561</c:v>
                </c:pt>
                <c:pt idx="226">
                  <c:v>40568</c:v>
                </c:pt>
                <c:pt idx="227">
                  <c:v>40575</c:v>
                </c:pt>
                <c:pt idx="228">
                  <c:v>40582</c:v>
                </c:pt>
                <c:pt idx="229">
                  <c:v>40589</c:v>
                </c:pt>
                <c:pt idx="230">
                  <c:v>40596</c:v>
                </c:pt>
                <c:pt idx="231">
                  <c:v>40603</c:v>
                </c:pt>
                <c:pt idx="232">
                  <c:v>40610</c:v>
                </c:pt>
                <c:pt idx="233">
                  <c:v>40617</c:v>
                </c:pt>
                <c:pt idx="234">
                  <c:v>40624</c:v>
                </c:pt>
                <c:pt idx="235">
                  <c:v>40631</c:v>
                </c:pt>
                <c:pt idx="236">
                  <c:v>40638</c:v>
                </c:pt>
                <c:pt idx="237">
                  <c:v>40645</c:v>
                </c:pt>
                <c:pt idx="238">
                  <c:v>40652</c:v>
                </c:pt>
                <c:pt idx="239">
                  <c:v>40659</c:v>
                </c:pt>
                <c:pt idx="240">
                  <c:v>40666</c:v>
                </c:pt>
                <c:pt idx="241">
                  <c:v>40673</c:v>
                </c:pt>
                <c:pt idx="242">
                  <c:v>40680</c:v>
                </c:pt>
                <c:pt idx="243">
                  <c:v>40687</c:v>
                </c:pt>
                <c:pt idx="244">
                  <c:v>40694</c:v>
                </c:pt>
                <c:pt idx="245">
                  <c:v>40701</c:v>
                </c:pt>
                <c:pt idx="246">
                  <c:v>40708</c:v>
                </c:pt>
                <c:pt idx="247">
                  <c:v>40715</c:v>
                </c:pt>
                <c:pt idx="248">
                  <c:v>40722</c:v>
                </c:pt>
                <c:pt idx="249">
                  <c:v>40729</c:v>
                </c:pt>
                <c:pt idx="250">
                  <c:v>40736</c:v>
                </c:pt>
                <c:pt idx="251">
                  <c:v>40743</c:v>
                </c:pt>
                <c:pt idx="252">
                  <c:v>40750</c:v>
                </c:pt>
                <c:pt idx="253">
                  <c:v>40757</c:v>
                </c:pt>
                <c:pt idx="254">
                  <c:v>40764</c:v>
                </c:pt>
                <c:pt idx="255">
                  <c:v>40771</c:v>
                </c:pt>
                <c:pt idx="256">
                  <c:v>40778</c:v>
                </c:pt>
                <c:pt idx="257">
                  <c:v>40785</c:v>
                </c:pt>
                <c:pt idx="258">
                  <c:v>40792</c:v>
                </c:pt>
                <c:pt idx="259">
                  <c:v>40799</c:v>
                </c:pt>
                <c:pt idx="260">
                  <c:v>40806</c:v>
                </c:pt>
                <c:pt idx="261">
                  <c:v>40813</c:v>
                </c:pt>
                <c:pt idx="262">
                  <c:v>40820</c:v>
                </c:pt>
                <c:pt idx="263">
                  <c:v>40827</c:v>
                </c:pt>
                <c:pt idx="264">
                  <c:v>40834</c:v>
                </c:pt>
                <c:pt idx="265">
                  <c:v>40841</c:v>
                </c:pt>
                <c:pt idx="266">
                  <c:v>40848</c:v>
                </c:pt>
                <c:pt idx="267">
                  <c:v>40855</c:v>
                </c:pt>
                <c:pt idx="268">
                  <c:v>40862</c:v>
                </c:pt>
                <c:pt idx="269">
                  <c:v>40869</c:v>
                </c:pt>
                <c:pt idx="270">
                  <c:v>40876</c:v>
                </c:pt>
                <c:pt idx="271">
                  <c:v>40883</c:v>
                </c:pt>
                <c:pt idx="272">
                  <c:v>40890</c:v>
                </c:pt>
                <c:pt idx="273">
                  <c:v>40897</c:v>
                </c:pt>
                <c:pt idx="274">
                  <c:v>40904</c:v>
                </c:pt>
                <c:pt idx="275">
                  <c:v>40911</c:v>
                </c:pt>
                <c:pt idx="276">
                  <c:v>40918</c:v>
                </c:pt>
                <c:pt idx="277">
                  <c:v>40925</c:v>
                </c:pt>
                <c:pt idx="278">
                  <c:v>40932</c:v>
                </c:pt>
                <c:pt idx="279">
                  <c:v>40939</c:v>
                </c:pt>
                <c:pt idx="280">
                  <c:v>40946</c:v>
                </c:pt>
                <c:pt idx="281">
                  <c:v>40953</c:v>
                </c:pt>
                <c:pt idx="282">
                  <c:v>40960</c:v>
                </c:pt>
                <c:pt idx="283">
                  <c:v>40967</c:v>
                </c:pt>
                <c:pt idx="284">
                  <c:v>40974</c:v>
                </c:pt>
                <c:pt idx="285">
                  <c:v>40981</c:v>
                </c:pt>
                <c:pt idx="286">
                  <c:v>40988</c:v>
                </c:pt>
                <c:pt idx="287">
                  <c:v>40995</c:v>
                </c:pt>
                <c:pt idx="288">
                  <c:v>41002</c:v>
                </c:pt>
                <c:pt idx="289">
                  <c:v>41009</c:v>
                </c:pt>
                <c:pt idx="290">
                  <c:v>41016</c:v>
                </c:pt>
                <c:pt idx="291">
                  <c:v>41023</c:v>
                </c:pt>
                <c:pt idx="292">
                  <c:v>41030</c:v>
                </c:pt>
                <c:pt idx="293">
                  <c:v>41037</c:v>
                </c:pt>
                <c:pt idx="294">
                  <c:v>41044</c:v>
                </c:pt>
                <c:pt idx="295">
                  <c:v>41051</c:v>
                </c:pt>
                <c:pt idx="296">
                  <c:v>41058</c:v>
                </c:pt>
                <c:pt idx="297">
                  <c:v>41065</c:v>
                </c:pt>
                <c:pt idx="298">
                  <c:v>41072</c:v>
                </c:pt>
                <c:pt idx="299">
                  <c:v>41079</c:v>
                </c:pt>
                <c:pt idx="300">
                  <c:v>41086</c:v>
                </c:pt>
                <c:pt idx="301">
                  <c:v>41093</c:v>
                </c:pt>
                <c:pt idx="302">
                  <c:v>41100</c:v>
                </c:pt>
                <c:pt idx="303">
                  <c:v>41107</c:v>
                </c:pt>
                <c:pt idx="304">
                  <c:v>41114</c:v>
                </c:pt>
                <c:pt idx="305">
                  <c:v>41121</c:v>
                </c:pt>
                <c:pt idx="306">
                  <c:v>41128</c:v>
                </c:pt>
                <c:pt idx="307">
                  <c:v>41135</c:v>
                </c:pt>
                <c:pt idx="308">
                  <c:v>41142</c:v>
                </c:pt>
                <c:pt idx="309">
                  <c:v>41149</c:v>
                </c:pt>
                <c:pt idx="310">
                  <c:v>41156</c:v>
                </c:pt>
                <c:pt idx="311">
                  <c:v>41163</c:v>
                </c:pt>
                <c:pt idx="312">
                  <c:v>41170</c:v>
                </c:pt>
                <c:pt idx="313">
                  <c:v>41177</c:v>
                </c:pt>
                <c:pt idx="314">
                  <c:v>41184</c:v>
                </c:pt>
                <c:pt idx="315">
                  <c:v>41191</c:v>
                </c:pt>
                <c:pt idx="316">
                  <c:v>41198</c:v>
                </c:pt>
                <c:pt idx="317">
                  <c:v>41205</c:v>
                </c:pt>
                <c:pt idx="318">
                  <c:v>41212</c:v>
                </c:pt>
                <c:pt idx="319">
                  <c:v>41219</c:v>
                </c:pt>
                <c:pt idx="320">
                  <c:v>41226</c:v>
                </c:pt>
                <c:pt idx="321">
                  <c:v>41233</c:v>
                </c:pt>
                <c:pt idx="322">
                  <c:v>41240</c:v>
                </c:pt>
                <c:pt idx="323">
                  <c:v>41247</c:v>
                </c:pt>
                <c:pt idx="324">
                  <c:v>41254</c:v>
                </c:pt>
                <c:pt idx="325">
                  <c:v>41261</c:v>
                </c:pt>
                <c:pt idx="326">
                  <c:v>41268</c:v>
                </c:pt>
                <c:pt idx="327">
                  <c:v>41275</c:v>
                </c:pt>
                <c:pt idx="328">
                  <c:v>41282</c:v>
                </c:pt>
                <c:pt idx="329">
                  <c:v>41289</c:v>
                </c:pt>
                <c:pt idx="330">
                  <c:v>41296</c:v>
                </c:pt>
                <c:pt idx="331">
                  <c:v>41303</c:v>
                </c:pt>
                <c:pt idx="332">
                  <c:v>41310</c:v>
                </c:pt>
                <c:pt idx="333">
                  <c:v>41317</c:v>
                </c:pt>
                <c:pt idx="334">
                  <c:v>41324</c:v>
                </c:pt>
                <c:pt idx="335">
                  <c:v>41331</c:v>
                </c:pt>
                <c:pt idx="336">
                  <c:v>41338</c:v>
                </c:pt>
                <c:pt idx="337">
                  <c:v>41345</c:v>
                </c:pt>
                <c:pt idx="338">
                  <c:v>41352</c:v>
                </c:pt>
                <c:pt idx="339">
                  <c:v>41359</c:v>
                </c:pt>
                <c:pt idx="340">
                  <c:v>41366</c:v>
                </c:pt>
                <c:pt idx="341">
                  <c:v>41373</c:v>
                </c:pt>
                <c:pt idx="342">
                  <c:v>41380</c:v>
                </c:pt>
                <c:pt idx="343">
                  <c:v>41387</c:v>
                </c:pt>
                <c:pt idx="344">
                  <c:v>41394</c:v>
                </c:pt>
                <c:pt idx="345">
                  <c:v>41401</c:v>
                </c:pt>
                <c:pt idx="346">
                  <c:v>41408</c:v>
                </c:pt>
                <c:pt idx="347">
                  <c:v>41415</c:v>
                </c:pt>
                <c:pt idx="348">
                  <c:v>41422</c:v>
                </c:pt>
                <c:pt idx="349">
                  <c:v>41429</c:v>
                </c:pt>
                <c:pt idx="350">
                  <c:v>41436</c:v>
                </c:pt>
                <c:pt idx="351">
                  <c:v>41443</c:v>
                </c:pt>
                <c:pt idx="352">
                  <c:v>41450</c:v>
                </c:pt>
                <c:pt idx="353">
                  <c:v>41457</c:v>
                </c:pt>
                <c:pt idx="354">
                  <c:v>41464</c:v>
                </c:pt>
                <c:pt idx="355">
                  <c:v>41471</c:v>
                </c:pt>
                <c:pt idx="356">
                  <c:v>41478</c:v>
                </c:pt>
                <c:pt idx="357">
                  <c:v>41485</c:v>
                </c:pt>
                <c:pt idx="358">
                  <c:v>41492</c:v>
                </c:pt>
                <c:pt idx="359">
                  <c:v>41499</c:v>
                </c:pt>
                <c:pt idx="360">
                  <c:v>41506</c:v>
                </c:pt>
                <c:pt idx="361">
                  <c:v>41513</c:v>
                </c:pt>
                <c:pt idx="362">
                  <c:v>41520</c:v>
                </c:pt>
                <c:pt idx="363">
                  <c:v>41527</c:v>
                </c:pt>
                <c:pt idx="364">
                  <c:v>41534</c:v>
                </c:pt>
                <c:pt idx="365">
                  <c:v>41541</c:v>
                </c:pt>
                <c:pt idx="366">
                  <c:v>41548</c:v>
                </c:pt>
                <c:pt idx="367">
                  <c:v>41555</c:v>
                </c:pt>
                <c:pt idx="368">
                  <c:v>41562</c:v>
                </c:pt>
                <c:pt idx="369">
                  <c:v>41569</c:v>
                </c:pt>
                <c:pt idx="370">
                  <c:v>41576</c:v>
                </c:pt>
                <c:pt idx="371">
                  <c:v>41583</c:v>
                </c:pt>
                <c:pt idx="372">
                  <c:v>41590</c:v>
                </c:pt>
                <c:pt idx="373">
                  <c:v>41597</c:v>
                </c:pt>
                <c:pt idx="374">
                  <c:v>41604</c:v>
                </c:pt>
                <c:pt idx="375">
                  <c:v>41611</c:v>
                </c:pt>
                <c:pt idx="376">
                  <c:v>41618</c:v>
                </c:pt>
                <c:pt idx="377">
                  <c:v>41625</c:v>
                </c:pt>
                <c:pt idx="378">
                  <c:v>41632</c:v>
                </c:pt>
                <c:pt idx="379">
                  <c:v>41639</c:v>
                </c:pt>
                <c:pt idx="380">
                  <c:v>41646</c:v>
                </c:pt>
                <c:pt idx="381">
                  <c:v>41653</c:v>
                </c:pt>
                <c:pt idx="382">
                  <c:v>41660</c:v>
                </c:pt>
                <c:pt idx="383">
                  <c:v>41667</c:v>
                </c:pt>
                <c:pt idx="384">
                  <c:v>41674</c:v>
                </c:pt>
                <c:pt idx="385">
                  <c:v>41681</c:v>
                </c:pt>
                <c:pt idx="386">
                  <c:v>41688</c:v>
                </c:pt>
                <c:pt idx="387">
                  <c:v>41695</c:v>
                </c:pt>
                <c:pt idx="388">
                  <c:v>41702</c:v>
                </c:pt>
                <c:pt idx="389">
                  <c:v>41709</c:v>
                </c:pt>
                <c:pt idx="390">
                  <c:v>41716</c:v>
                </c:pt>
                <c:pt idx="391">
                  <c:v>41723</c:v>
                </c:pt>
                <c:pt idx="392">
                  <c:v>41730</c:v>
                </c:pt>
                <c:pt idx="393">
                  <c:v>41737</c:v>
                </c:pt>
                <c:pt idx="394">
                  <c:v>41744</c:v>
                </c:pt>
                <c:pt idx="395">
                  <c:v>41751</c:v>
                </c:pt>
                <c:pt idx="396">
                  <c:v>41758</c:v>
                </c:pt>
                <c:pt idx="397">
                  <c:v>41765</c:v>
                </c:pt>
                <c:pt idx="398">
                  <c:v>41772</c:v>
                </c:pt>
                <c:pt idx="399">
                  <c:v>41779</c:v>
                </c:pt>
                <c:pt idx="400">
                  <c:v>41786</c:v>
                </c:pt>
                <c:pt idx="401">
                  <c:v>41793</c:v>
                </c:pt>
                <c:pt idx="402">
                  <c:v>41800</c:v>
                </c:pt>
                <c:pt idx="403">
                  <c:v>41807</c:v>
                </c:pt>
                <c:pt idx="404">
                  <c:v>41814</c:v>
                </c:pt>
                <c:pt idx="405">
                  <c:v>41821</c:v>
                </c:pt>
                <c:pt idx="406">
                  <c:v>41828</c:v>
                </c:pt>
                <c:pt idx="407">
                  <c:v>41835</c:v>
                </c:pt>
                <c:pt idx="408">
                  <c:v>41842</c:v>
                </c:pt>
                <c:pt idx="409">
                  <c:v>41849</c:v>
                </c:pt>
                <c:pt idx="410">
                  <c:v>41856</c:v>
                </c:pt>
                <c:pt idx="411">
                  <c:v>41863</c:v>
                </c:pt>
                <c:pt idx="412">
                  <c:v>41870</c:v>
                </c:pt>
                <c:pt idx="413">
                  <c:v>41877</c:v>
                </c:pt>
                <c:pt idx="414">
                  <c:v>41884</c:v>
                </c:pt>
                <c:pt idx="415">
                  <c:v>41891</c:v>
                </c:pt>
                <c:pt idx="416">
                  <c:v>41898</c:v>
                </c:pt>
                <c:pt idx="417">
                  <c:v>41905</c:v>
                </c:pt>
                <c:pt idx="418">
                  <c:v>41912</c:v>
                </c:pt>
                <c:pt idx="419">
                  <c:v>41919</c:v>
                </c:pt>
                <c:pt idx="420">
                  <c:v>41926</c:v>
                </c:pt>
                <c:pt idx="421">
                  <c:v>41933</c:v>
                </c:pt>
                <c:pt idx="422">
                  <c:v>41940</c:v>
                </c:pt>
                <c:pt idx="423">
                  <c:v>41947</c:v>
                </c:pt>
                <c:pt idx="424">
                  <c:v>41954</c:v>
                </c:pt>
                <c:pt idx="425">
                  <c:v>41961</c:v>
                </c:pt>
                <c:pt idx="426">
                  <c:v>41968</c:v>
                </c:pt>
                <c:pt idx="427">
                  <c:v>41975</c:v>
                </c:pt>
                <c:pt idx="428">
                  <c:v>41982</c:v>
                </c:pt>
                <c:pt idx="429">
                  <c:v>41989</c:v>
                </c:pt>
                <c:pt idx="430">
                  <c:v>41996</c:v>
                </c:pt>
                <c:pt idx="431">
                  <c:v>42003</c:v>
                </c:pt>
                <c:pt idx="432">
                  <c:v>42010</c:v>
                </c:pt>
                <c:pt idx="433">
                  <c:v>42017</c:v>
                </c:pt>
                <c:pt idx="434">
                  <c:v>42024</c:v>
                </c:pt>
                <c:pt idx="435">
                  <c:v>42031</c:v>
                </c:pt>
                <c:pt idx="436">
                  <c:v>42038</c:v>
                </c:pt>
                <c:pt idx="437">
                  <c:v>42045</c:v>
                </c:pt>
                <c:pt idx="438">
                  <c:v>42052</c:v>
                </c:pt>
                <c:pt idx="439">
                  <c:v>42059</c:v>
                </c:pt>
                <c:pt idx="440">
                  <c:v>42066</c:v>
                </c:pt>
                <c:pt idx="441">
                  <c:v>42073</c:v>
                </c:pt>
                <c:pt idx="442">
                  <c:v>42080</c:v>
                </c:pt>
                <c:pt idx="443">
                  <c:v>42087</c:v>
                </c:pt>
                <c:pt idx="444">
                  <c:v>42094</c:v>
                </c:pt>
                <c:pt idx="445">
                  <c:v>42101</c:v>
                </c:pt>
                <c:pt idx="446">
                  <c:v>42108</c:v>
                </c:pt>
                <c:pt idx="447">
                  <c:v>42115</c:v>
                </c:pt>
                <c:pt idx="448">
                  <c:v>42122</c:v>
                </c:pt>
                <c:pt idx="449">
                  <c:v>42129</c:v>
                </c:pt>
                <c:pt idx="450">
                  <c:v>42136</c:v>
                </c:pt>
                <c:pt idx="451">
                  <c:v>42143</c:v>
                </c:pt>
                <c:pt idx="452">
                  <c:v>42150</c:v>
                </c:pt>
                <c:pt idx="453">
                  <c:v>42157</c:v>
                </c:pt>
                <c:pt idx="454">
                  <c:v>42164</c:v>
                </c:pt>
                <c:pt idx="455">
                  <c:v>42171</c:v>
                </c:pt>
                <c:pt idx="456">
                  <c:v>42178</c:v>
                </c:pt>
                <c:pt idx="457">
                  <c:v>42185</c:v>
                </c:pt>
                <c:pt idx="458">
                  <c:v>42192</c:v>
                </c:pt>
                <c:pt idx="459">
                  <c:v>42199</c:v>
                </c:pt>
                <c:pt idx="460">
                  <c:v>42206</c:v>
                </c:pt>
                <c:pt idx="461">
                  <c:v>42213</c:v>
                </c:pt>
                <c:pt idx="462">
                  <c:v>42220</c:v>
                </c:pt>
                <c:pt idx="463">
                  <c:v>42227</c:v>
                </c:pt>
                <c:pt idx="464">
                  <c:v>42234</c:v>
                </c:pt>
                <c:pt idx="465">
                  <c:v>42241</c:v>
                </c:pt>
                <c:pt idx="466">
                  <c:v>42248</c:v>
                </c:pt>
                <c:pt idx="467">
                  <c:v>42255</c:v>
                </c:pt>
                <c:pt idx="468">
                  <c:v>42262</c:v>
                </c:pt>
                <c:pt idx="469">
                  <c:v>42269</c:v>
                </c:pt>
                <c:pt idx="470">
                  <c:v>42276</c:v>
                </c:pt>
                <c:pt idx="471">
                  <c:v>42283</c:v>
                </c:pt>
                <c:pt idx="472">
                  <c:v>42290</c:v>
                </c:pt>
                <c:pt idx="473">
                  <c:v>42297</c:v>
                </c:pt>
                <c:pt idx="474">
                  <c:v>42304</c:v>
                </c:pt>
                <c:pt idx="475">
                  <c:v>42311</c:v>
                </c:pt>
                <c:pt idx="476">
                  <c:v>42318</c:v>
                </c:pt>
                <c:pt idx="477">
                  <c:v>42325</c:v>
                </c:pt>
                <c:pt idx="478">
                  <c:v>42332</c:v>
                </c:pt>
                <c:pt idx="479">
                  <c:v>42339</c:v>
                </c:pt>
                <c:pt idx="480">
                  <c:v>42346</c:v>
                </c:pt>
                <c:pt idx="481">
                  <c:v>42353</c:v>
                </c:pt>
                <c:pt idx="482">
                  <c:v>42360</c:v>
                </c:pt>
                <c:pt idx="483">
                  <c:v>42367</c:v>
                </c:pt>
                <c:pt idx="484">
                  <c:v>42374</c:v>
                </c:pt>
                <c:pt idx="485">
                  <c:v>42381</c:v>
                </c:pt>
                <c:pt idx="486">
                  <c:v>42388</c:v>
                </c:pt>
                <c:pt idx="487">
                  <c:v>42395</c:v>
                </c:pt>
                <c:pt idx="488">
                  <c:v>42402</c:v>
                </c:pt>
                <c:pt idx="489">
                  <c:v>42409</c:v>
                </c:pt>
                <c:pt idx="490">
                  <c:v>42416</c:v>
                </c:pt>
                <c:pt idx="491">
                  <c:v>42423</c:v>
                </c:pt>
                <c:pt idx="492">
                  <c:v>42430</c:v>
                </c:pt>
                <c:pt idx="493">
                  <c:v>42437</c:v>
                </c:pt>
                <c:pt idx="494">
                  <c:v>42444</c:v>
                </c:pt>
                <c:pt idx="495">
                  <c:v>42451</c:v>
                </c:pt>
                <c:pt idx="496">
                  <c:v>42458</c:v>
                </c:pt>
                <c:pt idx="497">
                  <c:v>42465</c:v>
                </c:pt>
                <c:pt idx="498">
                  <c:v>42472</c:v>
                </c:pt>
                <c:pt idx="499">
                  <c:v>42479</c:v>
                </c:pt>
                <c:pt idx="500">
                  <c:v>42486</c:v>
                </c:pt>
                <c:pt idx="501">
                  <c:v>42493</c:v>
                </c:pt>
                <c:pt idx="502">
                  <c:v>42500</c:v>
                </c:pt>
                <c:pt idx="503">
                  <c:v>42507</c:v>
                </c:pt>
                <c:pt idx="504">
                  <c:v>42514</c:v>
                </c:pt>
                <c:pt idx="505">
                  <c:v>42521</c:v>
                </c:pt>
                <c:pt idx="506">
                  <c:v>42528</c:v>
                </c:pt>
                <c:pt idx="507">
                  <c:v>42535</c:v>
                </c:pt>
                <c:pt idx="508">
                  <c:v>42542</c:v>
                </c:pt>
                <c:pt idx="509">
                  <c:v>42549</c:v>
                </c:pt>
                <c:pt idx="510">
                  <c:v>42556</c:v>
                </c:pt>
                <c:pt idx="511">
                  <c:v>42563</c:v>
                </c:pt>
                <c:pt idx="512">
                  <c:v>42570</c:v>
                </c:pt>
                <c:pt idx="513">
                  <c:v>42577</c:v>
                </c:pt>
                <c:pt idx="514">
                  <c:v>42584</c:v>
                </c:pt>
                <c:pt idx="515">
                  <c:v>42591</c:v>
                </c:pt>
                <c:pt idx="516">
                  <c:v>42598</c:v>
                </c:pt>
                <c:pt idx="517">
                  <c:v>42605</c:v>
                </c:pt>
                <c:pt idx="518">
                  <c:v>42612</c:v>
                </c:pt>
                <c:pt idx="519">
                  <c:v>42619</c:v>
                </c:pt>
                <c:pt idx="520">
                  <c:v>42626</c:v>
                </c:pt>
                <c:pt idx="521">
                  <c:v>42633</c:v>
                </c:pt>
                <c:pt idx="522">
                  <c:v>42640</c:v>
                </c:pt>
                <c:pt idx="523">
                  <c:v>42647</c:v>
                </c:pt>
                <c:pt idx="524">
                  <c:v>42654</c:v>
                </c:pt>
                <c:pt idx="525">
                  <c:v>42661</c:v>
                </c:pt>
                <c:pt idx="526">
                  <c:v>42668</c:v>
                </c:pt>
                <c:pt idx="527">
                  <c:v>42675</c:v>
                </c:pt>
                <c:pt idx="528">
                  <c:v>42682</c:v>
                </c:pt>
                <c:pt idx="529">
                  <c:v>42689</c:v>
                </c:pt>
                <c:pt idx="530">
                  <c:v>42696</c:v>
                </c:pt>
                <c:pt idx="531">
                  <c:v>42703</c:v>
                </c:pt>
                <c:pt idx="532">
                  <c:v>42710</c:v>
                </c:pt>
                <c:pt idx="533">
                  <c:v>42717</c:v>
                </c:pt>
                <c:pt idx="534">
                  <c:v>42724</c:v>
                </c:pt>
                <c:pt idx="535">
                  <c:v>42731</c:v>
                </c:pt>
                <c:pt idx="536">
                  <c:v>42738</c:v>
                </c:pt>
                <c:pt idx="537">
                  <c:v>42745</c:v>
                </c:pt>
                <c:pt idx="538">
                  <c:v>42752</c:v>
                </c:pt>
                <c:pt idx="539">
                  <c:v>42759</c:v>
                </c:pt>
                <c:pt idx="540">
                  <c:v>42766</c:v>
                </c:pt>
                <c:pt idx="541">
                  <c:v>42773</c:v>
                </c:pt>
                <c:pt idx="542">
                  <c:v>42780</c:v>
                </c:pt>
                <c:pt idx="543">
                  <c:v>42787</c:v>
                </c:pt>
                <c:pt idx="544">
                  <c:v>42794</c:v>
                </c:pt>
                <c:pt idx="545">
                  <c:v>42801</c:v>
                </c:pt>
                <c:pt idx="546">
                  <c:v>42808</c:v>
                </c:pt>
                <c:pt idx="547">
                  <c:v>42815</c:v>
                </c:pt>
                <c:pt idx="548">
                  <c:v>42822</c:v>
                </c:pt>
                <c:pt idx="549">
                  <c:v>42829</c:v>
                </c:pt>
                <c:pt idx="550">
                  <c:v>42836</c:v>
                </c:pt>
                <c:pt idx="551">
                  <c:v>42843</c:v>
                </c:pt>
                <c:pt idx="552">
                  <c:v>42850</c:v>
                </c:pt>
                <c:pt idx="553">
                  <c:v>42857</c:v>
                </c:pt>
                <c:pt idx="554">
                  <c:v>42864</c:v>
                </c:pt>
                <c:pt idx="555">
                  <c:v>42871</c:v>
                </c:pt>
                <c:pt idx="556">
                  <c:v>42878</c:v>
                </c:pt>
                <c:pt idx="557">
                  <c:v>42885</c:v>
                </c:pt>
                <c:pt idx="558">
                  <c:v>42892</c:v>
                </c:pt>
                <c:pt idx="559">
                  <c:v>42899</c:v>
                </c:pt>
                <c:pt idx="560">
                  <c:v>42906</c:v>
                </c:pt>
                <c:pt idx="561">
                  <c:v>42913</c:v>
                </c:pt>
                <c:pt idx="562">
                  <c:v>42920</c:v>
                </c:pt>
                <c:pt idx="563">
                  <c:v>42927</c:v>
                </c:pt>
                <c:pt idx="564">
                  <c:v>42934</c:v>
                </c:pt>
                <c:pt idx="565">
                  <c:v>42941</c:v>
                </c:pt>
                <c:pt idx="566">
                  <c:v>42948</c:v>
                </c:pt>
                <c:pt idx="567">
                  <c:v>42955</c:v>
                </c:pt>
                <c:pt idx="568">
                  <c:v>42962</c:v>
                </c:pt>
                <c:pt idx="569">
                  <c:v>42969</c:v>
                </c:pt>
                <c:pt idx="570">
                  <c:v>42976</c:v>
                </c:pt>
                <c:pt idx="571">
                  <c:v>42983</c:v>
                </c:pt>
                <c:pt idx="572">
                  <c:v>42990</c:v>
                </c:pt>
                <c:pt idx="573">
                  <c:v>42997</c:v>
                </c:pt>
                <c:pt idx="574">
                  <c:v>43004</c:v>
                </c:pt>
                <c:pt idx="575">
                  <c:v>43011</c:v>
                </c:pt>
                <c:pt idx="576">
                  <c:v>43018</c:v>
                </c:pt>
                <c:pt idx="577">
                  <c:v>43025</c:v>
                </c:pt>
                <c:pt idx="578">
                  <c:v>43032</c:v>
                </c:pt>
                <c:pt idx="579">
                  <c:v>43039</c:v>
                </c:pt>
                <c:pt idx="580">
                  <c:v>43046</c:v>
                </c:pt>
                <c:pt idx="581">
                  <c:v>43053</c:v>
                </c:pt>
                <c:pt idx="582">
                  <c:v>43060</c:v>
                </c:pt>
                <c:pt idx="583">
                  <c:v>43067</c:v>
                </c:pt>
                <c:pt idx="584">
                  <c:v>43074</c:v>
                </c:pt>
                <c:pt idx="585">
                  <c:v>43081</c:v>
                </c:pt>
                <c:pt idx="586">
                  <c:v>43088</c:v>
                </c:pt>
                <c:pt idx="587">
                  <c:v>43095</c:v>
                </c:pt>
                <c:pt idx="588">
                  <c:v>43102</c:v>
                </c:pt>
                <c:pt idx="589">
                  <c:v>43109</c:v>
                </c:pt>
                <c:pt idx="590">
                  <c:v>43116</c:v>
                </c:pt>
                <c:pt idx="591">
                  <c:v>43123</c:v>
                </c:pt>
                <c:pt idx="592">
                  <c:v>43130</c:v>
                </c:pt>
                <c:pt idx="593">
                  <c:v>43137</c:v>
                </c:pt>
                <c:pt idx="594">
                  <c:v>43144</c:v>
                </c:pt>
                <c:pt idx="595">
                  <c:v>43151</c:v>
                </c:pt>
                <c:pt idx="596">
                  <c:v>43158</c:v>
                </c:pt>
                <c:pt idx="597">
                  <c:v>43165</c:v>
                </c:pt>
                <c:pt idx="598">
                  <c:v>43172</c:v>
                </c:pt>
                <c:pt idx="599">
                  <c:v>43179</c:v>
                </c:pt>
                <c:pt idx="600">
                  <c:v>43186</c:v>
                </c:pt>
                <c:pt idx="601">
                  <c:v>43193</c:v>
                </c:pt>
                <c:pt idx="602">
                  <c:v>43200</c:v>
                </c:pt>
                <c:pt idx="603">
                  <c:v>43207</c:v>
                </c:pt>
                <c:pt idx="604">
                  <c:v>43214</c:v>
                </c:pt>
                <c:pt idx="605">
                  <c:v>43221</c:v>
                </c:pt>
                <c:pt idx="606">
                  <c:v>43228</c:v>
                </c:pt>
                <c:pt idx="607">
                  <c:v>43235</c:v>
                </c:pt>
                <c:pt idx="608">
                  <c:v>43242</c:v>
                </c:pt>
                <c:pt idx="609">
                  <c:v>43249</c:v>
                </c:pt>
                <c:pt idx="610">
                  <c:v>43256</c:v>
                </c:pt>
                <c:pt idx="611">
                  <c:v>43263</c:v>
                </c:pt>
                <c:pt idx="612">
                  <c:v>43270</c:v>
                </c:pt>
                <c:pt idx="613">
                  <c:v>43277</c:v>
                </c:pt>
                <c:pt idx="614">
                  <c:v>43284</c:v>
                </c:pt>
                <c:pt idx="615">
                  <c:v>43291</c:v>
                </c:pt>
                <c:pt idx="616">
                  <c:v>43298</c:v>
                </c:pt>
                <c:pt idx="617">
                  <c:v>43305</c:v>
                </c:pt>
                <c:pt idx="618">
                  <c:v>43312</c:v>
                </c:pt>
                <c:pt idx="619">
                  <c:v>43319</c:v>
                </c:pt>
                <c:pt idx="620">
                  <c:v>43326</c:v>
                </c:pt>
                <c:pt idx="621">
                  <c:v>43333</c:v>
                </c:pt>
                <c:pt idx="622">
                  <c:v>43340</c:v>
                </c:pt>
                <c:pt idx="623">
                  <c:v>43347</c:v>
                </c:pt>
                <c:pt idx="624">
                  <c:v>43354</c:v>
                </c:pt>
                <c:pt idx="625">
                  <c:v>43361</c:v>
                </c:pt>
                <c:pt idx="626">
                  <c:v>43368</c:v>
                </c:pt>
                <c:pt idx="627">
                  <c:v>43375</c:v>
                </c:pt>
                <c:pt idx="628">
                  <c:v>43382</c:v>
                </c:pt>
                <c:pt idx="629">
                  <c:v>43389</c:v>
                </c:pt>
                <c:pt idx="630">
                  <c:v>43396</c:v>
                </c:pt>
                <c:pt idx="631">
                  <c:v>43403</c:v>
                </c:pt>
                <c:pt idx="632">
                  <c:v>43410</c:v>
                </c:pt>
                <c:pt idx="633">
                  <c:v>43417</c:v>
                </c:pt>
                <c:pt idx="634">
                  <c:v>43424</c:v>
                </c:pt>
                <c:pt idx="635">
                  <c:v>43431</c:v>
                </c:pt>
                <c:pt idx="636">
                  <c:v>43438</c:v>
                </c:pt>
                <c:pt idx="637">
                  <c:v>43445</c:v>
                </c:pt>
                <c:pt idx="638">
                  <c:v>43452</c:v>
                </c:pt>
                <c:pt idx="639">
                  <c:v>43459</c:v>
                </c:pt>
                <c:pt idx="640">
                  <c:v>43466</c:v>
                </c:pt>
                <c:pt idx="641">
                  <c:v>43473</c:v>
                </c:pt>
                <c:pt idx="642">
                  <c:v>43480</c:v>
                </c:pt>
                <c:pt idx="643">
                  <c:v>43487</c:v>
                </c:pt>
                <c:pt idx="644">
                  <c:v>43494</c:v>
                </c:pt>
                <c:pt idx="645">
                  <c:v>43501</c:v>
                </c:pt>
                <c:pt idx="646">
                  <c:v>43508</c:v>
                </c:pt>
                <c:pt idx="647">
                  <c:v>43515</c:v>
                </c:pt>
                <c:pt idx="648">
                  <c:v>43522</c:v>
                </c:pt>
                <c:pt idx="649">
                  <c:v>43529</c:v>
                </c:pt>
                <c:pt idx="650">
                  <c:v>43536</c:v>
                </c:pt>
                <c:pt idx="651">
                  <c:v>43543</c:v>
                </c:pt>
                <c:pt idx="652">
                  <c:v>43550</c:v>
                </c:pt>
                <c:pt idx="653">
                  <c:v>43557</c:v>
                </c:pt>
                <c:pt idx="654">
                  <c:v>43564</c:v>
                </c:pt>
                <c:pt idx="655">
                  <c:v>43571</c:v>
                </c:pt>
                <c:pt idx="656">
                  <c:v>43578</c:v>
                </c:pt>
                <c:pt idx="657">
                  <c:v>43585</c:v>
                </c:pt>
                <c:pt idx="658">
                  <c:v>43592</c:v>
                </c:pt>
                <c:pt idx="659">
                  <c:v>43599</c:v>
                </c:pt>
                <c:pt idx="660">
                  <c:v>43606</c:v>
                </c:pt>
                <c:pt idx="661">
                  <c:v>43613</c:v>
                </c:pt>
                <c:pt idx="662">
                  <c:v>43620</c:v>
                </c:pt>
                <c:pt idx="663">
                  <c:v>43627</c:v>
                </c:pt>
                <c:pt idx="664">
                  <c:v>43634</c:v>
                </c:pt>
                <c:pt idx="665">
                  <c:v>43641</c:v>
                </c:pt>
                <c:pt idx="666">
                  <c:v>43648</c:v>
                </c:pt>
                <c:pt idx="667">
                  <c:v>43655</c:v>
                </c:pt>
                <c:pt idx="668">
                  <c:v>43662</c:v>
                </c:pt>
                <c:pt idx="669">
                  <c:v>43669</c:v>
                </c:pt>
                <c:pt idx="670">
                  <c:v>43676</c:v>
                </c:pt>
                <c:pt idx="671">
                  <c:v>43683</c:v>
                </c:pt>
                <c:pt idx="672">
                  <c:v>43690</c:v>
                </c:pt>
                <c:pt idx="673">
                  <c:v>43697</c:v>
                </c:pt>
                <c:pt idx="674">
                  <c:v>43704</c:v>
                </c:pt>
                <c:pt idx="675">
                  <c:v>43711</c:v>
                </c:pt>
                <c:pt idx="676">
                  <c:v>43718</c:v>
                </c:pt>
                <c:pt idx="677">
                  <c:v>43725</c:v>
                </c:pt>
                <c:pt idx="678">
                  <c:v>43732</c:v>
                </c:pt>
                <c:pt idx="679">
                  <c:v>43739</c:v>
                </c:pt>
                <c:pt idx="680">
                  <c:v>43746</c:v>
                </c:pt>
                <c:pt idx="681">
                  <c:v>43753</c:v>
                </c:pt>
                <c:pt idx="682">
                  <c:v>43760</c:v>
                </c:pt>
                <c:pt idx="683">
                  <c:v>43767</c:v>
                </c:pt>
                <c:pt idx="684">
                  <c:v>43774</c:v>
                </c:pt>
                <c:pt idx="685">
                  <c:v>43781</c:v>
                </c:pt>
                <c:pt idx="686">
                  <c:v>43788</c:v>
                </c:pt>
                <c:pt idx="687">
                  <c:v>43795</c:v>
                </c:pt>
                <c:pt idx="688">
                  <c:v>43802</c:v>
                </c:pt>
                <c:pt idx="689">
                  <c:v>43809</c:v>
                </c:pt>
                <c:pt idx="690">
                  <c:v>43816</c:v>
                </c:pt>
                <c:pt idx="691">
                  <c:v>43823</c:v>
                </c:pt>
                <c:pt idx="692">
                  <c:v>43830</c:v>
                </c:pt>
                <c:pt idx="693">
                  <c:v>43837</c:v>
                </c:pt>
                <c:pt idx="694">
                  <c:v>43844</c:v>
                </c:pt>
                <c:pt idx="695">
                  <c:v>43851</c:v>
                </c:pt>
                <c:pt idx="696">
                  <c:v>43858</c:v>
                </c:pt>
                <c:pt idx="697">
                  <c:v>43865</c:v>
                </c:pt>
                <c:pt idx="698">
                  <c:v>43872</c:v>
                </c:pt>
                <c:pt idx="699">
                  <c:v>43879</c:v>
                </c:pt>
                <c:pt idx="700">
                  <c:v>43886</c:v>
                </c:pt>
                <c:pt idx="701">
                  <c:v>43893</c:v>
                </c:pt>
                <c:pt idx="702">
                  <c:v>43900</c:v>
                </c:pt>
                <c:pt idx="703">
                  <c:v>43907</c:v>
                </c:pt>
                <c:pt idx="704">
                  <c:v>43914</c:v>
                </c:pt>
                <c:pt idx="705">
                  <c:v>43921</c:v>
                </c:pt>
                <c:pt idx="706">
                  <c:v>43928</c:v>
                </c:pt>
                <c:pt idx="707">
                  <c:v>43935</c:v>
                </c:pt>
                <c:pt idx="708">
                  <c:v>43942</c:v>
                </c:pt>
                <c:pt idx="709">
                  <c:v>43949</c:v>
                </c:pt>
                <c:pt idx="710">
                  <c:v>43956</c:v>
                </c:pt>
                <c:pt idx="711">
                  <c:v>43963</c:v>
                </c:pt>
                <c:pt idx="712">
                  <c:v>43970</c:v>
                </c:pt>
                <c:pt idx="713">
                  <c:v>43977</c:v>
                </c:pt>
                <c:pt idx="714">
                  <c:v>43984</c:v>
                </c:pt>
                <c:pt idx="715">
                  <c:v>43991</c:v>
                </c:pt>
                <c:pt idx="716">
                  <c:v>43998</c:v>
                </c:pt>
                <c:pt idx="717">
                  <c:v>44005</c:v>
                </c:pt>
                <c:pt idx="718">
                  <c:v>44012</c:v>
                </c:pt>
                <c:pt idx="719">
                  <c:v>44019</c:v>
                </c:pt>
                <c:pt idx="720">
                  <c:v>44026</c:v>
                </c:pt>
                <c:pt idx="721">
                  <c:v>44033</c:v>
                </c:pt>
                <c:pt idx="722">
                  <c:v>44040</c:v>
                </c:pt>
                <c:pt idx="723">
                  <c:v>44047</c:v>
                </c:pt>
                <c:pt idx="724">
                  <c:v>44054</c:v>
                </c:pt>
                <c:pt idx="725">
                  <c:v>44061</c:v>
                </c:pt>
                <c:pt idx="726">
                  <c:v>44068</c:v>
                </c:pt>
                <c:pt idx="727">
                  <c:v>44075</c:v>
                </c:pt>
                <c:pt idx="728">
                  <c:v>44082</c:v>
                </c:pt>
                <c:pt idx="729">
                  <c:v>44089</c:v>
                </c:pt>
                <c:pt idx="730">
                  <c:v>44096</c:v>
                </c:pt>
                <c:pt idx="731">
                  <c:v>44103</c:v>
                </c:pt>
                <c:pt idx="732">
                  <c:v>44110</c:v>
                </c:pt>
                <c:pt idx="733">
                  <c:v>44117</c:v>
                </c:pt>
                <c:pt idx="734">
                  <c:v>44124</c:v>
                </c:pt>
                <c:pt idx="735">
                  <c:v>44131</c:v>
                </c:pt>
                <c:pt idx="736">
                  <c:v>44138</c:v>
                </c:pt>
                <c:pt idx="737">
                  <c:v>44145</c:v>
                </c:pt>
                <c:pt idx="738">
                  <c:v>44152</c:v>
                </c:pt>
                <c:pt idx="739">
                  <c:v>44159</c:v>
                </c:pt>
                <c:pt idx="740">
                  <c:v>44166</c:v>
                </c:pt>
                <c:pt idx="741">
                  <c:v>44173</c:v>
                </c:pt>
                <c:pt idx="742">
                  <c:v>44180</c:v>
                </c:pt>
                <c:pt idx="743">
                  <c:v>44187</c:v>
                </c:pt>
                <c:pt idx="744">
                  <c:v>44194</c:v>
                </c:pt>
                <c:pt idx="745">
                  <c:v>44201</c:v>
                </c:pt>
                <c:pt idx="746">
                  <c:v>44208</c:v>
                </c:pt>
                <c:pt idx="747">
                  <c:v>44215</c:v>
                </c:pt>
                <c:pt idx="748">
                  <c:v>44222</c:v>
                </c:pt>
                <c:pt idx="749">
                  <c:v>44229</c:v>
                </c:pt>
                <c:pt idx="750">
                  <c:v>44236</c:v>
                </c:pt>
                <c:pt idx="751">
                  <c:v>44243</c:v>
                </c:pt>
                <c:pt idx="752">
                  <c:v>44250</c:v>
                </c:pt>
                <c:pt idx="753">
                  <c:v>44257</c:v>
                </c:pt>
                <c:pt idx="754">
                  <c:v>44264</c:v>
                </c:pt>
                <c:pt idx="755">
                  <c:v>44271</c:v>
                </c:pt>
                <c:pt idx="756">
                  <c:v>44278</c:v>
                </c:pt>
                <c:pt idx="757">
                  <c:v>44285</c:v>
                </c:pt>
                <c:pt idx="758">
                  <c:v>44292</c:v>
                </c:pt>
                <c:pt idx="759">
                  <c:v>44299</c:v>
                </c:pt>
                <c:pt idx="760">
                  <c:v>44306</c:v>
                </c:pt>
                <c:pt idx="761">
                  <c:v>44313</c:v>
                </c:pt>
                <c:pt idx="762">
                  <c:v>44320</c:v>
                </c:pt>
                <c:pt idx="763">
                  <c:v>44327</c:v>
                </c:pt>
                <c:pt idx="764">
                  <c:v>44334</c:v>
                </c:pt>
                <c:pt idx="765">
                  <c:v>44341</c:v>
                </c:pt>
                <c:pt idx="766">
                  <c:v>44348</c:v>
                </c:pt>
                <c:pt idx="767">
                  <c:v>44355</c:v>
                </c:pt>
                <c:pt idx="768">
                  <c:v>44362</c:v>
                </c:pt>
                <c:pt idx="769">
                  <c:v>44369</c:v>
                </c:pt>
                <c:pt idx="770">
                  <c:v>44376</c:v>
                </c:pt>
                <c:pt idx="771">
                  <c:v>44383</c:v>
                </c:pt>
                <c:pt idx="772">
                  <c:v>44390</c:v>
                </c:pt>
                <c:pt idx="773">
                  <c:v>44397</c:v>
                </c:pt>
                <c:pt idx="774">
                  <c:v>44404</c:v>
                </c:pt>
                <c:pt idx="775">
                  <c:v>44411</c:v>
                </c:pt>
                <c:pt idx="776">
                  <c:v>44418</c:v>
                </c:pt>
                <c:pt idx="777">
                  <c:v>44425</c:v>
                </c:pt>
                <c:pt idx="778">
                  <c:v>44432</c:v>
                </c:pt>
                <c:pt idx="779">
                  <c:v>44439</c:v>
                </c:pt>
                <c:pt idx="780">
                  <c:v>44446</c:v>
                </c:pt>
                <c:pt idx="781">
                  <c:v>44453</c:v>
                </c:pt>
                <c:pt idx="782">
                  <c:v>44460</c:v>
                </c:pt>
                <c:pt idx="783">
                  <c:v>44467</c:v>
                </c:pt>
                <c:pt idx="784">
                  <c:v>44474</c:v>
                </c:pt>
                <c:pt idx="785">
                  <c:v>44481</c:v>
                </c:pt>
                <c:pt idx="786">
                  <c:v>44488</c:v>
                </c:pt>
                <c:pt idx="787">
                  <c:v>44495</c:v>
                </c:pt>
                <c:pt idx="788">
                  <c:v>44502</c:v>
                </c:pt>
                <c:pt idx="789">
                  <c:v>44509</c:v>
                </c:pt>
                <c:pt idx="790">
                  <c:v>44516</c:v>
                </c:pt>
                <c:pt idx="791">
                  <c:v>44523</c:v>
                </c:pt>
                <c:pt idx="792">
                  <c:v>44530</c:v>
                </c:pt>
                <c:pt idx="793">
                  <c:v>44537</c:v>
                </c:pt>
                <c:pt idx="794">
                  <c:v>44544</c:v>
                </c:pt>
                <c:pt idx="795">
                  <c:v>44551</c:v>
                </c:pt>
                <c:pt idx="796">
                  <c:v>44558</c:v>
                </c:pt>
                <c:pt idx="797">
                  <c:v>44565</c:v>
                </c:pt>
                <c:pt idx="798">
                  <c:v>44572</c:v>
                </c:pt>
                <c:pt idx="799">
                  <c:v>44579</c:v>
                </c:pt>
                <c:pt idx="800">
                  <c:v>44586</c:v>
                </c:pt>
                <c:pt idx="801">
                  <c:v>44593</c:v>
                </c:pt>
                <c:pt idx="802">
                  <c:v>44600</c:v>
                </c:pt>
                <c:pt idx="803">
                  <c:v>44607</c:v>
                </c:pt>
                <c:pt idx="804">
                  <c:v>44614</c:v>
                </c:pt>
                <c:pt idx="805">
                  <c:v>44621</c:v>
                </c:pt>
                <c:pt idx="806">
                  <c:v>44628</c:v>
                </c:pt>
                <c:pt idx="807">
                  <c:v>44635</c:v>
                </c:pt>
                <c:pt idx="808">
                  <c:v>44642</c:v>
                </c:pt>
                <c:pt idx="809">
                  <c:v>44649</c:v>
                </c:pt>
                <c:pt idx="810">
                  <c:v>44656</c:v>
                </c:pt>
                <c:pt idx="811">
                  <c:v>44663</c:v>
                </c:pt>
                <c:pt idx="812">
                  <c:v>44670</c:v>
                </c:pt>
                <c:pt idx="813">
                  <c:v>44677</c:v>
                </c:pt>
                <c:pt idx="814">
                  <c:v>44684</c:v>
                </c:pt>
                <c:pt idx="815">
                  <c:v>44691</c:v>
                </c:pt>
                <c:pt idx="816">
                  <c:v>44698</c:v>
                </c:pt>
                <c:pt idx="817">
                  <c:v>44705</c:v>
                </c:pt>
                <c:pt idx="818">
                  <c:v>44712</c:v>
                </c:pt>
                <c:pt idx="819">
                  <c:v>44719</c:v>
                </c:pt>
                <c:pt idx="820">
                  <c:v>44726</c:v>
                </c:pt>
                <c:pt idx="821">
                  <c:v>44733</c:v>
                </c:pt>
                <c:pt idx="822">
                  <c:v>44740</c:v>
                </c:pt>
                <c:pt idx="823">
                  <c:v>44747</c:v>
                </c:pt>
                <c:pt idx="824">
                  <c:v>44754</c:v>
                </c:pt>
                <c:pt idx="825">
                  <c:v>44761</c:v>
                </c:pt>
                <c:pt idx="826">
                  <c:v>44768</c:v>
                </c:pt>
                <c:pt idx="827">
                  <c:v>44775</c:v>
                </c:pt>
                <c:pt idx="828">
                  <c:v>44782</c:v>
                </c:pt>
                <c:pt idx="829">
                  <c:v>44789</c:v>
                </c:pt>
                <c:pt idx="830">
                  <c:v>44796</c:v>
                </c:pt>
                <c:pt idx="831">
                  <c:v>44803</c:v>
                </c:pt>
                <c:pt idx="832">
                  <c:v>44810</c:v>
                </c:pt>
                <c:pt idx="833">
                  <c:v>44817</c:v>
                </c:pt>
                <c:pt idx="834">
                  <c:v>44824</c:v>
                </c:pt>
                <c:pt idx="835">
                  <c:v>44831</c:v>
                </c:pt>
                <c:pt idx="836">
                  <c:v>44838</c:v>
                </c:pt>
                <c:pt idx="837">
                  <c:v>44845</c:v>
                </c:pt>
                <c:pt idx="838">
                  <c:v>44852</c:v>
                </c:pt>
                <c:pt idx="839">
                  <c:v>44859</c:v>
                </c:pt>
                <c:pt idx="840">
                  <c:v>44866</c:v>
                </c:pt>
                <c:pt idx="841">
                  <c:v>44873</c:v>
                </c:pt>
                <c:pt idx="842">
                  <c:v>44880</c:v>
                </c:pt>
                <c:pt idx="843">
                  <c:v>44887</c:v>
                </c:pt>
                <c:pt idx="844">
                  <c:v>44894</c:v>
                </c:pt>
                <c:pt idx="845">
                  <c:v>44901</c:v>
                </c:pt>
                <c:pt idx="846">
                  <c:v>44908</c:v>
                </c:pt>
                <c:pt idx="847">
                  <c:v>44915</c:v>
                </c:pt>
                <c:pt idx="848">
                  <c:v>44922</c:v>
                </c:pt>
                <c:pt idx="849">
                  <c:v>44929</c:v>
                </c:pt>
                <c:pt idx="850">
                  <c:v>44936</c:v>
                </c:pt>
                <c:pt idx="851">
                  <c:v>44943</c:v>
                </c:pt>
                <c:pt idx="852">
                  <c:v>44950</c:v>
                </c:pt>
                <c:pt idx="853">
                  <c:v>44957</c:v>
                </c:pt>
                <c:pt idx="854">
                  <c:v>44964</c:v>
                </c:pt>
                <c:pt idx="855">
                  <c:v>44971</c:v>
                </c:pt>
                <c:pt idx="856">
                  <c:v>44978</c:v>
                </c:pt>
                <c:pt idx="857">
                  <c:v>44985</c:v>
                </c:pt>
                <c:pt idx="858">
                  <c:v>44992</c:v>
                </c:pt>
                <c:pt idx="859">
                  <c:v>44999</c:v>
                </c:pt>
                <c:pt idx="860">
                  <c:v>45006</c:v>
                </c:pt>
                <c:pt idx="861">
                  <c:v>45013</c:v>
                </c:pt>
                <c:pt idx="862">
                  <c:v>45020</c:v>
                </c:pt>
                <c:pt idx="863">
                  <c:v>45027</c:v>
                </c:pt>
                <c:pt idx="864">
                  <c:v>45034</c:v>
                </c:pt>
                <c:pt idx="865">
                  <c:v>45041</c:v>
                </c:pt>
                <c:pt idx="866">
                  <c:v>45048</c:v>
                </c:pt>
                <c:pt idx="867">
                  <c:v>45055</c:v>
                </c:pt>
                <c:pt idx="868">
                  <c:v>45062</c:v>
                </c:pt>
                <c:pt idx="869">
                  <c:v>45069</c:v>
                </c:pt>
                <c:pt idx="870">
                  <c:v>45076</c:v>
                </c:pt>
                <c:pt idx="871">
                  <c:v>45083</c:v>
                </c:pt>
                <c:pt idx="872">
                  <c:v>45090</c:v>
                </c:pt>
                <c:pt idx="873">
                  <c:v>45097</c:v>
                </c:pt>
                <c:pt idx="874">
                  <c:v>45104</c:v>
                </c:pt>
                <c:pt idx="875">
                  <c:v>45111</c:v>
                </c:pt>
                <c:pt idx="876">
                  <c:v>45118</c:v>
                </c:pt>
                <c:pt idx="877">
                  <c:v>45125</c:v>
                </c:pt>
                <c:pt idx="878">
                  <c:v>45132</c:v>
                </c:pt>
                <c:pt idx="879">
                  <c:v>45139</c:v>
                </c:pt>
                <c:pt idx="880">
                  <c:v>45146</c:v>
                </c:pt>
                <c:pt idx="881">
                  <c:v>45153</c:v>
                </c:pt>
                <c:pt idx="882">
                  <c:v>45160</c:v>
                </c:pt>
                <c:pt idx="883">
                  <c:v>45167</c:v>
                </c:pt>
                <c:pt idx="884">
                  <c:v>45174</c:v>
                </c:pt>
                <c:pt idx="885">
                  <c:v>45181</c:v>
                </c:pt>
                <c:pt idx="886">
                  <c:v>45188</c:v>
                </c:pt>
                <c:pt idx="887">
                  <c:v>45195</c:v>
                </c:pt>
                <c:pt idx="888">
                  <c:v>45202</c:v>
                </c:pt>
                <c:pt idx="889">
                  <c:v>45209</c:v>
                </c:pt>
                <c:pt idx="890">
                  <c:v>45216</c:v>
                </c:pt>
                <c:pt idx="891">
                  <c:v>45223</c:v>
                </c:pt>
                <c:pt idx="892">
                  <c:v>45230</c:v>
                </c:pt>
                <c:pt idx="893">
                  <c:v>45237</c:v>
                </c:pt>
                <c:pt idx="894">
                  <c:v>45244</c:v>
                </c:pt>
                <c:pt idx="895">
                  <c:v>45251</c:v>
                </c:pt>
                <c:pt idx="896">
                  <c:v>45258</c:v>
                </c:pt>
                <c:pt idx="897">
                  <c:v>45265</c:v>
                </c:pt>
                <c:pt idx="898">
                  <c:v>45272</c:v>
                </c:pt>
                <c:pt idx="899">
                  <c:v>45279</c:v>
                </c:pt>
                <c:pt idx="900">
                  <c:v>45286</c:v>
                </c:pt>
                <c:pt idx="901">
                  <c:v>45293</c:v>
                </c:pt>
                <c:pt idx="902">
                  <c:v>45300</c:v>
                </c:pt>
                <c:pt idx="903">
                  <c:v>45307</c:v>
                </c:pt>
                <c:pt idx="904">
                  <c:v>45314</c:v>
                </c:pt>
                <c:pt idx="905">
                  <c:v>45321</c:v>
                </c:pt>
                <c:pt idx="906">
                  <c:v>45328</c:v>
                </c:pt>
                <c:pt idx="907">
                  <c:v>45335</c:v>
                </c:pt>
                <c:pt idx="908">
                  <c:v>45342</c:v>
                </c:pt>
                <c:pt idx="909">
                  <c:v>45349</c:v>
                </c:pt>
                <c:pt idx="910">
                  <c:v>45356</c:v>
                </c:pt>
                <c:pt idx="911">
                  <c:v>45363</c:v>
                </c:pt>
                <c:pt idx="912">
                  <c:v>45370</c:v>
                </c:pt>
                <c:pt idx="913">
                  <c:v>45377</c:v>
                </c:pt>
                <c:pt idx="914">
                  <c:v>45384</c:v>
                </c:pt>
                <c:pt idx="915">
                  <c:v>45391</c:v>
                </c:pt>
                <c:pt idx="916">
                  <c:v>45398</c:v>
                </c:pt>
                <c:pt idx="917">
                  <c:v>45405</c:v>
                </c:pt>
                <c:pt idx="918">
                  <c:v>45412</c:v>
                </c:pt>
                <c:pt idx="919">
                  <c:v>45419</c:v>
                </c:pt>
                <c:pt idx="920">
                  <c:v>45426</c:v>
                </c:pt>
                <c:pt idx="921">
                  <c:v>45433</c:v>
                </c:pt>
                <c:pt idx="922">
                  <c:v>45440</c:v>
                </c:pt>
                <c:pt idx="923">
                  <c:v>45447</c:v>
                </c:pt>
                <c:pt idx="924">
                  <c:v>45454</c:v>
                </c:pt>
                <c:pt idx="925">
                  <c:v>45461</c:v>
                </c:pt>
                <c:pt idx="926">
                  <c:v>45468</c:v>
                </c:pt>
                <c:pt idx="927">
                  <c:v>45475</c:v>
                </c:pt>
                <c:pt idx="928">
                  <c:v>45482</c:v>
                </c:pt>
                <c:pt idx="929">
                  <c:v>45489</c:v>
                </c:pt>
                <c:pt idx="930">
                  <c:v>45496</c:v>
                </c:pt>
                <c:pt idx="931">
                  <c:v>45503</c:v>
                </c:pt>
                <c:pt idx="932">
                  <c:v>45510</c:v>
                </c:pt>
                <c:pt idx="933">
                  <c:v>45517</c:v>
                </c:pt>
                <c:pt idx="934">
                  <c:v>45524</c:v>
                </c:pt>
                <c:pt idx="935">
                  <c:v>45531</c:v>
                </c:pt>
                <c:pt idx="936">
                  <c:v>45538</c:v>
                </c:pt>
                <c:pt idx="937">
                  <c:v>45545</c:v>
                </c:pt>
                <c:pt idx="938">
                  <c:v>45552</c:v>
                </c:pt>
                <c:pt idx="939">
                  <c:v>45559</c:v>
                </c:pt>
                <c:pt idx="940">
                  <c:v>45566</c:v>
                </c:pt>
                <c:pt idx="941">
                  <c:v>45573</c:v>
                </c:pt>
                <c:pt idx="942">
                  <c:v>45580</c:v>
                </c:pt>
                <c:pt idx="943">
                  <c:v>45587</c:v>
                </c:pt>
              </c:numCache>
            </c:numRef>
          </c:cat>
          <c:val>
            <c:numRef>
              <c:f>'Oil Share Data'!$C$3:$C$1000</c:f>
              <c:numCache>
                <c:formatCode>#,##0.00_);[Red]\(#,##0.00\)</c:formatCode>
                <c:ptCount val="998"/>
                <c:pt idx="0">
                  <c:v>24.69</c:v>
                </c:pt>
                <c:pt idx="1">
                  <c:v>23.87</c:v>
                </c:pt>
                <c:pt idx="2">
                  <c:v>23.77</c:v>
                </c:pt>
                <c:pt idx="3">
                  <c:v>24</c:v>
                </c:pt>
                <c:pt idx="4">
                  <c:v>24.82</c:v>
                </c:pt>
                <c:pt idx="5">
                  <c:v>26.17</c:v>
                </c:pt>
                <c:pt idx="6">
                  <c:v>27.5</c:v>
                </c:pt>
                <c:pt idx="7">
                  <c:v>27.68</c:v>
                </c:pt>
                <c:pt idx="8">
                  <c:v>27.69</c:v>
                </c:pt>
                <c:pt idx="9">
                  <c:v>28.28</c:v>
                </c:pt>
                <c:pt idx="10">
                  <c:v>28.89</c:v>
                </c:pt>
                <c:pt idx="11">
                  <c:v>29.23</c:v>
                </c:pt>
                <c:pt idx="12">
                  <c:v>28.28</c:v>
                </c:pt>
                <c:pt idx="13">
                  <c:v>28.15</c:v>
                </c:pt>
                <c:pt idx="14">
                  <c:v>28.42</c:v>
                </c:pt>
                <c:pt idx="15">
                  <c:v>29.26</c:v>
                </c:pt>
                <c:pt idx="16">
                  <c:v>28.4</c:v>
                </c:pt>
                <c:pt idx="17">
                  <c:v>28.8</c:v>
                </c:pt>
                <c:pt idx="18">
                  <c:v>29.3</c:v>
                </c:pt>
                <c:pt idx="19">
                  <c:v>29</c:v>
                </c:pt>
                <c:pt idx="20">
                  <c:v>30.37</c:v>
                </c:pt>
                <c:pt idx="21">
                  <c:v>30.34</c:v>
                </c:pt>
                <c:pt idx="22">
                  <c:v>29.91</c:v>
                </c:pt>
                <c:pt idx="23">
                  <c:v>30.39</c:v>
                </c:pt>
                <c:pt idx="24">
                  <c:v>29.69</c:v>
                </c:pt>
                <c:pt idx="25">
                  <c:v>30.22</c:v>
                </c:pt>
                <c:pt idx="26">
                  <c:v>30.77</c:v>
                </c:pt>
                <c:pt idx="27">
                  <c:v>31.96</c:v>
                </c:pt>
                <c:pt idx="28">
                  <c:v>32.479999999999997</c:v>
                </c:pt>
                <c:pt idx="29">
                  <c:v>32.42</c:v>
                </c:pt>
                <c:pt idx="30">
                  <c:v>32.97</c:v>
                </c:pt>
                <c:pt idx="31">
                  <c:v>32.35</c:v>
                </c:pt>
                <c:pt idx="32">
                  <c:v>32.93</c:v>
                </c:pt>
                <c:pt idx="33">
                  <c:v>32.72</c:v>
                </c:pt>
                <c:pt idx="34">
                  <c:v>34.1</c:v>
                </c:pt>
                <c:pt idx="35">
                  <c:v>35.15</c:v>
                </c:pt>
                <c:pt idx="36">
                  <c:v>35.840000000000003</c:v>
                </c:pt>
                <c:pt idx="37">
                  <c:v>35.81</c:v>
                </c:pt>
                <c:pt idx="38">
                  <c:v>35.369999999999997</c:v>
                </c:pt>
                <c:pt idx="39">
                  <c:v>35.880000000000003</c:v>
                </c:pt>
                <c:pt idx="40">
                  <c:v>34.729999999999997</c:v>
                </c:pt>
                <c:pt idx="41">
                  <c:v>36.630000000000003</c:v>
                </c:pt>
                <c:pt idx="42">
                  <c:v>37.130000000000003</c:v>
                </c:pt>
                <c:pt idx="43">
                  <c:v>37.72</c:v>
                </c:pt>
                <c:pt idx="44">
                  <c:v>37.49</c:v>
                </c:pt>
                <c:pt idx="45">
                  <c:v>36.76</c:v>
                </c:pt>
                <c:pt idx="46">
                  <c:v>37.35</c:v>
                </c:pt>
                <c:pt idx="47">
                  <c:v>36.28</c:v>
                </c:pt>
                <c:pt idx="48">
                  <c:v>35.39</c:v>
                </c:pt>
                <c:pt idx="49">
                  <c:v>35.92</c:v>
                </c:pt>
                <c:pt idx="50">
                  <c:v>36.54</c:v>
                </c:pt>
                <c:pt idx="51">
                  <c:v>37.28</c:v>
                </c:pt>
                <c:pt idx="52">
                  <c:v>39.369999999999997</c:v>
                </c:pt>
                <c:pt idx="53">
                  <c:v>38.99</c:v>
                </c:pt>
                <c:pt idx="54">
                  <c:v>39.49</c:v>
                </c:pt>
                <c:pt idx="55">
                  <c:v>38.5</c:v>
                </c:pt>
                <c:pt idx="56">
                  <c:v>39.380000000000003</c:v>
                </c:pt>
                <c:pt idx="57">
                  <c:v>40.56</c:v>
                </c:pt>
                <c:pt idx="58">
                  <c:v>41.38</c:v>
                </c:pt>
                <c:pt idx="59">
                  <c:v>42.64</c:v>
                </c:pt>
                <c:pt idx="60">
                  <c:v>45.08</c:v>
                </c:pt>
                <c:pt idx="61">
                  <c:v>44.82</c:v>
                </c:pt>
                <c:pt idx="62">
                  <c:v>46.67</c:v>
                </c:pt>
                <c:pt idx="63">
                  <c:v>45.64</c:v>
                </c:pt>
                <c:pt idx="64">
                  <c:v>45.3</c:v>
                </c:pt>
                <c:pt idx="65">
                  <c:v>45.85</c:v>
                </c:pt>
                <c:pt idx="66">
                  <c:v>47.15</c:v>
                </c:pt>
                <c:pt idx="67">
                  <c:v>52.1</c:v>
                </c:pt>
                <c:pt idx="68">
                  <c:v>53.14</c:v>
                </c:pt>
                <c:pt idx="69">
                  <c:v>52.01</c:v>
                </c:pt>
                <c:pt idx="70">
                  <c:v>54.12</c:v>
                </c:pt>
                <c:pt idx="71">
                  <c:v>55.42</c:v>
                </c:pt>
                <c:pt idx="72">
                  <c:v>58.57</c:v>
                </c:pt>
                <c:pt idx="73">
                  <c:v>62.3</c:v>
                </c:pt>
                <c:pt idx="74">
                  <c:v>68.150000000000006</c:v>
                </c:pt>
                <c:pt idx="75">
                  <c:v>60.25</c:v>
                </c:pt>
                <c:pt idx="76">
                  <c:v>60</c:v>
                </c:pt>
                <c:pt idx="77">
                  <c:v>54.4</c:v>
                </c:pt>
                <c:pt idx="78">
                  <c:v>54.98</c:v>
                </c:pt>
                <c:pt idx="79">
                  <c:v>56.61</c:v>
                </c:pt>
                <c:pt idx="80">
                  <c:v>59.94</c:v>
                </c:pt>
                <c:pt idx="81">
                  <c:v>60.98</c:v>
                </c:pt>
                <c:pt idx="82">
                  <c:v>58.97</c:v>
                </c:pt>
                <c:pt idx="83">
                  <c:v>56.67</c:v>
                </c:pt>
                <c:pt idx="84">
                  <c:v>61.53</c:v>
                </c:pt>
                <c:pt idx="85">
                  <c:v>61.85</c:v>
                </c:pt>
                <c:pt idx="86">
                  <c:v>63.56</c:v>
                </c:pt>
                <c:pt idx="87">
                  <c:v>61.31</c:v>
                </c:pt>
                <c:pt idx="88">
                  <c:v>64.34</c:v>
                </c:pt>
                <c:pt idx="89">
                  <c:v>66.19</c:v>
                </c:pt>
                <c:pt idx="90">
                  <c:v>63.88</c:v>
                </c:pt>
                <c:pt idx="91">
                  <c:v>65.569999999999993</c:v>
                </c:pt>
                <c:pt idx="92">
                  <c:v>67.33</c:v>
                </c:pt>
                <c:pt idx="93">
                  <c:v>64.48</c:v>
                </c:pt>
                <c:pt idx="94">
                  <c:v>62.09</c:v>
                </c:pt>
                <c:pt idx="95">
                  <c:v>59.17</c:v>
                </c:pt>
                <c:pt idx="96">
                  <c:v>56.61</c:v>
                </c:pt>
                <c:pt idx="97">
                  <c:v>50.39</c:v>
                </c:pt>
                <c:pt idx="98">
                  <c:v>50.04</c:v>
                </c:pt>
                <c:pt idx="99">
                  <c:v>54.15</c:v>
                </c:pt>
                <c:pt idx="100">
                  <c:v>53.4</c:v>
                </c:pt>
                <c:pt idx="101">
                  <c:v>48.18</c:v>
                </c:pt>
                <c:pt idx="102">
                  <c:v>47.15</c:v>
                </c:pt>
                <c:pt idx="103">
                  <c:v>46.92</c:v>
                </c:pt>
                <c:pt idx="104">
                  <c:v>47.4</c:v>
                </c:pt>
                <c:pt idx="105">
                  <c:v>42</c:v>
                </c:pt>
                <c:pt idx="106">
                  <c:v>36.5</c:v>
                </c:pt>
                <c:pt idx="107">
                  <c:v>35.5</c:v>
                </c:pt>
                <c:pt idx="108">
                  <c:v>31.47</c:v>
                </c:pt>
                <c:pt idx="109">
                  <c:v>33.6</c:v>
                </c:pt>
                <c:pt idx="110">
                  <c:v>33.9</c:v>
                </c:pt>
                <c:pt idx="111">
                  <c:v>32.6</c:v>
                </c:pt>
                <c:pt idx="112">
                  <c:v>30.7</c:v>
                </c:pt>
                <c:pt idx="113">
                  <c:v>32.58</c:v>
                </c:pt>
                <c:pt idx="114">
                  <c:v>28.25</c:v>
                </c:pt>
                <c:pt idx="115">
                  <c:v>31.1</c:v>
                </c:pt>
                <c:pt idx="116">
                  <c:v>30.6</c:v>
                </c:pt>
                <c:pt idx="117">
                  <c:v>33.58</c:v>
                </c:pt>
                <c:pt idx="118">
                  <c:v>36.5</c:v>
                </c:pt>
                <c:pt idx="119">
                  <c:v>34.590000000000003</c:v>
                </c:pt>
                <c:pt idx="120">
                  <c:v>33.6</c:v>
                </c:pt>
                <c:pt idx="121">
                  <c:v>32.729999999999997</c:v>
                </c:pt>
                <c:pt idx="122">
                  <c:v>33.4</c:v>
                </c:pt>
                <c:pt idx="123">
                  <c:v>33</c:v>
                </c:pt>
                <c:pt idx="124">
                  <c:v>30.22</c:v>
                </c:pt>
                <c:pt idx="125">
                  <c:v>30.85</c:v>
                </c:pt>
                <c:pt idx="126">
                  <c:v>30.76</c:v>
                </c:pt>
                <c:pt idx="127">
                  <c:v>29.8</c:v>
                </c:pt>
                <c:pt idx="128">
                  <c:v>32.25</c:v>
                </c:pt>
                <c:pt idx="129">
                  <c:v>32.42</c:v>
                </c:pt>
                <c:pt idx="130">
                  <c:v>35.32</c:v>
                </c:pt>
                <c:pt idx="131">
                  <c:v>35.42</c:v>
                </c:pt>
                <c:pt idx="132">
                  <c:v>36.770000000000003</c:v>
                </c:pt>
                <c:pt idx="133">
                  <c:v>36.340000000000003</c:v>
                </c:pt>
                <c:pt idx="134">
                  <c:v>37.43</c:v>
                </c:pt>
                <c:pt idx="135">
                  <c:v>39.299999999999997</c:v>
                </c:pt>
                <c:pt idx="136">
                  <c:v>37.9</c:v>
                </c:pt>
                <c:pt idx="137">
                  <c:v>38.1</c:v>
                </c:pt>
                <c:pt idx="138">
                  <c:v>39.049999999999997</c:v>
                </c:pt>
                <c:pt idx="139">
                  <c:v>39.729999999999997</c:v>
                </c:pt>
                <c:pt idx="140">
                  <c:v>37.159999999999997</c:v>
                </c:pt>
                <c:pt idx="141">
                  <c:v>36.53</c:v>
                </c:pt>
                <c:pt idx="142">
                  <c:v>36.08</c:v>
                </c:pt>
                <c:pt idx="143">
                  <c:v>35.18</c:v>
                </c:pt>
                <c:pt idx="144">
                  <c:v>32.700000000000003</c:v>
                </c:pt>
                <c:pt idx="145">
                  <c:v>34.82</c:v>
                </c:pt>
                <c:pt idx="146">
                  <c:v>33.89</c:v>
                </c:pt>
                <c:pt idx="147">
                  <c:v>35.06</c:v>
                </c:pt>
                <c:pt idx="148">
                  <c:v>36.78</c:v>
                </c:pt>
                <c:pt idx="149">
                  <c:v>37.18</c:v>
                </c:pt>
                <c:pt idx="150">
                  <c:v>36.33</c:v>
                </c:pt>
                <c:pt idx="151">
                  <c:v>36.07</c:v>
                </c:pt>
                <c:pt idx="152">
                  <c:v>33.65</c:v>
                </c:pt>
                <c:pt idx="153">
                  <c:v>33.36</c:v>
                </c:pt>
                <c:pt idx="154">
                  <c:v>34.68</c:v>
                </c:pt>
                <c:pt idx="155">
                  <c:v>34.04</c:v>
                </c:pt>
                <c:pt idx="156">
                  <c:v>33.729999999999997</c:v>
                </c:pt>
                <c:pt idx="157">
                  <c:v>34.909999999999997</c:v>
                </c:pt>
                <c:pt idx="158">
                  <c:v>36.94</c:v>
                </c:pt>
                <c:pt idx="159">
                  <c:v>37.94</c:v>
                </c:pt>
                <c:pt idx="160">
                  <c:v>36.4</c:v>
                </c:pt>
                <c:pt idx="161">
                  <c:v>36.770000000000003</c:v>
                </c:pt>
                <c:pt idx="162">
                  <c:v>38.61</c:v>
                </c:pt>
                <c:pt idx="163">
                  <c:v>39.71</c:v>
                </c:pt>
                <c:pt idx="164">
                  <c:v>40.1</c:v>
                </c:pt>
                <c:pt idx="165">
                  <c:v>39.76</c:v>
                </c:pt>
                <c:pt idx="166">
                  <c:v>39.22</c:v>
                </c:pt>
                <c:pt idx="167">
                  <c:v>38.33</c:v>
                </c:pt>
                <c:pt idx="168">
                  <c:v>38.46</c:v>
                </c:pt>
                <c:pt idx="169">
                  <c:v>40.35</c:v>
                </c:pt>
                <c:pt idx="170">
                  <c:v>39.53</c:v>
                </c:pt>
                <c:pt idx="171">
                  <c:v>37.53</c:v>
                </c:pt>
                <c:pt idx="172">
                  <c:v>36.71</c:v>
                </c:pt>
                <c:pt idx="173">
                  <c:v>36.15</c:v>
                </c:pt>
                <c:pt idx="174">
                  <c:v>37</c:v>
                </c:pt>
                <c:pt idx="175">
                  <c:v>37.840000000000003</c:v>
                </c:pt>
                <c:pt idx="176">
                  <c:v>38.520000000000003</c:v>
                </c:pt>
                <c:pt idx="177">
                  <c:v>39.29</c:v>
                </c:pt>
                <c:pt idx="178">
                  <c:v>39.72</c:v>
                </c:pt>
                <c:pt idx="179">
                  <c:v>39.049999999999997</c:v>
                </c:pt>
                <c:pt idx="180">
                  <c:v>39.299999999999997</c:v>
                </c:pt>
                <c:pt idx="181">
                  <c:v>38.950000000000003</c:v>
                </c:pt>
                <c:pt idx="182">
                  <c:v>38.979999999999997</c:v>
                </c:pt>
                <c:pt idx="183">
                  <c:v>40.04</c:v>
                </c:pt>
                <c:pt idx="184">
                  <c:v>39.799999999999997</c:v>
                </c:pt>
                <c:pt idx="185">
                  <c:v>39.35</c:v>
                </c:pt>
                <c:pt idx="186">
                  <c:v>38.58</c:v>
                </c:pt>
                <c:pt idx="187">
                  <c:v>38.130000000000003</c:v>
                </c:pt>
                <c:pt idx="188">
                  <c:v>37.17</c:v>
                </c:pt>
                <c:pt idx="189">
                  <c:v>36.96</c:v>
                </c:pt>
                <c:pt idx="190">
                  <c:v>37.61</c:v>
                </c:pt>
                <c:pt idx="191">
                  <c:v>36.78</c:v>
                </c:pt>
                <c:pt idx="192">
                  <c:v>36.9</c:v>
                </c:pt>
                <c:pt idx="193">
                  <c:v>37.92</c:v>
                </c:pt>
                <c:pt idx="194">
                  <c:v>37.159999999999997</c:v>
                </c:pt>
                <c:pt idx="195">
                  <c:v>36.01</c:v>
                </c:pt>
                <c:pt idx="196">
                  <c:v>37.380000000000003</c:v>
                </c:pt>
                <c:pt idx="197">
                  <c:v>38.31</c:v>
                </c:pt>
                <c:pt idx="198">
                  <c:v>39.07</c:v>
                </c:pt>
                <c:pt idx="199">
                  <c:v>39.83</c:v>
                </c:pt>
                <c:pt idx="200">
                  <c:v>41.39</c:v>
                </c:pt>
                <c:pt idx="201">
                  <c:v>41.8</c:v>
                </c:pt>
                <c:pt idx="202">
                  <c:v>39.520000000000003</c:v>
                </c:pt>
                <c:pt idx="203">
                  <c:v>40.200000000000003</c:v>
                </c:pt>
                <c:pt idx="204">
                  <c:v>40.32</c:v>
                </c:pt>
                <c:pt idx="205">
                  <c:v>41.25</c:v>
                </c:pt>
                <c:pt idx="206">
                  <c:v>41.91</c:v>
                </c:pt>
                <c:pt idx="207">
                  <c:v>44.48</c:v>
                </c:pt>
                <c:pt idx="208">
                  <c:v>43.49</c:v>
                </c:pt>
                <c:pt idx="209">
                  <c:v>46.22</c:v>
                </c:pt>
                <c:pt idx="210">
                  <c:v>47.77</c:v>
                </c:pt>
                <c:pt idx="211">
                  <c:v>48.3</c:v>
                </c:pt>
                <c:pt idx="212">
                  <c:v>49.3</c:v>
                </c:pt>
                <c:pt idx="213">
                  <c:v>52.22</c:v>
                </c:pt>
                <c:pt idx="214">
                  <c:v>52.53</c:v>
                </c:pt>
                <c:pt idx="215">
                  <c:v>48.96</c:v>
                </c:pt>
                <c:pt idx="216">
                  <c:v>49.9</c:v>
                </c:pt>
                <c:pt idx="217">
                  <c:v>53.08</c:v>
                </c:pt>
                <c:pt idx="218">
                  <c:v>53.79</c:v>
                </c:pt>
                <c:pt idx="219">
                  <c:v>54.13</c:v>
                </c:pt>
                <c:pt idx="220">
                  <c:v>56.59</c:v>
                </c:pt>
                <c:pt idx="221">
                  <c:v>57.74</c:v>
                </c:pt>
                <c:pt idx="222">
                  <c:v>56.35</c:v>
                </c:pt>
                <c:pt idx="223">
                  <c:v>56.7</c:v>
                </c:pt>
                <c:pt idx="224">
                  <c:v>57.56</c:v>
                </c:pt>
                <c:pt idx="225">
                  <c:v>57.27</c:v>
                </c:pt>
                <c:pt idx="226">
                  <c:v>58.98</c:v>
                </c:pt>
                <c:pt idx="227">
                  <c:v>58.49</c:v>
                </c:pt>
                <c:pt idx="228">
                  <c:v>56.49</c:v>
                </c:pt>
                <c:pt idx="229">
                  <c:v>56.95</c:v>
                </c:pt>
                <c:pt idx="230">
                  <c:v>58.96</c:v>
                </c:pt>
                <c:pt idx="231">
                  <c:v>55.49</c:v>
                </c:pt>
                <c:pt idx="232">
                  <c:v>55.77</c:v>
                </c:pt>
                <c:pt idx="233">
                  <c:v>56.84</c:v>
                </c:pt>
                <c:pt idx="234">
                  <c:v>58.68</c:v>
                </c:pt>
                <c:pt idx="235">
                  <c:v>59.77</c:v>
                </c:pt>
                <c:pt idx="236">
                  <c:v>56.84</c:v>
                </c:pt>
                <c:pt idx="237">
                  <c:v>58.27</c:v>
                </c:pt>
                <c:pt idx="238">
                  <c:v>58.13</c:v>
                </c:pt>
                <c:pt idx="239">
                  <c:v>55.37</c:v>
                </c:pt>
                <c:pt idx="240">
                  <c:v>55.75</c:v>
                </c:pt>
                <c:pt idx="241">
                  <c:v>57.46</c:v>
                </c:pt>
                <c:pt idx="242">
                  <c:v>58.61</c:v>
                </c:pt>
                <c:pt idx="243">
                  <c:v>58.73</c:v>
                </c:pt>
                <c:pt idx="244">
                  <c:v>56.85</c:v>
                </c:pt>
                <c:pt idx="245">
                  <c:v>55.92</c:v>
                </c:pt>
                <c:pt idx="246">
                  <c:v>55.22</c:v>
                </c:pt>
                <c:pt idx="247">
                  <c:v>55.16</c:v>
                </c:pt>
                <c:pt idx="248">
                  <c:v>56.2</c:v>
                </c:pt>
                <c:pt idx="249">
                  <c:v>57.35</c:v>
                </c:pt>
                <c:pt idx="250">
                  <c:v>56.51</c:v>
                </c:pt>
                <c:pt idx="251">
                  <c:v>55.65</c:v>
                </c:pt>
                <c:pt idx="252">
                  <c:v>54.9</c:v>
                </c:pt>
                <c:pt idx="253">
                  <c:v>54.6</c:v>
                </c:pt>
                <c:pt idx="254">
                  <c:v>55.39</c:v>
                </c:pt>
                <c:pt idx="255">
                  <c:v>56.6</c:v>
                </c:pt>
                <c:pt idx="256">
                  <c:v>57.74</c:v>
                </c:pt>
                <c:pt idx="257">
                  <c:v>58.2</c:v>
                </c:pt>
                <c:pt idx="258">
                  <c:v>56.55</c:v>
                </c:pt>
                <c:pt idx="259">
                  <c:v>52.4</c:v>
                </c:pt>
                <c:pt idx="260">
                  <c:v>49.95</c:v>
                </c:pt>
                <c:pt idx="261">
                  <c:v>49.07</c:v>
                </c:pt>
                <c:pt idx="262">
                  <c:v>53.2</c:v>
                </c:pt>
                <c:pt idx="263">
                  <c:v>51.25</c:v>
                </c:pt>
                <c:pt idx="264">
                  <c:v>51.77</c:v>
                </c:pt>
                <c:pt idx="265">
                  <c:v>51.87</c:v>
                </c:pt>
                <c:pt idx="266">
                  <c:v>50.98</c:v>
                </c:pt>
                <c:pt idx="267">
                  <c:v>50.88</c:v>
                </c:pt>
                <c:pt idx="268">
                  <c:v>48.23</c:v>
                </c:pt>
                <c:pt idx="269">
                  <c:v>50.05</c:v>
                </c:pt>
                <c:pt idx="270">
                  <c:v>49.34</c:v>
                </c:pt>
                <c:pt idx="271">
                  <c:v>49.55</c:v>
                </c:pt>
                <c:pt idx="272">
                  <c:v>50.96</c:v>
                </c:pt>
                <c:pt idx="273">
                  <c:v>52.09</c:v>
                </c:pt>
                <c:pt idx="274">
                  <c:v>50.8</c:v>
                </c:pt>
                <c:pt idx="275">
                  <c:v>50.2</c:v>
                </c:pt>
                <c:pt idx="276">
                  <c:v>50.43</c:v>
                </c:pt>
                <c:pt idx="277">
                  <c:v>51.59</c:v>
                </c:pt>
                <c:pt idx="278">
                  <c:v>51.65</c:v>
                </c:pt>
                <c:pt idx="279">
                  <c:v>52.53</c:v>
                </c:pt>
                <c:pt idx="280">
                  <c:v>53.4</c:v>
                </c:pt>
                <c:pt idx="281">
                  <c:v>54.29</c:v>
                </c:pt>
                <c:pt idx="282">
                  <c:v>53.76</c:v>
                </c:pt>
                <c:pt idx="283">
                  <c:v>53.95</c:v>
                </c:pt>
                <c:pt idx="284">
                  <c:v>55.5</c:v>
                </c:pt>
                <c:pt idx="285">
                  <c:v>54.88</c:v>
                </c:pt>
                <c:pt idx="286">
                  <c:v>55.1</c:v>
                </c:pt>
                <c:pt idx="287">
                  <c:v>56.64</c:v>
                </c:pt>
                <c:pt idx="288">
                  <c:v>56.52</c:v>
                </c:pt>
                <c:pt idx="289">
                  <c:v>55.83</c:v>
                </c:pt>
                <c:pt idx="290">
                  <c:v>55.18</c:v>
                </c:pt>
                <c:pt idx="291">
                  <c:v>53.3</c:v>
                </c:pt>
                <c:pt idx="292">
                  <c:v>51.9</c:v>
                </c:pt>
                <c:pt idx="293">
                  <c:v>50.32</c:v>
                </c:pt>
                <c:pt idx="294">
                  <c:v>50.12</c:v>
                </c:pt>
                <c:pt idx="295">
                  <c:v>48.59</c:v>
                </c:pt>
                <c:pt idx="296">
                  <c:v>49.46</c:v>
                </c:pt>
                <c:pt idx="297">
                  <c:v>48.44</c:v>
                </c:pt>
                <c:pt idx="298">
                  <c:v>49.74</c:v>
                </c:pt>
                <c:pt idx="299">
                  <c:v>52.21</c:v>
                </c:pt>
                <c:pt idx="300">
                  <c:v>53.27</c:v>
                </c:pt>
                <c:pt idx="301">
                  <c:v>53.57</c:v>
                </c:pt>
                <c:pt idx="302">
                  <c:v>54.36</c:v>
                </c:pt>
                <c:pt idx="303">
                  <c:v>52.04</c:v>
                </c:pt>
                <c:pt idx="304">
                  <c:v>52.04</c:v>
                </c:pt>
                <c:pt idx="305">
                  <c:v>53.6</c:v>
                </c:pt>
                <c:pt idx="306">
                  <c:v>53.11</c:v>
                </c:pt>
                <c:pt idx="307">
                  <c:v>56.24</c:v>
                </c:pt>
                <c:pt idx="308">
                  <c:v>56.42</c:v>
                </c:pt>
                <c:pt idx="309">
                  <c:v>56.07</c:v>
                </c:pt>
                <c:pt idx="310">
                  <c:v>56.64</c:v>
                </c:pt>
                <c:pt idx="311">
                  <c:v>54.45</c:v>
                </c:pt>
                <c:pt idx="312">
                  <c:v>52.18</c:v>
                </c:pt>
                <c:pt idx="313">
                  <c:v>50.76</c:v>
                </c:pt>
                <c:pt idx="314">
                  <c:v>49.89</c:v>
                </c:pt>
                <c:pt idx="315">
                  <c:v>51.58</c:v>
                </c:pt>
                <c:pt idx="316">
                  <c:v>50.96</c:v>
                </c:pt>
                <c:pt idx="317">
                  <c:v>49.26</c:v>
                </c:pt>
                <c:pt idx="318">
                  <c:v>47.77</c:v>
                </c:pt>
                <c:pt idx="319">
                  <c:v>47.05</c:v>
                </c:pt>
                <c:pt idx="320">
                  <c:v>49.04</c:v>
                </c:pt>
                <c:pt idx="321">
                  <c:v>49.41</c:v>
                </c:pt>
                <c:pt idx="322">
                  <c:v>50.82</c:v>
                </c:pt>
                <c:pt idx="323">
                  <c:v>49.63</c:v>
                </c:pt>
                <c:pt idx="324">
                  <c:v>48.71</c:v>
                </c:pt>
                <c:pt idx="325">
                  <c:v>48.94</c:v>
                </c:pt>
                <c:pt idx="326">
                  <c:v>49.42</c:v>
                </c:pt>
                <c:pt idx="327">
                  <c:v>48.88</c:v>
                </c:pt>
                <c:pt idx="328">
                  <c:v>51.68</c:v>
                </c:pt>
                <c:pt idx="329">
                  <c:v>52.1</c:v>
                </c:pt>
                <c:pt idx="330">
                  <c:v>52.99</c:v>
                </c:pt>
                <c:pt idx="331">
                  <c:v>51.43</c:v>
                </c:pt>
                <c:pt idx="332">
                  <c:v>51.62</c:v>
                </c:pt>
                <c:pt idx="333">
                  <c:v>50.35</c:v>
                </c:pt>
                <c:pt idx="334">
                  <c:v>49.47</c:v>
                </c:pt>
                <c:pt idx="335">
                  <c:v>50.16</c:v>
                </c:pt>
                <c:pt idx="336">
                  <c:v>49.91</c:v>
                </c:pt>
                <c:pt idx="337">
                  <c:v>50.43</c:v>
                </c:pt>
                <c:pt idx="338">
                  <c:v>50.11</c:v>
                </c:pt>
                <c:pt idx="339">
                  <c:v>48.83</c:v>
                </c:pt>
                <c:pt idx="340">
                  <c:v>49.23</c:v>
                </c:pt>
                <c:pt idx="341">
                  <c:v>49.16</c:v>
                </c:pt>
                <c:pt idx="342">
                  <c:v>49.66</c:v>
                </c:pt>
                <c:pt idx="343">
                  <c:v>49.16</c:v>
                </c:pt>
                <c:pt idx="344">
                  <c:v>49.17</c:v>
                </c:pt>
                <c:pt idx="345">
                  <c:v>49.52</c:v>
                </c:pt>
                <c:pt idx="346">
                  <c:v>49.24</c:v>
                </c:pt>
                <c:pt idx="347">
                  <c:v>48.38</c:v>
                </c:pt>
                <c:pt idx="348">
                  <c:v>48.53</c:v>
                </c:pt>
                <c:pt idx="349">
                  <c:v>48.48</c:v>
                </c:pt>
                <c:pt idx="350">
                  <c:v>48.02</c:v>
                </c:pt>
                <c:pt idx="351">
                  <c:v>46.42</c:v>
                </c:pt>
                <c:pt idx="352">
                  <c:v>47.23</c:v>
                </c:pt>
                <c:pt idx="353">
                  <c:v>46.09</c:v>
                </c:pt>
                <c:pt idx="354">
                  <c:v>45.5</c:v>
                </c:pt>
                <c:pt idx="355">
                  <c:v>43.58</c:v>
                </c:pt>
                <c:pt idx="356">
                  <c:v>42.38</c:v>
                </c:pt>
                <c:pt idx="357">
                  <c:v>41.4</c:v>
                </c:pt>
                <c:pt idx="358">
                  <c:v>42.81</c:v>
                </c:pt>
                <c:pt idx="359">
                  <c:v>42.64</c:v>
                </c:pt>
                <c:pt idx="360">
                  <c:v>43.89</c:v>
                </c:pt>
                <c:pt idx="361">
                  <c:v>43.36</c:v>
                </c:pt>
                <c:pt idx="362">
                  <c:v>42.22</c:v>
                </c:pt>
                <c:pt idx="363">
                  <c:v>42.09</c:v>
                </c:pt>
                <c:pt idx="364">
                  <c:v>41.51</c:v>
                </c:pt>
                <c:pt idx="365">
                  <c:v>39.99</c:v>
                </c:pt>
                <c:pt idx="366">
                  <c:v>40.11</c:v>
                </c:pt>
                <c:pt idx="367">
                  <c:v>41.68</c:v>
                </c:pt>
                <c:pt idx="368">
                  <c:v>40.729999999999997</c:v>
                </c:pt>
                <c:pt idx="369">
                  <c:v>41.59</c:v>
                </c:pt>
                <c:pt idx="370">
                  <c:v>40.24</c:v>
                </c:pt>
                <c:pt idx="371">
                  <c:v>40.47</c:v>
                </c:pt>
                <c:pt idx="372">
                  <c:v>41.16</c:v>
                </c:pt>
                <c:pt idx="373">
                  <c:v>40.22</c:v>
                </c:pt>
                <c:pt idx="374">
                  <c:v>40.28</c:v>
                </c:pt>
                <c:pt idx="375">
                  <c:v>39.47</c:v>
                </c:pt>
                <c:pt idx="376">
                  <c:v>39.44</c:v>
                </c:pt>
                <c:pt idx="377">
                  <c:v>39.020000000000003</c:v>
                </c:pt>
                <c:pt idx="378">
                  <c:v>38.340000000000003</c:v>
                </c:pt>
                <c:pt idx="379">
                  <c:v>37.950000000000003</c:v>
                </c:pt>
                <c:pt idx="380">
                  <c:v>37.74</c:v>
                </c:pt>
                <c:pt idx="381">
                  <c:v>37.54</c:v>
                </c:pt>
                <c:pt idx="382">
                  <c:v>37.64</c:v>
                </c:pt>
                <c:pt idx="383">
                  <c:v>38.56</c:v>
                </c:pt>
                <c:pt idx="384">
                  <c:v>39.15</c:v>
                </c:pt>
                <c:pt idx="385">
                  <c:v>40.950000000000003</c:v>
                </c:pt>
                <c:pt idx="386">
                  <c:v>41.52</c:v>
                </c:pt>
                <c:pt idx="387">
                  <c:v>44.09</c:v>
                </c:pt>
                <c:pt idx="388">
                  <c:v>42.02</c:v>
                </c:pt>
                <c:pt idx="389">
                  <c:v>41.02</c:v>
                </c:pt>
                <c:pt idx="390">
                  <c:v>40.479999999999997</c:v>
                </c:pt>
                <c:pt idx="391">
                  <c:v>41.57</c:v>
                </c:pt>
                <c:pt idx="392">
                  <c:v>42.1</c:v>
                </c:pt>
                <c:pt idx="393">
                  <c:v>43.41</c:v>
                </c:pt>
                <c:pt idx="394">
                  <c:v>42.92</c:v>
                </c:pt>
                <c:pt idx="395">
                  <c:v>41.29</c:v>
                </c:pt>
                <c:pt idx="396">
                  <c:v>40.98</c:v>
                </c:pt>
                <c:pt idx="397">
                  <c:v>40.75</c:v>
                </c:pt>
                <c:pt idx="398">
                  <c:v>40.380000000000003</c:v>
                </c:pt>
                <c:pt idx="399">
                  <c:v>38.5</c:v>
                </c:pt>
                <c:pt idx="400">
                  <c:v>39.01</c:v>
                </c:pt>
                <c:pt idx="401">
                  <c:v>39.69</c:v>
                </c:pt>
                <c:pt idx="402">
                  <c:v>40.130000000000003</c:v>
                </c:pt>
                <c:pt idx="403">
                  <c:v>39.979999999999997</c:v>
                </c:pt>
                <c:pt idx="404">
                  <c:v>38.56</c:v>
                </c:pt>
                <c:pt idx="405">
                  <c:v>36.71</c:v>
                </c:pt>
                <c:pt idx="406">
                  <c:v>36.57</c:v>
                </c:pt>
                <c:pt idx="407">
                  <c:v>36.090000000000003</c:v>
                </c:pt>
                <c:pt idx="408">
                  <c:v>35.450000000000003</c:v>
                </c:pt>
                <c:pt idx="409">
                  <c:v>35.44</c:v>
                </c:pt>
                <c:pt idx="410">
                  <c:v>32.869999999999997</c:v>
                </c:pt>
                <c:pt idx="411">
                  <c:v>32.36</c:v>
                </c:pt>
                <c:pt idx="412">
                  <c:v>32.04</c:v>
                </c:pt>
                <c:pt idx="413">
                  <c:v>32.35</c:v>
                </c:pt>
                <c:pt idx="414">
                  <c:v>32.159999999999997</c:v>
                </c:pt>
                <c:pt idx="415">
                  <c:v>32.46</c:v>
                </c:pt>
                <c:pt idx="416">
                  <c:v>31.92</c:v>
                </c:pt>
                <c:pt idx="417">
                  <c:v>32.29</c:v>
                </c:pt>
                <c:pt idx="418">
                  <c:v>32.28</c:v>
                </c:pt>
                <c:pt idx="419">
                  <c:v>32.020000000000003</c:v>
                </c:pt>
                <c:pt idx="420">
                  <c:v>32.39</c:v>
                </c:pt>
                <c:pt idx="421">
                  <c:v>34.799999999999997</c:v>
                </c:pt>
                <c:pt idx="422">
                  <c:v>32.4</c:v>
                </c:pt>
                <c:pt idx="423">
                  <c:v>32.200000000000003</c:v>
                </c:pt>
                <c:pt idx="424">
                  <c:v>32.69</c:v>
                </c:pt>
                <c:pt idx="425">
                  <c:v>32.18</c:v>
                </c:pt>
                <c:pt idx="426">
                  <c:v>32.01</c:v>
                </c:pt>
                <c:pt idx="427">
                  <c:v>31.97</c:v>
                </c:pt>
                <c:pt idx="428">
                  <c:v>31.97</c:v>
                </c:pt>
                <c:pt idx="429">
                  <c:v>32.46</c:v>
                </c:pt>
                <c:pt idx="430">
                  <c:v>31.95</c:v>
                </c:pt>
                <c:pt idx="431">
                  <c:v>33.54</c:v>
                </c:pt>
                <c:pt idx="432">
                  <c:v>33.39</c:v>
                </c:pt>
                <c:pt idx="433">
                  <c:v>31.6</c:v>
                </c:pt>
                <c:pt idx="434">
                  <c:v>30</c:v>
                </c:pt>
                <c:pt idx="435">
                  <c:v>31.82</c:v>
                </c:pt>
                <c:pt idx="436">
                  <c:v>32.4</c:v>
                </c:pt>
                <c:pt idx="437">
                  <c:v>31.48</c:v>
                </c:pt>
                <c:pt idx="438">
                  <c:v>32.799999999999997</c:v>
                </c:pt>
                <c:pt idx="439">
                  <c:v>31.14</c:v>
                </c:pt>
                <c:pt idx="440">
                  <c:v>30.19</c:v>
                </c:pt>
                <c:pt idx="441">
                  <c:v>30.68</c:v>
                </c:pt>
                <c:pt idx="442">
                  <c:v>30.6</c:v>
                </c:pt>
                <c:pt idx="443">
                  <c:v>31.04</c:v>
                </c:pt>
                <c:pt idx="444">
                  <c:v>31.09</c:v>
                </c:pt>
                <c:pt idx="445">
                  <c:v>31.52</c:v>
                </c:pt>
                <c:pt idx="446">
                  <c:v>31.67</c:v>
                </c:pt>
                <c:pt idx="447">
                  <c:v>31.44</c:v>
                </c:pt>
                <c:pt idx="448">
                  <c:v>32.799999999999997</c:v>
                </c:pt>
                <c:pt idx="449">
                  <c:v>33.07</c:v>
                </c:pt>
                <c:pt idx="450">
                  <c:v>31.64</c:v>
                </c:pt>
                <c:pt idx="451">
                  <c:v>33.33</c:v>
                </c:pt>
                <c:pt idx="452">
                  <c:v>34.78</c:v>
                </c:pt>
                <c:pt idx="453">
                  <c:v>33.14</c:v>
                </c:pt>
                <c:pt idx="454">
                  <c:v>32.549999999999997</c:v>
                </c:pt>
                <c:pt idx="455">
                  <c:v>33.22</c:v>
                </c:pt>
                <c:pt idx="456">
                  <c:v>33.36</c:v>
                </c:pt>
                <c:pt idx="457">
                  <c:v>32.31</c:v>
                </c:pt>
                <c:pt idx="458">
                  <c:v>31.78</c:v>
                </c:pt>
                <c:pt idx="459">
                  <c:v>30.48</c:v>
                </c:pt>
                <c:pt idx="460">
                  <c:v>29.98</c:v>
                </c:pt>
                <c:pt idx="461">
                  <c:v>30.03</c:v>
                </c:pt>
                <c:pt idx="462">
                  <c:v>28.78</c:v>
                </c:pt>
                <c:pt idx="463">
                  <c:v>27.36</c:v>
                </c:pt>
                <c:pt idx="464">
                  <c:v>27.79</c:v>
                </c:pt>
                <c:pt idx="465">
                  <c:v>26.44</c:v>
                </c:pt>
                <c:pt idx="466">
                  <c:v>26.58</c:v>
                </c:pt>
                <c:pt idx="467">
                  <c:v>26.05</c:v>
                </c:pt>
                <c:pt idx="468">
                  <c:v>27.72</c:v>
                </c:pt>
                <c:pt idx="469">
                  <c:v>27.84</c:v>
                </c:pt>
                <c:pt idx="470">
                  <c:v>28.17</c:v>
                </c:pt>
                <c:pt idx="471">
                  <c:v>28.6</c:v>
                </c:pt>
                <c:pt idx="472">
                  <c:v>28.57</c:v>
                </c:pt>
                <c:pt idx="473">
                  <c:v>28.2</c:v>
                </c:pt>
                <c:pt idx="474">
                  <c:v>28.04</c:v>
                </c:pt>
                <c:pt idx="475">
                  <c:v>27.04</c:v>
                </c:pt>
                <c:pt idx="476">
                  <c:v>27.9</c:v>
                </c:pt>
                <c:pt idx="477">
                  <c:v>28.75</c:v>
                </c:pt>
                <c:pt idx="478">
                  <c:v>31.8</c:v>
                </c:pt>
                <c:pt idx="479">
                  <c:v>31.08</c:v>
                </c:pt>
                <c:pt idx="480">
                  <c:v>30.53</c:v>
                </c:pt>
                <c:pt idx="481">
                  <c:v>30.87</c:v>
                </c:pt>
                <c:pt idx="482">
                  <c:v>30.55</c:v>
                </c:pt>
                <c:pt idx="483">
                  <c:v>29.45</c:v>
                </c:pt>
                <c:pt idx="484">
                  <c:v>29.65</c:v>
                </c:pt>
                <c:pt idx="485">
                  <c:v>30.5</c:v>
                </c:pt>
                <c:pt idx="486">
                  <c:v>30.88</c:v>
                </c:pt>
                <c:pt idx="487">
                  <c:v>31.23</c:v>
                </c:pt>
                <c:pt idx="488">
                  <c:v>31.8</c:v>
                </c:pt>
                <c:pt idx="489">
                  <c:v>31.39</c:v>
                </c:pt>
                <c:pt idx="490">
                  <c:v>31.03</c:v>
                </c:pt>
                <c:pt idx="491">
                  <c:v>30.73</c:v>
                </c:pt>
                <c:pt idx="492">
                  <c:v>31.93</c:v>
                </c:pt>
                <c:pt idx="493">
                  <c:v>33.42</c:v>
                </c:pt>
                <c:pt idx="494">
                  <c:v>33.18</c:v>
                </c:pt>
                <c:pt idx="495">
                  <c:v>34.450000000000003</c:v>
                </c:pt>
                <c:pt idx="496">
                  <c:v>33.94</c:v>
                </c:pt>
                <c:pt idx="497">
                  <c:v>33.380000000000003</c:v>
                </c:pt>
                <c:pt idx="498">
                  <c:v>33.99</c:v>
                </c:pt>
                <c:pt idx="499">
                  <c:v>32.880000000000003</c:v>
                </c:pt>
                <c:pt idx="500">
                  <c:v>32.81</c:v>
                </c:pt>
                <c:pt idx="501">
                  <c:v>32.17</c:v>
                </c:pt>
                <c:pt idx="502">
                  <c:v>31.27</c:v>
                </c:pt>
                <c:pt idx="503">
                  <c:v>31.48</c:v>
                </c:pt>
                <c:pt idx="504">
                  <c:v>32.26</c:v>
                </c:pt>
                <c:pt idx="505">
                  <c:v>32.76</c:v>
                </c:pt>
                <c:pt idx="506">
                  <c:v>31.93</c:v>
                </c:pt>
                <c:pt idx="507">
                  <c:v>30.99</c:v>
                </c:pt>
                <c:pt idx="508">
                  <c:v>31.03</c:v>
                </c:pt>
                <c:pt idx="509">
                  <c:v>30.27</c:v>
                </c:pt>
                <c:pt idx="510">
                  <c:v>30.89</c:v>
                </c:pt>
                <c:pt idx="511">
                  <c:v>30.21</c:v>
                </c:pt>
                <c:pt idx="512">
                  <c:v>30.35</c:v>
                </c:pt>
                <c:pt idx="513">
                  <c:v>30.52</c:v>
                </c:pt>
                <c:pt idx="514">
                  <c:v>31.9</c:v>
                </c:pt>
                <c:pt idx="515">
                  <c:v>34.14</c:v>
                </c:pt>
                <c:pt idx="516">
                  <c:v>32.950000000000003</c:v>
                </c:pt>
                <c:pt idx="517">
                  <c:v>32.659999999999997</c:v>
                </c:pt>
                <c:pt idx="518">
                  <c:v>33.03</c:v>
                </c:pt>
                <c:pt idx="519">
                  <c:v>31.98</c:v>
                </c:pt>
                <c:pt idx="520">
                  <c:v>33.31</c:v>
                </c:pt>
                <c:pt idx="521">
                  <c:v>33.24</c:v>
                </c:pt>
                <c:pt idx="522">
                  <c:v>33.11</c:v>
                </c:pt>
                <c:pt idx="523">
                  <c:v>34.15</c:v>
                </c:pt>
                <c:pt idx="524">
                  <c:v>35.119999999999997</c:v>
                </c:pt>
                <c:pt idx="525">
                  <c:v>35.409999999999997</c:v>
                </c:pt>
                <c:pt idx="526">
                  <c:v>34.71</c:v>
                </c:pt>
                <c:pt idx="527">
                  <c:v>34.44</c:v>
                </c:pt>
                <c:pt idx="528">
                  <c:v>34.049999999999997</c:v>
                </c:pt>
                <c:pt idx="529">
                  <c:v>36.659999999999997</c:v>
                </c:pt>
                <c:pt idx="530">
                  <c:v>37.51</c:v>
                </c:pt>
                <c:pt idx="531">
                  <c:v>36.74</c:v>
                </c:pt>
                <c:pt idx="532">
                  <c:v>36.74</c:v>
                </c:pt>
                <c:pt idx="533">
                  <c:v>34.6</c:v>
                </c:pt>
                <c:pt idx="534">
                  <c:v>34.42</c:v>
                </c:pt>
                <c:pt idx="535">
                  <c:v>34.770000000000003</c:v>
                </c:pt>
                <c:pt idx="536">
                  <c:v>35.369999999999997</c:v>
                </c:pt>
                <c:pt idx="537">
                  <c:v>35.15</c:v>
                </c:pt>
                <c:pt idx="538">
                  <c:v>34.270000000000003</c:v>
                </c:pt>
                <c:pt idx="539">
                  <c:v>33.86</c:v>
                </c:pt>
                <c:pt idx="540">
                  <c:v>34.61</c:v>
                </c:pt>
                <c:pt idx="541">
                  <c:v>32.89</c:v>
                </c:pt>
                <c:pt idx="542">
                  <c:v>32.39</c:v>
                </c:pt>
                <c:pt idx="543">
                  <c:v>34.130000000000003</c:v>
                </c:pt>
                <c:pt idx="544">
                  <c:v>32.44</c:v>
                </c:pt>
                <c:pt idx="545">
                  <c:v>32.299999999999997</c:v>
                </c:pt>
                <c:pt idx="546">
                  <c:v>32.229999999999997</c:v>
                </c:pt>
                <c:pt idx="547">
                  <c:v>31.78</c:v>
                </c:pt>
                <c:pt idx="548">
                  <c:v>31.62</c:v>
                </c:pt>
                <c:pt idx="549">
                  <c:v>31.19</c:v>
                </c:pt>
                <c:pt idx="550">
                  <c:v>31.94</c:v>
                </c:pt>
                <c:pt idx="551">
                  <c:v>31.45</c:v>
                </c:pt>
                <c:pt idx="552">
                  <c:v>32.71</c:v>
                </c:pt>
                <c:pt idx="553">
                  <c:v>32.630000000000003</c:v>
                </c:pt>
                <c:pt idx="554">
                  <c:v>33.04</c:v>
                </c:pt>
                <c:pt idx="555">
                  <c:v>31.6</c:v>
                </c:pt>
                <c:pt idx="556">
                  <c:v>31.01</c:v>
                </c:pt>
                <c:pt idx="557">
                  <c:v>32.29</c:v>
                </c:pt>
                <c:pt idx="558">
                  <c:v>33.11</c:v>
                </c:pt>
                <c:pt idx="559">
                  <c:v>31.61</c:v>
                </c:pt>
                <c:pt idx="560">
                  <c:v>32.93</c:v>
                </c:pt>
                <c:pt idx="561">
                  <c:v>32.78</c:v>
                </c:pt>
                <c:pt idx="562">
                  <c:v>33.06</c:v>
                </c:pt>
                <c:pt idx="563">
                  <c:v>33.799999999999997</c:v>
                </c:pt>
                <c:pt idx="564">
                  <c:v>34.61</c:v>
                </c:pt>
                <c:pt idx="565">
                  <c:v>33.6</c:v>
                </c:pt>
                <c:pt idx="566">
                  <c:v>33.53</c:v>
                </c:pt>
                <c:pt idx="567">
                  <c:v>33.61</c:v>
                </c:pt>
                <c:pt idx="568">
                  <c:v>34.61</c:v>
                </c:pt>
                <c:pt idx="569">
                  <c:v>35.31</c:v>
                </c:pt>
                <c:pt idx="570">
                  <c:v>34.590000000000003</c:v>
                </c:pt>
                <c:pt idx="571">
                  <c:v>34.56</c:v>
                </c:pt>
                <c:pt idx="572">
                  <c:v>33.99</c:v>
                </c:pt>
                <c:pt idx="573">
                  <c:v>32.57</c:v>
                </c:pt>
                <c:pt idx="574">
                  <c:v>32.71</c:v>
                </c:pt>
                <c:pt idx="575">
                  <c:v>33.49</c:v>
                </c:pt>
                <c:pt idx="576">
                  <c:v>34.159999999999997</c:v>
                </c:pt>
                <c:pt idx="577">
                  <c:v>34.840000000000003</c:v>
                </c:pt>
                <c:pt idx="578">
                  <c:v>34.42</c:v>
                </c:pt>
                <c:pt idx="579">
                  <c:v>34.81</c:v>
                </c:pt>
                <c:pt idx="580">
                  <c:v>34.44</c:v>
                </c:pt>
                <c:pt idx="581">
                  <c:v>33.94</c:v>
                </c:pt>
                <c:pt idx="582">
                  <c:v>33.6</c:v>
                </c:pt>
                <c:pt idx="583">
                  <c:v>33.54</c:v>
                </c:pt>
                <c:pt idx="584">
                  <c:v>33.159999999999997</c:v>
                </c:pt>
                <c:pt idx="585">
                  <c:v>32.74</c:v>
                </c:pt>
                <c:pt idx="586">
                  <c:v>33.08</c:v>
                </c:pt>
                <c:pt idx="587">
                  <c:v>33.65</c:v>
                </c:pt>
                <c:pt idx="588">
                  <c:v>32.93</c:v>
                </c:pt>
                <c:pt idx="589">
                  <c:v>32.28</c:v>
                </c:pt>
                <c:pt idx="590">
                  <c:v>32.79</c:v>
                </c:pt>
                <c:pt idx="591">
                  <c:v>32.51</c:v>
                </c:pt>
                <c:pt idx="592">
                  <c:v>31.96</c:v>
                </c:pt>
                <c:pt idx="593">
                  <c:v>31.54</c:v>
                </c:pt>
                <c:pt idx="594">
                  <c:v>32.36</c:v>
                </c:pt>
                <c:pt idx="595">
                  <c:v>32.06</c:v>
                </c:pt>
                <c:pt idx="596">
                  <c:v>31.42</c:v>
                </c:pt>
                <c:pt idx="597">
                  <c:v>31.98</c:v>
                </c:pt>
                <c:pt idx="598">
                  <c:v>31.42</c:v>
                </c:pt>
                <c:pt idx="599">
                  <c:v>31.87</c:v>
                </c:pt>
                <c:pt idx="600">
                  <c:v>31.53</c:v>
                </c:pt>
                <c:pt idx="601">
                  <c:v>31.48</c:v>
                </c:pt>
                <c:pt idx="602">
                  <c:v>31.3</c:v>
                </c:pt>
                <c:pt idx="603">
                  <c:v>30.43</c:v>
                </c:pt>
                <c:pt idx="604">
                  <c:v>30.56</c:v>
                </c:pt>
                <c:pt idx="605">
                  <c:v>31.17</c:v>
                </c:pt>
                <c:pt idx="606">
                  <c:v>30.98</c:v>
                </c:pt>
                <c:pt idx="607">
                  <c:v>31.34</c:v>
                </c:pt>
                <c:pt idx="608">
                  <c:v>31.19</c:v>
                </c:pt>
                <c:pt idx="609">
                  <c:v>30.52</c:v>
                </c:pt>
                <c:pt idx="610">
                  <c:v>29.5</c:v>
                </c:pt>
                <c:pt idx="611">
                  <c:v>29.21</c:v>
                </c:pt>
                <c:pt idx="612">
                  <c:v>29.12</c:v>
                </c:pt>
                <c:pt idx="613">
                  <c:v>28.9</c:v>
                </c:pt>
                <c:pt idx="614">
                  <c:v>27.8</c:v>
                </c:pt>
                <c:pt idx="615">
                  <c:v>28.22</c:v>
                </c:pt>
                <c:pt idx="616">
                  <c:v>28.56</c:v>
                </c:pt>
                <c:pt idx="617">
                  <c:v>28.35</c:v>
                </c:pt>
                <c:pt idx="618">
                  <c:v>27.99</c:v>
                </c:pt>
                <c:pt idx="619">
                  <c:v>28.23</c:v>
                </c:pt>
                <c:pt idx="620">
                  <c:v>28.15</c:v>
                </c:pt>
                <c:pt idx="621">
                  <c:v>28.37</c:v>
                </c:pt>
                <c:pt idx="622">
                  <c:v>27.94</c:v>
                </c:pt>
                <c:pt idx="623">
                  <c:v>27.43</c:v>
                </c:pt>
                <c:pt idx="624">
                  <c:v>28.09</c:v>
                </c:pt>
                <c:pt idx="625">
                  <c:v>28.68</c:v>
                </c:pt>
                <c:pt idx="626">
                  <c:v>29.08</c:v>
                </c:pt>
                <c:pt idx="627">
                  <c:v>29.04</c:v>
                </c:pt>
                <c:pt idx="628">
                  <c:v>29.14</c:v>
                </c:pt>
                <c:pt idx="629">
                  <c:v>28.16</c:v>
                </c:pt>
                <c:pt idx="630">
                  <c:v>28.2</c:v>
                </c:pt>
                <c:pt idx="631">
                  <c:v>27.62</c:v>
                </c:pt>
                <c:pt idx="632">
                  <c:v>27.37</c:v>
                </c:pt>
                <c:pt idx="633">
                  <c:v>27.65</c:v>
                </c:pt>
                <c:pt idx="634">
                  <c:v>27.82</c:v>
                </c:pt>
                <c:pt idx="635">
                  <c:v>28.5</c:v>
                </c:pt>
                <c:pt idx="636">
                  <c:v>28.39</c:v>
                </c:pt>
                <c:pt idx="637">
                  <c:v>27.89</c:v>
                </c:pt>
                <c:pt idx="638">
                  <c:v>27.52</c:v>
                </c:pt>
                <c:pt idx="639">
                  <c:v>28.41</c:v>
                </c:pt>
                <c:pt idx="640">
                  <c:v>28.17</c:v>
                </c:pt>
                <c:pt idx="641">
                  <c:v>29.01</c:v>
                </c:pt>
                <c:pt idx="642">
                  <c:v>30.03</c:v>
                </c:pt>
                <c:pt idx="643">
                  <c:v>29.89</c:v>
                </c:pt>
                <c:pt idx="644">
                  <c:v>30.87</c:v>
                </c:pt>
                <c:pt idx="645">
                  <c:v>29.95</c:v>
                </c:pt>
                <c:pt idx="646">
                  <c:v>30.51</c:v>
                </c:pt>
                <c:pt idx="647">
                  <c:v>29.95</c:v>
                </c:pt>
                <c:pt idx="648">
                  <c:v>29.39</c:v>
                </c:pt>
                <c:pt idx="649">
                  <c:v>29.43</c:v>
                </c:pt>
                <c:pt idx="650">
                  <c:v>28.66</c:v>
                </c:pt>
                <c:pt idx="651">
                  <c:v>28.36</c:v>
                </c:pt>
                <c:pt idx="652">
                  <c:v>29.15</c:v>
                </c:pt>
                <c:pt idx="653">
                  <c:v>28.95</c:v>
                </c:pt>
                <c:pt idx="654">
                  <c:v>28.8</c:v>
                </c:pt>
                <c:pt idx="655">
                  <c:v>27.52</c:v>
                </c:pt>
                <c:pt idx="656">
                  <c:v>27.07</c:v>
                </c:pt>
                <c:pt idx="657">
                  <c:v>26.5</c:v>
                </c:pt>
                <c:pt idx="658">
                  <c:v>27.22</c:v>
                </c:pt>
                <c:pt idx="659">
                  <c:v>27.01</c:v>
                </c:pt>
                <c:pt idx="660">
                  <c:v>27.59</c:v>
                </c:pt>
                <c:pt idx="661">
                  <c:v>27.38</c:v>
                </c:pt>
                <c:pt idx="662">
                  <c:v>27.61</c:v>
                </c:pt>
                <c:pt idx="663">
                  <c:v>28.44</c:v>
                </c:pt>
                <c:pt idx="664">
                  <c:v>28.24</c:v>
                </c:pt>
                <c:pt idx="665">
                  <c:v>27.44</c:v>
                </c:pt>
                <c:pt idx="666">
                  <c:v>28.11</c:v>
                </c:pt>
                <c:pt idx="667">
                  <c:v>28.1</c:v>
                </c:pt>
                <c:pt idx="668">
                  <c:v>28.47</c:v>
                </c:pt>
                <c:pt idx="669">
                  <c:v>28.19</c:v>
                </c:pt>
                <c:pt idx="670">
                  <c:v>29.51</c:v>
                </c:pt>
                <c:pt idx="671">
                  <c:v>29.13</c:v>
                </c:pt>
                <c:pt idx="672">
                  <c:v>28.34</c:v>
                </c:pt>
                <c:pt idx="673">
                  <c:v>28.64</c:v>
                </c:pt>
                <c:pt idx="674">
                  <c:v>28.48</c:v>
                </c:pt>
                <c:pt idx="675">
                  <c:v>28.94</c:v>
                </c:pt>
                <c:pt idx="676">
                  <c:v>29.28</c:v>
                </c:pt>
                <c:pt idx="677">
                  <c:v>28.62</c:v>
                </c:pt>
                <c:pt idx="678">
                  <c:v>29.79</c:v>
                </c:pt>
                <c:pt idx="679">
                  <c:v>29.83</c:v>
                </c:pt>
                <c:pt idx="680">
                  <c:v>30.36</c:v>
                </c:pt>
                <c:pt idx="681">
                  <c:v>30.96</c:v>
                </c:pt>
                <c:pt idx="682">
                  <c:v>31.03</c:v>
                </c:pt>
                <c:pt idx="683">
                  <c:v>31.5</c:v>
                </c:pt>
                <c:pt idx="684">
                  <c:v>30.43</c:v>
                </c:pt>
                <c:pt idx="685">
                  <c:v>30.88</c:v>
                </c:pt>
                <c:pt idx="686">
                  <c:v>30.42</c:v>
                </c:pt>
                <c:pt idx="687">
                  <c:v>31.01</c:v>
                </c:pt>
                <c:pt idx="688">
                  <c:v>32.270000000000003</c:v>
                </c:pt>
                <c:pt idx="689">
                  <c:v>33.79</c:v>
                </c:pt>
                <c:pt idx="690">
                  <c:v>34.729999999999997</c:v>
                </c:pt>
                <c:pt idx="691">
                  <c:v>34.81</c:v>
                </c:pt>
                <c:pt idx="692">
                  <c:v>34.07</c:v>
                </c:pt>
                <c:pt idx="693">
                  <c:v>33.35</c:v>
                </c:pt>
                <c:pt idx="694">
                  <c:v>32.020000000000003</c:v>
                </c:pt>
                <c:pt idx="695">
                  <c:v>29.94</c:v>
                </c:pt>
                <c:pt idx="696">
                  <c:v>30.97</c:v>
                </c:pt>
                <c:pt idx="697">
                  <c:v>30.57</c:v>
                </c:pt>
                <c:pt idx="698">
                  <c:v>30.64</c:v>
                </c:pt>
                <c:pt idx="699">
                  <c:v>28.31</c:v>
                </c:pt>
                <c:pt idx="700">
                  <c:v>28.48</c:v>
                </c:pt>
                <c:pt idx="701">
                  <c:v>26.11</c:v>
                </c:pt>
                <c:pt idx="702">
                  <c:v>25.64</c:v>
                </c:pt>
                <c:pt idx="703">
                  <c:v>26.85</c:v>
                </c:pt>
                <c:pt idx="704">
                  <c:v>26.43</c:v>
                </c:pt>
                <c:pt idx="705">
                  <c:v>27.41</c:v>
                </c:pt>
                <c:pt idx="706">
                  <c:v>26.29</c:v>
                </c:pt>
                <c:pt idx="707">
                  <c:v>25.05</c:v>
                </c:pt>
                <c:pt idx="708">
                  <c:v>26.14</c:v>
                </c:pt>
                <c:pt idx="709">
                  <c:v>26.23</c:v>
                </c:pt>
                <c:pt idx="710">
                  <c:v>26.58</c:v>
                </c:pt>
                <c:pt idx="711">
                  <c:v>26.64</c:v>
                </c:pt>
                <c:pt idx="712">
                  <c:v>27.38</c:v>
                </c:pt>
                <c:pt idx="713">
                  <c:v>28.14</c:v>
                </c:pt>
                <c:pt idx="714">
                  <c:v>27.5</c:v>
                </c:pt>
                <c:pt idx="715">
                  <c:v>28.52</c:v>
                </c:pt>
                <c:pt idx="716">
                  <c:v>27.2</c:v>
                </c:pt>
                <c:pt idx="717">
                  <c:v>27.96</c:v>
                </c:pt>
                <c:pt idx="718">
                  <c:v>28.11</c:v>
                </c:pt>
                <c:pt idx="719">
                  <c:v>29.92</c:v>
                </c:pt>
                <c:pt idx="720">
                  <c:v>29.8</c:v>
                </c:pt>
                <c:pt idx="721">
                  <c:v>30.91</c:v>
                </c:pt>
                <c:pt idx="722">
                  <c:v>31.35</c:v>
                </c:pt>
                <c:pt idx="723">
                  <c:v>31.53</c:v>
                </c:pt>
                <c:pt idx="724">
                  <c:v>31.41</c:v>
                </c:pt>
                <c:pt idx="725">
                  <c:v>33.39</c:v>
                </c:pt>
                <c:pt idx="726">
                  <c:v>33.08</c:v>
                </c:pt>
                <c:pt idx="727">
                  <c:v>33.74</c:v>
                </c:pt>
                <c:pt idx="728">
                  <c:v>35.229999999999997</c:v>
                </c:pt>
                <c:pt idx="729">
                  <c:v>32.840000000000003</c:v>
                </c:pt>
                <c:pt idx="730">
                  <c:v>31.94</c:v>
                </c:pt>
                <c:pt idx="731">
                  <c:v>34.15</c:v>
                </c:pt>
                <c:pt idx="732">
                  <c:v>32.99</c:v>
                </c:pt>
                <c:pt idx="733">
                  <c:v>34.11</c:v>
                </c:pt>
                <c:pt idx="734">
                  <c:v>33.61</c:v>
                </c:pt>
                <c:pt idx="735">
                  <c:v>35.340000000000003</c:v>
                </c:pt>
                <c:pt idx="736">
                  <c:v>37.130000000000003</c:v>
                </c:pt>
                <c:pt idx="737">
                  <c:v>38.659999999999997</c:v>
                </c:pt>
                <c:pt idx="738">
                  <c:v>38.700000000000003</c:v>
                </c:pt>
                <c:pt idx="739">
                  <c:v>39.19</c:v>
                </c:pt>
                <c:pt idx="740">
                  <c:v>39.58</c:v>
                </c:pt>
                <c:pt idx="741">
                  <c:v>40.07</c:v>
                </c:pt>
                <c:pt idx="742">
                  <c:v>41.84</c:v>
                </c:pt>
                <c:pt idx="743">
                  <c:v>43.33</c:v>
                </c:pt>
                <c:pt idx="744">
                  <c:v>43.76</c:v>
                </c:pt>
                <c:pt idx="745">
                  <c:v>41.85</c:v>
                </c:pt>
                <c:pt idx="746">
                  <c:v>42.27</c:v>
                </c:pt>
                <c:pt idx="747">
                  <c:v>44.62</c:v>
                </c:pt>
                <c:pt idx="748">
                  <c:v>44.66</c:v>
                </c:pt>
                <c:pt idx="749">
                  <c:v>46.04</c:v>
                </c:pt>
                <c:pt idx="750">
                  <c:v>47.55</c:v>
                </c:pt>
                <c:pt idx="751">
                  <c:v>51.34</c:v>
                </c:pt>
                <c:pt idx="752">
                  <c:v>53.38</c:v>
                </c:pt>
                <c:pt idx="753">
                  <c:v>56.89</c:v>
                </c:pt>
                <c:pt idx="754">
                  <c:v>53.87</c:v>
                </c:pt>
                <c:pt idx="755">
                  <c:v>52.48</c:v>
                </c:pt>
                <c:pt idx="756">
                  <c:v>52.13</c:v>
                </c:pt>
                <c:pt idx="757">
                  <c:v>52.85</c:v>
                </c:pt>
                <c:pt idx="758">
                  <c:v>56.33</c:v>
                </c:pt>
                <c:pt idx="759">
                  <c:v>62.71</c:v>
                </c:pt>
                <c:pt idx="760">
                  <c:v>68.459999999999994</c:v>
                </c:pt>
                <c:pt idx="761">
                  <c:v>66.38</c:v>
                </c:pt>
                <c:pt idx="762">
                  <c:v>68.41</c:v>
                </c:pt>
                <c:pt idx="763">
                  <c:v>65.489999999999995</c:v>
                </c:pt>
                <c:pt idx="764">
                  <c:v>65.790000000000006</c:v>
                </c:pt>
                <c:pt idx="765">
                  <c:v>71.34</c:v>
                </c:pt>
                <c:pt idx="766">
                  <c:v>66.98</c:v>
                </c:pt>
                <c:pt idx="767">
                  <c:v>58.12</c:v>
                </c:pt>
                <c:pt idx="768">
                  <c:v>59.71</c:v>
                </c:pt>
                <c:pt idx="769">
                  <c:v>66.819999999999993</c:v>
                </c:pt>
                <c:pt idx="770">
                  <c:v>62.41</c:v>
                </c:pt>
                <c:pt idx="771">
                  <c:v>68.31</c:v>
                </c:pt>
                <c:pt idx="772">
                  <c:v>65.66</c:v>
                </c:pt>
                <c:pt idx="773">
                  <c:v>65.819999999999993</c:v>
                </c:pt>
                <c:pt idx="774">
                  <c:v>63.41</c:v>
                </c:pt>
                <c:pt idx="775">
                  <c:v>63.51</c:v>
                </c:pt>
                <c:pt idx="776">
                  <c:v>57.49</c:v>
                </c:pt>
                <c:pt idx="777">
                  <c:v>61.3</c:v>
                </c:pt>
                <c:pt idx="778">
                  <c:v>59</c:v>
                </c:pt>
                <c:pt idx="779">
                  <c:v>55.74</c:v>
                </c:pt>
                <c:pt idx="780">
                  <c:v>56.29</c:v>
                </c:pt>
                <c:pt idx="781">
                  <c:v>57.97</c:v>
                </c:pt>
                <c:pt idx="782">
                  <c:v>58.61</c:v>
                </c:pt>
                <c:pt idx="783">
                  <c:v>61.33</c:v>
                </c:pt>
                <c:pt idx="784">
                  <c:v>61.29</c:v>
                </c:pt>
                <c:pt idx="785">
                  <c:v>62.09</c:v>
                </c:pt>
                <c:pt idx="786">
                  <c:v>61.27</c:v>
                </c:pt>
                <c:pt idx="787">
                  <c:v>58.78</c:v>
                </c:pt>
                <c:pt idx="788">
                  <c:v>58.97</c:v>
                </c:pt>
                <c:pt idx="789">
                  <c:v>58.16</c:v>
                </c:pt>
                <c:pt idx="790">
                  <c:v>59.02</c:v>
                </c:pt>
                <c:pt idx="791">
                  <c:v>57.1</c:v>
                </c:pt>
                <c:pt idx="792">
                  <c:v>53.59</c:v>
                </c:pt>
                <c:pt idx="793">
                  <c:v>53.88</c:v>
                </c:pt>
                <c:pt idx="794">
                  <c:v>55.44</c:v>
                </c:pt>
                <c:pt idx="795">
                  <c:v>56.3</c:v>
                </c:pt>
                <c:pt idx="796">
                  <c:v>58.63</c:v>
                </c:pt>
                <c:pt idx="797">
                  <c:v>58.15</c:v>
                </c:pt>
                <c:pt idx="798">
                  <c:v>63</c:v>
                </c:pt>
                <c:pt idx="799">
                  <c:v>65.27</c:v>
                </c:pt>
                <c:pt idx="800">
                  <c:v>65.36</c:v>
                </c:pt>
                <c:pt idx="801">
                  <c:v>65.72</c:v>
                </c:pt>
                <c:pt idx="802">
                  <c:v>67.569999999999993</c:v>
                </c:pt>
                <c:pt idx="803">
                  <c:v>68.75</c:v>
                </c:pt>
                <c:pt idx="804">
                  <c:v>76.8</c:v>
                </c:pt>
                <c:pt idx="805">
                  <c:v>82.18</c:v>
                </c:pt>
                <c:pt idx="806">
                  <c:v>72.290000000000006</c:v>
                </c:pt>
                <c:pt idx="807">
                  <c:v>74.75</c:v>
                </c:pt>
                <c:pt idx="808">
                  <c:v>71.2</c:v>
                </c:pt>
                <c:pt idx="809">
                  <c:v>75.12</c:v>
                </c:pt>
                <c:pt idx="810">
                  <c:v>78.91</c:v>
                </c:pt>
                <c:pt idx="811">
                  <c:v>83.26</c:v>
                </c:pt>
                <c:pt idx="812">
                  <c:v>89.17</c:v>
                </c:pt>
                <c:pt idx="813">
                  <c:v>88.4</c:v>
                </c:pt>
                <c:pt idx="814">
                  <c:v>88.34</c:v>
                </c:pt>
                <c:pt idx="815">
                  <c:v>80.930000000000007</c:v>
                </c:pt>
                <c:pt idx="816">
                  <c:v>79.569999999999993</c:v>
                </c:pt>
                <c:pt idx="817">
                  <c:v>81.849999999999994</c:v>
                </c:pt>
                <c:pt idx="818">
                  <c:v>80.81</c:v>
                </c:pt>
                <c:pt idx="819">
                  <c:v>73.790000000000006</c:v>
                </c:pt>
                <c:pt idx="820">
                  <c:v>69.75</c:v>
                </c:pt>
                <c:pt idx="821">
                  <c:v>65.680000000000007</c:v>
                </c:pt>
                <c:pt idx="822">
                  <c:v>64.069999999999993</c:v>
                </c:pt>
                <c:pt idx="823">
                  <c:v>60.08</c:v>
                </c:pt>
                <c:pt idx="824">
                  <c:v>60.32</c:v>
                </c:pt>
                <c:pt idx="825">
                  <c:v>68.599999999999994</c:v>
                </c:pt>
                <c:pt idx="826">
                  <c:v>68.59</c:v>
                </c:pt>
                <c:pt idx="827">
                  <c:v>71.97</c:v>
                </c:pt>
                <c:pt idx="828">
                  <c:v>67.900000000000006</c:v>
                </c:pt>
                <c:pt idx="829">
                  <c:v>70.819999999999993</c:v>
                </c:pt>
                <c:pt idx="830">
                  <c:v>71.5</c:v>
                </c:pt>
                <c:pt idx="831">
                  <c:v>70.25</c:v>
                </c:pt>
                <c:pt idx="832">
                  <c:v>68.66</c:v>
                </c:pt>
                <c:pt idx="833">
                  <c:v>67</c:v>
                </c:pt>
                <c:pt idx="834">
                  <c:v>65.349999999999994</c:v>
                </c:pt>
                <c:pt idx="835">
                  <c:v>70.08</c:v>
                </c:pt>
                <c:pt idx="836">
                  <c:v>69.569999999999993</c:v>
                </c:pt>
                <c:pt idx="837">
                  <c:v>71.5</c:v>
                </c:pt>
                <c:pt idx="838">
                  <c:v>71.790000000000006</c:v>
                </c:pt>
                <c:pt idx="839">
                  <c:v>77.17</c:v>
                </c:pt>
                <c:pt idx="840">
                  <c:v>76.97</c:v>
                </c:pt>
                <c:pt idx="841">
                  <c:v>72.739999999999995</c:v>
                </c:pt>
                <c:pt idx="842">
                  <c:v>74.52</c:v>
                </c:pt>
                <c:pt idx="843">
                  <c:v>67.59</c:v>
                </c:pt>
                <c:pt idx="844">
                  <c:v>62.2</c:v>
                </c:pt>
                <c:pt idx="845">
                  <c:v>63.36</c:v>
                </c:pt>
                <c:pt idx="846">
                  <c:v>65.930000000000007</c:v>
                </c:pt>
                <c:pt idx="847">
                  <c:v>63.81</c:v>
                </c:pt>
                <c:pt idx="848">
                  <c:v>63.73</c:v>
                </c:pt>
                <c:pt idx="849">
                  <c:v>63.25</c:v>
                </c:pt>
                <c:pt idx="850">
                  <c:v>61.97</c:v>
                </c:pt>
                <c:pt idx="851">
                  <c:v>60.62</c:v>
                </c:pt>
                <c:pt idx="852">
                  <c:v>59.06</c:v>
                </c:pt>
                <c:pt idx="853">
                  <c:v>60.54</c:v>
                </c:pt>
                <c:pt idx="854">
                  <c:v>61.51</c:v>
                </c:pt>
                <c:pt idx="855">
                  <c:v>61.11</c:v>
                </c:pt>
                <c:pt idx="856">
                  <c:v>60.61</c:v>
                </c:pt>
                <c:pt idx="857">
                  <c:v>56.1</c:v>
                </c:pt>
                <c:pt idx="858">
                  <c:v>57.46</c:v>
                </c:pt>
                <c:pt idx="859">
                  <c:v>53.27</c:v>
                </c:pt>
                <c:pt idx="860">
                  <c:v>55.49</c:v>
                </c:pt>
                <c:pt idx="861">
                  <c:v>54.53</c:v>
                </c:pt>
                <c:pt idx="862">
                  <c:v>53.66</c:v>
                </c:pt>
                <c:pt idx="863">
                  <c:v>53.4</c:v>
                </c:pt>
                <c:pt idx="864">
                  <c:v>51.61</c:v>
                </c:pt>
                <c:pt idx="865">
                  <c:v>54.09</c:v>
                </c:pt>
                <c:pt idx="866">
                  <c:v>49.89</c:v>
                </c:pt>
                <c:pt idx="867">
                  <c:v>47.27</c:v>
                </c:pt>
                <c:pt idx="868">
                  <c:v>48.82</c:v>
                </c:pt>
                <c:pt idx="869">
                  <c:v>49.5</c:v>
                </c:pt>
                <c:pt idx="870">
                  <c:v>54.59</c:v>
                </c:pt>
                <c:pt idx="871">
                  <c:v>59.69</c:v>
                </c:pt>
                <c:pt idx="872">
                  <c:v>57.94</c:v>
                </c:pt>
                <c:pt idx="873">
                  <c:v>65.010000000000005</c:v>
                </c:pt>
                <c:pt idx="874">
                  <c:v>66.55</c:v>
                </c:pt>
                <c:pt idx="875">
                  <c:v>67.89</c:v>
                </c:pt>
                <c:pt idx="876">
                  <c:v>69.400000000000006</c:v>
                </c:pt>
                <c:pt idx="877">
                  <c:v>67.599999999999994</c:v>
                </c:pt>
                <c:pt idx="878">
                  <c:v>68</c:v>
                </c:pt>
                <c:pt idx="879">
                  <c:v>66.34</c:v>
                </c:pt>
                <c:pt idx="880">
                  <c:v>68.290000000000006</c:v>
                </c:pt>
                <c:pt idx="881">
                  <c:v>66.73</c:v>
                </c:pt>
                <c:pt idx="882">
                  <c:v>66.55</c:v>
                </c:pt>
                <c:pt idx="883">
                  <c:v>63.15</c:v>
                </c:pt>
                <c:pt idx="884">
                  <c:v>63.38</c:v>
                </c:pt>
                <c:pt idx="885">
                  <c:v>60.85</c:v>
                </c:pt>
                <c:pt idx="886">
                  <c:v>57.44</c:v>
                </c:pt>
                <c:pt idx="887">
                  <c:v>57.29</c:v>
                </c:pt>
                <c:pt idx="888">
                  <c:v>55.35</c:v>
                </c:pt>
                <c:pt idx="889">
                  <c:v>53.39</c:v>
                </c:pt>
                <c:pt idx="890">
                  <c:v>52.27</c:v>
                </c:pt>
                <c:pt idx="891">
                  <c:v>49.36</c:v>
                </c:pt>
                <c:pt idx="892">
                  <c:v>51.2</c:v>
                </c:pt>
                <c:pt idx="893">
                  <c:v>52.01</c:v>
                </c:pt>
                <c:pt idx="894" formatCode="General">
                  <c:v>51.53</c:v>
                </c:pt>
                <c:pt idx="895" formatCode="General">
                  <c:v>51.38</c:v>
                </c:pt>
                <c:pt idx="896" formatCode="General">
                  <c:v>50.15</c:v>
                </c:pt>
                <c:pt idx="897" formatCode="General">
                  <c:v>49.99</c:v>
                </c:pt>
                <c:pt idx="898" formatCode="General">
                  <c:v>48.53</c:v>
                </c:pt>
                <c:pt idx="899" formatCode="General">
                  <c:v>47.84</c:v>
                </c:pt>
                <c:pt idx="900" formatCode="General">
                  <c:v>47.17</c:v>
                </c:pt>
                <c:pt idx="901" formatCode="General">
                  <c:v>47.75</c:v>
                </c:pt>
                <c:pt idx="902" formatCode="General">
                  <c:v>46.9</c:v>
                </c:pt>
                <c:pt idx="903" formatCode="General">
                  <c:v>46.93</c:v>
                </c:pt>
                <c:pt idx="904" formatCode="General">
                  <c:v>44.73</c:v>
                </c:pt>
                <c:pt idx="905" formatCode="General">
                  <c:v>47.26</c:v>
                </c:pt>
                <c:pt idx="906" formatCode="General">
                  <c:v>45.59</c:v>
                </c:pt>
                <c:pt idx="907" formatCode="General">
                  <c:v>44.02</c:v>
                </c:pt>
                <c:pt idx="908" formatCode="General">
                  <c:v>44.62</c:v>
                </c:pt>
                <c:pt idx="909" formatCode="General">
                  <c:v>45.6</c:v>
                </c:pt>
                <c:pt idx="910" formatCode="General">
                  <c:v>49.42</c:v>
                </c:pt>
                <c:pt idx="911" formatCode="General">
                  <c:v>47.64</c:v>
                </c:pt>
                <c:pt idx="912" formatCode="General">
                  <c:v>47.95</c:v>
                </c:pt>
                <c:pt idx="913" formatCode="General">
                  <c:v>48.89</c:v>
                </c:pt>
                <c:pt idx="914" formatCode="General">
                  <c:v>45.89</c:v>
                </c:pt>
                <c:pt idx="915" formatCode="General">
                  <c:v>44.38</c:v>
                </c:pt>
                <c:pt idx="916" formatCode="General">
                  <c:v>44.93</c:v>
                </c:pt>
                <c:pt idx="917" formatCode="General">
                  <c:v>42.42</c:v>
                </c:pt>
                <c:pt idx="918" formatCode="General">
                  <c:v>43.81</c:v>
                </c:pt>
                <c:pt idx="919" formatCode="General">
                  <c:v>45.27</c:v>
                </c:pt>
                <c:pt idx="920" formatCode="General">
                  <c:v>44.95</c:v>
                </c:pt>
                <c:pt idx="921" formatCode="General">
                  <c:v>45.52</c:v>
                </c:pt>
                <c:pt idx="922" formatCode="General">
                  <c:v>43.63</c:v>
                </c:pt>
                <c:pt idx="923" formatCode="General">
                  <c:v>43.68</c:v>
                </c:pt>
                <c:pt idx="924" formatCode="General">
                  <c:v>43.94</c:v>
                </c:pt>
                <c:pt idx="925" formatCode="General">
                  <c:v>43.77</c:v>
                </c:pt>
                <c:pt idx="926" formatCode="General">
                  <c:v>49.62</c:v>
                </c:pt>
                <c:pt idx="927" formatCode="General">
                  <c:v>47.55</c:v>
                </c:pt>
                <c:pt idx="928" formatCode="General">
                  <c:v>46.56</c:v>
                </c:pt>
                <c:pt idx="929" formatCode="General">
                  <c:v>43.66</c:v>
                </c:pt>
                <c:pt idx="930" formatCode="General">
                  <c:v>41.71</c:v>
                </c:pt>
                <c:pt idx="931" formatCode="General">
                  <c:v>42.74</c:v>
                </c:pt>
                <c:pt idx="932" formatCode="General">
                  <c:v>39.950000000000003</c:v>
                </c:pt>
                <c:pt idx="933" formatCode="General">
                  <c:v>41.47</c:v>
                </c:pt>
                <c:pt idx="934" formatCode="General">
                  <c:v>43.14</c:v>
                </c:pt>
                <c:pt idx="935" formatCode="General">
                  <c:v>40.770000000000003</c:v>
                </c:pt>
                <c:pt idx="936" formatCode="General">
                  <c:v>40.69</c:v>
                </c:pt>
                <c:pt idx="937" formatCode="General">
                  <c:v>42.16</c:v>
                </c:pt>
                <c:pt idx="938" formatCode="General">
                  <c:v>42.18</c:v>
                </c:pt>
                <c:pt idx="939" formatCode="General">
                  <c:v>44.04</c:v>
                </c:pt>
                <c:pt idx="940" formatCode="General">
                  <c:v>43.44</c:v>
                </c:pt>
                <c:pt idx="941" formatCode="General">
                  <c:v>41.82</c:v>
                </c:pt>
                <c:pt idx="942" formatCode="General">
                  <c:v>44.15</c:v>
                </c:pt>
                <c:pt idx="943" formatCode="General">
                  <c:v>46.3</c:v>
                </c:pt>
                <c:pt idx="944" formatCode="General">
                  <c:v>48.77</c:v>
                </c:pt>
                <c:pt idx="945" formatCode="General">
                  <c:v>45.35</c:v>
                </c:pt>
                <c:pt idx="946" formatCode="General">
                  <c:v>41.77</c:v>
                </c:pt>
                <c:pt idx="947" formatCode="General">
                  <c:v>41.61</c:v>
                </c:pt>
                <c:pt idx="948" formatCode="General">
                  <c:v>42.78</c:v>
                </c:pt>
                <c:pt idx="949" formatCode="General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3F-49CA-83E4-B119D3CDD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6496368"/>
        <c:axId val="656494448"/>
      </c:lineChart>
      <c:catAx>
        <c:axId val="579052048"/>
        <c:scaling>
          <c:orientation val="minMax"/>
          <c:min val="5108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Brown" pitchFamily="2" charset="0"/>
                <a:ea typeface="+mn-ea"/>
                <a:cs typeface="+mn-cs"/>
              </a:defRPr>
            </a:pPr>
            <a:endParaRPr lang="en-US"/>
          </a:p>
        </c:txPr>
        <c:crossAx val="579050608"/>
        <c:crosses val="autoZero"/>
        <c:auto val="1"/>
        <c:lblAlgn val="ctr"/>
        <c:lblOffset val="100"/>
        <c:noMultiLvlLbl val="1"/>
      </c:catAx>
      <c:valAx>
        <c:axId val="579050608"/>
        <c:scaling>
          <c:orientation val="minMax"/>
          <c:max val="150000"/>
          <c:min val="-200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Brown" pitchFamily="2" charset="0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chemeClr val="tx1"/>
                    </a:solidFill>
                    <a:latin typeface="Brown" pitchFamily="2" charset="0"/>
                  </a:rPr>
                  <a:t>Weekly Change in Managed</a:t>
                </a:r>
                <a:r>
                  <a:rPr lang="en-GB" sz="1200" b="1" baseline="0">
                    <a:solidFill>
                      <a:schemeClr val="tx1"/>
                    </a:solidFill>
                    <a:latin typeface="Brown" pitchFamily="2" charset="0"/>
                  </a:rPr>
                  <a:t> Money Net Futures and Options Position (contracts)</a:t>
                </a:r>
                <a:endParaRPr lang="en-GB" sz="1200" b="1">
                  <a:solidFill>
                    <a:schemeClr val="tx1"/>
                  </a:solidFill>
                  <a:latin typeface="Brown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Brown" pitchFamily="2" charset="0"/>
                  <a:ea typeface="+mn-ea"/>
                  <a:cs typeface="+mn-cs"/>
                </a:defRPr>
              </a:pPr>
              <a:endParaRPr lang="en-GB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Brown" pitchFamily="2" charset="0"/>
                <a:ea typeface="+mn-ea"/>
                <a:cs typeface="+mn-cs"/>
              </a:defRPr>
            </a:pPr>
            <a:endParaRPr lang="en-US"/>
          </a:p>
        </c:txPr>
        <c:crossAx val="579052048"/>
        <c:crosses val="autoZero"/>
        <c:crossBetween val="between"/>
      </c:valAx>
      <c:valAx>
        <c:axId val="656494448"/>
        <c:scaling>
          <c:orientation val="minMax"/>
          <c:max val="90"/>
          <c:min val="2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Brown" pitchFamily="2" charset="0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chemeClr val="tx1"/>
                    </a:solidFill>
                    <a:latin typeface="Brown" pitchFamily="2" charset="0"/>
                  </a:rPr>
                  <a:t>Nearby</a:t>
                </a:r>
                <a:r>
                  <a:rPr lang="en-GB" sz="1200" b="1" baseline="0">
                    <a:solidFill>
                      <a:schemeClr val="tx1"/>
                    </a:solidFill>
                    <a:latin typeface="Brown" pitchFamily="2" charset="0"/>
                  </a:rPr>
                  <a:t> Futures (roll on expiration, cents per pound)</a:t>
                </a:r>
                <a:endParaRPr lang="en-GB" sz="1200" b="1">
                  <a:solidFill>
                    <a:schemeClr val="tx1"/>
                  </a:solidFill>
                  <a:latin typeface="Brown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Brown" pitchFamily="2" charset="0"/>
                  <a:ea typeface="+mn-ea"/>
                  <a:cs typeface="+mn-cs"/>
                </a:defRPr>
              </a:pPr>
              <a:endParaRPr lang="en-GB"/>
            </a:p>
          </c:txPr>
        </c:title>
        <c:numFmt formatCode="#,##0.00_);[Red]\(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Brown" pitchFamily="2" charset="0"/>
                <a:ea typeface="+mn-ea"/>
                <a:cs typeface="+mn-cs"/>
              </a:defRPr>
            </a:pPr>
            <a:endParaRPr lang="en-US"/>
          </a:p>
        </c:txPr>
        <c:crossAx val="656496368"/>
        <c:crosses val="max"/>
        <c:crossBetween val="between"/>
      </c:valAx>
      <c:dateAx>
        <c:axId val="65649636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extTo"/>
        <c:crossAx val="656494448"/>
        <c:crosses val="autoZero"/>
        <c:auto val="1"/>
        <c:lblOffset val="100"/>
        <c:baseTimeUnit val="days"/>
      </c:date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44264000942631548"/>
          <c:y val="0.7188746957694514"/>
          <c:w val="0.3115388635491636"/>
          <c:h val="9.5785901068703494E-2"/>
        </c:manualLayout>
      </c:layout>
      <c:overlay val="0"/>
      <c:spPr>
        <a:solidFill>
          <a:schemeClr val="bg1"/>
        </a:solidFill>
        <a:ln w="158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Brown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Managed Money Oil Share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98069189738166"/>
          <c:y val="9.3015027988758048E-2"/>
          <c:w val="0.78464728235848147"/>
          <c:h val="0.73184590653778592"/>
        </c:manualLayout>
      </c:layout>
      <c:lineChart>
        <c:grouping val="standard"/>
        <c:varyColors val="0"/>
        <c:ser>
          <c:idx val="0"/>
          <c:order val="0"/>
          <c:tx>
            <c:strRef>
              <c:f>'Oil Share Data'!$B$1</c:f>
              <c:strCache>
                <c:ptCount val="1"/>
                <c:pt idx="0">
                  <c:v>Implied Fund Net Oil Share Position</c:v>
                </c:pt>
              </c:strCache>
            </c:strRef>
          </c:tx>
          <c:spPr>
            <a:ln w="2222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5D803B"/>
              </a:solidFill>
              <a:ln w="15875">
                <a:solidFill>
                  <a:schemeClr val="tx1"/>
                </a:solidFill>
              </a:ln>
              <a:effectLst/>
            </c:spPr>
          </c:marker>
          <c:dPt>
            <c:idx val="868"/>
            <c:marker>
              <c:symbol val="circle"/>
              <c:size val="6"/>
              <c:spPr>
                <a:solidFill>
                  <a:srgbClr val="5D803B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089-46E4-B186-9E7FEBA19774}"/>
              </c:ext>
            </c:extLst>
          </c:dPt>
          <c:cat>
            <c:numRef>
              <c:f>'Oil Share Data'!$A$2:$A$12</c:f>
              <c:numCache>
                <c:formatCode>[$-409]d\-mmm\-yy;@</c:formatCode>
                <c:ptCount val="11"/>
                <c:pt idx="0">
                  <c:v>38965</c:v>
                </c:pt>
                <c:pt idx="1">
                  <c:v>38972</c:v>
                </c:pt>
                <c:pt idx="2">
                  <c:v>38979</c:v>
                </c:pt>
                <c:pt idx="3">
                  <c:v>38986</c:v>
                </c:pt>
                <c:pt idx="4">
                  <c:v>38993</c:v>
                </c:pt>
                <c:pt idx="5">
                  <c:v>39000</c:v>
                </c:pt>
                <c:pt idx="6">
                  <c:v>39007</c:v>
                </c:pt>
                <c:pt idx="7">
                  <c:v>39014</c:v>
                </c:pt>
                <c:pt idx="8">
                  <c:v>39021</c:v>
                </c:pt>
                <c:pt idx="9">
                  <c:v>39028</c:v>
                </c:pt>
                <c:pt idx="10">
                  <c:v>39035</c:v>
                </c:pt>
              </c:numCache>
            </c:numRef>
          </c:cat>
          <c:val>
            <c:numRef>
              <c:f>'Oil Share Data'!$B$2:$B$2000</c:f>
              <c:numCache>
                <c:formatCode>#,##0_);[Red]\(#,##0\)</c:formatCode>
                <c:ptCount val="1999"/>
                <c:pt idx="0">
                  <c:v>64334</c:v>
                </c:pt>
                <c:pt idx="1">
                  <c:v>56254</c:v>
                </c:pt>
                <c:pt idx="2">
                  <c:v>54118</c:v>
                </c:pt>
                <c:pt idx="3">
                  <c:v>38095</c:v>
                </c:pt>
                <c:pt idx="4">
                  <c:v>24801</c:v>
                </c:pt>
                <c:pt idx="5">
                  <c:v>19577</c:v>
                </c:pt>
                <c:pt idx="6">
                  <c:v>16395</c:v>
                </c:pt>
                <c:pt idx="7">
                  <c:v>11576</c:v>
                </c:pt>
                <c:pt idx="8">
                  <c:v>29029</c:v>
                </c:pt>
                <c:pt idx="9">
                  <c:v>18114</c:v>
                </c:pt>
                <c:pt idx="10">
                  <c:v>17052</c:v>
                </c:pt>
                <c:pt idx="11">
                  <c:v>30101</c:v>
                </c:pt>
                <c:pt idx="12">
                  <c:v>33873</c:v>
                </c:pt>
                <c:pt idx="13">
                  <c:v>32061</c:v>
                </c:pt>
                <c:pt idx="14">
                  <c:v>42729</c:v>
                </c:pt>
                <c:pt idx="15">
                  <c:v>40034</c:v>
                </c:pt>
                <c:pt idx="16">
                  <c:v>39856</c:v>
                </c:pt>
                <c:pt idx="17">
                  <c:v>34723</c:v>
                </c:pt>
                <c:pt idx="18">
                  <c:v>34731</c:v>
                </c:pt>
                <c:pt idx="19">
                  <c:v>24206</c:v>
                </c:pt>
                <c:pt idx="20">
                  <c:v>25878</c:v>
                </c:pt>
                <c:pt idx="21">
                  <c:v>26310</c:v>
                </c:pt>
                <c:pt idx="22">
                  <c:v>29340</c:v>
                </c:pt>
                <c:pt idx="23">
                  <c:v>12215</c:v>
                </c:pt>
                <c:pt idx="24">
                  <c:v>5752</c:v>
                </c:pt>
                <c:pt idx="25">
                  <c:v>15794</c:v>
                </c:pt>
                <c:pt idx="26">
                  <c:v>18536</c:v>
                </c:pt>
                <c:pt idx="27">
                  <c:v>24301</c:v>
                </c:pt>
                <c:pt idx="28">
                  <c:v>30042</c:v>
                </c:pt>
                <c:pt idx="29">
                  <c:v>48608</c:v>
                </c:pt>
                <c:pt idx="30">
                  <c:v>56819</c:v>
                </c:pt>
                <c:pt idx="31">
                  <c:v>65930</c:v>
                </c:pt>
                <c:pt idx="32">
                  <c:v>63619</c:v>
                </c:pt>
                <c:pt idx="33">
                  <c:v>53967</c:v>
                </c:pt>
                <c:pt idx="34">
                  <c:v>61961</c:v>
                </c:pt>
                <c:pt idx="35">
                  <c:v>63127</c:v>
                </c:pt>
                <c:pt idx="36">
                  <c:v>66869</c:v>
                </c:pt>
                <c:pt idx="37">
                  <c:v>58930</c:v>
                </c:pt>
                <c:pt idx="38">
                  <c:v>53962</c:v>
                </c:pt>
                <c:pt idx="39">
                  <c:v>46877</c:v>
                </c:pt>
                <c:pt idx="40">
                  <c:v>39969</c:v>
                </c:pt>
                <c:pt idx="41">
                  <c:v>36391</c:v>
                </c:pt>
                <c:pt idx="42">
                  <c:v>24061</c:v>
                </c:pt>
                <c:pt idx="43">
                  <c:v>25654</c:v>
                </c:pt>
                <c:pt idx="44">
                  <c:v>20766</c:v>
                </c:pt>
                <c:pt idx="45">
                  <c:v>16639</c:v>
                </c:pt>
                <c:pt idx="46">
                  <c:v>25434</c:v>
                </c:pt>
                <c:pt idx="47">
                  <c:v>31252</c:v>
                </c:pt>
                <c:pt idx="48">
                  <c:v>18273</c:v>
                </c:pt>
                <c:pt idx="49">
                  <c:v>6736</c:v>
                </c:pt>
                <c:pt idx="50">
                  <c:v>-9773</c:v>
                </c:pt>
                <c:pt idx="51">
                  <c:v>-18362</c:v>
                </c:pt>
                <c:pt idx="52">
                  <c:v>-11765</c:v>
                </c:pt>
                <c:pt idx="53">
                  <c:v>-3547</c:v>
                </c:pt>
                <c:pt idx="54">
                  <c:v>-2990</c:v>
                </c:pt>
                <c:pt idx="55">
                  <c:v>-3258</c:v>
                </c:pt>
                <c:pt idx="56">
                  <c:v>-4326</c:v>
                </c:pt>
                <c:pt idx="57">
                  <c:v>-2263</c:v>
                </c:pt>
                <c:pt idx="58">
                  <c:v>-1286</c:v>
                </c:pt>
                <c:pt idx="59">
                  <c:v>-5666</c:v>
                </c:pt>
                <c:pt idx="60">
                  <c:v>-5863</c:v>
                </c:pt>
                <c:pt idx="61">
                  <c:v>-6873</c:v>
                </c:pt>
                <c:pt idx="62">
                  <c:v>-8980</c:v>
                </c:pt>
                <c:pt idx="63">
                  <c:v>-7659</c:v>
                </c:pt>
                <c:pt idx="64">
                  <c:v>-7216</c:v>
                </c:pt>
                <c:pt idx="65">
                  <c:v>-11767</c:v>
                </c:pt>
                <c:pt idx="66">
                  <c:v>-26075</c:v>
                </c:pt>
                <c:pt idx="67">
                  <c:v>-26527</c:v>
                </c:pt>
                <c:pt idx="68">
                  <c:v>-9432</c:v>
                </c:pt>
                <c:pt idx="69">
                  <c:v>-6157</c:v>
                </c:pt>
                <c:pt idx="70">
                  <c:v>-2338</c:v>
                </c:pt>
                <c:pt idx="71">
                  <c:v>-2496</c:v>
                </c:pt>
                <c:pt idx="72">
                  <c:v>-691</c:v>
                </c:pt>
                <c:pt idx="73">
                  <c:v>-797</c:v>
                </c:pt>
                <c:pt idx="74">
                  <c:v>-5727</c:v>
                </c:pt>
                <c:pt idx="75">
                  <c:v>-5069</c:v>
                </c:pt>
                <c:pt idx="76">
                  <c:v>-14305</c:v>
                </c:pt>
                <c:pt idx="77">
                  <c:v>-4340</c:v>
                </c:pt>
                <c:pt idx="78">
                  <c:v>-5930</c:v>
                </c:pt>
                <c:pt idx="79">
                  <c:v>-5258</c:v>
                </c:pt>
                <c:pt idx="80">
                  <c:v>-10627</c:v>
                </c:pt>
                <c:pt idx="81">
                  <c:v>-17826</c:v>
                </c:pt>
                <c:pt idx="82">
                  <c:v>-9130</c:v>
                </c:pt>
                <c:pt idx="83">
                  <c:v>-5950</c:v>
                </c:pt>
                <c:pt idx="84">
                  <c:v>-5544</c:v>
                </c:pt>
                <c:pt idx="85">
                  <c:v>-7123</c:v>
                </c:pt>
                <c:pt idx="86">
                  <c:v>-4585</c:v>
                </c:pt>
                <c:pt idx="87">
                  <c:v>-8525</c:v>
                </c:pt>
                <c:pt idx="88">
                  <c:v>-10481</c:v>
                </c:pt>
                <c:pt idx="89">
                  <c:v>-13698</c:v>
                </c:pt>
                <c:pt idx="90">
                  <c:v>-21982</c:v>
                </c:pt>
                <c:pt idx="91">
                  <c:v>-27074</c:v>
                </c:pt>
                <c:pt idx="92">
                  <c:v>-31944</c:v>
                </c:pt>
                <c:pt idx="93">
                  <c:v>-25780</c:v>
                </c:pt>
                <c:pt idx="94">
                  <c:v>-27251</c:v>
                </c:pt>
                <c:pt idx="95">
                  <c:v>-28665</c:v>
                </c:pt>
                <c:pt idx="96">
                  <c:v>-24297</c:v>
                </c:pt>
                <c:pt idx="97">
                  <c:v>-24005</c:v>
                </c:pt>
                <c:pt idx="98">
                  <c:v>-23627</c:v>
                </c:pt>
                <c:pt idx="99">
                  <c:v>-27641</c:v>
                </c:pt>
                <c:pt idx="100">
                  <c:v>-25323</c:v>
                </c:pt>
                <c:pt idx="101">
                  <c:v>-27651</c:v>
                </c:pt>
                <c:pt idx="102">
                  <c:v>-26951</c:v>
                </c:pt>
                <c:pt idx="103">
                  <c:v>-27623</c:v>
                </c:pt>
                <c:pt idx="104">
                  <c:v>-25715</c:v>
                </c:pt>
                <c:pt idx="105">
                  <c:v>-20650</c:v>
                </c:pt>
                <c:pt idx="106">
                  <c:v>-11971</c:v>
                </c:pt>
                <c:pt idx="107">
                  <c:v>-7252</c:v>
                </c:pt>
                <c:pt idx="108">
                  <c:v>-3423</c:v>
                </c:pt>
                <c:pt idx="109">
                  <c:v>-11543</c:v>
                </c:pt>
                <c:pt idx="110">
                  <c:v>-13576</c:v>
                </c:pt>
                <c:pt idx="111">
                  <c:v>-10846</c:v>
                </c:pt>
                <c:pt idx="112">
                  <c:v>-9117</c:v>
                </c:pt>
                <c:pt idx="113">
                  <c:v>-11356</c:v>
                </c:pt>
                <c:pt idx="114">
                  <c:v>-12216</c:v>
                </c:pt>
                <c:pt idx="115">
                  <c:v>-11923</c:v>
                </c:pt>
                <c:pt idx="116">
                  <c:v>-12822</c:v>
                </c:pt>
                <c:pt idx="117">
                  <c:v>-9619</c:v>
                </c:pt>
                <c:pt idx="118">
                  <c:v>-14839</c:v>
                </c:pt>
                <c:pt idx="119">
                  <c:v>-12313</c:v>
                </c:pt>
                <c:pt idx="120">
                  <c:v>-9932</c:v>
                </c:pt>
                <c:pt idx="121">
                  <c:v>-15203</c:v>
                </c:pt>
                <c:pt idx="122">
                  <c:v>-22933</c:v>
                </c:pt>
                <c:pt idx="123">
                  <c:v>-26445</c:v>
                </c:pt>
                <c:pt idx="124">
                  <c:v>-27532</c:v>
                </c:pt>
                <c:pt idx="125">
                  <c:v>-25903</c:v>
                </c:pt>
                <c:pt idx="126">
                  <c:v>-21830</c:v>
                </c:pt>
                <c:pt idx="127">
                  <c:v>-23011</c:v>
                </c:pt>
                <c:pt idx="128">
                  <c:v>-21223</c:v>
                </c:pt>
                <c:pt idx="129">
                  <c:v>-32577</c:v>
                </c:pt>
                <c:pt idx="130">
                  <c:v>-33156</c:v>
                </c:pt>
                <c:pt idx="131">
                  <c:v>-26679</c:v>
                </c:pt>
                <c:pt idx="132">
                  <c:v>-17962</c:v>
                </c:pt>
                <c:pt idx="133">
                  <c:v>-17654</c:v>
                </c:pt>
                <c:pt idx="134">
                  <c:v>-25781</c:v>
                </c:pt>
                <c:pt idx="135">
                  <c:v>-23054</c:v>
                </c:pt>
                <c:pt idx="136">
                  <c:v>-26657</c:v>
                </c:pt>
                <c:pt idx="137">
                  <c:v>-17976</c:v>
                </c:pt>
                <c:pt idx="138">
                  <c:v>-32777</c:v>
                </c:pt>
                <c:pt idx="139">
                  <c:v>-41631</c:v>
                </c:pt>
                <c:pt idx="140">
                  <c:v>-34942</c:v>
                </c:pt>
                <c:pt idx="141">
                  <c:v>-36138</c:v>
                </c:pt>
                <c:pt idx="142">
                  <c:v>-55213</c:v>
                </c:pt>
                <c:pt idx="143">
                  <c:v>-50109</c:v>
                </c:pt>
                <c:pt idx="144">
                  <c:v>-56635</c:v>
                </c:pt>
                <c:pt idx="145">
                  <c:v>-55373</c:v>
                </c:pt>
                <c:pt idx="146">
                  <c:v>-52763</c:v>
                </c:pt>
                <c:pt idx="147">
                  <c:v>-49993</c:v>
                </c:pt>
                <c:pt idx="148">
                  <c:v>-51773</c:v>
                </c:pt>
                <c:pt idx="149">
                  <c:v>-44254</c:v>
                </c:pt>
                <c:pt idx="150">
                  <c:v>-38623</c:v>
                </c:pt>
                <c:pt idx="151">
                  <c:v>-33579</c:v>
                </c:pt>
                <c:pt idx="152">
                  <c:v>-30045</c:v>
                </c:pt>
                <c:pt idx="153">
                  <c:v>-47248</c:v>
                </c:pt>
                <c:pt idx="154">
                  <c:v>-50871</c:v>
                </c:pt>
                <c:pt idx="155">
                  <c:v>-53034</c:v>
                </c:pt>
                <c:pt idx="156">
                  <c:v>-48144</c:v>
                </c:pt>
                <c:pt idx="157">
                  <c:v>-52465</c:v>
                </c:pt>
                <c:pt idx="158">
                  <c:v>-47837</c:v>
                </c:pt>
                <c:pt idx="159">
                  <c:v>-40156</c:v>
                </c:pt>
                <c:pt idx="160">
                  <c:v>-20254</c:v>
                </c:pt>
                <c:pt idx="161">
                  <c:v>-477</c:v>
                </c:pt>
                <c:pt idx="162">
                  <c:v>-16796</c:v>
                </c:pt>
                <c:pt idx="163">
                  <c:v>-11553</c:v>
                </c:pt>
                <c:pt idx="164">
                  <c:v>6680</c:v>
                </c:pt>
                <c:pt idx="165">
                  <c:v>10216</c:v>
                </c:pt>
                <c:pt idx="166">
                  <c:v>8287</c:v>
                </c:pt>
                <c:pt idx="167">
                  <c:v>11483</c:v>
                </c:pt>
                <c:pt idx="168">
                  <c:v>3135</c:v>
                </c:pt>
                <c:pt idx="169">
                  <c:v>-5630</c:v>
                </c:pt>
                <c:pt idx="170">
                  <c:v>3135</c:v>
                </c:pt>
                <c:pt idx="171">
                  <c:v>467</c:v>
                </c:pt>
                <c:pt idx="172">
                  <c:v>-6219</c:v>
                </c:pt>
                <c:pt idx="173">
                  <c:v>-21308</c:v>
                </c:pt>
                <c:pt idx="174">
                  <c:v>-29833</c:v>
                </c:pt>
                <c:pt idx="175">
                  <c:v>-23250</c:v>
                </c:pt>
                <c:pt idx="176">
                  <c:v>-10915</c:v>
                </c:pt>
                <c:pt idx="177">
                  <c:v>-1344</c:v>
                </c:pt>
                <c:pt idx="178">
                  <c:v>-3019</c:v>
                </c:pt>
                <c:pt idx="179">
                  <c:v>10428</c:v>
                </c:pt>
                <c:pt idx="180">
                  <c:v>25481</c:v>
                </c:pt>
                <c:pt idx="181">
                  <c:v>18324</c:v>
                </c:pt>
                <c:pt idx="182">
                  <c:v>5182</c:v>
                </c:pt>
                <c:pt idx="183">
                  <c:v>-16934</c:v>
                </c:pt>
                <c:pt idx="184">
                  <c:v>20</c:v>
                </c:pt>
                <c:pt idx="185">
                  <c:v>11570</c:v>
                </c:pt>
                <c:pt idx="186">
                  <c:v>-12596</c:v>
                </c:pt>
                <c:pt idx="187">
                  <c:v>-35361</c:v>
                </c:pt>
                <c:pt idx="188">
                  <c:v>-54146</c:v>
                </c:pt>
                <c:pt idx="189">
                  <c:v>-48545</c:v>
                </c:pt>
                <c:pt idx="190">
                  <c:v>-57780</c:v>
                </c:pt>
                <c:pt idx="191">
                  <c:v>-64928</c:v>
                </c:pt>
                <c:pt idx="192">
                  <c:v>-50414</c:v>
                </c:pt>
                <c:pt idx="193">
                  <c:v>-65312</c:v>
                </c:pt>
                <c:pt idx="194">
                  <c:v>-67812</c:v>
                </c:pt>
                <c:pt idx="195">
                  <c:v>-60653</c:v>
                </c:pt>
                <c:pt idx="196">
                  <c:v>-86409</c:v>
                </c:pt>
                <c:pt idx="197">
                  <c:v>-89162</c:v>
                </c:pt>
                <c:pt idx="198">
                  <c:v>-80380</c:v>
                </c:pt>
                <c:pt idx="199">
                  <c:v>-66226</c:v>
                </c:pt>
                <c:pt idx="200">
                  <c:v>-52762</c:v>
                </c:pt>
                <c:pt idx="201">
                  <c:v>-30058</c:v>
                </c:pt>
                <c:pt idx="202">
                  <c:v>-22881</c:v>
                </c:pt>
                <c:pt idx="203">
                  <c:v>-16243</c:v>
                </c:pt>
                <c:pt idx="204">
                  <c:v>-31068</c:v>
                </c:pt>
                <c:pt idx="205">
                  <c:v>-49117</c:v>
                </c:pt>
                <c:pt idx="206">
                  <c:v>-46080</c:v>
                </c:pt>
                <c:pt idx="207">
                  <c:v>-25075</c:v>
                </c:pt>
                <c:pt idx="208">
                  <c:v>-30226</c:v>
                </c:pt>
                <c:pt idx="209">
                  <c:v>3063</c:v>
                </c:pt>
                <c:pt idx="210">
                  <c:v>33650</c:v>
                </c:pt>
                <c:pt idx="211">
                  <c:v>27661</c:v>
                </c:pt>
                <c:pt idx="212">
                  <c:v>27833</c:v>
                </c:pt>
                <c:pt idx="213">
                  <c:v>26336</c:v>
                </c:pt>
                <c:pt idx="214">
                  <c:v>29155</c:v>
                </c:pt>
                <c:pt idx="215">
                  <c:v>13597</c:v>
                </c:pt>
                <c:pt idx="216">
                  <c:v>17233</c:v>
                </c:pt>
                <c:pt idx="217">
                  <c:v>10088</c:v>
                </c:pt>
                <c:pt idx="218">
                  <c:v>10310</c:v>
                </c:pt>
                <c:pt idx="219">
                  <c:v>15823</c:v>
                </c:pt>
                <c:pt idx="220">
                  <c:v>22489</c:v>
                </c:pt>
                <c:pt idx="221">
                  <c:v>18387</c:v>
                </c:pt>
                <c:pt idx="222">
                  <c:v>16832</c:v>
                </c:pt>
                <c:pt idx="223">
                  <c:v>15154</c:v>
                </c:pt>
                <c:pt idx="224">
                  <c:v>16150</c:v>
                </c:pt>
                <c:pt idx="225">
                  <c:v>17908</c:v>
                </c:pt>
                <c:pt idx="226">
                  <c:v>9237</c:v>
                </c:pt>
                <c:pt idx="227">
                  <c:v>25457</c:v>
                </c:pt>
                <c:pt idx="228">
                  <c:v>33816</c:v>
                </c:pt>
                <c:pt idx="229">
                  <c:v>27815</c:v>
                </c:pt>
                <c:pt idx="230">
                  <c:v>23500</c:v>
                </c:pt>
                <c:pt idx="231">
                  <c:v>37701</c:v>
                </c:pt>
                <c:pt idx="232">
                  <c:v>45727</c:v>
                </c:pt>
                <c:pt idx="233">
                  <c:v>26802</c:v>
                </c:pt>
                <c:pt idx="234">
                  <c:v>16550</c:v>
                </c:pt>
                <c:pt idx="235">
                  <c:v>25193</c:v>
                </c:pt>
                <c:pt idx="236">
                  <c:v>40778</c:v>
                </c:pt>
                <c:pt idx="237">
                  <c:v>45117</c:v>
                </c:pt>
                <c:pt idx="238">
                  <c:v>47913</c:v>
                </c:pt>
                <c:pt idx="239">
                  <c:v>37365</c:v>
                </c:pt>
                <c:pt idx="240">
                  <c:v>30748</c:v>
                </c:pt>
                <c:pt idx="241">
                  <c:v>13309</c:v>
                </c:pt>
                <c:pt idx="242">
                  <c:v>10190</c:v>
                </c:pt>
                <c:pt idx="243">
                  <c:v>14755</c:v>
                </c:pt>
                <c:pt idx="244">
                  <c:v>30881</c:v>
                </c:pt>
                <c:pt idx="245">
                  <c:v>25635</c:v>
                </c:pt>
                <c:pt idx="246">
                  <c:v>10925</c:v>
                </c:pt>
                <c:pt idx="247">
                  <c:v>12142</c:v>
                </c:pt>
                <c:pt idx="248">
                  <c:v>19248</c:v>
                </c:pt>
                <c:pt idx="249">
                  <c:v>10493</c:v>
                </c:pt>
                <c:pt idx="250">
                  <c:v>15505</c:v>
                </c:pt>
                <c:pt idx="251">
                  <c:v>6316</c:v>
                </c:pt>
                <c:pt idx="252">
                  <c:v>-12266</c:v>
                </c:pt>
                <c:pt idx="253">
                  <c:v>-9311</c:v>
                </c:pt>
                <c:pt idx="254">
                  <c:v>-30426</c:v>
                </c:pt>
                <c:pt idx="255">
                  <c:v>-23450</c:v>
                </c:pt>
                <c:pt idx="256">
                  <c:v>-25955</c:v>
                </c:pt>
                <c:pt idx="257">
                  <c:v>-7317</c:v>
                </c:pt>
                <c:pt idx="258">
                  <c:v>-9893</c:v>
                </c:pt>
                <c:pt idx="259">
                  <c:v>-2587</c:v>
                </c:pt>
                <c:pt idx="260">
                  <c:v>7690</c:v>
                </c:pt>
                <c:pt idx="261">
                  <c:v>2046</c:v>
                </c:pt>
                <c:pt idx="262">
                  <c:v>827</c:v>
                </c:pt>
                <c:pt idx="263">
                  <c:v>2764</c:v>
                </c:pt>
                <c:pt idx="264">
                  <c:v>11296</c:v>
                </c:pt>
                <c:pt idx="265">
                  <c:v>-3515</c:v>
                </c:pt>
                <c:pt idx="266">
                  <c:v>1302</c:v>
                </c:pt>
                <c:pt idx="267">
                  <c:v>742</c:v>
                </c:pt>
                <c:pt idx="268">
                  <c:v>20627</c:v>
                </c:pt>
                <c:pt idx="269">
                  <c:v>11421</c:v>
                </c:pt>
                <c:pt idx="270">
                  <c:v>8556</c:v>
                </c:pt>
                <c:pt idx="271">
                  <c:v>17292</c:v>
                </c:pt>
                <c:pt idx="272">
                  <c:v>18209</c:v>
                </c:pt>
                <c:pt idx="273">
                  <c:v>11423</c:v>
                </c:pt>
                <c:pt idx="274">
                  <c:v>13129</c:v>
                </c:pt>
                <c:pt idx="275">
                  <c:v>24183</c:v>
                </c:pt>
                <c:pt idx="276">
                  <c:v>22169</c:v>
                </c:pt>
                <c:pt idx="277">
                  <c:v>6394</c:v>
                </c:pt>
                <c:pt idx="278">
                  <c:v>-3782</c:v>
                </c:pt>
                <c:pt idx="279">
                  <c:v>-11635</c:v>
                </c:pt>
                <c:pt idx="280">
                  <c:v>-5066</c:v>
                </c:pt>
                <c:pt idx="281">
                  <c:v>10578</c:v>
                </c:pt>
                <c:pt idx="282">
                  <c:v>12802</c:v>
                </c:pt>
                <c:pt idx="283">
                  <c:v>8668</c:v>
                </c:pt>
                <c:pt idx="284">
                  <c:v>-30471</c:v>
                </c:pt>
                <c:pt idx="285">
                  <c:v>-37528</c:v>
                </c:pt>
                <c:pt idx="286">
                  <c:v>-40162</c:v>
                </c:pt>
                <c:pt idx="287">
                  <c:v>-47392</c:v>
                </c:pt>
                <c:pt idx="288">
                  <c:v>-46817</c:v>
                </c:pt>
                <c:pt idx="289">
                  <c:v>-34243</c:v>
                </c:pt>
                <c:pt idx="290">
                  <c:v>-44264</c:v>
                </c:pt>
                <c:pt idx="291">
                  <c:v>-58682</c:v>
                </c:pt>
                <c:pt idx="292">
                  <c:v>-73342</c:v>
                </c:pt>
                <c:pt idx="293">
                  <c:v>-85623</c:v>
                </c:pt>
                <c:pt idx="294">
                  <c:v>-101171</c:v>
                </c:pt>
                <c:pt idx="295">
                  <c:v>-105170</c:v>
                </c:pt>
                <c:pt idx="296">
                  <c:v>-107611</c:v>
                </c:pt>
                <c:pt idx="297">
                  <c:v>-101381</c:v>
                </c:pt>
                <c:pt idx="298">
                  <c:v>-107083</c:v>
                </c:pt>
                <c:pt idx="299">
                  <c:v>-109418</c:v>
                </c:pt>
                <c:pt idx="300">
                  <c:v>-106159</c:v>
                </c:pt>
                <c:pt idx="301">
                  <c:v>-103214</c:v>
                </c:pt>
                <c:pt idx="302">
                  <c:v>-75148</c:v>
                </c:pt>
                <c:pt idx="303">
                  <c:v>-70058</c:v>
                </c:pt>
                <c:pt idx="304">
                  <c:v>-66934</c:v>
                </c:pt>
                <c:pt idx="305">
                  <c:v>-56577</c:v>
                </c:pt>
                <c:pt idx="306">
                  <c:v>-62565</c:v>
                </c:pt>
                <c:pt idx="307">
                  <c:v>-56559</c:v>
                </c:pt>
                <c:pt idx="308">
                  <c:v>-45270</c:v>
                </c:pt>
                <c:pt idx="309">
                  <c:v>-27495</c:v>
                </c:pt>
                <c:pt idx="310">
                  <c:v>-19535</c:v>
                </c:pt>
                <c:pt idx="311">
                  <c:v>-15314</c:v>
                </c:pt>
                <c:pt idx="312">
                  <c:v>-11791</c:v>
                </c:pt>
                <c:pt idx="313">
                  <c:v>-13772</c:v>
                </c:pt>
                <c:pt idx="314">
                  <c:v>-28057</c:v>
                </c:pt>
                <c:pt idx="315">
                  <c:v>-37616</c:v>
                </c:pt>
                <c:pt idx="316">
                  <c:v>-55387</c:v>
                </c:pt>
                <c:pt idx="317">
                  <c:v>-58559</c:v>
                </c:pt>
                <c:pt idx="318">
                  <c:v>-71872</c:v>
                </c:pt>
                <c:pt idx="319">
                  <c:v>-82199</c:v>
                </c:pt>
                <c:pt idx="320">
                  <c:v>-73519</c:v>
                </c:pt>
                <c:pt idx="321">
                  <c:v>-80947</c:v>
                </c:pt>
                <c:pt idx="322">
                  <c:v>-72870</c:v>
                </c:pt>
                <c:pt idx="323">
                  <c:v>-70727</c:v>
                </c:pt>
                <c:pt idx="324">
                  <c:v>-66563</c:v>
                </c:pt>
                <c:pt idx="325">
                  <c:v>-78086</c:v>
                </c:pt>
                <c:pt idx="326">
                  <c:v>-83913</c:v>
                </c:pt>
                <c:pt idx="327">
                  <c:v>-79935</c:v>
                </c:pt>
                <c:pt idx="328">
                  <c:v>-73204</c:v>
                </c:pt>
                <c:pt idx="329">
                  <c:v>-59069</c:v>
                </c:pt>
                <c:pt idx="330">
                  <c:v>-46354</c:v>
                </c:pt>
                <c:pt idx="331">
                  <c:v>-38666</c:v>
                </c:pt>
                <c:pt idx="332">
                  <c:v>-38092</c:v>
                </c:pt>
                <c:pt idx="333">
                  <c:v>-59362</c:v>
                </c:pt>
                <c:pt idx="334">
                  <c:v>-54285</c:v>
                </c:pt>
                <c:pt idx="335">
                  <c:v>-89537</c:v>
                </c:pt>
                <c:pt idx="336">
                  <c:v>-111538</c:v>
                </c:pt>
                <c:pt idx="337">
                  <c:v>-113779</c:v>
                </c:pt>
                <c:pt idx="338">
                  <c:v>-99684</c:v>
                </c:pt>
                <c:pt idx="339">
                  <c:v>-73545</c:v>
                </c:pt>
                <c:pt idx="340">
                  <c:v>-60542</c:v>
                </c:pt>
                <c:pt idx="341">
                  <c:v>-59631</c:v>
                </c:pt>
                <c:pt idx="342">
                  <c:v>-66271</c:v>
                </c:pt>
                <c:pt idx="343">
                  <c:v>-59134</c:v>
                </c:pt>
                <c:pt idx="344">
                  <c:v>-55334</c:v>
                </c:pt>
                <c:pt idx="345">
                  <c:v>-50536</c:v>
                </c:pt>
                <c:pt idx="346">
                  <c:v>-49661</c:v>
                </c:pt>
                <c:pt idx="347">
                  <c:v>-57261</c:v>
                </c:pt>
                <c:pt idx="348">
                  <c:v>-59944</c:v>
                </c:pt>
                <c:pt idx="349">
                  <c:v>-81637</c:v>
                </c:pt>
                <c:pt idx="350">
                  <c:v>-88993</c:v>
                </c:pt>
                <c:pt idx="351">
                  <c:v>-86863</c:v>
                </c:pt>
                <c:pt idx="352">
                  <c:v>-89584</c:v>
                </c:pt>
                <c:pt idx="353">
                  <c:v>-88958</c:v>
                </c:pt>
                <c:pt idx="354">
                  <c:v>-86358</c:v>
                </c:pt>
                <c:pt idx="355">
                  <c:v>-87464</c:v>
                </c:pt>
                <c:pt idx="356">
                  <c:v>-94241</c:v>
                </c:pt>
                <c:pt idx="357">
                  <c:v>-76470</c:v>
                </c:pt>
                <c:pt idx="358">
                  <c:v>-77889</c:v>
                </c:pt>
                <c:pt idx="359">
                  <c:v>-74066</c:v>
                </c:pt>
                <c:pt idx="360">
                  <c:v>-79587</c:v>
                </c:pt>
                <c:pt idx="361">
                  <c:v>-74597</c:v>
                </c:pt>
                <c:pt idx="362">
                  <c:v>-80484</c:v>
                </c:pt>
                <c:pt idx="363">
                  <c:v>-86257</c:v>
                </c:pt>
                <c:pt idx="364">
                  <c:v>-86163</c:v>
                </c:pt>
                <c:pt idx="365">
                  <c:v>-85879</c:v>
                </c:pt>
                <c:pt idx="366">
                  <c:v>-82341</c:v>
                </c:pt>
                <c:pt idx="367">
                  <c:v>-77138</c:v>
                </c:pt>
                <c:pt idx="368">
                  <c:v>-76225</c:v>
                </c:pt>
                <c:pt idx="369">
                  <c:v>-73598</c:v>
                </c:pt>
                <c:pt idx="370">
                  <c:v>-76034</c:v>
                </c:pt>
                <c:pt idx="371">
                  <c:v>-61442</c:v>
                </c:pt>
                <c:pt idx="372">
                  <c:v>-74452</c:v>
                </c:pt>
                <c:pt idx="373">
                  <c:v>-81704</c:v>
                </c:pt>
                <c:pt idx="374">
                  <c:v>-80699</c:v>
                </c:pt>
                <c:pt idx="375">
                  <c:v>-94485</c:v>
                </c:pt>
                <c:pt idx="376">
                  <c:v>-105174</c:v>
                </c:pt>
                <c:pt idx="377">
                  <c:v>-105312</c:v>
                </c:pt>
                <c:pt idx="378">
                  <c:v>-104323</c:v>
                </c:pt>
                <c:pt idx="379">
                  <c:v>-104580</c:v>
                </c:pt>
                <c:pt idx="380">
                  <c:v>-102653</c:v>
                </c:pt>
                <c:pt idx="381">
                  <c:v>-119416</c:v>
                </c:pt>
                <c:pt idx="382">
                  <c:v>-124061</c:v>
                </c:pt>
                <c:pt idx="383">
                  <c:v>-121838</c:v>
                </c:pt>
                <c:pt idx="384">
                  <c:v>-125415</c:v>
                </c:pt>
                <c:pt idx="385">
                  <c:v>-119010</c:v>
                </c:pt>
                <c:pt idx="386">
                  <c:v>-108549</c:v>
                </c:pt>
                <c:pt idx="387">
                  <c:v>-91355</c:v>
                </c:pt>
                <c:pt idx="388">
                  <c:v>-74115</c:v>
                </c:pt>
                <c:pt idx="389">
                  <c:v>-44547</c:v>
                </c:pt>
                <c:pt idx="390">
                  <c:v>-36560</c:v>
                </c:pt>
                <c:pt idx="391">
                  <c:v>-48875</c:v>
                </c:pt>
                <c:pt idx="392">
                  <c:v>-60815</c:v>
                </c:pt>
                <c:pt idx="393">
                  <c:v>-61718</c:v>
                </c:pt>
                <c:pt idx="394">
                  <c:v>-52004</c:v>
                </c:pt>
                <c:pt idx="395">
                  <c:v>-43559</c:v>
                </c:pt>
                <c:pt idx="396">
                  <c:v>-40480</c:v>
                </c:pt>
                <c:pt idx="397">
                  <c:v>-42462</c:v>
                </c:pt>
                <c:pt idx="398">
                  <c:v>-53981</c:v>
                </c:pt>
                <c:pt idx="399">
                  <c:v>-69889</c:v>
                </c:pt>
                <c:pt idx="400">
                  <c:v>-70665</c:v>
                </c:pt>
                <c:pt idx="401">
                  <c:v>-84747</c:v>
                </c:pt>
                <c:pt idx="402">
                  <c:v>-87821</c:v>
                </c:pt>
                <c:pt idx="403">
                  <c:v>-74737</c:v>
                </c:pt>
                <c:pt idx="404">
                  <c:v>-43728</c:v>
                </c:pt>
                <c:pt idx="405">
                  <c:v>-22566</c:v>
                </c:pt>
                <c:pt idx="406">
                  <c:v>-22411</c:v>
                </c:pt>
                <c:pt idx="407">
                  <c:v>-27410</c:v>
                </c:pt>
                <c:pt idx="408">
                  <c:v>-35656</c:v>
                </c:pt>
                <c:pt idx="409">
                  <c:v>-38278</c:v>
                </c:pt>
                <c:pt idx="410">
                  <c:v>-32145</c:v>
                </c:pt>
                <c:pt idx="411">
                  <c:v>-51810</c:v>
                </c:pt>
                <c:pt idx="412">
                  <c:v>-57798</c:v>
                </c:pt>
                <c:pt idx="413">
                  <c:v>-48984</c:v>
                </c:pt>
                <c:pt idx="414">
                  <c:v>-65945</c:v>
                </c:pt>
                <c:pt idx="415">
                  <c:v>-55843</c:v>
                </c:pt>
                <c:pt idx="416">
                  <c:v>-40321</c:v>
                </c:pt>
                <c:pt idx="417">
                  <c:v>-30475</c:v>
                </c:pt>
                <c:pt idx="418">
                  <c:v>-28536</c:v>
                </c:pt>
                <c:pt idx="419">
                  <c:v>-15439</c:v>
                </c:pt>
                <c:pt idx="420">
                  <c:v>-22515</c:v>
                </c:pt>
                <c:pt idx="421">
                  <c:v>-33732</c:v>
                </c:pt>
                <c:pt idx="422">
                  <c:v>-31972</c:v>
                </c:pt>
                <c:pt idx="423">
                  <c:v>-35371</c:v>
                </c:pt>
                <c:pt idx="424">
                  <c:v>-56048</c:v>
                </c:pt>
                <c:pt idx="425">
                  <c:v>-50630</c:v>
                </c:pt>
                <c:pt idx="426">
                  <c:v>-36986</c:v>
                </c:pt>
                <c:pt idx="427">
                  <c:v>-39871</c:v>
                </c:pt>
                <c:pt idx="428">
                  <c:v>-36934</c:v>
                </c:pt>
                <c:pt idx="429">
                  <c:v>-23798</c:v>
                </c:pt>
                <c:pt idx="430">
                  <c:v>-29657</c:v>
                </c:pt>
                <c:pt idx="431">
                  <c:v>-19085</c:v>
                </c:pt>
                <c:pt idx="432">
                  <c:v>-9150</c:v>
                </c:pt>
                <c:pt idx="433">
                  <c:v>17720</c:v>
                </c:pt>
                <c:pt idx="434">
                  <c:v>23385</c:v>
                </c:pt>
                <c:pt idx="435">
                  <c:v>-11518</c:v>
                </c:pt>
                <c:pt idx="436">
                  <c:v>-30397</c:v>
                </c:pt>
                <c:pt idx="437">
                  <c:v>-6397</c:v>
                </c:pt>
                <c:pt idx="438">
                  <c:v>4006</c:v>
                </c:pt>
                <c:pt idx="439">
                  <c:v>-7785</c:v>
                </c:pt>
                <c:pt idx="440">
                  <c:v>19200</c:v>
                </c:pt>
                <c:pt idx="441">
                  <c:v>-5444</c:v>
                </c:pt>
                <c:pt idx="442">
                  <c:v>-7433</c:v>
                </c:pt>
                <c:pt idx="443">
                  <c:v>-1949</c:v>
                </c:pt>
                <c:pt idx="444">
                  <c:v>-16251</c:v>
                </c:pt>
                <c:pt idx="445">
                  <c:v>7663</c:v>
                </c:pt>
                <c:pt idx="446">
                  <c:v>37377</c:v>
                </c:pt>
                <c:pt idx="447">
                  <c:v>33639</c:v>
                </c:pt>
                <c:pt idx="448">
                  <c:v>15003</c:v>
                </c:pt>
                <c:pt idx="449">
                  <c:v>38387</c:v>
                </c:pt>
                <c:pt idx="450">
                  <c:v>52507</c:v>
                </c:pt>
                <c:pt idx="451">
                  <c:v>37031</c:v>
                </c:pt>
                <c:pt idx="452">
                  <c:v>37890</c:v>
                </c:pt>
                <c:pt idx="453">
                  <c:v>67958</c:v>
                </c:pt>
                <c:pt idx="454">
                  <c:v>65510</c:v>
                </c:pt>
                <c:pt idx="455">
                  <c:v>29580</c:v>
                </c:pt>
                <c:pt idx="456">
                  <c:v>-7814</c:v>
                </c:pt>
                <c:pt idx="457">
                  <c:v>-9838</c:v>
                </c:pt>
                <c:pt idx="458">
                  <c:v>-29994</c:v>
                </c:pt>
                <c:pt idx="459">
                  <c:v>-27112</c:v>
                </c:pt>
                <c:pt idx="460">
                  <c:v>-44427</c:v>
                </c:pt>
                <c:pt idx="461">
                  <c:v>-59092</c:v>
                </c:pt>
                <c:pt idx="462">
                  <c:v>-70549</c:v>
                </c:pt>
                <c:pt idx="463">
                  <c:v>-63842</c:v>
                </c:pt>
                <c:pt idx="464">
                  <c:v>-52342</c:v>
                </c:pt>
                <c:pt idx="465">
                  <c:v>-54135</c:v>
                </c:pt>
                <c:pt idx="466">
                  <c:v>-41871</c:v>
                </c:pt>
                <c:pt idx="467">
                  <c:v>-41072</c:v>
                </c:pt>
                <c:pt idx="468">
                  <c:v>-53855</c:v>
                </c:pt>
                <c:pt idx="469">
                  <c:v>-36996</c:v>
                </c:pt>
                <c:pt idx="470">
                  <c:v>-23137</c:v>
                </c:pt>
                <c:pt idx="471">
                  <c:v>-6357</c:v>
                </c:pt>
                <c:pt idx="472">
                  <c:v>-12147</c:v>
                </c:pt>
                <c:pt idx="473">
                  <c:v>-2073</c:v>
                </c:pt>
                <c:pt idx="474">
                  <c:v>12118</c:v>
                </c:pt>
                <c:pt idx="475">
                  <c:v>12593</c:v>
                </c:pt>
                <c:pt idx="476">
                  <c:v>5974</c:v>
                </c:pt>
                <c:pt idx="477">
                  <c:v>17775</c:v>
                </c:pt>
                <c:pt idx="478">
                  <c:v>45801</c:v>
                </c:pt>
                <c:pt idx="479">
                  <c:v>62851</c:v>
                </c:pt>
                <c:pt idx="480">
                  <c:v>84239</c:v>
                </c:pt>
                <c:pt idx="481">
                  <c:v>103647</c:v>
                </c:pt>
                <c:pt idx="482">
                  <c:v>99468</c:v>
                </c:pt>
                <c:pt idx="483">
                  <c:v>101738</c:v>
                </c:pt>
                <c:pt idx="484">
                  <c:v>96768</c:v>
                </c:pt>
                <c:pt idx="485">
                  <c:v>78923</c:v>
                </c:pt>
                <c:pt idx="486">
                  <c:v>86813</c:v>
                </c:pt>
                <c:pt idx="487">
                  <c:v>86871</c:v>
                </c:pt>
                <c:pt idx="488">
                  <c:v>83610</c:v>
                </c:pt>
                <c:pt idx="489">
                  <c:v>96119</c:v>
                </c:pt>
                <c:pt idx="490">
                  <c:v>102723</c:v>
                </c:pt>
                <c:pt idx="491">
                  <c:v>97230</c:v>
                </c:pt>
                <c:pt idx="492">
                  <c:v>90280</c:v>
                </c:pt>
                <c:pt idx="493">
                  <c:v>63331</c:v>
                </c:pt>
                <c:pt idx="494">
                  <c:v>97899</c:v>
                </c:pt>
                <c:pt idx="495">
                  <c:v>121450</c:v>
                </c:pt>
                <c:pt idx="496">
                  <c:v>118833</c:v>
                </c:pt>
                <c:pt idx="497">
                  <c:v>128936</c:v>
                </c:pt>
                <c:pt idx="498">
                  <c:v>103132</c:v>
                </c:pt>
                <c:pt idx="499">
                  <c:v>79589</c:v>
                </c:pt>
                <c:pt idx="500">
                  <c:v>63227</c:v>
                </c:pt>
                <c:pt idx="501">
                  <c:v>28167</c:v>
                </c:pt>
                <c:pt idx="502">
                  <c:v>8142</c:v>
                </c:pt>
                <c:pt idx="503">
                  <c:v>4208</c:v>
                </c:pt>
                <c:pt idx="504">
                  <c:v>-24248</c:v>
                </c:pt>
                <c:pt idx="505">
                  <c:v>-38244</c:v>
                </c:pt>
                <c:pt idx="506">
                  <c:v>-33045</c:v>
                </c:pt>
                <c:pt idx="507">
                  <c:v>-16652</c:v>
                </c:pt>
                <c:pt idx="508">
                  <c:v>-31030</c:v>
                </c:pt>
                <c:pt idx="509">
                  <c:v>-42269</c:v>
                </c:pt>
                <c:pt idx="510">
                  <c:v>-59521</c:v>
                </c:pt>
                <c:pt idx="511">
                  <c:v>-61376</c:v>
                </c:pt>
                <c:pt idx="512">
                  <c:v>-60569</c:v>
                </c:pt>
                <c:pt idx="513">
                  <c:v>-73654</c:v>
                </c:pt>
                <c:pt idx="514">
                  <c:v>-73591</c:v>
                </c:pt>
                <c:pt idx="515">
                  <c:v>-45046</c:v>
                </c:pt>
                <c:pt idx="516">
                  <c:v>-8449</c:v>
                </c:pt>
                <c:pt idx="517">
                  <c:v>26115</c:v>
                </c:pt>
                <c:pt idx="518">
                  <c:v>39864</c:v>
                </c:pt>
                <c:pt idx="519">
                  <c:v>48093</c:v>
                </c:pt>
                <c:pt idx="520">
                  <c:v>36041</c:v>
                </c:pt>
                <c:pt idx="521">
                  <c:v>51093</c:v>
                </c:pt>
                <c:pt idx="522">
                  <c:v>82492</c:v>
                </c:pt>
                <c:pt idx="523">
                  <c:v>77912</c:v>
                </c:pt>
                <c:pt idx="524">
                  <c:v>69291</c:v>
                </c:pt>
                <c:pt idx="525">
                  <c:v>87549</c:v>
                </c:pt>
                <c:pt idx="526">
                  <c:v>100666</c:v>
                </c:pt>
                <c:pt idx="527">
                  <c:v>105522</c:v>
                </c:pt>
                <c:pt idx="528">
                  <c:v>102522</c:v>
                </c:pt>
                <c:pt idx="529">
                  <c:v>83637</c:v>
                </c:pt>
                <c:pt idx="530">
                  <c:v>76156</c:v>
                </c:pt>
                <c:pt idx="531">
                  <c:v>92592</c:v>
                </c:pt>
                <c:pt idx="532">
                  <c:v>86593</c:v>
                </c:pt>
                <c:pt idx="533">
                  <c:v>82802</c:v>
                </c:pt>
                <c:pt idx="534">
                  <c:v>81905</c:v>
                </c:pt>
                <c:pt idx="535">
                  <c:v>65985</c:v>
                </c:pt>
                <c:pt idx="536">
                  <c:v>52277</c:v>
                </c:pt>
                <c:pt idx="537">
                  <c:v>55615</c:v>
                </c:pt>
                <c:pt idx="538">
                  <c:v>35787</c:v>
                </c:pt>
                <c:pt idx="539">
                  <c:v>27520</c:v>
                </c:pt>
                <c:pt idx="540">
                  <c:v>961</c:v>
                </c:pt>
                <c:pt idx="541">
                  <c:v>2027</c:v>
                </c:pt>
                <c:pt idx="542">
                  <c:v>2031</c:v>
                </c:pt>
                <c:pt idx="543">
                  <c:v>-28567</c:v>
                </c:pt>
                <c:pt idx="544">
                  <c:v>-43436</c:v>
                </c:pt>
                <c:pt idx="545">
                  <c:v>-35169</c:v>
                </c:pt>
                <c:pt idx="546">
                  <c:v>-59160</c:v>
                </c:pt>
                <c:pt idx="547">
                  <c:v>-84499</c:v>
                </c:pt>
                <c:pt idx="548">
                  <c:v>-49281</c:v>
                </c:pt>
                <c:pt idx="549">
                  <c:v>-52738</c:v>
                </c:pt>
                <c:pt idx="550">
                  <c:v>-58242</c:v>
                </c:pt>
                <c:pt idx="551">
                  <c:v>-49935</c:v>
                </c:pt>
                <c:pt idx="552">
                  <c:v>-35208</c:v>
                </c:pt>
                <c:pt idx="553">
                  <c:v>-24445</c:v>
                </c:pt>
                <c:pt idx="554">
                  <c:v>-12814</c:v>
                </c:pt>
                <c:pt idx="555">
                  <c:v>5680</c:v>
                </c:pt>
                <c:pt idx="556">
                  <c:v>26840</c:v>
                </c:pt>
                <c:pt idx="557">
                  <c:v>22187</c:v>
                </c:pt>
                <c:pt idx="558">
                  <c:v>16640</c:v>
                </c:pt>
                <c:pt idx="559">
                  <c:v>27906</c:v>
                </c:pt>
                <c:pt idx="560">
                  <c:v>49879</c:v>
                </c:pt>
                <c:pt idx="561">
                  <c:v>64941</c:v>
                </c:pt>
                <c:pt idx="562">
                  <c:v>62685</c:v>
                </c:pt>
                <c:pt idx="563">
                  <c:v>50206</c:v>
                </c:pt>
                <c:pt idx="564">
                  <c:v>49584</c:v>
                </c:pt>
                <c:pt idx="565">
                  <c:v>67009</c:v>
                </c:pt>
                <c:pt idx="566">
                  <c:v>75327</c:v>
                </c:pt>
                <c:pt idx="567">
                  <c:v>79372</c:v>
                </c:pt>
                <c:pt idx="568">
                  <c:v>71605</c:v>
                </c:pt>
                <c:pt idx="569">
                  <c:v>79159</c:v>
                </c:pt>
                <c:pt idx="570">
                  <c:v>103023</c:v>
                </c:pt>
                <c:pt idx="571">
                  <c:v>124978</c:v>
                </c:pt>
                <c:pt idx="572">
                  <c:v>132252</c:v>
                </c:pt>
                <c:pt idx="573">
                  <c:v>109789</c:v>
                </c:pt>
                <c:pt idx="574">
                  <c:v>81121</c:v>
                </c:pt>
                <c:pt idx="575">
                  <c:v>29561</c:v>
                </c:pt>
                <c:pt idx="576">
                  <c:v>10077</c:v>
                </c:pt>
                <c:pt idx="577">
                  <c:v>3798</c:v>
                </c:pt>
                <c:pt idx="578">
                  <c:v>17934</c:v>
                </c:pt>
                <c:pt idx="579">
                  <c:v>35437</c:v>
                </c:pt>
                <c:pt idx="580">
                  <c:v>45928</c:v>
                </c:pt>
                <c:pt idx="581">
                  <c:v>50369</c:v>
                </c:pt>
                <c:pt idx="582">
                  <c:v>31755</c:v>
                </c:pt>
                <c:pt idx="583">
                  <c:v>-12302</c:v>
                </c:pt>
                <c:pt idx="584">
                  <c:v>-50228</c:v>
                </c:pt>
                <c:pt idx="585">
                  <c:v>-55007</c:v>
                </c:pt>
                <c:pt idx="586">
                  <c:v>-39336</c:v>
                </c:pt>
                <c:pt idx="587">
                  <c:v>-27851</c:v>
                </c:pt>
                <c:pt idx="588">
                  <c:v>-15311</c:v>
                </c:pt>
                <c:pt idx="589">
                  <c:v>-3822</c:v>
                </c:pt>
                <c:pt idx="590">
                  <c:v>-13906</c:v>
                </c:pt>
                <c:pt idx="591">
                  <c:v>-54717</c:v>
                </c:pt>
                <c:pt idx="592">
                  <c:v>-71823</c:v>
                </c:pt>
                <c:pt idx="593">
                  <c:v>-54691</c:v>
                </c:pt>
                <c:pt idx="594">
                  <c:v>-84621</c:v>
                </c:pt>
                <c:pt idx="595">
                  <c:v>-112224</c:v>
                </c:pt>
                <c:pt idx="596">
                  <c:v>-115627</c:v>
                </c:pt>
                <c:pt idx="597">
                  <c:v>-124546</c:v>
                </c:pt>
                <c:pt idx="598">
                  <c:v>-132670</c:v>
                </c:pt>
                <c:pt idx="599">
                  <c:v>-124398</c:v>
                </c:pt>
                <c:pt idx="600">
                  <c:v>-138189</c:v>
                </c:pt>
                <c:pt idx="601">
                  <c:v>-120669</c:v>
                </c:pt>
                <c:pt idx="602">
                  <c:v>-142169</c:v>
                </c:pt>
                <c:pt idx="603">
                  <c:v>-149979</c:v>
                </c:pt>
                <c:pt idx="604">
                  <c:v>-158147</c:v>
                </c:pt>
                <c:pt idx="605">
                  <c:v>-207089</c:v>
                </c:pt>
                <c:pt idx="606">
                  <c:v>-198334</c:v>
                </c:pt>
                <c:pt idx="607">
                  <c:v>-176974</c:v>
                </c:pt>
                <c:pt idx="608">
                  <c:v>-162545</c:v>
                </c:pt>
                <c:pt idx="609">
                  <c:v>-161763</c:v>
                </c:pt>
                <c:pt idx="610">
                  <c:v>-158456</c:v>
                </c:pt>
                <c:pt idx="611">
                  <c:v>-163262</c:v>
                </c:pt>
                <c:pt idx="612">
                  <c:v>-176713</c:v>
                </c:pt>
                <c:pt idx="613">
                  <c:v>-153316</c:v>
                </c:pt>
                <c:pt idx="614">
                  <c:v>-145315</c:v>
                </c:pt>
                <c:pt idx="615">
                  <c:v>-136691</c:v>
                </c:pt>
                <c:pt idx="616">
                  <c:v>-143589</c:v>
                </c:pt>
                <c:pt idx="617">
                  <c:v>-139892</c:v>
                </c:pt>
                <c:pt idx="618">
                  <c:v>-144378</c:v>
                </c:pt>
                <c:pt idx="619">
                  <c:v>-138181</c:v>
                </c:pt>
                <c:pt idx="620">
                  <c:v>-154017</c:v>
                </c:pt>
                <c:pt idx="621">
                  <c:v>-147942</c:v>
                </c:pt>
                <c:pt idx="622">
                  <c:v>-113934</c:v>
                </c:pt>
                <c:pt idx="623">
                  <c:v>-109430</c:v>
                </c:pt>
                <c:pt idx="624">
                  <c:v>-127490</c:v>
                </c:pt>
                <c:pt idx="625">
                  <c:v>-131839</c:v>
                </c:pt>
                <c:pt idx="626">
                  <c:v>-106987</c:v>
                </c:pt>
                <c:pt idx="627">
                  <c:v>-77674</c:v>
                </c:pt>
                <c:pt idx="628">
                  <c:v>-79881</c:v>
                </c:pt>
                <c:pt idx="629">
                  <c:v>-75096</c:v>
                </c:pt>
                <c:pt idx="630">
                  <c:v>-68103</c:v>
                </c:pt>
                <c:pt idx="631">
                  <c:v>-78898</c:v>
                </c:pt>
                <c:pt idx="632">
                  <c:v>-78687</c:v>
                </c:pt>
                <c:pt idx="633">
                  <c:v>-72191</c:v>
                </c:pt>
                <c:pt idx="634">
                  <c:v>-80119</c:v>
                </c:pt>
                <c:pt idx="635">
                  <c:v>-72570</c:v>
                </c:pt>
                <c:pt idx="636">
                  <c:v>-56989</c:v>
                </c:pt>
                <c:pt idx="637">
                  <c:v>-38781</c:v>
                </c:pt>
                <c:pt idx="638">
                  <c:v>-43382</c:v>
                </c:pt>
                <c:pt idx="639">
                  <c:v>-50888</c:v>
                </c:pt>
                <c:pt idx="640">
                  <c:v>-65575</c:v>
                </c:pt>
                <c:pt idx="641">
                  <c:v>-76191</c:v>
                </c:pt>
                <c:pt idx="642">
                  <c:v>-58920</c:v>
                </c:pt>
                <c:pt idx="643">
                  <c:v>-38258</c:v>
                </c:pt>
                <c:pt idx="644">
                  <c:v>2087</c:v>
                </c:pt>
                <c:pt idx="645">
                  <c:v>43310</c:v>
                </c:pt>
                <c:pt idx="646">
                  <c:v>64088</c:v>
                </c:pt>
                <c:pt idx="647">
                  <c:v>69826</c:v>
                </c:pt>
                <c:pt idx="648">
                  <c:v>71897</c:v>
                </c:pt>
                <c:pt idx="649">
                  <c:v>63238</c:v>
                </c:pt>
                <c:pt idx="650">
                  <c:v>63505</c:v>
                </c:pt>
                <c:pt idx="651">
                  <c:v>40221</c:v>
                </c:pt>
                <c:pt idx="652">
                  <c:v>3743</c:v>
                </c:pt>
                <c:pt idx="653">
                  <c:v>-14544</c:v>
                </c:pt>
                <c:pt idx="654">
                  <c:v>-22994</c:v>
                </c:pt>
                <c:pt idx="655">
                  <c:v>-22386</c:v>
                </c:pt>
                <c:pt idx="656">
                  <c:v>-31208</c:v>
                </c:pt>
                <c:pt idx="657">
                  <c:v>-42473</c:v>
                </c:pt>
                <c:pt idx="658">
                  <c:v>-37715</c:v>
                </c:pt>
                <c:pt idx="659">
                  <c:v>-40773</c:v>
                </c:pt>
                <c:pt idx="660">
                  <c:v>-33926</c:v>
                </c:pt>
                <c:pt idx="661">
                  <c:v>-41863</c:v>
                </c:pt>
                <c:pt idx="662">
                  <c:v>-57974</c:v>
                </c:pt>
                <c:pt idx="663">
                  <c:v>-58468</c:v>
                </c:pt>
                <c:pt idx="664">
                  <c:v>-42764</c:v>
                </c:pt>
                <c:pt idx="665">
                  <c:v>-35059</c:v>
                </c:pt>
                <c:pt idx="666">
                  <c:v>-21633</c:v>
                </c:pt>
                <c:pt idx="667">
                  <c:v>-10222</c:v>
                </c:pt>
                <c:pt idx="668">
                  <c:v>-10180</c:v>
                </c:pt>
                <c:pt idx="669">
                  <c:v>-13496</c:v>
                </c:pt>
                <c:pt idx="670">
                  <c:v>7891</c:v>
                </c:pt>
                <c:pt idx="671">
                  <c:v>1988</c:v>
                </c:pt>
                <c:pt idx="672">
                  <c:v>46753</c:v>
                </c:pt>
                <c:pt idx="673">
                  <c:v>39144</c:v>
                </c:pt>
                <c:pt idx="674">
                  <c:v>20494</c:v>
                </c:pt>
                <c:pt idx="675">
                  <c:v>30797</c:v>
                </c:pt>
                <c:pt idx="676">
                  <c:v>28500</c:v>
                </c:pt>
                <c:pt idx="677">
                  <c:v>74682</c:v>
                </c:pt>
                <c:pt idx="678">
                  <c:v>70382</c:v>
                </c:pt>
                <c:pt idx="679">
                  <c:v>51030</c:v>
                </c:pt>
                <c:pt idx="680">
                  <c:v>62463</c:v>
                </c:pt>
                <c:pt idx="681">
                  <c:v>68527</c:v>
                </c:pt>
                <c:pt idx="682">
                  <c:v>88829</c:v>
                </c:pt>
                <c:pt idx="683">
                  <c:v>104403</c:v>
                </c:pt>
                <c:pt idx="684">
                  <c:v>122197</c:v>
                </c:pt>
                <c:pt idx="685">
                  <c:v>111580</c:v>
                </c:pt>
                <c:pt idx="686">
                  <c:v>101916</c:v>
                </c:pt>
                <c:pt idx="687">
                  <c:v>99192</c:v>
                </c:pt>
                <c:pt idx="688">
                  <c:v>103088</c:v>
                </c:pt>
                <c:pt idx="689">
                  <c:v>110371</c:v>
                </c:pt>
                <c:pt idx="690">
                  <c:v>134685</c:v>
                </c:pt>
                <c:pt idx="691">
                  <c:v>143766</c:v>
                </c:pt>
                <c:pt idx="692">
                  <c:v>137593</c:v>
                </c:pt>
                <c:pt idx="693">
                  <c:v>138776</c:v>
                </c:pt>
                <c:pt idx="694">
                  <c:v>144631</c:v>
                </c:pt>
                <c:pt idx="695">
                  <c:v>137955</c:v>
                </c:pt>
                <c:pt idx="696">
                  <c:v>136457</c:v>
                </c:pt>
                <c:pt idx="697">
                  <c:v>132262</c:v>
                </c:pt>
                <c:pt idx="698">
                  <c:v>120819</c:v>
                </c:pt>
                <c:pt idx="699">
                  <c:v>112096</c:v>
                </c:pt>
                <c:pt idx="700">
                  <c:v>100160</c:v>
                </c:pt>
                <c:pt idx="701">
                  <c:v>33314</c:v>
                </c:pt>
                <c:pt idx="702">
                  <c:v>13595</c:v>
                </c:pt>
                <c:pt idx="703">
                  <c:v>-14388</c:v>
                </c:pt>
                <c:pt idx="704">
                  <c:v>-39845</c:v>
                </c:pt>
                <c:pt idx="705">
                  <c:v>-54972</c:v>
                </c:pt>
                <c:pt idx="706">
                  <c:v>-28839</c:v>
                </c:pt>
                <c:pt idx="707">
                  <c:v>-7848</c:v>
                </c:pt>
                <c:pt idx="708">
                  <c:v>-11411</c:v>
                </c:pt>
                <c:pt idx="709">
                  <c:v>-3942</c:v>
                </c:pt>
                <c:pt idx="710">
                  <c:v>4946</c:v>
                </c:pt>
                <c:pt idx="711">
                  <c:v>3262</c:v>
                </c:pt>
                <c:pt idx="712">
                  <c:v>32085</c:v>
                </c:pt>
                <c:pt idx="713">
                  <c:v>45759</c:v>
                </c:pt>
                <c:pt idx="714">
                  <c:v>62357</c:v>
                </c:pt>
                <c:pt idx="715">
                  <c:v>52930</c:v>
                </c:pt>
                <c:pt idx="716">
                  <c:v>43422</c:v>
                </c:pt>
                <c:pt idx="717">
                  <c:v>45291</c:v>
                </c:pt>
                <c:pt idx="718">
                  <c:v>53344</c:v>
                </c:pt>
                <c:pt idx="719">
                  <c:v>41328</c:v>
                </c:pt>
                <c:pt idx="720">
                  <c:v>40649</c:v>
                </c:pt>
                <c:pt idx="721">
                  <c:v>66075</c:v>
                </c:pt>
                <c:pt idx="722">
                  <c:v>57013</c:v>
                </c:pt>
                <c:pt idx="723">
                  <c:v>69318</c:v>
                </c:pt>
                <c:pt idx="724">
                  <c:v>81434</c:v>
                </c:pt>
                <c:pt idx="725">
                  <c:v>46545</c:v>
                </c:pt>
                <c:pt idx="726">
                  <c:v>64130</c:v>
                </c:pt>
                <c:pt idx="727">
                  <c:v>65686</c:v>
                </c:pt>
                <c:pt idx="728">
                  <c:v>53180</c:v>
                </c:pt>
                <c:pt idx="729">
                  <c:v>50867</c:v>
                </c:pt>
                <c:pt idx="730">
                  <c:v>36454</c:v>
                </c:pt>
                <c:pt idx="731">
                  <c:v>21099</c:v>
                </c:pt>
                <c:pt idx="732">
                  <c:v>3927</c:v>
                </c:pt>
                <c:pt idx="733">
                  <c:v>5120</c:v>
                </c:pt>
                <c:pt idx="734">
                  <c:v>410</c:v>
                </c:pt>
                <c:pt idx="735">
                  <c:v>10147</c:v>
                </c:pt>
                <c:pt idx="736">
                  <c:v>3921</c:v>
                </c:pt>
                <c:pt idx="737">
                  <c:v>13313</c:v>
                </c:pt>
                <c:pt idx="738">
                  <c:v>25292</c:v>
                </c:pt>
                <c:pt idx="739">
                  <c:v>34206</c:v>
                </c:pt>
                <c:pt idx="740">
                  <c:v>34329</c:v>
                </c:pt>
                <c:pt idx="741">
                  <c:v>26421</c:v>
                </c:pt>
                <c:pt idx="742">
                  <c:v>20512</c:v>
                </c:pt>
                <c:pt idx="743">
                  <c:v>17868</c:v>
                </c:pt>
                <c:pt idx="744">
                  <c:v>23502</c:v>
                </c:pt>
                <c:pt idx="745">
                  <c:v>28323</c:v>
                </c:pt>
                <c:pt idx="746">
                  <c:v>9128</c:v>
                </c:pt>
                <c:pt idx="747">
                  <c:v>13068</c:v>
                </c:pt>
                <c:pt idx="748">
                  <c:v>32744</c:v>
                </c:pt>
                <c:pt idx="749">
                  <c:v>38419</c:v>
                </c:pt>
                <c:pt idx="750">
                  <c:v>40767</c:v>
                </c:pt>
                <c:pt idx="751">
                  <c:v>40974</c:v>
                </c:pt>
                <c:pt idx="752">
                  <c:v>43158</c:v>
                </c:pt>
                <c:pt idx="753">
                  <c:v>42657</c:v>
                </c:pt>
                <c:pt idx="754">
                  <c:v>35330</c:v>
                </c:pt>
                <c:pt idx="755">
                  <c:v>37450</c:v>
                </c:pt>
                <c:pt idx="756">
                  <c:v>36357</c:v>
                </c:pt>
                <c:pt idx="757">
                  <c:v>22605</c:v>
                </c:pt>
                <c:pt idx="758">
                  <c:v>15692</c:v>
                </c:pt>
                <c:pt idx="759">
                  <c:v>37335</c:v>
                </c:pt>
                <c:pt idx="760">
                  <c:v>41945</c:v>
                </c:pt>
                <c:pt idx="761">
                  <c:v>38501</c:v>
                </c:pt>
                <c:pt idx="762">
                  <c:v>33355</c:v>
                </c:pt>
                <c:pt idx="763">
                  <c:v>16234</c:v>
                </c:pt>
                <c:pt idx="764">
                  <c:v>32375</c:v>
                </c:pt>
                <c:pt idx="765">
                  <c:v>60095</c:v>
                </c:pt>
                <c:pt idx="766">
                  <c:v>65199</c:v>
                </c:pt>
                <c:pt idx="767">
                  <c:v>54600</c:v>
                </c:pt>
                <c:pt idx="768">
                  <c:v>48134</c:v>
                </c:pt>
                <c:pt idx="769">
                  <c:v>32020</c:v>
                </c:pt>
                <c:pt idx="770">
                  <c:v>32361</c:v>
                </c:pt>
                <c:pt idx="771">
                  <c:v>27210</c:v>
                </c:pt>
                <c:pt idx="772">
                  <c:v>32223</c:v>
                </c:pt>
                <c:pt idx="773">
                  <c:v>35650</c:v>
                </c:pt>
                <c:pt idx="774">
                  <c:v>39069</c:v>
                </c:pt>
                <c:pt idx="775">
                  <c:v>46758</c:v>
                </c:pt>
                <c:pt idx="776">
                  <c:v>38316</c:v>
                </c:pt>
                <c:pt idx="777">
                  <c:v>41355</c:v>
                </c:pt>
                <c:pt idx="778">
                  <c:v>46259</c:v>
                </c:pt>
                <c:pt idx="779">
                  <c:v>43450</c:v>
                </c:pt>
                <c:pt idx="780">
                  <c:v>60842</c:v>
                </c:pt>
                <c:pt idx="781">
                  <c:v>63426</c:v>
                </c:pt>
                <c:pt idx="782">
                  <c:v>57533</c:v>
                </c:pt>
                <c:pt idx="783">
                  <c:v>62454</c:v>
                </c:pt>
                <c:pt idx="784">
                  <c:v>107242</c:v>
                </c:pt>
                <c:pt idx="785">
                  <c:v>113308</c:v>
                </c:pt>
                <c:pt idx="786">
                  <c:v>114370</c:v>
                </c:pt>
                <c:pt idx="787">
                  <c:v>100772</c:v>
                </c:pt>
                <c:pt idx="788">
                  <c:v>95082</c:v>
                </c:pt>
                <c:pt idx="789">
                  <c:v>63306</c:v>
                </c:pt>
                <c:pt idx="790">
                  <c:v>38724</c:v>
                </c:pt>
                <c:pt idx="791">
                  <c:v>28795</c:v>
                </c:pt>
                <c:pt idx="792">
                  <c:v>26679</c:v>
                </c:pt>
                <c:pt idx="793">
                  <c:v>30930</c:v>
                </c:pt>
                <c:pt idx="794">
                  <c:v>4249</c:v>
                </c:pt>
                <c:pt idx="795">
                  <c:v>-11473</c:v>
                </c:pt>
                <c:pt idx="796">
                  <c:v>-15768</c:v>
                </c:pt>
                <c:pt idx="797">
                  <c:v>-17580</c:v>
                </c:pt>
                <c:pt idx="798">
                  <c:v>-17013</c:v>
                </c:pt>
                <c:pt idx="799">
                  <c:v>-6535</c:v>
                </c:pt>
                <c:pt idx="800">
                  <c:v>4439</c:v>
                </c:pt>
                <c:pt idx="801">
                  <c:v>3733</c:v>
                </c:pt>
                <c:pt idx="802">
                  <c:v>-15356</c:v>
                </c:pt>
                <c:pt idx="803">
                  <c:v>-18789</c:v>
                </c:pt>
                <c:pt idx="804">
                  <c:v>-11217</c:v>
                </c:pt>
                <c:pt idx="805">
                  <c:v>-13398</c:v>
                </c:pt>
                <c:pt idx="806">
                  <c:v>-10958</c:v>
                </c:pt>
                <c:pt idx="807">
                  <c:v>-13988</c:v>
                </c:pt>
                <c:pt idx="808">
                  <c:v>-17086</c:v>
                </c:pt>
                <c:pt idx="809">
                  <c:v>-21347</c:v>
                </c:pt>
                <c:pt idx="810">
                  <c:v>-23794</c:v>
                </c:pt>
                <c:pt idx="811">
                  <c:v>-9348</c:v>
                </c:pt>
                <c:pt idx="812">
                  <c:v>-3454</c:v>
                </c:pt>
                <c:pt idx="813">
                  <c:v>6392</c:v>
                </c:pt>
                <c:pt idx="814">
                  <c:v>11892</c:v>
                </c:pt>
                <c:pt idx="815">
                  <c:v>36062</c:v>
                </c:pt>
                <c:pt idx="816">
                  <c:v>50314</c:v>
                </c:pt>
                <c:pt idx="817">
                  <c:v>19840</c:v>
                </c:pt>
                <c:pt idx="818">
                  <c:v>17099</c:v>
                </c:pt>
                <c:pt idx="819">
                  <c:v>15654</c:v>
                </c:pt>
                <c:pt idx="820">
                  <c:v>10539</c:v>
                </c:pt>
                <c:pt idx="821">
                  <c:v>-9495</c:v>
                </c:pt>
                <c:pt idx="822">
                  <c:v>-28852</c:v>
                </c:pt>
                <c:pt idx="823">
                  <c:v>-40848</c:v>
                </c:pt>
                <c:pt idx="824">
                  <c:v>-49413</c:v>
                </c:pt>
                <c:pt idx="825">
                  <c:v>-48744</c:v>
                </c:pt>
                <c:pt idx="826">
                  <c:v>-58472</c:v>
                </c:pt>
                <c:pt idx="827">
                  <c:v>-57877</c:v>
                </c:pt>
                <c:pt idx="828">
                  <c:v>-62172</c:v>
                </c:pt>
                <c:pt idx="829">
                  <c:v>-53029</c:v>
                </c:pt>
                <c:pt idx="830">
                  <c:v>-53510</c:v>
                </c:pt>
                <c:pt idx="831">
                  <c:v>-44440</c:v>
                </c:pt>
                <c:pt idx="832">
                  <c:v>-37639</c:v>
                </c:pt>
                <c:pt idx="833">
                  <c:v>-32444</c:v>
                </c:pt>
                <c:pt idx="834">
                  <c:v>-43858</c:v>
                </c:pt>
                <c:pt idx="835">
                  <c:v>-35128</c:v>
                </c:pt>
                <c:pt idx="836">
                  <c:v>-16946</c:v>
                </c:pt>
                <c:pt idx="837">
                  <c:v>-9405</c:v>
                </c:pt>
                <c:pt idx="838">
                  <c:v>4177</c:v>
                </c:pt>
                <c:pt idx="839">
                  <c:v>9131</c:v>
                </c:pt>
                <c:pt idx="840">
                  <c:v>6701</c:v>
                </c:pt>
                <c:pt idx="841">
                  <c:v>9790</c:v>
                </c:pt>
                <c:pt idx="842">
                  <c:v>34661</c:v>
                </c:pt>
                <c:pt idx="843">
                  <c:v>28459</c:v>
                </c:pt>
                <c:pt idx="844">
                  <c:v>30642</c:v>
                </c:pt>
                <c:pt idx="845">
                  <c:v>-35925</c:v>
                </c:pt>
                <c:pt idx="846">
                  <c:v>-61137</c:v>
                </c:pt>
                <c:pt idx="847">
                  <c:v>-63133</c:v>
                </c:pt>
                <c:pt idx="848">
                  <c:v>-64402</c:v>
                </c:pt>
                <c:pt idx="849">
                  <c:v>-78115</c:v>
                </c:pt>
                <c:pt idx="850">
                  <c:v>-88097</c:v>
                </c:pt>
                <c:pt idx="851">
                  <c:v>-96931</c:v>
                </c:pt>
                <c:pt idx="852">
                  <c:v>-99542</c:v>
                </c:pt>
                <c:pt idx="853">
                  <c:v>-109719</c:v>
                </c:pt>
                <c:pt idx="854">
                  <c:v>-120215</c:v>
                </c:pt>
                <c:pt idx="855">
                  <c:v>-130076</c:v>
                </c:pt>
                <c:pt idx="856">
                  <c:v>-119840</c:v>
                </c:pt>
                <c:pt idx="857">
                  <c:v>-111878</c:v>
                </c:pt>
                <c:pt idx="858">
                  <c:v>-134537</c:v>
                </c:pt>
                <c:pt idx="859">
                  <c:v>-135159</c:v>
                </c:pt>
                <c:pt idx="860">
                  <c:v>-120932</c:v>
                </c:pt>
                <c:pt idx="861">
                  <c:v>-108588</c:v>
                </c:pt>
                <c:pt idx="862">
                  <c:v>-106320</c:v>
                </c:pt>
                <c:pt idx="863">
                  <c:v>-108246</c:v>
                </c:pt>
                <c:pt idx="864">
                  <c:v>-121425</c:v>
                </c:pt>
                <c:pt idx="865">
                  <c:v>-105928</c:v>
                </c:pt>
                <c:pt idx="866">
                  <c:v>-84291</c:v>
                </c:pt>
                <c:pt idx="867">
                  <c:v>-75746</c:v>
                </c:pt>
                <c:pt idx="868">
                  <c:v>-116668</c:v>
                </c:pt>
                <c:pt idx="869">
                  <c:v>-110666</c:v>
                </c:pt>
                <c:pt idx="870">
                  <c:v>-97125</c:v>
                </c:pt>
                <c:pt idx="871">
                  <c:v>-84122</c:v>
                </c:pt>
                <c:pt idx="872">
                  <c:v>-51860</c:v>
                </c:pt>
                <c:pt idx="873">
                  <c:v>-34107</c:v>
                </c:pt>
                <c:pt idx="874">
                  <c:v>-20229</c:v>
                </c:pt>
                <c:pt idx="875">
                  <c:v>-10902</c:v>
                </c:pt>
                <c:pt idx="876">
                  <c:v>-4627</c:v>
                </c:pt>
                <c:pt idx="877">
                  <c:v>-14035</c:v>
                </c:pt>
                <c:pt idx="878">
                  <c:v>-15984</c:v>
                </c:pt>
                <c:pt idx="879">
                  <c:v>-20874</c:v>
                </c:pt>
                <c:pt idx="880">
                  <c:v>-22620</c:v>
                </c:pt>
                <c:pt idx="881">
                  <c:v>-10192</c:v>
                </c:pt>
                <c:pt idx="882">
                  <c:v>2257</c:v>
                </c:pt>
                <c:pt idx="883">
                  <c:v>-15436</c:v>
                </c:pt>
                <c:pt idx="884">
                  <c:v>-9963</c:v>
                </c:pt>
                <c:pt idx="885">
                  <c:v>-21337</c:v>
                </c:pt>
                <c:pt idx="886">
                  <c:v>-8809</c:v>
                </c:pt>
                <c:pt idx="887">
                  <c:v>-24146</c:v>
                </c:pt>
                <c:pt idx="888">
                  <c:v>399</c:v>
                </c:pt>
                <c:pt idx="889">
                  <c:v>-6092</c:v>
                </c:pt>
                <c:pt idx="890">
                  <c:v>-29969</c:v>
                </c:pt>
                <c:pt idx="891">
                  <c:v>-80504</c:v>
                </c:pt>
                <c:pt idx="892">
                  <c:v>-102088</c:v>
                </c:pt>
                <c:pt idx="893">
                  <c:v>-122339</c:v>
                </c:pt>
                <c:pt idx="894">
                  <c:v>-138001</c:v>
                </c:pt>
                <c:pt idx="895">
                  <c:v>-140634</c:v>
                </c:pt>
                <c:pt idx="896">
                  <c:v>-140518</c:v>
                </c:pt>
                <c:pt idx="897">
                  <c:v>-136084</c:v>
                </c:pt>
                <c:pt idx="898">
                  <c:v>-115304</c:v>
                </c:pt>
                <c:pt idx="899">
                  <c:v>-106791</c:v>
                </c:pt>
                <c:pt idx="900">
                  <c:v>-108886</c:v>
                </c:pt>
                <c:pt idx="901">
                  <c:v>-93593</c:v>
                </c:pt>
                <c:pt idx="902">
                  <c:v>-57069</c:v>
                </c:pt>
                <c:pt idx="903">
                  <c:v>-42932</c:v>
                </c:pt>
                <c:pt idx="904">
                  <c:v>-25689</c:v>
                </c:pt>
                <c:pt idx="905">
                  <c:v>-32350</c:v>
                </c:pt>
                <c:pt idx="906">
                  <c:v>-29635</c:v>
                </c:pt>
                <c:pt idx="907">
                  <c:v>-7848</c:v>
                </c:pt>
                <c:pt idx="908">
                  <c:v>-22157</c:v>
                </c:pt>
                <c:pt idx="909">
                  <c:v>-4679</c:v>
                </c:pt>
                <c:pt idx="910">
                  <c:v>-12947</c:v>
                </c:pt>
                <c:pt idx="911">
                  <c:v>17525</c:v>
                </c:pt>
                <c:pt idx="912">
                  <c:v>32126</c:v>
                </c:pt>
                <c:pt idx="913">
                  <c:v>30740</c:v>
                </c:pt>
                <c:pt idx="914">
                  <c:v>51275</c:v>
                </c:pt>
                <c:pt idx="915">
                  <c:v>19944</c:v>
                </c:pt>
                <c:pt idx="916">
                  <c:v>-42752</c:v>
                </c:pt>
                <c:pt idx="917">
                  <c:v>-69209</c:v>
                </c:pt>
                <c:pt idx="918">
                  <c:v>-110478</c:v>
                </c:pt>
                <c:pt idx="919">
                  <c:v>-153697</c:v>
                </c:pt>
                <c:pt idx="920">
                  <c:v>-161022</c:v>
                </c:pt>
                <c:pt idx="921">
                  <c:v>-147465</c:v>
                </c:pt>
                <c:pt idx="922">
                  <c:v>-160126</c:v>
                </c:pt>
                <c:pt idx="923">
                  <c:v>-158389</c:v>
                </c:pt>
                <c:pt idx="924">
                  <c:v>-168751</c:v>
                </c:pt>
                <c:pt idx="925">
                  <c:v>-184252</c:v>
                </c:pt>
                <c:pt idx="926">
                  <c:v>-195850</c:v>
                </c:pt>
                <c:pt idx="927">
                  <c:v>-135313</c:v>
                </c:pt>
                <c:pt idx="928">
                  <c:v>-77711</c:v>
                </c:pt>
                <c:pt idx="929">
                  <c:v>-43564</c:v>
                </c:pt>
                <c:pt idx="930">
                  <c:v>-44961</c:v>
                </c:pt>
                <c:pt idx="931">
                  <c:v>-91317</c:v>
                </c:pt>
                <c:pt idx="932">
                  <c:v>-121278</c:v>
                </c:pt>
                <c:pt idx="933">
                  <c:v>-81052</c:v>
                </c:pt>
                <c:pt idx="934">
                  <c:v>-87980</c:v>
                </c:pt>
                <c:pt idx="935">
                  <c:v>-73408</c:v>
                </c:pt>
                <c:pt idx="936">
                  <c:v>-70698</c:v>
                </c:pt>
                <c:pt idx="937">
                  <c:v>-84665</c:v>
                </c:pt>
                <c:pt idx="938">
                  <c:v>-90346</c:v>
                </c:pt>
                <c:pt idx="939">
                  <c:v>-77115</c:v>
                </c:pt>
                <c:pt idx="940">
                  <c:v>-87406</c:v>
                </c:pt>
                <c:pt idx="941">
                  <c:v>-64085</c:v>
                </c:pt>
                <c:pt idx="942">
                  <c:v>-28773</c:v>
                </c:pt>
                <c:pt idx="943">
                  <c:v>-15799</c:v>
                </c:pt>
                <c:pt idx="944">
                  <c:v>24629</c:v>
                </c:pt>
                <c:pt idx="945">
                  <c:v>71837</c:v>
                </c:pt>
                <c:pt idx="946">
                  <c:v>102775</c:v>
                </c:pt>
                <c:pt idx="947">
                  <c:v>119760</c:v>
                </c:pt>
                <c:pt idx="948">
                  <c:v>98609</c:v>
                </c:pt>
                <c:pt idx="949">
                  <c:v>82726</c:v>
                </c:pt>
                <c:pt idx="950">
                  <c:v>89946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89-46E4-B186-9E7FEBA19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438208"/>
        <c:axId val="1152040960"/>
      </c:lineChart>
      <c:lineChart>
        <c:grouping val="standard"/>
        <c:varyColors val="0"/>
        <c:ser>
          <c:idx val="1"/>
          <c:order val="1"/>
          <c:tx>
            <c:v>NEARBY FUTURES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'Oil Share Data'!$A$2:$A$13</c:f>
              <c:numCache>
                <c:formatCode>[$-409]d\-mmm\-yy;@</c:formatCode>
                <c:ptCount val="12"/>
                <c:pt idx="0">
                  <c:v>38965</c:v>
                </c:pt>
                <c:pt idx="1">
                  <c:v>38972</c:v>
                </c:pt>
                <c:pt idx="2">
                  <c:v>38979</c:v>
                </c:pt>
                <c:pt idx="3">
                  <c:v>38986</c:v>
                </c:pt>
                <c:pt idx="4">
                  <c:v>38993</c:v>
                </c:pt>
                <c:pt idx="5">
                  <c:v>39000</c:v>
                </c:pt>
                <c:pt idx="6">
                  <c:v>39007</c:v>
                </c:pt>
                <c:pt idx="7">
                  <c:v>39014</c:v>
                </c:pt>
                <c:pt idx="8">
                  <c:v>39021</c:v>
                </c:pt>
                <c:pt idx="9">
                  <c:v>39028</c:v>
                </c:pt>
                <c:pt idx="10">
                  <c:v>39035</c:v>
                </c:pt>
                <c:pt idx="11">
                  <c:v>39042</c:v>
                </c:pt>
              </c:numCache>
            </c:numRef>
          </c:cat>
          <c:val>
            <c:numRef>
              <c:f>'Oil Share Data'!$C$2:$C$2000</c:f>
              <c:numCache>
                <c:formatCode>#,##0.00_);[Red]\(#,##0.00\)</c:formatCode>
                <c:ptCount val="1999"/>
                <c:pt idx="0">
                  <c:v>24.5</c:v>
                </c:pt>
                <c:pt idx="1">
                  <c:v>24.69</c:v>
                </c:pt>
                <c:pt idx="2">
                  <c:v>23.87</c:v>
                </c:pt>
                <c:pt idx="3">
                  <c:v>23.77</c:v>
                </c:pt>
                <c:pt idx="4">
                  <c:v>24</c:v>
                </c:pt>
                <c:pt idx="5">
                  <c:v>24.82</c:v>
                </c:pt>
                <c:pt idx="6">
                  <c:v>26.17</c:v>
                </c:pt>
                <c:pt idx="7">
                  <c:v>27.5</c:v>
                </c:pt>
                <c:pt idx="8">
                  <c:v>27.68</c:v>
                </c:pt>
                <c:pt idx="9">
                  <c:v>27.69</c:v>
                </c:pt>
                <c:pt idx="10">
                  <c:v>28.28</c:v>
                </c:pt>
                <c:pt idx="11">
                  <c:v>28.89</c:v>
                </c:pt>
                <c:pt idx="12">
                  <c:v>29.23</c:v>
                </c:pt>
                <c:pt idx="13">
                  <c:v>28.28</c:v>
                </c:pt>
                <c:pt idx="14">
                  <c:v>28.15</c:v>
                </c:pt>
                <c:pt idx="15">
                  <c:v>28.42</c:v>
                </c:pt>
                <c:pt idx="16">
                  <c:v>29.26</c:v>
                </c:pt>
                <c:pt idx="17">
                  <c:v>28.4</c:v>
                </c:pt>
                <c:pt idx="18">
                  <c:v>28.8</c:v>
                </c:pt>
                <c:pt idx="19">
                  <c:v>29.3</c:v>
                </c:pt>
                <c:pt idx="20">
                  <c:v>29</c:v>
                </c:pt>
                <c:pt idx="21">
                  <c:v>30.37</c:v>
                </c:pt>
                <c:pt idx="22">
                  <c:v>30.34</c:v>
                </c:pt>
                <c:pt idx="23">
                  <c:v>29.91</c:v>
                </c:pt>
                <c:pt idx="24">
                  <c:v>30.39</c:v>
                </c:pt>
                <c:pt idx="25">
                  <c:v>29.69</c:v>
                </c:pt>
                <c:pt idx="26">
                  <c:v>30.22</c:v>
                </c:pt>
                <c:pt idx="27">
                  <c:v>30.77</c:v>
                </c:pt>
                <c:pt idx="28">
                  <c:v>31.96</c:v>
                </c:pt>
                <c:pt idx="29">
                  <c:v>32.479999999999997</c:v>
                </c:pt>
                <c:pt idx="30">
                  <c:v>32.42</c:v>
                </c:pt>
                <c:pt idx="31">
                  <c:v>32.97</c:v>
                </c:pt>
                <c:pt idx="32">
                  <c:v>32.35</c:v>
                </c:pt>
                <c:pt idx="33">
                  <c:v>32.93</c:v>
                </c:pt>
                <c:pt idx="34">
                  <c:v>32.72</c:v>
                </c:pt>
                <c:pt idx="35">
                  <c:v>34.1</c:v>
                </c:pt>
                <c:pt idx="36">
                  <c:v>35.15</c:v>
                </c:pt>
                <c:pt idx="37">
                  <c:v>35.840000000000003</c:v>
                </c:pt>
                <c:pt idx="38">
                  <c:v>35.81</c:v>
                </c:pt>
                <c:pt idx="39">
                  <c:v>35.369999999999997</c:v>
                </c:pt>
                <c:pt idx="40">
                  <c:v>35.880000000000003</c:v>
                </c:pt>
                <c:pt idx="41">
                  <c:v>34.729999999999997</c:v>
                </c:pt>
                <c:pt idx="42">
                  <c:v>36.630000000000003</c:v>
                </c:pt>
                <c:pt idx="43">
                  <c:v>37.130000000000003</c:v>
                </c:pt>
                <c:pt idx="44">
                  <c:v>37.72</c:v>
                </c:pt>
                <c:pt idx="45">
                  <c:v>37.49</c:v>
                </c:pt>
                <c:pt idx="46">
                  <c:v>36.76</c:v>
                </c:pt>
                <c:pt idx="47">
                  <c:v>37.35</c:v>
                </c:pt>
                <c:pt idx="48">
                  <c:v>36.28</c:v>
                </c:pt>
                <c:pt idx="49">
                  <c:v>35.39</c:v>
                </c:pt>
                <c:pt idx="50">
                  <c:v>35.92</c:v>
                </c:pt>
                <c:pt idx="51">
                  <c:v>36.54</c:v>
                </c:pt>
                <c:pt idx="52">
                  <c:v>37.28</c:v>
                </c:pt>
                <c:pt idx="53">
                  <c:v>39.369999999999997</c:v>
                </c:pt>
                <c:pt idx="54">
                  <c:v>38.99</c:v>
                </c:pt>
                <c:pt idx="55">
                  <c:v>39.49</c:v>
                </c:pt>
                <c:pt idx="56">
                  <c:v>38.5</c:v>
                </c:pt>
                <c:pt idx="57">
                  <c:v>39.380000000000003</c:v>
                </c:pt>
                <c:pt idx="58">
                  <c:v>40.56</c:v>
                </c:pt>
                <c:pt idx="59">
                  <c:v>41.38</c:v>
                </c:pt>
                <c:pt idx="60">
                  <c:v>42.64</c:v>
                </c:pt>
                <c:pt idx="61">
                  <c:v>45.08</c:v>
                </c:pt>
                <c:pt idx="62">
                  <c:v>44.82</c:v>
                </c:pt>
                <c:pt idx="63">
                  <c:v>46.67</c:v>
                </c:pt>
                <c:pt idx="64">
                  <c:v>45.64</c:v>
                </c:pt>
                <c:pt idx="65">
                  <c:v>45.3</c:v>
                </c:pt>
                <c:pt idx="66">
                  <c:v>45.85</c:v>
                </c:pt>
                <c:pt idx="67">
                  <c:v>47.15</c:v>
                </c:pt>
                <c:pt idx="68">
                  <c:v>52.1</c:v>
                </c:pt>
                <c:pt idx="69">
                  <c:v>53.14</c:v>
                </c:pt>
                <c:pt idx="70">
                  <c:v>52.01</c:v>
                </c:pt>
                <c:pt idx="71">
                  <c:v>54.12</c:v>
                </c:pt>
                <c:pt idx="72">
                  <c:v>55.42</c:v>
                </c:pt>
                <c:pt idx="73">
                  <c:v>58.57</c:v>
                </c:pt>
                <c:pt idx="74">
                  <c:v>62.3</c:v>
                </c:pt>
                <c:pt idx="75">
                  <c:v>68.150000000000006</c:v>
                </c:pt>
                <c:pt idx="76">
                  <c:v>60.25</c:v>
                </c:pt>
                <c:pt idx="77">
                  <c:v>60</c:v>
                </c:pt>
                <c:pt idx="78">
                  <c:v>54.4</c:v>
                </c:pt>
                <c:pt idx="79">
                  <c:v>54.98</c:v>
                </c:pt>
                <c:pt idx="80">
                  <c:v>56.61</c:v>
                </c:pt>
                <c:pt idx="81">
                  <c:v>59.94</c:v>
                </c:pt>
                <c:pt idx="82">
                  <c:v>60.98</c:v>
                </c:pt>
                <c:pt idx="83">
                  <c:v>58.97</c:v>
                </c:pt>
                <c:pt idx="84">
                  <c:v>56.67</c:v>
                </c:pt>
                <c:pt idx="85">
                  <c:v>61.53</c:v>
                </c:pt>
                <c:pt idx="86">
                  <c:v>61.85</c:v>
                </c:pt>
                <c:pt idx="87">
                  <c:v>63.56</c:v>
                </c:pt>
                <c:pt idx="88">
                  <c:v>61.31</c:v>
                </c:pt>
                <c:pt idx="89">
                  <c:v>64.34</c:v>
                </c:pt>
                <c:pt idx="90">
                  <c:v>66.19</c:v>
                </c:pt>
                <c:pt idx="91">
                  <c:v>63.88</c:v>
                </c:pt>
                <c:pt idx="92">
                  <c:v>65.569999999999993</c:v>
                </c:pt>
                <c:pt idx="93">
                  <c:v>67.33</c:v>
                </c:pt>
                <c:pt idx="94">
                  <c:v>64.48</c:v>
                </c:pt>
                <c:pt idx="95">
                  <c:v>62.09</c:v>
                </c:pt>
                <c:pt idx="96">
                  <c:v>59.17</c:v>
                </c:pt>
                <c:pt idx="97">
                  <c:v>56.61</c:v>
                </c:pt>
                <c:pt idx="98">
                  <c:v>50.39</c:v>
                </c:pt>
                <c:pt idx="99">
                  <c:v>50.04</c:v>
                </c:pt>
                <c:pt idx="100">
                  <c:v>54.15</c:v>
                </c:pt>
                <c:pt idx="101">
                  <c:v>53.4</c:v>
                </c:pt>
                <c:pt idx="102">
                  <c:v>48.18</c:v>
                </c:pt>
                <c:pt idx="103">
                  <c:v>47.15</c:v>
                </c:pt>
                <c:pt idx="104">
                  <c:v>46.92</c:v>
                </c:pt>
                <c:pt idx="105">
                  <c:v>47.4</c:v>
                </c:pt>
                <c:pt idx="106">
                  <c:v>42</c:v>
                </c:pt>
                <c:pt idx="107">
                  <c:v>36.5</c:v>
                </c:pt>
                <c:pt idx="108">
                  <c:v>35.5</c:v>
                </c:pt>
                <c:pt idx="109">
                  <c:v>31.47</c:v>
                </c:pt>
                <c:pt idx="110">
                  <c:v>33.6</c:v>
                </c:pt>
                <c:pt idx="111">
                  <c:v>33.9</c:v>
                </c:pt>
                <c:pt idx="112">
                  <c:v>32.6</c:v>
                </c:pt>
                <c:pt idx="113">
                  <c:v>30.7</c:v>
                </c:pt>
                <c:pt idx="114">
                  <c:v>32.58</c:v>
                </c:pt>
                <c:pt idx="115">
                  <c:v>28.25</c:v>
                </c:pt>
                <c:pt idx="116">
                  <c:v>31.1</c:v>
                </c:pt>
                <c:pt idx="117">
                  <c:v>30.6</c:v>
                </c:pt>
                <c:pt idx="118">
                  <c:v>33.58</c:v>
                </c:pt>
                <c:pt idx="119">
                  <c:v>36.5</c:v>
                </c:pt>
                <c:pt idx="120">
                  <c:v>34.590000000000003</c:v>
                </c:pt>
                <c:pt idx="121">
                  <c:v>33.6</c:v>
                </c:pt>
                <c:pt idx="122">
                  <c:v>32.729999999999997</c:v>
                </c:pt>
                <c:pt idx="123">
                  <c:v>33.4</c:v>
                </c:pt>
                <c:pt idx="124">
                  <c:v>33</c:v>
                </c:pt>
                <c:pt idx="125">
                  <c:v>30.22</c:v>
                </c:pt>
                <c:pt idx="126">
                  <c:v>30.85</c:v>
                </c:pt>
                <c:pt idx="127">
                  <c:v>30.76</c:v>
                </c:pt>
                <c:pt idx="128">
                  <c:v>29.8</c:v>
                </c:pt>
                <c:pt idx="129">
                  <c:v>32.25</c:v>
                </c:pt>
                <c:pt idx="130">
                  <c:v>32.42</c:v>
                </c:pt>
                <c:pt idx="131">
                  <c:v>35.32</c:v>
                </c:pt>
                <c:pt idx="132">
                  <c:v>35.42</c:v>
                </c:pt>
                <c:pt idx="133">
                  <c:v>36.770000000000003</c:v>
                </c:pt>
                <c:pt idx="134">
                  <c:v>36.340000000000003</c:v>
                </c:pt>
                <c:pt idx="135">
                  <c:v>37.43</c:v>
                </c:pt>
                <c:pt idx="136">
                  <c:v>39.299999999999997</c:v>
                </c:pt>
                <c:pt idx="137">
                  <c:v>37.9</c:v>
                </c:pt>
                <c:pt idx="138">
                  <c:v>38.1</c:v>
                </c:pt>
                <c:pt idx="139">
                  <c:v>39.049999999999997</c:v>
                </c:pt>
                <c:pt idx="140">
                  <c:v>39.729999999999997</c:v>
                </c:pt>
                <c:pt idx="141">
                  <c:v>37.159999999999997</c:v>
                </c:pt>
                <c:pt idx="142">
                  <c:v>36.53</c:v>
                </c:pt>
                <c:pt idx="143">
                  <c:v>36.08</c:v>
                </c:pt>
                <c:pt idx="144">
                  <c:v>35.18</c:v>
                </c:pt>
                <c:pt idx="145">
                  <c:v>32.700000000000003</c:v>
                </c:pt>
                <c:pt idx="146">
                  <c:v>34.82</c:v>
                </c:pt>
                <c:pt idx="147">
                  <c:v>33.89</c:v>
                </c:pt>
                <c:pt idx="148">
                  <c:v>35.06</c:v>
                </c:pt>
                <c:pt idx="149">
                  <c:v>36.78</c:v>
                </c:pt>
                <c:pt idx="150">
                  <c:v>37.18</c:v>
                </c:pt>
                <c:pt idx="151">
                  <c:v>36.33</c:v>
                </c:pt>
                <c:pt idx="152">
                  <c:v>36.07</c:v>
                </c:pt>
                <c:pt idx="153">
                  <c:v>33.65</c:v>
                </c:pt>
                <c:pt idx="154">
                  <c:v>33.36</c:v>
                </c:pt>
                <c:pt idx="155">
                  <c:v>34.68</c:v>
                </c:pt>
                <c:pt idx="156">
                  <c:v>34.04</c:v>
                </c:pt>
                <c:pt idx="157">
                  <c:v>33.729999999999997</c:v>
                </c:pt>
                <c:pt idx="158">
                  <c:v>34.909999999999997</c:v>
                </c:pt>
                <c:pt idx="159">
                  <c:v>36.94</c:v>
                </c:pt>
                <c:pt idx="160">
                  <c:v>37.94</c:v>
                </c:pt>
                <c:pt idx="161">
                  <c:v>36.4</c:v>
                </c:pt>
                <c:pt idx="162">
                  <c:v>36.770000000000003</c:v>
                </c:pt>
                <c:pt idx="163">
                  <c:v>38.61</c:v>
                </c:pt>
                <c:pt idx="164">
                  <c:v>39.71</c:v>
                </c:pt>
                <c:pt idx="165">
                  <c:v>40.1</c:v>
                </c:pt>
                <c:pt idx="166">
                  <c:v>39.76</c:v>
                </c:pt>
                <c:pt idx="167">
                  <c:v>39.22</c:v>
                </c:pt>
                <c:pt idx="168">
                  <c:v>38.33</c:v>
                </c:pt>
                <c:pt idx="169">
                  <c:v>38.46</c:v>
                </c:pt>
                <c:pt idx="170">
                  <c:v>40.35</c:v>
                </c:pt>
                <c:pt idx="171">
                  <c:v>39.53</c:v>
                </c:pt>
                <c:pt idx="172">
                  <c:v>37.53</c:v>
                </c:pt>
                <c:pt idx="173">
                  <c:v>36.71</c:v>
                </c:pt>
                <c:pt idx="174">
                  <c:v>36.15</c:v>
                </c:pt>
                <c:pt idx="175">
                  <c:v>37</c:v>
                </c:pt>
                <c:pt idx="176">
                  <c:v>37.840000000000003</c:v>
                </c:pt>
                <c:pt idx="177">
                  <c:v>38.520000000000003</c:v>
                </c:pt>
                <c:pt idx="178">
                  <c:v>39.29</c:v>
                </c:pt>
                <c:pt idx="179">
                  <c:v>39.72</c:v>
                </c:pt>
                <c:pt idx="180">
                  <c:v>39.049999999999997</c:v>
                </c:pt>
                <c:pt idx="181">
                  <c:v>39.299999999999997</c:v>
                </c:pt>
                <c:pt idx="182">
                  <c:v>38.950000000000003</c:v>
                </c:pt>
                <c:pt idx="183">
                  <c:v>38.979999999999997</c:v>
                </c:pt>
                <c:pt idx="184">
                  <c:v>40.04</c:v>
                </c:pt>
                <c:pt idx="185">
                  <c:v>39.799999999999997</c:v>
                </c:pt>
                <c:pt idx="186">
                  <c:v>39.35</c:v>
                </c:pt>
                <c:pt idx="187">
                  <c:v>38.58</c:v>
                </c:pt>
                <c:pt idx="188">
                  <c:v>38.130000000000003</c:v>
                </c:pt>
                <c:pt idx="189">
                  <c:v>37.17</c:v>
                </c:pt>
                <c:pt idx="190">
                  <c:v>36.96</c:v>
                </c:pt>
                <c:pt idx="191">
                  <c:v>37.61</c:v>
                </c:pt>
                <c:pt idx="192">
                  <c:v>36.78</c:v>
                </c:pt>
                <c:pt idx="193">
                  <c:v>36.9</c:v>
                </c:pt>
                <c:pt idx="194">
                  <c:v>37.92</c:v>
                </c:pt>
                <c:pt idx="195">
                  <c:v>37.159999999999997</c:v>
                </c:pt>
                <c:pt idx="196">
                  <c:v>36.01</c:v>
                </c:pt>
                <c:pt idx="197">
                  <c:v>37.380000000000003</c:v>
                </c:pt>
                <c:pt idx="198">
                  <c:v>38.31</c:v>
                </c:pt>
                <c:pt idx="199">
                  <c:v>39.07</c:v>
                </c:pt>
                <c:pt idx="200">
                  <c:v>39.83</c:v>
                </c:pt>
                <c:pt idx="201">
                  <c:v>41.39</c:v>
                </c:pt>
                <c:pt idx="202">
                  <c:v>41.8</c:v>
                </c:pt>
                <c:pt idx="203">
                  <c:v>39.520000000000003</c:v>
                </c:pt>
                <c:pt idx="204">
                  <c:v>40.200000000000003</c:v>
                </c:pt>
                <c:pt idx="205">
                  <c:v>40.32</c:v>
                </c:pt>
                <c:pt idx="206">
                  <c:v>41.25</c:v>
                </c:pt>
                <c:pt idx="207">
                  <c:v>41.91</c:v>
                </c:pt>
                <c:pt idx="208">
                  <c:v>44.48</c:v>
                </c:pt>
                <c:pt idx="209">
                  <c:v>43.49</c:v>
                </c:pt>
                <c:pt idx="210">
                  <c:v>46.22</c:v>
                </c:pt>
                <c:pt idx="211">
                  <c:v>47.77</c:v>
                </c:pt>
                <c:pt idx="212">
                  <c:v>48.3</c:v>
                </c:pt>
                <c:pt idx="213">
                  <c:v>49.3</c:v>
                </c:pt>
                <c:pt idx="214">
                  <c:v>52.22</c:v>
                </c:pt>
                <c:pt idx="215">
                  <c:v>52.53</c:v>
                </c:pt>
                <c:pt idx="216">
                  <c:v>48.96</c:v>
                </c:pt>
                <c:pt idx="217">
                  <c:v>49.9</c:v>
                </c:pt>
                <c:pt idx="218">
                  <c:v>53.08</c:v>
                </c:pt>
                <c:pt idx="219">
                  <c:v>53.79</c:v>
                </c:pt>
                <c:pt idx="220">
                  <c:v>54.13</c:v>
                </c:pt>
                <c:pt idx="221">
                  <c:v>56.59</c:v>
                </c:pt>
                <c:pt idx="222">
                  <c:v>57.74</c:v>
                </c:pt>
                <c:pt idx="223">
                  <c:v>56.35</c:v>
                </c:pt>
                <c:pt idx="224">
                  <c:v>56.7</c:v>
                </c:pt>
                <c:pt idx="225">
                  <c:v>57.56</c:v>
                </c:pt>
                <c:pt idx="226">
                  <c:v>57.27</c:v>
                </c:pt>
                <c:pt idx="227">
                  <c:v>58.98</c:v>
                </c:pt>
                <c:pt idx="228">
                  <c:v>58.49</c:v>
                </c:pt>
                <c:pt idx="229">
                  <c:v>56.49</c:v>
                </c:pt>
                <c:pt idx="230">
                  <c:v>56.95</c:v>
                </c:pt>
                <c:pt idx="231">
                  <c:v>58.96</c:v>
                </c:pt>
                <c:pt idx="232">
                  <c:v>55.49</c:v>
                </c:pt>
                <c:pt idx="233">
                  <c:v>55.77</c:v>
                </c:pt>
                <c:pt idx="234">
                  <c:v>56.84</c:v>
                </c:pt>
                <c:pt idx="235">
                  <c:v>58.68</c:v>
                </c:pt>
                <c:pt idx="236">
                  <c:v>59.77</c:v>
                </c:pt>
                <c:pt idx="237">
                  <c:v>56.84</c:v>
                </c:pt>
                <c:pt idx="238">
                  <c:v>58.27</c:v>
                </c:pt>
                <c:pt idx="239">
                  <c:v>58.13</c:v>
                </c:pt>
                <c:pt idx="240">
                  <c:v>55.37</c:v>
                </c:pt>
                <c:pt idx="241">
                  <c:v>55.75</c:v>
                </c:pt>
                <c:pt idx="242">
                  <c:v>57.46</c:v>
                </c:pt>
                <c:pt idx="243">
                  <c:v>58.61</c:v>
                </c:pt>
                <c:pt idx="244">
                  <c:v>58.73</c:v>
                </c:pt>
                <c:pt idx="245">
                  <c:v>56.85</c:v>
                </c:pt>
                <c:pt idx="246">
                  <c:v>55.92</c:v>
                </c:pt>
                <c:pt idx="247">
                  <c:v>55.22</c:v>
                </c:pt>
                <c:pt idx="248">
                  <c:v>55.16</c:v>
                </c:pt>
                <c:pt idx="249">
                  <c:v>56.2</c:v>
                </c:pt>
                <c:pt idx="250">
                  <c:v>57.35</c:v>
                </c:pt>
                <c:pt idx="251">
                  <c:v>56.51</c:v>
                </c:pt>
                <c:pt idx="252">
                  <c:v>55.65</c:v>
                </c:pt>
                <c:pt idx="253">
                  <c:v>54.9</c:v>
                </c:pt>
                <c:pt idx="254">
                  <c:v>54.6</c:v>
                </c:pt>
                <c:pt idx="255">
                  <c:v>55.39</c:v>
                </c:pt>
                <c:pt idx="256">
                  <c:v>56.6</c:v>
                </c:pt>
                <c:pt idx="257">
                  <c:v>57.74</c:v>
                </c:pt>
                <c:pt idx="258">
                  <c:v>58.2</c:v>
                </c:pt>
                <c:pt idx="259">
                  <c:v>56.55</c:v>
                </c:pt>
                <c:pt idx="260">
                  <c:v>52.4</c:v>
                </c:pt>
                <c:pt idx="261">
                  <c:v>49.95</c:v>
                </c:pt>
                <c:pt idx="262">
                  <c:v>49.07</c:v>
                </c:pt>
                <c:pt idx="263">
                  <c:v>53.2</c:v>
                </c:pt>
                <c:pt idx="264">
                  <c:v>51.25</c:v>
                </c:pt>
                <c:pt idx="265">
                  <c:v>51.77</c:v>
                </c:pt>
                <c:pt idx="266">
                  <c:v>51.87</c:v>
                </c:pt>
                <c:pt idx="267">
                  <c:v>50.98</c:v>
                </c:pt>
                <c:pt idx="268">
                  <c:v>50.88</c:v>
                </c:pt>
                <c:pt idx="269">
                  <c:v>48.23</c:v>
                </c:pt>
                <c:pt idx="270">
                  <c:v>50.05</c:v>
                </c:pt>
                <c:pt idx="271">
                  <c:v>49.34</c:v>
                </c:pt>
                <c:pt idx="272">
                  <c:v>49.55</c:v>
                </c:pt>
                <c:pt idx="273">
                  <c:v>50.96</c:v>
                </c:pt>
                <c:pt idx="274">
                  <c:v>52.09</c:v>
                </c:pt>
                <c:pt idx="275">
                  <c:v>50.8</c:v>
                </c:pt>
                <c:pt idx="276">
                  <c:v>50.2</c:v>
                </c:pt>
                <c:pt idx="277">
                  <c:v>50.43</c:v>
                </c:pt>
                <c:pt idx="278">
                  <c:v>51.59</c:v>
                </c:pt>
                <c:pt idx="279">
                  <c:v>51.65</c:v>
                </c:pt>
                <c:pt idx="280">
                  <c:v>52.53</c:v>
                </c:pt>
                <c:pt idx="281">
                  <c:v>53.4</c:v>
                </c:pt>
                <c:pt idx="282">
                  <c:v>54.29</c:v>
                </c:pt>
                <c:pt idx="283">
                  <c:v>53.76</c:v>
                </c:pt>
                <c:pt idx="284">
                  <c:v>53.95</c:v>
                </c:pt>
                <c:pt idx="285">
                  <c:v>55.5</c:v>
                </c:pt>
                <c:pt idx="286">
                  <c:v>54.88</c:v>
                </c:pt>
                <c:pt idx="287">
                  <c:v>55.1</c:v>
                </c:pt>
                <c:pt idx="288">
                  <c:v>56.64</c:v>
                </c:pt>
                <c:pt idx="289">
                  <c:v>56.52</c:v>
                </c:pt>
                <c:pt idx="290">
                  <c:v>55.83</c:v>
                </c:pt>
                <c:pt idx="291">
                  <c:v>55.18</c:v>
                </c:pt>
                <c:pt idx="292">
                  <c:v>53.3</c:v>
                </c:pt>
                <c:pt idx="293">
                  <c:v>51.9</c:v>
                </c:pt>
                <c:pt idx="294">
                  <c:v>50.32</c:v>
                </c:pt>
                <c:pt idx="295">
                  <c:v>50.12</c:v>
                </c:pt>
                <c:pt idx="296">
                  <c:v>48.59</c:v>
                </c:pt>
                <c:pt idx="297">
                  <c:v>49.46</c:v>
                </c:pt>
                <c:pt idx="298">
                  <c:v>48.44</c:v>
                </c:pt>
                <c:pt idx="299">
                  <c:v>49.74</c:v>
                </c:pt>
                <c:pt idx="300">
                  <c:v>52.21</c:v>
                </c:pt>
                <c:pt idx="301">
                  <c:v>53.27</c:v>
                </c:pt>
                <c:pt idx="302">
                  <c:v>53.57</c:v>
                </c:pt>
                <c:pt idx="303">
                  <c:v>54.36</c:v>
                </c:pt>
                <c:pt idx="304">
                  <c:v>52.04</c:v>
                </c:pt>
                <c:pt idx="305">
                  <c:v>52.04</c:v>
                </c:pt>
                <c:pt idx="306">
                  <c:v>53.6</c:v>
                </c:pt>
                <c:pt idx="307">
                  <c:v>53.11</c:v>
                </c:pt>
                <c:pt idx="308">
                  <c:v>56.24</c:v>
                </c:pt>
                <c:pt idx="309">
                  <c:v>56.42</c:v>
                </c:pt>
                <c:pt idx="310">
                  <c:v>56.07</c:v>
                </c:pt>
                <c:pt idx="311">
                  <c:v>56.64</c:v>
                </c:pt>
                <c:pt idx="312">
                  <c:v>54.45</c:v>
                </c:pt>
                <c:pt idx="313">
                  <c:v>52.18</c:v>
                </c:pt>
                <c:pt idx="314">
                  <c:v>50.76</c:v>
                </c:pt>
                <c:pt idx="315">
                  <c:v>49.89</c:v>
                </c:pt>
                <c:pt idx="316">
                  <c:v>51.58</c:v>
                </c:pt>
                <c:pt idx="317">
                  <c:v>50.96</c:v>
                </c:pt>
                <c:pt idx="318">
                  <c:v>49.26</c:v>
                </c:pt>
                <c:pt idx="319">
                  <c:v>47.77</c:v>
                </c:pt>
                <c:pt idx="320">
                  <c:v>47.05</c:v>
                </c:pt>
                <c:pt idx="321">
                  <c:v>49.04</c:v>
                </c:pt>
                <c:pt idx="322">
                  <c:v>49.41</c:v>
                </c:pt>
                <c:pt idx="323">
                  <c:v>50.82</c:v>
                </c:pt>
                <c:pt idx="324">
                  <c:v>49.63</c:v>
                </c:pt>
                <c:pt idx="325">
                  <c:v>48.71</c:v>
                </c:pt>
                <c:pt idx="326">
                  <c:v>48.94</c:v>
                </c:pt>
                <c:pt idx="327">
                  <c:v>49.42</c:v>
                </c:pt>
                <c:pt idx="328">
                  <c:v>48.88</c:v>
                </c:pt>
                <c:pt idx="329">
                  <c:v>51.68</c:v>
                </c:pt>
                <c:pt idx="330">
                  <c:v>52.1</c:v>
                </c:pt>
                <c:pt idx="331">
                  <c:v>52.99</c:v>
                </c:pt>
                <c:pt idx="332">
                  <c:v>51.43</c:v>
                </c:pt>
                <c:pt idx="333">
                  <c:v>51.62</c:v>
                </c:pt>
                <c:pt idx="334">
                  <c:v>50.35</c:v>
                </c:pt>
                <c:pt idx="335">
                  <c:v>49.47</c:v>
                </c:pt>
                <c:pt idx="336">
                  <c:v>50.16</c:v>
                </c:pt>
                <c:pt idx="337">
                  <c:v>49.91</c:v>
                </c:pt>
                <c:pt idx="338">
                  <c:v>50.43</c:v>
                </c:pt>
                <c:pt idx="339">
                  <c:v>50.11</c:v>
                </c:pt>
                <c:pt idx="340">
                  <c:v>48.83</c:v>
                </c:pt>
                <c:pt idx="341">
                  <c:v>49.23</c:v>
                </c:pt>
                <c:pt idx="342">
                  <c:v>49.16</c:v>
                </c:pt>
                <c:pt idx="343">
                  <c:v>49.66</c:v>
                </c:pt>
                <c:pt idx="344">
                  <c:v>49.16</c:v>
                </c:pt>
                <c:pt idx="345">
                  <c:v>49.17</c:v>
                </c:pt>
                <c:pt idx="346">
                  <c:v>49.52</c:v>
                </c:pt>
                <c:pt idx="347">
                  <c:v>49.24</c:v>
                </c:pt>
                <c:pt idx="348">
                  <c:v>48.38</c:v>
                </c:pt>
                <c:pt idx="349">
                  <c:v>48.53</c:v>
                </c:pt>
                <c:pt idx="350">
                  <c:v>48.48</c:v>
                </c:pt>
                <c:pt idx="351">
                  <c:v>48.02</c:v>
                </c:pt>
                <c:pt idx="352">
                  <c:v>46.42</c:v>
                </c:pt>
                <c:pt idx="353">
                  <c:v>47.23</c:v>
                </c:pt>
                <c:pt idx="354">
                  <c:v>46.09</c:v>
                </c:pt>
                <c:pt idx="355">
                  <c:v>45.5</c:v>
                </c:pt>
                <c:pt idx="356">
                  <c:v>43.58</c:v>
                </c:pt>
                <c:pt idx="357">
                  <c:v>42.38</c:v>
                </c:pt>
                <c:pt idx="358">
                  <c:v>41.4</c:v>
                </c:pt>
                <c:pt idx="359">
                  <c:v>42.81</c:v>
                </c:pt>
                <c:pt idx="360">
                  <c:v>42.64</c:v>
                </c:pt>
                <c:pt idx="361">
                  <c:v>43.89</c:v>
                </c:pt>
                <c:pt idx="362">
                  <c:v>43.36</c:v>
                </c:pt>
                <c:pt idx="363">
                  <c:v>42.22</c:v>
                </c:pt>
                <c:pt idx="364">
                  <c:v>42.09</c:v>
                </c:pt>
                <c:pt idx="365">
                  <c:v>41.51</c:v>
                </c:pt>
                <c:pt idx="366">
                  <c:v>39.99</c:v>
                </c:pt>
                <c:pt idx="367">
                  <c:v>40.11</c:v>
                </c:pt>
                <c:pt idx="368">
                  <c:v>41.68</c:v>
                </c:pt>
                <c:pt idx="369">
                  <c:v>40.729999999999997</c:v>
                </c:pt>
                <c:pt idx="370">
                  <c:v>41.59</c:v>
                </c:pt>
                <c:pt idx="371">
                  <c:v>40.24</c:v>
                </c:pt>
                <c:pt idx="372">
                  <c:v>40.47</c:v>
                </c:pt>
                <c:pt idx="373">
                  <c:v>41.16</c:v>
                </c:pt>
                <c:pt idx="374">
                  <c:v>40.22</c:v>
                </c:pt>
                <c:pt idx="375">
                  <c:v>40.28</c:v>
                </c:pt>
                <c:pt idx="376">
                  <c:v>39.47</c:v>
                </c:pt>
                <c:pt idx="377">
                  <c:v>39.44</c:v>
                </c:pt>
                <c:pt idx="378">
                  <c:v>39.020000000000003</c:v>
                </c:pt>
                <c:pt idx="379">
                  <c:v>38.340000000000003</c:v>
                </c:pt>
                <c:pt idx="380">
                  <c:v>37.950000000000003</c:v>
                </c:pt>
                <c:pt idx="381">
                  <c:v>37.74</c:v>
                </c:pt>
                <c:pt idx="382">
                  <c:v>37.54</c:v>
                </c:pt>
                <c:pt idx="383">
                  <c:v>37.64</c:v>
                </c:pt>
                <c:pt idx="384">
                  <c:v>38.56</c:v>
                </c:pt>
                <c:pt idx="385">
                  <c:v>39.15</c:v>
                </c:pt>
                <c:pt idx="386">
                  <c:v>40.950000000000003</c:v>
                </c:pt>
                <c:pt idx="387">
                  <c:v>41.52</c:v>
                </c:pt>
                <c:pt idx="388">
                  <c:v>44.09</c:v>
                </c:pt>
                <c:pt idx="389">
                  <c:v>42.02</c:v>
                </c:pt>
                <c:pt idx="390">
                  <c:v>41.02</c:v>
                </c:pt>
                <c:pt idx="391">
                  <c:v>40.479999999999997</c:v>
                </c:pt>
                <c:pt idx="392">
                  <c:v>41.57</c:v>
                </c:pt>
                <c:pt idx="393">
                  <c:v>42.1</c:v>
                </c:pt>
                <c:pt idx="394">
                  <c:v>43.41</c:v>
                </c:pt>
                <c:pt idx="395">
                  <c:v>42.92</c:v>
                </c:pt>
                <c:pt idx="396">
                  <c:v>41.29</c:v>
                </c:pt>
                <c:pt idx="397">
                  <c:v>40.98</c:v>
                </c:pt>
                <c:pt idx="398">
                  <c:v>40.75</c:v>
                </c:pt>
                <c:pt idx="399">
                  <c:v>40.380000000000003</c:v>
                </c:pt>
                <c:pt idx="400">
                  <c:v>38.5</c:v>
                </c:pt>
                <c:pt idx="401">
                  <c:v>39.01</c:v>
                </c:pt>
                <c:pt idx="402">
                  <c:v>39.69</c:v>
                </c:pt>
                <c:pt idx="403">
                  <c:v>40.130000000000003</c:v>
                </c:pt>
                <c:pt idx="404">
                  <c:v>39.979999999999997</c:v>
                </c:pt>
                <c:pt idx="405">
                  <c:v>38.56</c:v>
                </c:pt>
                <c:pt idx="406">
                  <c:v>36.71</c:v>
                </c:pt>
                <c:pt idx="407">
                  <c:v>36.57</c:v>
                </c:pt>
                <c:pt idx="408">
                  <c:v>36.090000000000003</c:v>
                </c:pt>
                <c:pt idx="409">
                  <c:v>35.450000000000003</c:v>
                </c:pt>
                <c:pt idx="410">
                  <c:v>35.44</c:v>
                </c:pt>
                <c:pt idx="411">
                  <c:v>32.869999999999997</c:v>
                </c:pt>
                <c:pt idx="412">
                  <c:v>32.36</c:v>
                </c:pt>
                <c:pt idx="413">
                  <c:v>32.04</c:v>
                </c:pt>
                <c:pt idx="414">
                  <c:v>32.35</c:v>
                </c:pt>
                <c:pt idx="415">
                  <c:v>32.159999999999997</c:v>
                </c:pt>
                <c:pt idx="416">
                  <c:v>32.46</c:v>
                </c:pt>
                <c:pt idx="417">
                  <c:v>31.92</c:v>
                </c:pt>
                <c:pt idx="418">
                  <c:v>32.29</c:v>
                </c:pt>
                <c:pt idx="419">
                  <c:v>32.28</c:v>
                </c:pt>
                <c:pt idx="420">
                  <c:v>32.020000000000003</c:v>
                </c:pt>
                <c:pt idx="421">
                  <c:v>32.39</c:v>
                </c:pt>
                <c:pt idx="422">
                  <c:v>34.799999999999997</c:v>
                </c:pt>
                <c:pt idx="423">
                  <c:v>32.4</c:v>
                </c:pt>
                <c:pt idx="424">
                  <c:v>32.200000000000003</c:v>
                </c:pt>
                <c:pt idx="425">
                  <c:v>32.69</c:v>
                </c:pt>
                <c:pt idx="426">
                  <c:v>32.18</c:v>
                </c:pt>
                <c:pt idx="427">
                  <c:v>32.01</c:v>
                </c:pt>
                <c:pt idx="428">
                  <c:v>31.97</c:v>
                </c:pt>
                <c:pt idx="429">
                  <c:v>31.97</c:v>
                </c:pt>
                <c:pt idx="430">
                  <c:v>32.46</c:v>
                </c:pt>
                <c:pt idx="431">
                  <c:v>31.95</c:v>
                </c:pt>
                <c:pt idx="432">
                  <c:v>33.54</c:v>
                </c:pt>
                <c:pt idx="433">
                  <c:v>33.39</c:v>
                </c:pt>
                <c:pt idx="434">
                  <c:v>31.6</c:v>
                </c:pt>
                <c:pt idx="435">
                  <c:v>30</c:v>
                </c:pt>
                <c:pt idx="436">
                  <c:v>31.82</c:v>
                </c:pt>
                <c:pt idx="437">
                  <c:v>32.4</c:v>
                </c:pt>
                <c:pt idx="438">
                  <c:v>31.48</c:v>
                </c:pt>
                <c:pt idx="439">
                  <c:v>32.799999999999997</c:v>
                </c:pt>
                <c:pt idx="440">
                  <c:v>31.14</c:v>
                </c:pt>
                <c:pt idx="441">
                  <c:v>30.19</c:v>
                </c:pt>
                <c:pt idx="442">
                  <c:v>30.68</c:v>
                </c:pt>
                <c:pt idx="443">
                  <c:v>30.6</c:v>
                </c:pt>
                <c:pt idx="444">
                  <c:v>31.04</c:v>
                </c:pt>
                <c:pt idx="445">
                  <c:v>31.09</c:v>
                </c:pt>
                <c:pt idx="446">
                  <c:v>31.52</c:v>
                </c:pt>
                <c:pt idx="447">
                  <c:v>31.67</c:v>
                </c:pt>
                <c:pt idx="448">
                  <c:v>31.44</c:v>
                </c:pt>
                <c:pt idx="449">
                  <c:v>32.799999999999997</c:v>
                </c:pt>
                <c:pt idx="450">
                  <c:v>33.07</c:v>
                </c:pt>
                <c:pt idx="451">
                  <c:v>31.64</c:v>
                </c:pt>
                <c:pt idx="452">
                  <c:v>33.33</c:v>
                </c:pt>
                <c:pt idx="453">
                  <c:v>34.78</c:v>
                </c:pt>
                <c:pt idx="454">
                  <c:v>33.14</c:v>
                </c:pt>
                <c:pt idx="455">
                  <c:v>32.549999999999997</c:v>
                </c:pt>
                <c:pt idx="456">
                  <c:v>33.22</c:v>
                </c:pt>
                <c:pt idx="457">
                  <c:v>33.36</c:v>
                </c:pt>
                <c:pt idx="458">
                  <c:v>32.31</c:v>
                </c:pt>
                <c:pt idx="459">
                  <c:v>31.78</c:v>
                </c:pt>
                <c:pt idx="460">
                  <c:v>30.48</c:v>
                </c:pt>
                <c:pt idx="461">
                  <c:v>29.98</c:v>
                </c:pt>
                <c:pt idx="462">
                  <c:v>30.03</c:v>
                </c:pt>
                <c:pt idx="463">
                  <c:v>28.78</c:v>
                </c:pt>
                <c:pt idx="464">
                  <c:v>27.36</c:v>
                </c:pt>
                <c:pt idx="465">
                  <c:v>27.79</c:v>
                </c:pt>
                <c:pt idx="466">
                  <c:v>26.44</c:v>
                </c:pt>
                <c:pt idx="467">
                  <c:v>26.58</c:v>
                </c:pt>
                <c:pt idx="468">
                  <c:v>26.05</c:v>
                </c:pt>
                <c:pt idx="469">
                  <c:v>27.72</c:v>
                </c:pt>
                <c:pt idx="470">
                  <c:v>27.84</c:v>
                </c:pt>
                <c:pt idx="471">
                  <c:v>28.17</c:v>
                </c:pt>
                <c:pt idx="472">
                  <c:v>28.6</c:v>
                </c:pt>
                <c:pt idx="473">
                  <c:v>28.57</c:v>
                </c:pt>
                <c:pt idx="474">
                  <c:v>28.2</c:v>
                </c:pt>
                <c:pt idx="475">
                  <c:v>28.04</c:v>
                </c:pt>
                <c:pt idx="476">
                  <c:v>27.04</c:v>
                </c:pt>
                <c:pt idx="477">
                  <c:v>27.9</c:v>
                </c:pt>
                <c:pt idx="478">
                  <c:v>28.75</c:v>
                </c:pt>
                <c:pt idx="479">
                  <c:v>31.8</c:v>
                </c:pt>
                <c:pt idx="480">
                  <c:v>31.08</c:v>
                </c:pt>
                <c:pt idx="481">
                  <c:v>30.53</c:v>
                </c:pt>
                <c:pt idx="482">
                  <c:v>30.87</c:v>
                </c:pt>
                <c:pt idx="483">
                  <c:v>30.55</c:v>
                </c:pt>
                <c:pt idx="484">
                  <c:v>29.45</c:v>
                </c:pt>
                <c:pt idx="485">
                  <c:v>29.65</c:v>
                </c:pt>
                <c:pt idx="486">
                  <c:v>30.5</c:v>
                </c:pt>
                <c:pt idx="487">
                  <c:v>30.88</c:v>
                </c:pt>
                <c:pt idx="488">
                  <c:v>31.23</c:v>
                </c:pt>
                <c:pt idx="489">
                  <c:v>31.8</c:v>
                </c:pt>
                <c:pt idx="490">
                  <c:v>31.39</c:v>
                </c:pt>
                <c:pt idx="491">
                  <c:v>31.03</c:v>
                </c:pt>
                <c:pt idx="492">
                  <c:v>30.73</c:v>
                </c:pt>
                <c:pt idx="493">
                  <c:v>31.93</c:v>
                </c:pt>
                <c:pt idx="494">
                  <c:v>33.42</c:v>
                </c:pt>
                <c:pt idx="495">
                  <c:v>33.18</c:v>
                </c:pt>
                <c:pt idx="496">
                  <c:v>34.450000000000003</c:v>
                </c:pt>
                <c:pt idx="497">
                  <c:v>33.94</c:v>
                </c:pt>
                <c:pt idx="498">
                  <c:v>33.380000000000003</c:v>
                </c:pt>
                <c:pt idx="499">
                  <c:v>33.99</c:v>
                </c:pt>
                <c:pt idx="500">
                  <c:v>32.880000000000003</c:v>
                </c:pt>
                <c:pt idx="501">
                  <c:v>32.81</c:v>
                </c:pt>
                <c:pt idx="502">
                  <c:v>32.17</c:v>
                </c:pt>
                <c:pt idx="503">
                  <c:v>31.27</c:v>
                </c:pt>
                <c:pt idx="504">
                  <c:v>31.48</c:v>
                </c:pt>
                <c:pt idx="505">
                  <c:v>32.26</c:v>
                </c:pt>
                <c:pt idx="506">
                  <c:v>32.76</c:v>
                </c:pt>
                <c:pt idx="507">
                  <c:v>31.93</c:v>
                </c:pt>
                <c:pt idx="508">
                  <c:v>30.99</c:v>
                </c:pt>
                <c:pt idx="509">
                  <c:v>31.03</c:v>
                </c:pt>
                <c:pt idx="510">
                  <c:v>30.27</c:v>
                </c:pt>
                <c:pt idx="511">
                  <c:v>30.89</c:v>
                </c:pt>
                <c:pt idx="512">
                  <c:v>30.21</c:v>
                </c:pt>
                <c:pt idx="513">
                  <c:v>30.35</c:v>
                </c:pt>
                <c:pt idx="514">
                  <c:v>30.52</c:v>
                </c:pt>
                <c:pt idx="515">
                  <c:v>31.9</c:v>
                </c:pt>
                <c:pt idx="516">
                  <c:v>34.14</c:v>
                </c:pt>
                <c:pt idx="517">
                  <c:v>32.950000000000003</c:v>
                </c:pt>
                <c:pt idx="518">
                  <c:v>32.659999999999997</c:v>
                </c:pt>
                <c:pt idx="519">
                  <c:v>33.03</c:v>
                </c:pt>
                <c:pt idx="520">
                  <c:v>31.98</c:v>
                </c:pt>
                <c:pt idx="521">
                  <c:v>33.31</c:v>
                </c:pt>
                <c:pt idx="522">
                  <c:v>33.24</c:v>
                </c:pt>
                <c:pt idx="523">
                  <c:v>33.11</c:v>
                </c:pt>
                <c:pt idx="524">
                  <c:v>34.15</c:v>
                </c:pt>
                <c:pt idx="525">
                  <c:v>35.119999999999997</c:v>
                </c:pt>
                <c:pt idx="526">
                  <c:v>35.409999999999997</c:v>
                </c:pt>
                <c:pt idx="527">
                  <c:v>34.71</c:v>
                </c:pt>
                <c:pt idx="528">
                  <c:v>34.44</c:v>
                </c:pt>
                <c:pt idx="529">
                  <c:v>34.049999999999997</c:v>
                </c:pt>
                <c:pt idx="530">
                  <c:v>36.659999999999997</c:v>
                </c:pt>
                <c:pt idx="531">
                  <c:v>37.51</c:v>
                </c:pt>
                <c:pt idx="532">
                  <c:v>36.74</c:v>
                </c:pt>
                <c:pt idx="533">
                  <c:v>36.74</c:v>
                </c:pt>
                <c:pt idx="534">
                  <c:v>34.6</c:v>
                </c:pt>
                <c:pt idx="535">
                  <c:v>34.42</c:v>
                </c:pt>
                <c:pt idx="536">
                  <c:v>34.770000000000003</c:v>
                </c:pt>
                <c:pt idx="537">
                  <c:v>35.369999999999997</c:v>
                </c:pt>
                <c:pt idx="538">
                  <c:v>35.15</c:v>
                </c:pt>
                <c:pt idx="539">
                  <c:v>34.270000000000003</c:v>
                </c:pt>
                <c:pt idx="540">
                  <c:v>33.86</c:v>
                </c:pt>
                <c:pt idx="541">
                  <c:v>34.61</c:v>
                </c:pt>
                <c:pt idx="542">
                  <c:v>32.89</c:v>
                </c:pt>
                <c:pt idx="543">
                  <c:v>32.39</c:v>
                </c:pt>
                <c:pt idx="544">
                  <c:v>34.130000000000003</c:v>
                </c:pt>
                <c:pt idx="545">
                  <c:v>32.44</c:v>
                </c:pt>
                <c:pt idx="546">
                  <c:v>32.299999999999997</c:v>
                </c:pt>
                <c:pt idx="547">
                  <c:v>32.229999999999997</c:v>
                </c:pt>
                <c:pt idx="548">
                  <c:v>31.78</c:v>
                </c:pt>
                <c:pt idx="549">
                  <c:v>31.62</c:v>
                </c:pt>
                <c:pt idx="550">
                  <c:v>31.19</c:v>
                </c:pt>
                <c:pt idx="551">
                  <c:v>31.94</c:v>
                </c:pt>
                <c:pt idx="552">
                  <c:v>31.45</c:v>
                </c:pt>
                <c:pt idx="553">
                  <c:v>32.71</c:v>
                </c:pt>
                <c:pt idx="554">
                  <c:v>32.630000000000003</c:v>
                </c:pt>
                <c:pt idx="555">
                  <c:v>33.04</c:v>
                </c:pt>
                <c:pt idx="556">
                  <c:v>31.6</c:v>
                </c:pt>
                <c:pt idx="557">
                  <c:v>31.01</c:v>
                </c:pt>
                <c:pt idx="558">
                  <c:v>32.29</c:v>
                </c:pt>
                <c:pt idx="559">
                  <c:v>33.11</c:v>
                </c:pt>
                <c:pt idx="560">
                  <c:v>31.61</c:v>
                </c:pt>
                <c:pt idx="561">
                  <c:v>32.93</c:v>
                </c:pt>
                <c:pt idx="562">
                  <c:v>32.78</c:v>
                </c:pt>
                <c:pt idx="563">
                  <c:v>33.06</c:v>
                </c:pt>
                <c:pt idx="564">
                  <c:v>33.799999999999997</c:v>
                </c:pt>
                <c:pt idx="565">
                  <c:v>34.61</c:v>
                </c:pt>
                <c:pt idx="566">
                  <c:v>33.6</c:v>
                </c:pt>
                <c:pt idx="567">
                  <c:v>33.53</c:v>
                </c:pt>
                <c:pt idx="568">
                  <c:v>33.61</c:v>
                </c:pt>
                <c:pt idx="569">
                  <c:v>34.61</c:v>
                </c:pt>
                <c:pt idx="570">
                  <c:v>35.31</c:v>
                </c:pt>
                <c:pt idx="571">
                  <c:v>34.590000000000003</c:v>
                </c:pt>
                <c:pt idx="572">
                  <c:v>34.56</c:v>
                </c:pt>
                <c:pt idx="573">
                  <c:v>33.99</c:v>
                </c:pt>
                <c:pt idx="574">
                  <c:v>32.57</c:v>
                </c:pt>
                <c:pt idx="575">
                  <c:v>32.71</c:v>
                </c:pt>
                <c:pt idx="576">
                  <c:v>33.49</c:v>
                </c:pt>
                <c:pt idx="577">
                  <c:v>34.159999999999997</c:v>
                </c:pt>
                <c:pt idx="578">
                  <c:v>34.840000000000003</c:v>
                </c:pt>
                <c:pt idx="579">
                  <c:v>34.42</c:v>
                </c:pt>
                <c:pt idx="580">
                  <c:v>34.81</c:v>
                </c:pt>
                <c:pt idx="581">
                  <c:v>34.44</c:v>
                </c:pt>
                <c:pt idx="582">
                  <c:v>33.94</c:v>
                </c:pt>
                <c:pt idx="583">
                  <c:v>33.6</c:v>
                </c:pt>
                <c:pt idx="584">
                  <c:v>33.54</c:v>
                </c:pt>
                <c:pt idx="585">
                  <c:v>33.159999999999997</c:v>
                </c:pt>
                <c:pt idx="586">
                  <c:v>32.74</c:v>
                </c:pt>
                <c:pt idx="587">
                  <c:v>33.08</c:v>
                </c:pt>
                <c:pt idx="588">
                  <c:v>33.65</c:v>
                </c:pt>
                <c:pt idx="589">
                  <c:v>32.93</c:v>
                </c:pt>
                <c:pt idx="590">
                  <c:v>32.28</c:v>
                </c:pt>
                <c:pt idx="591">
                  <c:v>32.79</c:v>
                </c:pt>
                <c:pt idx="592">
                  <c:v>32.51</c:v>
                </c:pt>
                <c:pt idx="593">
                  <c:v>31.96</c:v>
                </c:pt>
                <c:pt idx="594">
                  <c:v>31.54</c:v>
                </c:pt>
                <c:pt idx="595">
                  <c:v>32.36</c:v>
                </c:pt>
                <c:pt idx="596">
                  <c:v>32.06</c:v>
                </c:pt>
                <c:pt idx="597">
                  <c:v>31.42</c:v>
                </c:pt>
                <c:pt idx="598">
                  <c:v>31.98</c:v>
                </c:pt>
                <c:pt idx="599">
                  <c:v>31.42</c:v>
                </c:pt>
                <c:pt idx="600">
                  <c:v>31.87</c:v>
                </c:pt>
                <c:pt idx="601">
                  <c:v>31.53</c:v>
                </c:pt>
                <c:pt idx="602">
                  <c:v>31.48</c:v>
                </c:pt>
                <c:pt idx="603">
                  <c:v>31.3</c:v>
                </c:pt>
                <c:pt idx="604">
                  <c:v>30.43</c:v>
                </c:pt>
                <c:pt idx="605">
                  <c:v>30.56</c:v>
                </c:pt>
                <c:pt idx="606">
                  <c:v>31.17</c:v>
                </c:pt>
                <c:pt idx="607">
                  <c:v>30.98</c:v>
                </c:pt>
                <c:pt idx="608">
                  <c:v>31.34</c:v>
                </c:pt>
                <c:pt idx="609">
                  <c:v>31.19</c:v>
                </c:pt>
                <c:pt idx="610">
                  <c:v>30.52</c:v>
                </c:pt>
                <c:pt idx="611">
                  <c:v>29.5</c:v>
                </c:pt>
                <c:pt idx="612">
                  <c:v>29.21</c:v>
                </c:pt>
                <c:pt idx="613">
                  <c:v>29.12</c:v>
                </c:pt>
                <c:pt idx="614">
                  <c:v>28.9</c:v>
                </c:pt>
                <c:pt idx="615">
                  <c:v>27.8</c:v>
                </c:pt>
                <c:pt idx="616">
                  <c:v>28.22</c:v>
                </c:pt>
                <c:pt idx="617">
                  <c:v>28.56</c:v>
                </c:pt>
                <c:pt idx="618">
                  <c:v>28.35</c:v>
                </c:pt>
                <c:pt idx="619">
                  <c:v>27.99</c:v>
                </c:pt>
                <c:pt idx="620">
                  <c:v>28.23</c:v>
                </c:pt>
                <c:pt idx="621">
                  <c:v>28.15</c:v>
                </c:pt>
                <c:pt idx="622">
                  <c:v>28.37</c:v>
                </c:pt>
                <c:pt idx="623">
                  <c:v>27.94</c:v>
                </c:pt>
                <c:pt idx="624">
                  <c:v>27.43</c:v>
                </c:pt>
                <c:pt idx="625">
                  <c:v>28.09</c:v>
                </c:pt>
                <c:pt idx="626">
                  <c:v>28.68</c:v>
                </c:pt>
                <c:pt idx="627">
                  <c:v>29.08</c:v>
                </c:pt>
                <c:pt idx="628">
                  <c:v>29.04</c:v>
                </c:pt>
                <c:pt idx="629">
                  <c:v>29.14</c:v>
                </c:pt>
                <c:pt idx="630">
                  <c:v>28.16</c:v>
                </c:pt>
                <c:pt idx="631">
                  <c:v>28.2</c:v>
                </c:pt>
                <c:pt idx="632">
                  <c:v>27.62</c:v>
                </c:pt>
                <c:pt idx="633">
                  <c:v>27.37</c:v>
                </c:pt>
                <c:pt idx="634">
                  <c:v>27.65</c:v>
                </c:pt>
                <c:pt idx="635">
                  <c:v>27.82</c:v>
                </c:pt>
                <c:pt idx="636">
                  <c:v>28.5</c:v>
                </c:pt>
                <c:pt idx="637">
                  <c:v>28.39</c:v>
                </c:pt>
                <c:pt idx="638">
                  <c:v>27.89</c:v>
                </c:pt>
                <c:pt idx="639">
                  <c:v>27.52</c:v>
                </c:pt>
                <c:pt idx="640">
                  <c:v>28.41</c:v>
                </c:pt>
                <c:pt idx="641">
                  <c:v>28.17</c:v>
                </c:pt>
                <c:pt idx="642">
                  <c:v>29.01</c:v>
                </c:pt>
                <c:pt idx="643">
                  <c:v>30.03</c:v>
                </c:pt>
                <c:pt idx="644">
                  <c:v>29.89</c:v>
                </c:pt>
                <c:pt idx="645">
                  <c:v>30.87</c:v>
                </c:pt>
                <c:pt idx="646">
                  <c:v>29.95</c:v>
                </c:pt>
                <c:pt idx="647">
                  <c:v>30.51</c:v>
                </c:pt>
                <c:pt idx="648">
                  <c:v>29.95</c:v>
                </c:pt>
                <c:pt idx="649">
                  <c:v>29.39</c:v>
                </c:pt>
                <c:pt idx="650">
                  <c:v>29.43</c:v>
                </c:pt>
                <c:pt idx="651">
                  <c:v>28.66</c:v>
                </c:pt>
                <c:pt idx="652">
                  <c:v>28.36</c:v>
                </c:pt>
                <c:pt idx="653">
                  <c:v>29.15</c:v>
                </c:pt>
                <c:pt idx="654">
                  <c:v>28.95</c:v>
                </c:pt>
                <c:pt idx="655">
                  <c:v>28.8</c:v>
                </c:pt>
                <c:pt idx="656">
                  <c:v>27.52</c:v>
                </c:pt>
                <c:pt idx="657">
                  <c:v>27.07</c:v>
                </c:pt>
                <c:pt idx="658">
                  <c:v>26.5</c:v>
                </c:pt>
                <c:pt idx="659">
                  <c:v>27.22</c:v>
                </c:pt>
                <c:pt idx="660">
                  <c:v>27.01</c:v>
                </c:pt>
                <c:pt idx="661">
                  <c:v>27.59</c:v>
                </c:pt>
                <c:pt idx="662">
                  <c:v>27.38</c:v>
                </c:pt>
                <c:pt idx="663">
                  <c:v>27.61</c:v>
                </c:pt>
                <c:pt idx="664">
                  <c:v>28.44</c:v>
                </c:pt>
                <c:pt idx="665">
                  <c:v>28.24</c:v>
                </c:pt>
                <c:pt idx="666">
                  <c:v>27.44</c:v>
                </c:pt>
                <c:pt idx="667">
                  <c:v>28.11</c:v>
                </c:pt>
                <c:pt idx="668">
                  <c:v>28.1</c:v>
                </c:pt>
                <c:pt idx="669">
                  <c:v>28.47</c:v>
                </c:pt>
                <c:pt idx="670">
                  <c:v>28.19</c:v>
                </c:pt>
                <c:pt idx="671">
                  <c:v>29.51</c:v>
                </c:pt>
                <c:pt idx="672">
                  <c:v>29.13</c:v>
                </c:pt>
                <c:pt idx="673">
                  <c:v>28.34</c:v>
                </c:pt>
                <c:pt idx="674">
                  <c:v>28.64</c:v>
                </c:pt>
                <c:pt idx="675">
                  <c:v>28.48</c:v>
                </c:pt>
                <c:pt idx="676">
                  <c:v>28.94</c:v>
                </c:pt>
                <c:pt idx="677">
                  <c:v>29.28</c:v>
                </c:pt>
                <c:pt idx="678">
                  <c:v>28.62</c:v>
                </c:pt>
                <c:pt idx="679">
                  <c:v>29.79</c:v>
                </c:pt>
                <c:pt idx="680">
                  <c:v>29.83</c:v>
                </c:pt>
                <c:pt idx="681">
                  <c:v>30.36</c:v>
                </c:pt>
                <c:pt idx="682">
                  <c:v>30.96</c:v>
                </c:pt>
                <c:pt idx="683">
                  <c:v>31.03</c:v>
                </c:pt>
                <c:pt idx="684">
                  <c:v>31.5</c:v>
                </c:pt>
                <c:pt idx="685">
                  <c:v>30.43</c:v>
                </c:pt>
                <c:pt idx="686">
                  <c:v>30.88</c:v>
                </c:pt>
                <c:pt idx="687">
                  <c:v>30.42</c:v>
                </c:pt>
                <c:pt idx="688">
                  <c:v>31.01</c:v>
                </c:pt>
                <c:pt idx="689">
                  <c:v>32.270000000000003</c:v>
                </c:pt>
                <c:pt idx="690">
                  <c:v>33.79</c:v>
                </c:pt>
                <c:pt idx="691">
                  <c:v>34.729999999999997</c:v>
                </c:pt>
                <c:pt idx="692">
                  <c:v>34.81</c:v>
                </c:pt>
                <c:pt idx="693">
                  <c:v>34.07</c:v>
                </c:pt>
                <c:pt idx="694">
                  <c:v>33.35</c:v>
                </c:pt>
                <c:pt idx="695">
                  <c:v>32.020000000000003</c:v>
                </c:pt>
                <c:pt idx="696">
                  <c:v>29.94</c:v>
                </c:pt>
                <c:pt idx="697">
                  <c:v>30.97</c:v>
                </c:pt>
                <c:pt idx="698">
                  <c:v>30.57</c:v>
                </c:pt>
                <c:pt idx="699">
                  <c:v>30.64</c:v>
                </c:pt>
                <c:pt idx="700">
                  <c:v>28.31</c:v>
                </c:pt>
                <c:pt idx="701">
                  <c:v>28.48</c:v>
                </c:pt>
                <c:pt idx="702">
                  <c:v>26.11</c:v>
                </c:pt>
                <c:pt idx="703">
                  <c:v>25.64</c:v>
                </c:pt>
                <c:pt idx="704">
                  <c:v>26.85</c:v>
                </c:pt>
                <c:pt idx="705">
                  <c:v>26.43</c:v>
                </c:pt>
                <c:pt idx="706">
                  <c:v>27.41</c:v>
                </c:pt>
                <c:pt idx="707">
                  <c:v>26.29</c:v>
                </c:pt>
                <c:pt idx="708">
                  <c:v>25.05</c:v>
                </c:pt>
                <c:pt idx="709">
                  <c:v>26.14</c:v>
                </c:pt>
                <c:pt idx="710">
                  <c:v>26.23</c:v>
                </c:pt>
                <c:pt idx="711">
                  <c:v>26.58</c:v>
                </c:pt>
                <c:pt idx="712">
                  <c:v>26.64</c:v>
                </c:pt>
                <c:pt idx="713">
                  <c:v>27.38</c:v>
                </c:pt>
                <c:pt idx="714">
                  <c:v>28.14</c:v>
                </c:pt>
                <c:pt idx="715">
                  <c:v>27.5</c:v>
                </c:pt>
                <c:pt idx="716">
                  <c:v>28.52</c:v>
                </c:pt>
                <c:pt idx="717">
                  <c:v>27.2</c:v>
                </c:pt>
                <c:pt idx="718">
                  <c:v>27.96</c:v>
                </c:pt>
                <c:pt idx="719">
                  <c:v>28.11</c:v>
                </c:pt>
                <c:pt idx="720">
                  <c:v>29.92</c:v>
                </c:pt>
                <c:pt idx="721">
                  <c:v>29.8</c:v>
                </c:pt>
                <c:pt idx="722">
                  <c:v>30.91</c:v>
                </c:pt>
                <c:pt idx="723">
                  <c:v>31.35</c:v>
                </c:pt>
                <c:pt idx="724">
                  <c:v>31.53</c:v>
                </c:pt>
                <c:pt idx="725">
                  <c:v>31.41</c:v>
                </c:pt>
                <c:pt idx="726">
                  <c:v>33.39</c:v>
                </c:pt>
                <c:pt idx="727">
                  <c:v>33.08</c:v>
                </c:pt>
                <c:pt idx="728">
                  <c:v>33.74</c:v>
                </c:pt>
                <c:pt idx="729">
                  <c:v>35.229999999999997</c:v>
                </c:pt>
                <c:pt idx="730">
                  <c:v>32.840000000000003</c:v>
                </c:pt>
                <c:pt idx="731">
                  <c:v>31.94</c:v>
                </c:pt>
                <c:pt idx="732">
                  <c:v>34.15</c:v>
                </c:pt>
                <c:pt idx="733">
                  <c:v>32.99</c:v>
                </c:pt>
                <c:pt idx="734">
                  <c:v>34.11</c:v>
                </c:pt>
                <c:pt idx="735">
                  <c:v>33.61</c:v>
                </c:pt>
                <c:pt idx="736">
                  <c:v>35.340000000000003</c:v>
                </c:pt>
                <c:pt idx="737">
                  <c:v>37.130000000000003</c:v>
                </c:pt>
                <c:pt idx="738">
                  <c:v>38.659999999999997</c:v>
                </c:pt>
                <c:pt idx="739">
                  <c:v>38.700000000000003</c:v>
                </c:pt>
                <c:pt idx="740">
                  <c:v>39.19</c:v>
                </c:pt>
                <c:pt idx="741">
                  <c:v>39.58</c:v>
                </c:pt>
                <c:pt idx="742">
                  <c:v>40.07</c:v>
                </c:pt>
                <c:pt idx="743">
                  <c:v>41.84</c:v>
                </c:pt>
                <c:pt idx="744">
                  <c:v>43.33</c:v>
                </c:pt>
                <c:pt idx="745">
                  <c:v>43.76</c:v>
                </c:pt>
                <c:pt idx="746">
                  <c:v>41.85</c:v>
                </c:pt>
                <c:pt idx="747">
                  <c:v>42.27</c:v>
                </c:pt>
                <c:pt idx="748">
                  <c:v>44.62</c:v>
                </c:pt>
                <c:pt idx="749">
                  <c:v>44.66</c:v>
                </c:pt>
                <c:pt idx="750">
                  <c:v>46.04</c:v>
                </c:pt>
                <c:pt idx="751">
                  <c:v>47.55</c:v>
                </c:pt>
                <c:pt idx="752">
                  <c:v>51.34</c:v>
                </c:pt>
                <c:pt idx="753">
                  <c:v>53.38</c:v>
                </c:pt>
                <c:pt idx="754">
                  <c:v>56.89</c:v>
                </c:pt>
                <c:pt idx="755">
                  <c:v>53.87</c:v>
                </c:pt>
                <c:pt idx="756">
                  <c:v>52.48</c:v>
                </c:pt>
                <c:pt idx="757">
                  <c:v>52.13</c:v>
                </c:pt>
                <c:pt idx="758">
                  <c:v>52.85</c:v>
                </c:pt>
                <c:pt idx="759">
                  <c:v>56.33</c:v>
                </c:pt>
                <c:pt idx="760">
                  <c:v>62.71</c:v>
                </c:pt>
                <c:pt idx="761">
                  <c:v>68.459999999999994</c:v>
                </c:pt>
                <c:pt idx="762">
                  <c:v>66.38</c:v>
                </c:pt>
                <c:pt idx="763">
                  <c:v>68.41</c:v>
                </c:pt>
                <c:pt idx="764">
                  <c:v>65.489999999999995</c:v>
                </c:pt>
                <c:pt idx="765">
                  <c:v>65.790000000000006</c:v>
                </c:pt>
                <c:pt idx="766">
                  <c:v>71.34</c:v>
                </c:pt>
                <c:pt idx="767">
                  <c:v>66.98</c:v>
                </c:pt>
                <c:pt idx="768">
                  <c:v>58.12</c:v>
                </c:pt>
                <c:pt idx="769">
                  <c:v>59.71</c:v>
                </c:pt>
                <c:pt idx="770">
                  <c:v>66.819999999999993</c:v>
                </c:pt>
                <c:pt idx="771">
                  <c:v>62.41</c:v>
                </c:pt>
                <c:pt idx="772">
                  <c:v>68.31</c:v>
                </c:pt>
                <c:pt idx="773">
                  <c:v>65.66</c:v>
                </c:pt>
                <c:pt idx="774">
                  <c:v>65.819999999999993</c:v>
                </c:pt>
                <c:pt idx="775">
                  <c:v>63.41</c:v>
                </c:pt>
                <c:pt idx="776">
                  <c:v>63.51</c:v>
                </c:pt>
                <c:pt idx="777">
                  <c:v>57.49</c:v>
                </c:pt>
                <c:pt idx="778">
                  <c:v>61.3</c:v>
                </c:pt>
                <c:pt idx="779">
                  <c:v>59</c:v>
                </c:pt>
                <c:pt idx="780">
                  <c:v>55.74</c:v>
                </c:pt>
                <c:pt idx="781">
                  <c:v>56.29</c:v>
                </c:pt>
                <c:pt idx="782">
                  <c:v>57.97</c:v>
                </c:pt>
                <c:pt idx="783">
                  <c:v>58.61</c:v>
                </c:pt>
                <c:pt idx="784">
                  <c:v>61.33</c:v>
                </c:pt>
                <c:pt idx="785">
                  <c:v>61.29</c:v>
                </c:pt>
                <c:pt idx="786">
                  <c:v>62.09</c:v>
                </c:pt>
                <c:pt idx="787">
                  <c:v>61.27</c:v>
                </c:pt>
                <c:pt idx="788">
                  <c:v>58.78</c:v>
                </c:pt>
                <c:pt idx="789">
                  <c:v>58.97</c:v>
                </c:pt>
                <c:pt idx="790">
                  <c:v>58.16</c:v>
                </c:pt>
                <c:pt idx="791">
                  <c:v>59.02</c:v>
                </c:pt>
                <c:pt idx="792">
                  <c:v>57.1</c:v>
                </c:pt>
                <c:pt idx="793">
                  <c:v>53.59</c:v>
                </c:pt>
                <c:pt idx="794">
                  <c:v>53.88</c:v>
                </c:pt>
                <c:pt idx="795">
                  <c:v>55.44</c:v>
                </c:pt>
                <c:pt idx="796">
                  <c:v>56.3</c:v>
                </c:pt>
                <c:pt idx="797">
                  <c:v>58.63</c:v>
                </c:pt>
                <c:pt idx="798">
                  <c:v>58.15</c:v>
                </c:pt>
                <c:pt idx="799">
                  <c:v>63</c:v>
                </c:pt>
                <c:pt idx="800">
                  <c:v>65.27</c:v>
                </c:pt>
                <c:pt idx="801">
                  <c:v>65.36</c:v>
                </c:pt>
                <c:pt idx="802">
                  <c:v>65.72</c:v>
                </c:pt>
                <c:pt idx="803">
                  <c:v>67.569999999999993</c:v>
                </c:pt>
                <c:pt idx="804">
                  <c:v>68.75</c:v>
                </c:pt>
                <c:pt idx="805">
                  <c:v>76.8</c:v>
                </c:pt>
                <c:pt idx="806">
                  <c:v>82.18</c:v>
                </c:pt>
                <c:pt idx="807">
                  <c:v>72.290000000000006</c:v>
                </c:pt>
                <c:pt idx="808">
                  <c:v>74.75</c:v>
                </c:pt>
                <c:pt idx="809">
                  <c:v>71.2</c:v>
                </c:pt>
                <c:pt idx="810">
                  <c:v>75.12</c:v>
                </c:pt>
                <c:pt idx="811">
                  <c:v>78.91</c:v>
                </c:pt>
                <c:pt idx="812">
                  <c:v>83.26</c:v>
                </c:pt>
                <c:pt idx="813">
                  <c:v>89.17</c:v>
                </c:pt>
                <c:pt idx="814">
                  <c:v>88.4</c:v>
                </c:pt>
                <c:pt idx="815">
                  <c:v>88.34</c:v>
                </c:pt>
                <c:pt idx="816">
                  <c:v>80.930000000000007</c:v>
                </c:pt>
                <c:pt idx="817">
                  <c:v>79.569999999999993</c:v>
                </c:pt>
                <c:pt idx="818">
                  <c:v>81.849999999999994</c:v>
                </c:pt>
                <c:pt idx="819">
                  <c:v>80.81</c:v>
                </c:pt>
                <c:pt idx="820">
                  <c:v>73.790000000000006</c:v>
                </c:pt>
                <c:pt idx="821">
                  <c:v>69.75</c:v>
                </c:pt>
                <c:pt idx="822">
                  <c:v>65.680000000000007</c:v>
                </c:pt>
                <c:pt idx="823">
                  <c:v>64.069999999999993</c:v>
                </c:pt>
                <c:pt idx="824">
                  <c:v>60.08</c:v>
                </c:pt>
                <c:pt idx="825">
                  <c:v>60.32</c:v>
                </c:pt>
                <c:pt idx="826">
                  <c:v>68.599999999999994</c:v>
                </c:pt>
                <c:pt idx="827">
                  <c:v>68.59</c:v>
                </c:pt>
                <c:pt idx="828">
                  <c:v>71.97</c:v>
                </c:pt>
                <c:pt idx="829">
                  <c:v>67.900000000000006</c:v>
                </c:pt>
                <c:pt idx="830">
                  <c:v>70.819999999999993</c:v>
                </c:pt>
                <c:pt idx="831">
                  <c:v>71.5</c:v>
                </c:pt>
                <c:pt idx="832">
                  <c:v>70.25</c:v>
                </c:pt>
                <c:pt idx="833">
                  <c:v>68.66</c:v>
                </c:pt>
                <c:pt idx="834">
                  <c:v>67</c:v>
                </c:pt>
                <c:pt idx="835">
                  <c:v>65.349999999999994</c:v>
                </c:pt>
                <c:pt idx="836">
                  <c:v>70.08</c:v>
                </c:pt>
                <c:pt idx="837">
                  <c:v>69.569999999999993</c:v>
                </c:pt>
                <c:pt idx="838">
                  <c:v>71.5</c:v>
                </c:pt>
                <c:pt idx="839">
                  <c:v>71.790000000000006</c:v>
                </c:pt>
                <c:pt idx="840">
                  <c:v>77.17</c:v>
                </c:pt>
                <c:pt idx="841">
                  <c:v>76.97</c:v>
                </c:pt>
                <c:pt idx="842">
                  <c:v>72.739999999999995</c:v>
                </c:pt>
                <c:pt idx="843">
                  <c:v>74.52</c:v>
                </c:pt>
                <c:pt idx="844">
                  <c:v>67.59</c:v>
                </c:pt>
                <c:pt idx="845">
                  <c:v>62.2</c:v>
                </c:pt>
                <c:pt idx="846">
                  <c:v>63.36</c:v>
                </c:pt>
                <c:pt idx="847">
                  <c:v>65.930000000000007</c:v>
                </c:pt>
                <c:pt idx="848">
                  <c:v>63.81</c:v>
                </c:pt>
                <c:pt idx="849">
                  <c:v>63.73</c:v>
                </c:pt>
                <c:pt idx="850">
                  <c:v>63.25</c:v>
                </c:pt>
                <c:pt idx="851">
                  <c:v>61.97</c:v>
                </c:pt>
                <c:pt idx="852">
                  <c:v>60.62</c:v>
                </c:pt>
                <c:pt idx="853">
                  <c:v>59.06</c:v>
                </c:pt>
                <c:pt idx="854">
                  <c:v>60.54</c:v>
                </c:pt>
                <c:pt idx="855">
                  <c:v>61.51</c:v>
                </c:pt>
                <c:pt idx="856">
                  <c:v>61.11</c:v>
                </c:pt>
                <c:pt idx="857">
                  <c:v>60.61</c:v>
                </c:pt>
                <c:pt idx="858">
                  <c:v>56.1</c:v>
                </c:pt>
                <c:pt idx="859">
                  <c:v>57.46</c:v>
                </c:pt>
                <c:pt idx="860">
                  <c:v>53.27</c:v>
                </c:pt>
                <c:pt idx="861">
                  <c:v>55.49</c:v>
                </c:pt>
                <c:pt idx="862">
                  <c:v>54.53</c:v>
                </c:pt>
                <c:pt idx="863">
                  <c:v>53.66</c:v>
                </c:pt>
                <c:pt idx="864">
                  <c:v>53.4</c:v>
                </c:pt>
                <c:pt idx="865">
                  <c:v>51.61</c:v>
                </c:pt>
                <c:pt idx="866">
                  <c:v>54.09</c:v>
                </c:pt>
                <c:pt idx="867">
                  <c:v>49.89</c:v>
                </c:pt>
                <c:pt idx="868">
                  <c:v>47.27</c:v>
                </c:pt>
                <c:pt idx="869">
                  <c:v>48.82</c:v>
                </c:pt>
                <c:pt idx="870">
                  <c:v>49.5</c:v>
                </c:pt>
                <c:pt idx="871">
                  <c:v>54.59</c:v>
                </c:pt>
                <c:pt idx="872">
                  <c:v>59.69</c:v>
                </c:pt>
                <c:pt idx="873">
                  <c:v>57.94</c:v>
                </c:pt>
                <c:pt idx="874">
                  <c:v>65.010000000000005</c:v>
                </c:pt>
                <c:pt idx="875">
                  <c:v>66.55</c:v>
                </c:pt>
                <c:pt idx="876">
                  <c:v>67.89</c:v>
                </c:pt>
                <c:pt idx="877">
                  <c:v>69.400000000000006</c:v>
                </c:pt>
                <c:pt idx="878">
                  <c:v>67.599999999999994</c:v>
                </c:pt>
                <c:pt idx="879">
                  <c:v>68</c:v>
                </c:pt>
                <c:pt idx="880">
                  <c:v>66.34</c:v>
                </c:pt>
                <c:pt idx="881">
                  <c:v>68.290000000000006</c:v>
                </c:pt>
                <c:pt idx="882">
                  <c:v>66.73</c:v>
                </c:pt>
                <c:pt idx="883">
                  <c:v>66.55</c:v>
                </c:pt>
                <c:pt idx="884">
                  <c:v>63.15</c:v>
                </c:pt>
                <c:pt idx="885">
                  <c:v>63.38</c:v>
                </c:pt>
                <c:pt idx="886">
                  <c:v>60.85</c:v>
                </c:pt>
                <c:pt idx="887">
                  <c:v>57.44</c:v>
                </c:pt>
                <c:pt idx="888">
                  <c:v>57.29</c:v>
                </c:pt>
                <c:pt idx="889">
                  <c:v>55.35</c:v>
                </c:pt>
                <c:pt idx="890">
                  <c:v>53.39</c:v>
                </c:pt>
                <c:pt idx="891">
                  <c:v>52.27</c:v>
                </c:pt>
                <c:pt idx="892">
                  <c:v>49.36</c:v>
                </c:pt>
                <c:pt idx="893">
                  <c:v>51.2</c:v>
                </c:pt>
                <c:pt idx="894">
                  <c:v>52.01</c:v>
                </c:pt>
                <c:pt idx="895" formatCode="General">
                  <c:v>51.53</c:v>
                </c:pt>
                <c:pt idx="896" formatCode="General">
                  <c:v>51.38</c:v>
                </c:pt>
                <c:pt idx="897" formatCode="General">
                  <c:v>50.15</c:v>
                </c:pt>
                <c:pt idx="898" formatCode="General">
                  <c:v>49.99</c:v>
                </c:pt>
                <c:pt idx="899" formatCode="General">
                  <c:v>48.53</c:v>
                </c:pt>
                <c:pt idx="900" formatCode="General">
                  <c:v>47.84</c:v>
                </c:pt>
                <c:pt idx="901" formatCode="General">
                  <c:v>47.17</c:v>
                </c:pt>
                <c:pt idx="902" formatCode="General">
                  <c:v>47.75</c:v>
                </c:pt>
                <c:pt idx="903" formatCode="General">
                  <c:v>46.9</c:v>
                </c:pt>
                <c:pt idx="904" formatCode="General">
                  <c:v>46.93</c:v>
                </c:pt>
                <c:pt idx="905" formatCode="General">
                  <c:v>44.73</c:v>
                </c:pt>
                <c:pt idx="906" formatCode="General">
                  <c:v>47.26</c:v>
                </c:pt>
                <c:pt idx="907" formatCode="General">
                  <c:v>45.59</c:v>
                </c:pt>
                <c:pt idx="908" formatCode="General">
                  <c:v>44.02</c:v>
                </c:pt>
                <c:pt idx="909" formatCode="General">
                  <c:v>44.62</c:v>
                </c:pt>
                <c:pt idx="910" formatCode="General">
                  <c:v>45.6</c:v>
                </c:pt>
                <c:pt idx="911" formatCode="General">
                  <c:v>49.42</c:v>
                </c:pt>
                <c:pt idx="912" formatCode="General">
                  <c:v>47.64</c:v>
                </c:pt>
                <c:pt idx="913" formatCode="General">
                  <c:v>47.95</c:v>
                </c:pt>
                <c:pt idx="914" formatCode="General">
                  <c:v>48.89</c:v>
                </c:pt>
                <c:pt idx="915" formatCode="General">
                  <c:v>45.89</c:v>
                </c:pt>
                <c:pt idx="916" formatCode="General">
                  <c:v>44.38</c:v>
                </c:pt>
                <c:pt idx="917" formatCode="General">
                  <c:v>44.93</c:v>
                </c:pt>
                <c:pt idx="918" formatCode="General">
                  <c:v>42.42</c:v>
                </c:pt>
                <c:pt idx="919" formatCode="General">
                  <c:v>43.81</c:v>
                </c:pt>
                <c:pt idx="920" formatCode="General">
                  <c:v>45.27</c:v>
                </c:pt>
                <c:pt idx="921" formatCode="General">
                  <c:v>44.95</c:v>
                </c:pt>
                <c:pt idx="922" formatCode="General">
                  <c:v>45.52</c:v>
                </c:pt>
                <c:pt idx="923" formatCode="General">
                  <c:v>43.63</c:v>
                </c:pt>
                <c:pt idx="924" formatCode="General">
                  <c:v>43.68</c:v>
                </c:pt>
                <c:pt idx="925" formatCode="General">
                  <c:v>43.94</c:v>
                </c:pt>
                <c:pt idx="926" formatCode="General">
                  <c:v>43.77</c:v>
                </c:pt>
                <c:pt idx="927" formatCode="General">
                  <c:v>49.62</c:v>
                </c:pt>
                <c:pt idx="928" formatCode="General">
                  <c:v>47.55</c:v>
                </c:pt>
                <c:pt idx="929" formatCode="General">
                  <c:v>46.56</c:v>
                </c:pt>
                <c:pt idx="930" formatCode="General">
                  <c:v>43.66</c:v>
                </c:pt>
                <c:pt idx="931" formatCode="General">
                  <c:v>41.71</c:v>
                </c:pt>
                <c:pt idx="932" formatCode="General">
                  <c:v>42.74</c:v>
                </c:pt>
                <c:pt idx="933" formatCode="General">
                  <c:v>39.950000000000003</c:v>
                </c:pt>
                <c:pt idx="934" formatCode="General">
                  <c:v>41.47</c:v>
                </c:pt>
                <c:pt idx="935" formatCode="General">
                  <c:v>43.14</c:v>
                </c:pt>
                <c:pt idx="936" formatCode="General">
                  <c:v>40.770000000000003</c:v>
                </c:pt>
                <c:pt idx="937" formatCode="General">
                  <c:v>40.69</c:v>
                </c:pt>
                <c:pt idx="938" formatCode="General">
                  <c:v>42.16</c:v>
                </c:pt>
                <c:pt idx="939" formatCode="General">
                  <c:v>42.18</c:v>
                </c:pt>
                <c:pt idx="940" formatCode="General">
                  <c:v>44.04</c:v>
                </c:pt>
                <c:pt idx="941" formatCode="General">
                  <c:v>43.44</c:v>
                </c:pt>
                <c:pt idx="942" formatCode="General">
                  <c:v>41.82</c:v>
                </c:pt>
                <c:pt idx="943" formatCode="General">
                  <c:v>44.15</c:v>
                </c:pt>
                <c:pt idx="944" formatCode="General">
                  <c:v>46.3</c:v>
                </c:pt>
                <c:pt idx="945" formatCode="General">
                  <c:v>48.77</c:v>
                </c:pt>
                <c:pt idx="946" formatCode="General">
                  <c:v>45.35</c:v>
                </c:pt>
                <c:pt idx="947" formatCode="General">
                  <c:v>41.77</c:v>
                </c:pt>
                <c:pt idx="948" formatCode="General">
                  <c:v>41.61</c:v>
                </c:pt>
                <c:pt idx="949" formatCode="General">
                  <c:v>42.78</c:v>
                </c:pt>
                <c:pt idx="950" formatCode="General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89-46E4-B186-9E7FEBA19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230776"/>
        <c:axId val="470231432"/>
      </c:lineChart>
      <c:dateAx>
        <c:axId val="500438208"/>
        <c:scaling>
          <c:orientation val="minMax"/>
          <c:max val="45202"/>
          <c:min val="44444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25400" cap="flat" cmpd="sng" algn="ctr">
            <a:solidFill>
              <a:srgbClr val="FF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2040960"/>
        <c:crosses val="autoZero"/>
        <c:auto val="1"/>
        <c:lblOffset val="100"/>
        <c:baseTimeUnit val="days"/>
      </c:dateAx>
      <c:valAx>
        <c:axId val="115204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futures</a:t>
                </a:r>
                <a:r>
                  <a:rPr lang="en-US" sz="12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and options contracts</a:t>
                </a:r>
                <a:endParaRPr lang="en-US" sz="12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0438208"/>
        <c:crosses val="autoZero"/>
        <c:crossBetween val="between"/>
      </c:valAx>
      <c:valAx>
        <c:axId val="4702314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Nearby Futures Price (₵/lb)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0230776"/>
        <c:crosses val="max"/>
        <c:crossBetween val="between"/>
      </c:valAx>
      <c:dateAx>
        <c:axId val="470230776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extTo"/>
        <c:crossAx val="470231432"/>
        <c:crosses val="autoZero"/>
        <c:auto val="1"/>
        <c:lblOffset val="100"/>
        <c:baseTimeUnit val="days"/>
      </c:dateAx>
      <c:spPr>
        <a:noFill/>
        <a:ln w="15875">
          <a:solidFill>
            <a:srgbClr val="8C8C8C"/>
          </a:solidFill>
        </a:ln>
        <a:effectLst/>
      </c:spPr>
    </c:plotArea>
    <c:legend>
      <c:legendPos val="t"/>
      <c:layout>
        <c:manualLayout>
          <c:xMode val="edge"/>
          <c:yMode val="edge"/>
          <c:x val="0.58749772173449477"/>
          <c:y val="0.71868933605659691"/>
          <c:w val="0.3127179365077693"/>
          <c:h val="9.6422358616910009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/>
              <a:t>Managed Money Oil Share Position versus Soybean Oil Futures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64733187454106"/>
          <c:y val="0.15120473378416108"/>
          <c:w val="0.84855997817079243"/>
          <c:h val="0.736838473360932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D7BA2F"/>
              </a:solidFill>
              <a:ln w="9525">
                <a:solidFill>
                  <a:srgbClr val="C4722E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Data!$B$1946:$B$2060</c:f>
              <c:numCache>
                <c:formatCode>General</c:formatCode>
                <c:ptCount val="115"/>
              </c:numCache>
            </c:numRef>
          </c:xVal>
          <c:yVal>
            <c:numRef>
              <c:f>Data!$C$1946:$C$2060</c:f>
              <c:numCache>
                <c:formatCode>0.00_);[Red]\(0.00\)</c:formatCode>
                <c:ptCount val="1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2D-4552-89F0-C9F088D04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143800"/>
        <c:axId val="682806432"/>
      </c:scatterChart>
      <c:valAx>
        <c:axId val="682143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(contracts)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2806432"/>
        <c:crosses val="autoZero"/>
        <c:crossBetween val="midCat"/>
      </c:valAx>
      <c:valAx>
        <c:axId val="68280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/>
                  <a:t>(most active contract, cents</a:t>
                </a:r>
                <a:r>
                  <a:rPr lang="en-US" sz="1200" b="1" baseline="0"/>
                  <a:t> per pound)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_);[Red]\(0.00\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2143800"/>
        <c:crosses val="autoZero"/>
        <c:crossBetween val="midCat"/>
      </c:valAx>
      <c:spPr>
        <a:noFill/>
        <a:ln w="15875">
          <a:solidFill>
            <a:srgbClr val="505A5B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  <a:latin typeface="Helvetica" panose="020B0604020202030204" pitchFamily="34" charset="0"/>
              </a:rPr>
              <a:t>Soybean Oil Managed Money Net Futures and Options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Helvetica" panose="020B0604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545852030358908E-2"/>
          <c:y val="8.4714746939818369E-2"/>
          <c:w val="0.89400462645092549"/>
          <c:h val="0.75769549160337268"/>
        </c:manualLayout>
      </c:layout>
      <c:lineChart>
        <c:grouping val="standard"/>
        <c:varyColors val="0"/>
        <c:ser>
          <c:idx val="0"/>
          <c:order val="0"/>
          <c:tx>
            <c:v>Net Position</c:v>
          </c:tx>
          <c:spPr>
            <a:ln w="22225" cap="rnd">
              <a:solidFill>
                <a:srgbClr val="335163"/>
              </a:solidFill>
              <a:round/>
            </a:ln>
            <a:effectLst/>
          </c:spPr>
          <c:marker>
            <c:symbol val="none"/>
          </c:marker>
          <c:cat>
            <c:strRef>
              <c:f>Data!$A$3:$A$1000</c:f>
              <c:strCache>
                <c:ptCount val="998"/>
                <c:pt idx="0">
                  <c:v>13-Jun-06</c:v>
                </c:pt>
                <c:pt idx="1">
                  <c:v>20-Jun-06</c:v>
                </c:pt>
                <c:pt idx="2">
                  <c:v>27-Jun-06</c:v>
                </c:pt>
                <c:pt idx="3">
                  <c:v>4-Jul-06</c:v>
                </c:pt>
                <c:pt idx="4">
                  <c:v>11-Jul-06</c:v>
                </c:pt>
                <c:pt idx="5">
                  <c:v>18-Jul-06</c:v>
                </c:pt>
                <c:pt idx="6">
                  <c:v>25-Jul-06</c:v>
                </c:pt>
                <c:pt idx="7">
                  <c:v>1-Aug-06</c:v>
                </c:pt>
                <c:pt idx="8">
                  <c:v>8-Aug-06</c:v>
                </c:pt>
                <c:pt idx="9">
                  <c:v>15-Aug-06</c:v>
                </c:pt>
                <c:pt idx="10">
                  <c:v>22-Aug-06</c:v>
                </c:pt>
                <c:pt idx="11">
                  <c:v>29-Aug-06</c:v>
                </c:pt>
                <c:pt idx="12">
                  <c:v>5-Sep-06</c:v>
                </c:pt>
                <c:pt idx="13">
                  <c:v>12-Sep-06</c:v>
                </c:pt>
                <c:pt idx="14">
                  <c:v>19-Sep-06</c:v>
                </c:pt>
                <c:pt idx="15">
                  <c:v>26-Sep-06</c:v>
                </c:pt>
                <c:pt idx="16">
                  <c:v>3-Oct-06</c:v>
                </c:pt>
                <c:pt idx="17">
                  <c:v>10-Oct-06</c:v>
                </c:pt>
                <c:pt idx="18">
                  <c:v>17-Oct-06</c:v>
                </c:pt>
                <c:pt idx="19">
                  <c:v>24-Oct-06</c:v>
                </c:pt>
                <c:pt idx="20">
                  <c:v>31-Oct-06</c:v>
                </c:pt>
                <c:pt idx="21">
                  <c:v>7-Nov-06</c:v>
                </c:pt>
                <c:pt idx="22">
                  <c:v>14-Nov-06</c:v>
                </c:pt>
                <c:pt idx="23">
                  <c:v>21-Nov-06</c:v>
                </c:pt>
                <c:pt idx="24">
                  <c:v>28-Nov-06</c:v>
                </c:pt>
                <c:pt idx="25">
                  <c:v>5-Dec-06</c:v>
                </c:pt>
                <c:pt idx="26">
                  <c:v>12-Dec-06</c:v>
                </c:pt>
                <c:pt idx="27">
                  <c:v>19-Dec-06</c:v>
                </c:pt>
                <c:pt idx="28">
                  <c:v>26-Dec-06</c:v>
                </c:pt>
                <c:pt idx="29">
                  <c:v>9-Jan-07</c:v>
                </c:pt>
                <c:pt idx="30">
                  <c:v>16-Jan-07</c:v>
                </c:pt>
                <c:pt idx="31">
                  <c:v>23-Jan-07</c:v>
                </c:pt>
                <c:pt idx="32">
                  <c:v>30-Jan-07</c:v>
                </c:pt>
                <c:pt idx="33">
                  <c:v>6-Feb-07</c:v>
                </c:pt>
                <c:pt idx="34">
                  <c:v>13-Feb-07</c:v>
                </c:pt>
                <c:pt idx="35">
                  <c:v>20-Feb-07</c:v>
                </c:pt>
                <c:pt idx="36">
                  <c:v>27-Feb-07</c:v>
                </c:pt>
                <c:pt idx="37">
                  <c:v>6-Mar-07</c:v>
                </c:pt>
                <c:pt idx="38">
                  <c:v>13-Mar-07</c:v>
                </c:pt>
                <c:pt idx="39">
                  <c:v>20-Mar-07</c:v>
                </c:pt>
                <c:pt idx="40">
                  <c:v>27-Mar-07</c:v>
                </c:pt>
                <c:pt idx="41">
                  <c:v>3-Apr-07</c:v>
                </c:pt>
                <c:pt idx="42">
                  <c:v>10-Apr-07</c:v>
                </c:pt>
                <c:pt idx="43">
                  <c:v>17-Apr-07</c:v>
                </c:pt>
                <c:pt idx="44">
                  <c:v>24-Apr-07</c:v>
                </c:pt>
                <c:pt idx="45">
                  <c:v>1-May-07</c:v>
                </c:pt>
                <c:pt idx="46">
                  <c:v>8-May-07</c:v>
                </c:pt>
                <c:pt idx="47">
                  <c:v>15-May-07</c:v>
                </c:pt>
                <c:pt idx="48">
                  <c:v>22-May-07</c:v>
                </c:pt>
                <c:pt idx="49">
                  <c:v>29-May-07</c:v>
                </c:pt>
                <c:pt idx="50">
                  <c:v>5-Jun-07</c:v>
                </c:pt>
                <c:pt idx="51">
                  <c:v>12-Jun-07</c:v>
                </c:pt>
                <c:pt idx="52">
                  <c:v>19-Jun-07</c:v>
                </c:pt>
                <c:pt idx="53">
                  <c:v>26-Jun-07</c:v>
                </c:pt>
                <c:pt idx="54">
                  <c:v>3-Jul-07</c:v>
                </c:pt>
                <c:pt idx="55">
                  <c:v>10-Jul-07</c:v>
                </c:pt>
                <c:pt idx="56">
                  <c:v>17-Jul-07</c:v>
                </c:pt>
                <c:pt idx="57">
                  <c:v>24-Jul-07</c:v>
                </c:pt>
                <c:pt idx="58">
                  <c:v>31-Jul-07</c:v>
                </c:pt>
                <c:pt idx="59">
                  <c:v>7-Aug-07</c:v>
                </c:pt>
                <c:pt idx="60">
                  <c:v>14-Aug-07</c:v>
                </c:pt>
                <c:pt idx="61">
                  <c:v>21-Aug-07</c:v>
                </c:pt>
                <c:pt idx="62">
                  <c:v>28-Aug-07</c:v>
                </c:pt>
                <c:pt idx="63">
                  <c:v>4-Sep-07</c:v>
                </c:pt>
                <c:pt idx="64">
                  <c:v>11-Sep-07</c:v>
                </c:pt>
                <c:pt idx="65">
                  <c:v>18-Sep-07</c:v>
                </c:pt>
                <c:pt idx="66">
                  <c:v>25-Sep-07</c:v>
                </c:pt>
                <c:pt idx="67">
                  <c:v>2-Oct-07</c:v>
                </c:pt>
                <c:pt idx="68">
                  <c:v>9-Oct-07</c:v>
                </c:pt>
                <c:pt idx="69">
                  <c:v>16-Oct-07</c:v>
                </c:pt>
                <c:pt idx="70">
                  <c:v>23-Oct-07</c:v>
                </c:pt>
                <c:pt idx="71">
                  <c:v>30-Oct-07</c:v>
                </c:pt>
                <c:pt idx="72">
                  <c:v>6-Nov-07</c:v>
                </c:pt>
                <c:pt idx="73">
                  <c:v>13-Nov-07</c:v>
                </c:pt>
                <c:pt idx="74">
                  <c:v>20-Nov-07</c:v>
                </c:pt>
                <c:pt idx="75">
                  <c:v>27-Nov-07</c:v>
                </c:pt>
                <c:pt idx="76">
                  <c:v>4-Dec-07</c:v>
                </c:pt>
                <c:pt idx="77">
                  <c:v>11-Dec-07</c:v>
                </c:pt>
                <c:pt idx="78">
                  <c:v>18-Dec-07</c:v>
                </c:pt>
                <c:pt idx="79">
                  <c:v>25-Dec-07</c:v>
                </c:pt>
                <c:pt idx="80">
                  <c:v>1-Jan-08</c:v>
                </c:pt>
                <c:pt idx="81">
                  <c:v>8-Jan-08</c:v>
                </c:pt>
                <c:pt idx="82">
                  <c:v>15-Jan-08</c:v>
                </c:pt>
                <c:pt idx="83">
                  <c:v>22-Jan-08</c:v>
                </c:pt>
                <c:pt idx="84">
                  <c:v>29-Jan-08</c:v>
                </c:pt>
                <c:pt idx="85">
                  <c:v>5-Feb-08</c:v>
                </c:pt>
                <c:pt idx="86">
                  <c:v>12-Feb-08</c:v>
                </c:pt>
                <c:pt idx="87">
                  <c:v>19-Feb-08</c:v>
                </c:pt>
                <c:pt idx="88">
                  <c:v>26-Feb-08</c:v>
                </c:pt>
                <c:pt idx="89">
                  <c:v>4-Mar-08</c:v>
                </c:pt>
                <c:pt idx="90">
                  <c:v>11-Mar-08</c:v>
                </c:pt>
                <c:pt idx="91">
                  <c:v>18-Mar-08</c:v>
                </c:pt>
                <c:pt idx="92">
                  <c:v>25-Mar-08</c:v>
                </c:pt>
                <c:pt idx="93">
                  <c:v>1-Apr-08</c:v>
                </c:pt>
                <c:pt idx="94">
                  <c:v>8-Apr-08</c:v>
                </c:pt>
                <c:pt idx="95">
                  <c:v>15-Apr-08</c:v>
                </c:pt>
                <c:pt idx="96">
                  <c:v>22-Apr-08</c:v>
                </c:pt>
                <c:pt idx="97">
                  <c:v>29-Apr-08</c:v>
                </c:pt>
                <c:pt idx="98">
                  <c:v>6-May-08</c:v>
                </c:pt>
                <c:pt idx="99">
                  <c:v>13-May-08</c:v>
                </c:pt>
                <c:pt idx="100">
                  <c:v>20-May-08</c:v>
                </c:pt>
                <c:pt idx="101">
                  <c:v>27-May-08</c:v>
                </c:pt>
                <c:pt idx="102">
                  <c:v>3-Jun-08</c:v>
                </c:pt>
                <c:pt idx="103">
                  <c:v>10-Jun-08</c:v>
                </c:pt>
                <c:pt idx="104">
                  <c:v>17-Jun-08</c:v>
                </c:pt>
                <c:pt idx="105">
                  <c:v>24-Jun-08</c:v>
                </c:pt>
                <c:pt idx="106">
                  <c:v>1-Jul-08</c:v>
                </c:pt>
                <c:pt idx="107">
                  <c:v>8-Jul-08</c:v>
                </c:pt>
                <c:pt idx="108">
                  <c:v>15-Jul-08</c:v>
                </c:pt>
                <c:pt idx="109">
                  <c:v>22-Jul-08</c:v>
                </c:pt>
                <c:pt idx="110">
                  <c:v>29-Jul-08</c:v>
                </c:pt>
                <c:pt idx="111">
                  <c:v>5-Aug-08</c:v>
                </c:pt>
                <c:pt idx="112">
                  <c:v>12-Aug-08</c:v>
                </c:pt>
                <c:pt idx="113">
                  <c:v>19-Aug-08</c:v>
                </c:pt>
                <c:pt idx="114">
                  <c:v>26-Aug-08</c:v>
                </c:pt>
                <c:pt idx="115">
                  <c:v>2-Sep-08</c:v>
                </c:pt>
                <c:pt idx="116">
                  <c:v>9-Sep-08</c:v>
                </c:pt>
                <c:pt idx="117">
                  <c:v>16-Sep-08</c:v>
                </c:pt>
                <c:pt idx="118">
                  <c:v>23-Sep-08</c:v>
                </c:pt>
                <c:pt idx="119">
                  <c:v>30-Sep-08</c:v>
                </c:pt>
                <c:pt idx="120">
                  <c:v>7-Oct-08</c:v>
                </c:pt>
                <c:pt idx="121">
                  <c:v>14-Oct-08</c:v>
                </c:pt>
                <c:pt idx="122">
                  <c:v>21-Oct-08</c:v>
                </c:pt>
                <c:pt idx="123">
                  <c:v>28-Oct-08</c:v>
                </c:pt>
                <c:pt idx="124">
                  <c:v>4-Nov-08</c:v>
                </c:pt>
                <c:pt idx="125">
                  <c:v>11-Nov-08</c:v>
                </c:pt>
                <c:pt idx="126">
                  <c:v>18-Nov-08</c:v>
                </c:pt>
                <c:pt idx="127">
                  <c:v>25-Nov-08</c:v>
                </c:pt>
                <c:pt idx="128">
                  <c:v>2-Dec-08</c:v>
                </c:pt>
                <c:pt idx="129">
                  <c:v>9-Dec-08</c:v>
                </c:pt>
                <c:pt idx="130">
                  <c:v>16-Dec-08</c:v>
                </c:pt>
                <c:pt idx="131">
                  <c:v>23-Dec-08</c:v>
                </c:pt>
                <c:pt idx="132">
                  <c:v>30-Dec-08</c:v>
                </c:pt>
                <c:pt idx="133">
                  <c:v>6-Jan-09</c:v>
                </c:pt>
                <c:pt idx="134">
                  <c:v>13-Jan-09</c:v>
                </c:pt>
                <c:pt idx="135">
                  <c:v>20-Jan-09</c:v>
                </c:pt>
                <c:pt idx="136">
                  <c:v>27-Jan-09</c:v>
                </c:pt>
                <c:pt idx="137">
                  <c:v>3-Feb-09</c:v>
                </c:pt>
                <c:pt idx="138">
                  <c:v>10-Feb-09</c:v>
                </c:pt>
                <c:pt idx="139">
                  <c:v>17-Feb-09</c:v>
                </c:pt>
                <c:pt idx="140">
                  <c:v>24-Feb-09</c:v>
                </c:pt>
                <c:pt idx="141">
                  <c:v>3-Mar-09</c:v>
                </c:pt>
                <c:pt idx="142">
                  <c:v>10-Mar-09</c:v>
                </c:pt>
                <c:pt idx="143">
                  <c:v>17-Mar-09</c:v>
                </c:pt>
                <c:pt idx="144">
                  <c:v>24-Mar-09</c:v>
                </c:pt>
                <c:pt idx="145">
                  <c:v>31-Mar-09</c:v>
                </c:pt>
                <c:pt idx="146">
                  <c:v>7-Apr-09</c:v>
                </c:pt>
                <c:pt idx="147">
                  <c:v>14-Apr-09</c:v>
                </c:pt>
                <c:pt idx="148">
                  <c:v>21-Apr-09</c:v>
                </c:pt>
                <c:pt idx="149">
                  <c:v>28-Apr-09</c:v>
                </c:pt>
                <c:pt idx="150">
                  <c:v>5-May-09</c:v>
                </c:pt>
                <c:pt idx="151">
                  <c:v>12-May-09</c:v>
                </c:pt>
                <c:pt idx="152">
                  <c:v>19-May-09</c:v>
                </c:pt>
                <c:pt idx="153">
                  <c:v>26-May-09</c:v>
                </c:pt>
                <c:pt idx="154">
                  <c:v>2-Jun-09</c:v>
                </c:pt>
                <c:pt idx="155">
                  <c:v>9-Jun-09</c:v>
                </c:pt>
                <c:pt idx="156">
                  <c:v>16-Jun-09</c:v>
                </c:pt>
                <c:pt idx="157">
                  <c:v>23-Jun-09</c:v>
                </c:pt>
                <c:pt idx="158">
                  <c:v>30-Jun-09</c:v>
                </c:pt>
                <c:pt idx="159">
                  <c:v>7-Jul-09</c:v>
                </c:pt>
                <c:pt idx="160">
                  <c:v>14-Jul-09</c:v>
                </c:pt>
                <c:pt idx="161">
                  <c:v>21-Jul-09</c:v>
                </c:pt>
                <c:pt idx="162">
                  <c:v>28-Jul-09</c:v>
                </c:pt>
                <c:pt idx="163">
                  <c:v>4-Aug-09</c:v>
                </c:pt>
                <c:pt idx="164">
                  <c:v>11-Aug-09</c:v>
                </c:pt>
                <c:pt idx="165">
                  <c:v>18-Aug-09</c:v>
                </c:pt>
                <c:pt idx="166">
                  <c:v>25-Aug-09</c:v>
                </c:pt>
                <c:pt idx="167">
                  <c:v>1-Sep-09</c:v>
                </c:pt>
                <c:pt idx="168">
                  <c:v>8-Sep-09</c:v>
                </c:pt>
                <c:pt idx="169">
                  <c:v>15-Sep-09</c:v>
                </c:pt>
                <c:pt idx="170">
                  <c:v>22-Sep-09</c:v>
                </c:pt>
                <c:pt idx="171">
                  <c:v>29-Sep-09</c:v>
                </c:pt>
                <c:pt idx="172">
                  <c:v>6-Oct-09</c:v>
                </c:pt>
                <c:pt idx="173">
                  <c:v>13-Oct-09</c:v>
                </c:pt>
                <c:pt idx="174">
                  <c:v>20-Oct-09</c:v>
                </c:pt>
                <c:pt idx="175">
                  <c:v>27-Oct-09</c:v>
                </c:pt>
                <c:pt idx="176">
                  <c:v>3-Nov-09</c:v>
                </c:pt>
                <c:pt idx="177">
                  <c:v>10-Nov-09</c:v>
                </c:pt>
                <c:pt idx="178">
                  <c:v>17-Nov-09</c:v>
                </c:pt>
                <c:pt idx="179">
                  <c:v>24-Nov-09</c:v>
                </c:pt>
                <c:pt idx="180">
                  <c:v>1-Dec-09</c:v>
                </c:pt>
                <c:pt idx="181">
                  <c:v>8-Dec-09</c:v>
                </c:pt>
                <c:pt idx="182">
                  <c:v>15-Dec-09</c:v>
                </c:pt>
                <c:pt idx="183">
                  <c:v>22-Dec-09</c:v>
                </c:pt>
                <c:pt idx="184">
                  <c:v>29-Dec-09</c:v>
                </c:pt>
                <c:pt idx="185">
                  <c:v>5-Jan-10</c:v>
                </c:pt>
                <c:pt idx="186">
                  <c:v>12-Jan-10</c:v>
                </c:pt>
                <c:pt idx="187">
                  <c:v>19-Jan-10</c:v>
                </c:pt>
                <c:pt idx="188">
                  <c:v>26-Jan-10</c:v>
                </c:pt>
                <c:pt idx="189">
                  <c:v>2-Feb-10</c:v>
                </c:pt>
                <c:pt idx="190">
                  <c:v>9-Feb-10</c:v>
                </c:pt>
                <c:pt idx="191">
                  <c:v>16-Feb-10</c:v>
                </c:pt>
                <c:pt idx="192">
                  <c:v>23-Feb-10</c:v>
                </c:pt>
                <c:pt idx="193">
                  <c:v>2-Mar-10</c:v>
                </c:pt>
                <c:pt idx="194">
                  <c:v>9-Mar-10</c:v>
                </c:pt>
                <c:pt idx="195">
                  <c:v>16-Mar-10</c:v>
                </c:pt>
                <c:pt idx="196">
                  <c:v>23-Mar-10</c:v>
                </c:pt>
                <c:pt idx="197">
                  <c:v>30-Mar-10</c:v>
                </c:pt>
                <c:pt idx="198">
                  <c:v>6-Apr-10</c:v>
                </c:pt>
                <c:pt idx="199">
                  <c:v>13-Apr-10</c:v>
                </c:pt>
                <c:pt idx="200">
                  <c:v>20-Apr-10</c:v>
                </c:pt>
                <c:pt idx="201">
                  <c:v>27-Apr-10</c:v>
                </c:pt>
                <c:pt idx="202">
                  <c:v>4-May-10</c:v>
                </c:pt>
                <c:pt idx="203">
                  <c:v>11-May-10</c:v>
                </c:pt>
                <c:pt idx="204">
                  <c:v>18-May-10</c:v>
                </c:pt>
                <c:pt idx="205">
                  <c:v>25-May-10</c:v>
                </c:pt>
                <c:pt idx="206">
                  <c:v>1-Jun-10</c:v>
                </c:pt>
                <c:pt idx="207">
                  <c:v>8-Jun-10</c:v>
                </c:pt>
                <c:pt idx="208">
                  <c:v>15-Jun-10</c:v>
                </c:pt>
                <c:pt idx="209">
                  <c:v>22-Jun-10</c:v>
                </c:pt>
                <c:pt idx="210">
                  <c:v>29-Jun-10</c:v>
                </c:pt>
                <c:pt idx="211">
                  <c:v>6-Jul-10</c:v>
                </c:pt>
                <c:pt idx="212">
                  <c:v>13-Jul-10</c:v>
                </c:pt>
                <c:pt idx="213">
                  <c:v>20-Jul-10</c:v>
                </c:pt>
                <c:pt idx="214">
                  <c:v>27-Jul-10</c:v>
                </c:pt>
                <c:pt idx="215">
                  <c:v>3-Aug-10</c:v>
                </c:pt>
                <c:pt idx="216">
                  <c:v>10-Aug-10</c:v>
                </c:pt>
                <c:pt idx="217">
                  <c:v>17-Aug-10</c:v>
                </c:pt>
                <c:pt idx="218">
                  <c:v>24-Aug-10</c:v>
                </c:pt>
                <c:pt idx="219">
                  <c:v>31-Aug-10</c:v>
                </c:pt>
                <c:pt idx="220">
                  <c:v>7-Sep-10</c:v>
                </c:pt>
                <c:pt idx="221">
                  <c:v>14-Sep-10</c:v>
                </c:pt>
                <c:pt idx="222">
                  <c:v>21-Sep-10</c:v>
                </c:pt>
                <c:pt idx="223">
                  <c:v>28-Sep-10</c:v>
                </c:pt>
                <c:pt idx="224">
                  <c:v>5-Oct-10</c:v>
                </c:pt>
                <c:pt idx="225">
                  <c:v>12-Oct-10</c:v>
                </c:pt>
                <c:pt idx="226">
                  <c:v>19-Oct-10</c:v>
                </c:pt>
                <c:pt idx="227">
                  <c:v>26-Oct-10</c:v>
                </c:pt>
                <c:pt idx="228">
                  <c:v>2-Nov-10</c:v>
                </c:pt>
                <c:pt idx="229">
                  <c:v>9-Nov-10</c:v>
                </c:pt>
                <c:pt idx="230">
                  <c:v>16-Nov-10</c:v>
                </c:pt>
                <c:pt idx="231">
                  <c:v>23-Nov-10</c:v>
                </c:pt>
                <c:pt idx="232">
                  <c:v>30-Nov-10</c:v>
                </c:pt>
                <c:pt idx="233">
                  <c:v>7-Dec-10</c:v>
                </c:pt>
                <c:pt idx="234">
                  <c:v>14-Dec-10</c:v>
                </c:pt>
                <c:pt idx="235">
                  <c:v>21-Dec-10</c:v>
                </c:pt>
                <c:pt idx="236">
                  <c:v>28-Dec-10</c:v>
                </c:pt>
                <c:pt idx="237">
                  <c:v>4-Jan-11</c:v>
                </c:pt>
                <c:pt idx="238">
                  <c:v>11-Jan-11</c:v>
                </c:pt>
                <c:pt idx="239">
                  <c:v>18-Jan-11</c:v>
                </c:pt>
                <c:pt idx="240">
                  <c:v>25-Jan-11</c:v>
                </c:pt>
                <c:pt idx="241">
                  <c:v>1-Feb-11</c:v>
                </c:pt>
                <c:pt idx="242">
                  <c:v>8-Feb-11</c:v>
                </c:pt>
                <c:pt idx="243">
                  <c:v>15-Feb-11</c:v>
                </c:pt>
                <c:pt idx="244">
                  <c:v>22-Feb-11</c:v>
                </c:pt>
                <c:pt idx="245">
                  <c:v>1-Mar-11</c:v>
                </c:pt>
                <c:pt idx="246">
                  <c:v>8-Mar-11</c:v>
                </c:pt>
                <c:pt idx="247">
                  <c:v>15-Mar-11</c:v>
                </c:pt>
                <c:pt idx="248">
                  <c:v>22-Mar-11</c:v>
                </c:pt>
                <c:pt idx="249">
                  <c:v>29-Mar-11</c:v>
                </c:pt>
                <c:pt idx="250">
                  <c:v>5-Apr-11</c:v>
                </c:pt>
                <c:pt idx="251">
                  <c:v>12-Apr-11</c:v>
                </c:pt>
                <c:pt idx="252">
                  <c:v>19-Apr-11</c:v>
                </c:pt>
                <c:pt idx="253">
                  <c:v>26-Apr-11</c:v>
                </c:pt>
                <c:pt idx="254">
                  <c:v>3-May-11</c:v>
                </c:pt>
                <c:pt idx="255">
                  <c:v>10-May-11</c:v>
                </c:pt>
                <c:pt idx="256">
                  <c:v>17-May-11</c:v>
                </c:pt>
                <c:pt idx="257">
                  <c:v>24-May-11</c:v>
                </c:pt>
                <c:pt idx="258">
                  <c:v>31-May-11</c:v>
                </c:pt>
                <c:pt idx="259">
                  <c:v>7-Jun-11</c:v>
                </c:pt>
                <c:pt idx="260">
                  <c:v>14-Jun-11</c:v>
                </c:pt>
                <c:pt idx="261">
                  <c:v>21-Jun-11</c:v>
                </c:pt>
                <c:pt idx="262">
                  <c:v>28-Jun-11</c:v>
                </c:pt>
                <c:pt idx="263">
                  <c:v>5-Jul-11</c:v>
                </c:pt>
                <c:pt idx="264">
                  <c:v>12-Jul-11</c:v>
                </c:pt>
                <c:pt idx="265">
                  <c:v>19-Jul-11</c:v>
                </c:pt>
                <c:pt idx="266">
                  <c:v>26-Jul-11</c:v>
                </c:pt>
                <c:pt idx="267">
                  <c:v>2-Aug-11</c:v>
                </c:pt>
                <c:pt idx="268">
                  <c:v>9-Aug-11</c:v>
                </c:pt>
                <c:pt idx="269">
                  <c:v>16-Aug-11</c:v>
                </c:pt>
                <c:pt idx="270">
                  <c:v>23-Aug-11</c:v>
                </c:pt>
                <c:pt idx="271">
                  <c:v>30-Aug-11</c:v>
                </c:pt>
                <c:pt idx="272">
                  <c:v>6-Sep-11</c:v>
                </c:pt>
                <c:pt idx="273">
                  <c:v>13-Sep-11</c:v>
                </c:pt>
                <c:pt idx="274">
                  <c:v>20-Sep-11</c:v>
                </c:pt>
                <c:pt idx="275">
                  <c:v>27-Sep-11</c:v>
                </c:pt>
                <c:pt idx="276">
                  <c:v>4-Oct-11</c:v>
                </c:pt>
                <c:pt idx="277">
                  <c:v>11-Oct-11</c:v>
                </c:pt>
                <c:pt idx="278">
                  <c:v>18-Oct-11</c:v>
                </c:pt>
                <c:pt idx="279">
                  <c:v>25-Oct-11</c:v>
                </c:pt>
                <c:pt idx="280">
                  <c:v>1-Nov-11</c:v>
                </c:pt>
                <c:pt idx="281">
                  <c:v>8-Nov-11</c:v>
                </c:pt>
                <c:pt idx="282">
                  <c:v>15-Nov-11</c:v>
                </c:pt>
                <c:pt idx="283">
                  <c:v>22-Nov-11</c:v>
                </c:pt>
                <c:pt idx="284">
                  <c:v>29-Nov-11</c:v>
                </c:pt>
                <c:pt idx="285">
                  <c:v>6-Dec-11</c:v>
                </c:pt>
                <c:pt idx="286">
                  <c:v>13-Dec-11</c:v>
                </c:pt>
                <c:pt idx="287">
                  <c:v>20-Dec-11</c:v>
                </c:pt>
                <c:pt idx="288">
                  <c:v>27-Dec-11</c:v>
                </c:pt>
                <c:pt idx="289">
                  <c:v>3-Jan-12</c:v>
                </c:pt>
                <c:pt idx="290">
                  <c:v>10-Jan-12</c:v>
                </c:pt>
                <c:pt idx="291">
                  <c:v>17-Jan-12</c:v>
                </c:pt>
                <c:pt idx="292">
                  <c:v>24-Jan-12</c:v>
                </c:pt>
                <c:pt idx="293">
                  <c:v>31-Jan-12</c:v>
                </c:pt>
                <c:pt idx="294">
                  <c:v>7-Feb-12</c:v>
                </c:pt>
                <c:pt idx="295">
                  <c:v>14-Feb-12</c:v>
                </c:pt>
                <c:pt idx="296">
                  <c:v>21-Feb-12</c:v>
                </c:pt>
                <c:pt idx="297">
                  <c:v>28-Feb-12</c:v>
                </c:pt>
                <c:pt idx="298">
                  <c:v>6-Mar-12</c:v>
                </c:pt>
                <c:pt idx="299">
                  <c:v>13-Mar-12</c:v>
                </c:pt>
                <c:pt idx="300">
                  <c:v>20-Mar-12</c:v>
                </c:pt>
                <c:pt idx="301">
                  <c:v>27-Mar-12</c:v>
                </c:pt>
                <c:pt idx="302">
                  <c:v>3-Apr-12</c:v>
                </c:pt>
                <c:pt idx="303">
                  <c:v>10-Apr-12</c:v>
                </c:pt>
                <c:pt idx="304">
                  <c:v>17-Apr-12</c:v>
                </c:pt>
                <c:pt idx="305">
                  <c:v>24-Apr-12</c:v>
                </c:pt>
                <c:pt idx="306">
                  <c:v>1-May-12</c:v>
                </c:pt>
                <c:pt idx="307">
                  <c:v>8-May-12</c:v>
                </c:pt>
                <c:pt idx="308">
                  <c:v>15-May-12</c:v>
                </c:pt>
                <c:pt idx="309">
                  <c:v>22-May-12</c:v>
                </c:pt>
                <c:pt idx="310">
                  <c:v>29-May-12</c:v>
                </c:pt>
                <c:pt idx="311">
                  <c:v>5-Jun-12</c:v>
                </c:pt>
                <c:pt idx="312">
                  <c:v>12-Jun-12</c:v>
                </c:pt>
                <c:pt idx="313">
                  <c:v>19-Jun-12</c:v>
                </c:pt>
                <c:pt idx="314">
                  <c:v>26-Jun-12</c:v>
                </c:pt>
                <c:pt idx="315">
                  <c:v>3-Jul-12</c:v>
                </c:pt>
                <c:pt idx="316">
                  <c:v>10-Jul-12</c:v>
                </c:pt>
                <c:pt idx="317">
                  <c:v>17-Jul-12</c:v>
                </c:pt>
                <c:pt idx="318">
                  <c:v>24-Jul-12</c:v>
                </c:pt>
                <c:pt idx="319">
                  <c:v>31-Jul-12</c:v>
                </c:pt>
                <c:pt idx="320">
                  <c:v>7-Aug-12</c:v>
                </c:pt>
                <c:pt idx="321">
                  <c:v>14-Aug-12</c:v>
                </c:pt>
                <c:pt idx="322">
                  <c:v>21-Aug-12</c:v>
                </c:pt>
                <c:pt idx="323">
                  <c:v>28-Aug-12</c:v>
                </c:pt>
                <c:pt idx="324">
                  <c:v>4-Sep-12</c:v>
                </c:pt>
                <c:pt idx="325">
                  <c:v>11-Sep-12</c:v>
                </c:pt>
                <c:pt idx="326">
                  <c:v>18-Sep-12</c:v>
                </c:pt>
                <c:pt idx="327">
                  <c:v>25-Sep-12</c:v>
                </c:pt>
                <c:pt idx="328">
                  <c:v>2-Oct-12</c:v>
                </c:pt>
                <c:pt idx="329">
                  <c:v>9-Oct-12</c:v>
                </c:pt>
                <c:pt idx="330">
                  <c:v>16-Oct-12</c:v>
                </c:pt>
                <c:pt idx="331">
                  <c:v>23-Oct-12</c:v>
                </c:pt>
                <c:pt idx="332">
                  <c:v>30-Oct-12</c:v>
                </c:pt>
                <c:pt idx="333">
                  <c:v>6-Nov-12</c:v>
                </c:pt>
                <c:pt idx="334">
                  <c:v>13-Nov-12</c:v>
                </c:pt>
                <c:pt idx="335">
                  <c:v>20-Nov-12</c:v>
                </c:pt>
                <c:pt idx="336">
                  <c:v>27-Nov-12</c:v>
                </c:pt>
                <c:pt idx="337">
                  <c:v>4-Dec-12</c:v>
                </c:pt>
                <c:pt idx="338">
                  <c:v>11-Dec-12</c:v>
                </c:pt>
                <c:pt idx="339">
                  <c:v>18-Dec-12</c:v>
                </c:pt>
                <c:pt idx="340">
                  <c:v>25-Dec-12</c:v>
                </c:pt>
                <c:pt idx="341">
                  <c:v>1-Jan-13</c:v>
                </c:pt>
                <c:pt idx="342">
                  <c:v>8-Jan-13</c:v>
                </c:pt>
                <c:pt idx="343">
                  <c:v>15-Jan-13</c:v>
                </c:pt>
                <c:pt idx="344">
                  <c:v>22-Jan-13</c:v>
                </c:pt>
                <c:pt idx="345">
                  <c:v>29-Jan-13</c:v>
                </c:pt>
                <c:pt idx="346">
                  <c:v>5-Feb-13</c:v>
                </c:pt>
                <c:pt idx="347">
                  <c:v>12-Feb-13</c:v>
                </c:pt>
                <c:pt idx="348">
                  <c:v>19-Feb-13</c:v>
                </c:pt>
                <c:pt idx="349">
                  <c:v>26-Feb-13</c:v>
                </c:pt>
                <c:pt idx="350">
                  <c:v>5-Mar-13</c:v>
                </c:pt>
                <c:pt idx="351">
                  <c:v>12-Mar-13</c:v>
                </c:pt>
                <c:pt idx="352">
                  <c:v>19-Mar-13</c:v>
                </c:pt>
                <c:pt idx="353">
                  <c:v>26-Mar-13</c:v>
                </c:pt>
                <c:pt idx="354">
                  <c:v>2-Apr-13</c:v>
                </c:pt>
                <c:pt idx="355">
                  <c:v>9-Apr-13</c:v>
                </c:pt>
                <c:pt idx="356">
                  <c:v>16-Apr-13</c:v>
                </c:pt>
                <c:pt idx="357">
                  <c:v>23-Apr-13</c:v>
                </c:pt>
                <c:pt idx="358">
                  <c:v>30-Apr-13</c:v>
                </c:pt>
                <c:pt idx="359">
                  <c:v>7-May-13</c:v>
                </c:pt>
                <c:pt idx="360">
                  <c:v>14-May-13</c:v>
                </c:pt>
                <c:pt idx="361">
                  <c:v>21-May-13</c:v>
                </c:pt>
                <c:pt idx="362">
                  <c:v>28-May-13</c:v>
                </c:pt>
                <c:pt idx="363">
                  <c:v>4-Jun-13</c:v>
                </c:pt>
                <c:pt idx="364">
                  <c:v>11-Jun-13</c:v>
                </c:pt>
                <c:pt idx="365">
                  <c:v>18-Jun-13</c:v>
                </c:pt>
                <c:pt idx="366">
                  <c:v>25-Jun-13</c:v>
                </c:pt>
                <c:pt idx="367">
                  <c:v>2-Jul-13</c:v>
                </c:pt>
                <c:pt idx="368">
                  <c:v>9-Jul-13</c:v>
                </c:pt>
                <c:pt idx="369">
                  <c:v>16-Jul-13</c:v>
                </c:pt>
                <c:pt idx="370">
                  <c:v>23-Jul-13</c:v>
                </c:pt>
                <c:pt idx="371">
                  <c:v>30-Jul-13</c:v>
                </c:pt>
                <c:pt idx="372">
                  <c:v>6-Aug-13</c:v>
                </c:pt>
                <c:pt idx="373">
                  <c:v>13-Aug-13</c:v>
                </c:pt>
                <c:pt idx="374">
                  <c:v>20-Aug-13</c:v>
                </c:pt>
                <c:pt idx="375">
                  <c:v>27-Aug-13</c:v>
                </c:pt>
                <c:pt idx="376">
                  <c:v>3-Sep-13</c:v>
                </c:pt>
                <c:pt idx="377">
                  <c:v>10-Sep-13</c:v>
                </c:pt>
                <c:pt idx="378">
                  <c:v>17-Sep-13</c:v>
                </c:pt>
                <c:pt idx="379">
                  <c:v>24-Sep-13</c:v>
                </c:pt>
                <c:pt idx="380">
                  <c:v>1-Oct-13</c:v>
                </c:pt>
                <c:pt idx="381">
                  <c:v>8-Oct-13</c:v>
                </c:pt>
                <c:pt idx="382">
                  <c:v>15-Oct-13</c:v>
                </c:pt>
                <c:pt idx="383">
                  <c:v>22-Oct-13</c:v>
                </c:pt>
                <c:pt idx="384">
                  <c:v>29-Oct-13</c:v>
                </c:pt>
                <c:pt idx="385">
                  <c:v>5-Nov-13</c:v>
                </c:pt>
                <c:pt idx="386">
                  <c:v>12-Nov-13</c:v>
                </c:pt>
                <c:pt idx="387">
                  <c:v>19-Nov-13</c:v>
                </c:pt>
                <c:pt idx="388">
                  <c:v>26-Nov-13</c:v>
                </c:pt>
                <c:pt idx="389">
                  <c:v>3-Dec-13</c:v>
                </c:pt>
                <c:pt idx="390">
                  <c:v>10-Dec-13</c:v>
                </c:pt>
                <c:pt idx="391">
                  <c:v>17-Dec-13</c:v>
                </c:pt>
                <c:pt idx="392">
                  <c:v>24-Dec-13</c:v>
                </c:pt>
                <c:pt idx="393">
                  <c:v>31-Dec-13</c:v>
                </c:pt>
                <c:pt idx="394">
                  <c:v>7-Jan-14</c:v>
                </c:pt>
                <c:pt idx="395">
                  <c:v>14-Jan-14</c:v>
                </c:pt>
                <c:pt idx="396">
                  <c:v>21-Jan-14</c:v>
                </c:pt>
                <c:pt idx="397">
                  <c:v>28-Jan-14</c:v>
                </c:pt>
                <c:pt idx="398">
                  <c:v>4-Feb-14</c:v>
                </c:pt>
                <c:pt idx="399">
                  <c:v>11-Feb-14</c:v>
                </c:pt>
                <c:pt idx="400">
                  <c:v>18-Feb-14</c:v>
                </c:pt>
                <c:pt idx="401">
                  <c:v>25-Feb-14</c:v>
                </c:pt>
                <c:pt idx="402">
                  <c:v>4-Mar-14</c:v>
                </c:pt>
                <c:pt idx="403">
                  <c:v>11-Mar-14</c:v>
                </c:pt>
                <c:pt idx="404">
                  <c:v>18-Mar-14</c:v>
                </c:pt>
                <c:pt idx="405">
                  <c:v>25-Mar-14</c:v>
                </c:pt>
                <c:pt idx="406">
                  <c:v>1-Apr-14</c:v>
                </c:pt>
                <c:pt idx="407">
                  <c:v>8-Apr-14</c:v>
                </c:pt>
                <c:pt idx="408">
                  <c:v>15-Apr-14</c:v>
                </c:pt>
                <c:pt idx="409">
                  <c:v>22-Apr-14</c:v>
                </c:pt>
                <c:pt idx="410">
                  <c:v>29-Apr-14</c:v>
                </c:pt>
                <c:pt idx="411">
                  <c:v>6-May-14</c:v>
                </c:pt>
                <c:pt idx="412">
                  <c:v>13-May-14</c:v>
                </c:pt>
                <c:pt idx="413">
                  <c:v>20-May-14</c:v>
                </c:pt>
                <c:pt idx="414">
                  <c:v>27-May-14</c:v>
                </c:pt>
                <c:pt idx="415">
                  <c:v>3-Jun-14</c:v>
                </c:pt>
                <c:pt idx="416">
                  <c:v>10-Jun-14</c:v>
                </c:pt>
                <c:pt idx="417">
                  <c:v>17-Jun-14</c:v>
                </c:pt>
                <c:pt idx="418">
                  <c:v>24-Jun-14</c:v>
                </c:pt>
                <c:pt idx="419">
                  <c:v>1-Jul-14</c:v>
                </c:pt>
                <c:pt idx="420">
                  <c:v>8-Jul-14</c:v>
                </c:pt>
                <c:pt idx="421">
                  <c:v>15-Jul-14</c:v>
                </c:pt>
                <c:pt idx="422">
                  <c:v>22-Jul-14</c:v>
                </c:pt>
                <c:pt idx="423">
                  <c:v>29-Jul-14</c:v>
                </c:pt>
                <c:pt idx="424">
                  <c:v>5-Aug-14</c:v>
                </c:pt>
                <c:pt idx="425">
                  <c:v>12-Aug-14</c:v>
                </c:pt>
                <c:pt idx="426">
                  <c:v>19-Aug-14</c:v>
                </c:pt>
                <c:pt idx="427">
                  <c:v>26-Aug-14</c:v>
                </c:pt>
                <c:pt idx="428">
                  <c:v>2-Sep-14</c:v>
                </c:pt>
                <c:pt idx="429">
                  <c:v>9-Sep-14</c:v>
                </c:pt>
                <c:pt idx="430">
                  <c:v>16-Sep-14</c:v>
                </c:pt>
                <c:pt idx="431">
                  <c:v>23-Sep-14</c:v>
                </c:pt>
                <c:pt idx="432">
                  <c:v>30-Sep-14</c:v>
                </c:pt>
                <c:pt idx="433">
                  <c:v>7-Oct-14</c:v>
                </c:pt>
                <c:pt idx="434">
                  <c:v>14-Oct-14</c:v>
                </c:pt>
                <c:pt idx="435">
                  <c:v>21-Oct-14</c:v>
                </c:pt>
                <c:pt idx="436">
                  <c:v>28-Oct-14</c:v>
                </c:pt>
                <c:pt idx="437">
                  <c:v>4-Nov-14</c:v>
                </c:pt>
                <c:pt idx="438">
                  <c:v>11-Nov-14</c:v>
                </c:pt>
                <c:pt idx="439">
                  <c:v>18-Nov-14</c:v>
                </c:pt>
                <c:pt idx="440">
                  <c:v>25-Nov-14</c:v>
                </c:pt>
                <c:pt idx="441">
                  <c:v>2-Dec-14</c:v>
                </c:pt>
                <c:pt idx="442">
                  <c:v>9-Dec-14</c:v>
                </c:pt>
                <c:pt idx="443">
                  <c:v>16-Dec-14</c:v>
                </c:pt>
                <c:pt idx="444">
                  <c:v>23-Dec-14</c:v>
                </c:pt>
                <c:pt idx="445">
                  <c:v>30-Dec-14</c:v>
                </c:pt>
                <c:pt idx="446">
                  <c:v>6-Jan-15</c:v>
                </c:pt>
                <c:pt idx="447">
                  <c:v>13-Jan-15</c:v>
                </c:pt>
                <c:pt idx="448">
                  <c:v>20-Jan-15</c:v>
                </c:pt>
                <c:pt idx="449">
                  <c:v>27-Jan-15</c:v>
                </c:pt>
                <c:pt idx="450">
                  <c:v>3-Feb-15</c:v>
                </c:pt>
                <c:pt idx="451">
                  <c:v>10-Feb-15</c:v>
                </c:pt>
                <c:pt idx="452">
                  <c:v>17-Feb-15</c:v>
                </c:pt>
                <c:pt idx="453">
                  <c:v>24-Feb-15</c:v>
                </c:pt>
                <c:pt idx="454">
                  <c:v>3-Mar-15</c:v>
                </c:pt>
                <c:pt idx="455">
                  <c:v>10-Mar-15</c:v>
                </c:pt>
                <c:pt idx="456">
                  <c:v>17-Mar-15</c:v>
                </c:pt>
                <c:pt idx="457">
                  <c:v>24-Mar-15</c:v>
                </c:pt>
                <c:pt idx="458">
                  <c:v>31-Mar-15</c:v>
                </c:pt>
                <c:pt idx="459">
                  <c:v>7-Apr-15</c:v>
                </c:pt>
                <c:pt idx="460">
                  <c:v>14-Apr-15</c:v>
                </c:pt>
                <c:pt idx="461">
                  <c:v>21-Apr-15</c:v>
                </c:pt>
                <c:pt idx="462">
                  <c:v>28-Apr-15</c:v>
                </c:pt>
                <c:pt idx="463">
                  <c:v>5-May-15</c:v>
                </c:pt>
                <c:pt idx="464">
                  <c:v>12-May-15</c:v>
                </c:pt>
                <c:pt idx="465">
                  <c:v>19-May-15</c:v>
                </c:pt>
                <c:pt idx="466">
                  <c:v>26-May-15</c:v>
                </c:pt>
                <c:pt idx="467">
                  <c:v>2-Jun-15</c:v>
                </c:pt>
                <c:pt idx="468">
                  <c:v>9-Jun-15</c:v>
                </c:pt>
                <c:pt idx="469">
                  <c:v>16-Jun-15</c:v>
                </c:pt>
                <c:pt idx="470">
                  <c:v>23-Jun-15</c:v>
                </c:pt>
                <c:pt idx="471">
                  <c:v>30-Jun-15</c:v>
                </c:pt>
                <c:pt idx="472">
                  <c:v>7-Jul-15</c:v>
                </c:pt>
                <c:pt idx="473">
                  <c:v>14-Jul-15</c:v>
                </c:pt>
                <c:pt idx="474">
                  <c:v>21-Jul-15</c:v>
                </c:pt>
                <c:pt idx="475">
                  <c:v>28-Jul-15</c:v>
                </c:pt>
                <c:pt idx="476">
                  <c:v>4-Aug-15</c:v>
                </c:pt>
                <c:pt idx="477">
                  <c:v>11-Aug-15</c:v>
                </c:pt>
                <c:pt idx="478">
                  <c:v>18-Aug-15</c:v>
                </c:pt>
                <c:pt idx="479">
                  <c:v>25-Aug-15</c:v>
                </c:pt>
                <c:pt idx="480">
                  <c:v>1-Sep-15</c:v>
                </c:pt>
                <c:pt idx="481">
                  <c:v>8-Sep-15</c:v>
                </c:pt>
                <c:pt idx="482">
                  <c:v>15-Sep-15</c:v>
                </c:pt>
                <c:pt idx="483">
                  <c:v>22-Sep-15</c:v>
                </c:pt>
                <c:pt idx="484">
                  <c:v>29-Sep-15</c:v>
                </c:pt>
                <c:pt idx="485">
                  <c:v>6-Oct-15</c:v>
                </c:pt>
                <c:pt idx="486">
                  <c:v>13-Oct-15</c:v>
                </c:pt>
                <c:pt idx="487">
                  <c:v>20-Oct-15</c:v>
                </c:pt>
                <c:pt idx="488">
                  <c:v>27-Oct-15</c:v>
                </c:pt>
                <c:pt idx="489">
                  <c:v>3-Nov-15</c:v>
                </c:pt>
                <c:pt idx="490">
                  <c:v>10-Nov-15</c:v>
                </c:pt>
                <c:pt idx="491">
                  <c:v>17-Nov-15</c:v>
                </c:pt>
                <c:pt idx="492">
                  <c:v>24-Nov-15</c:v>
                </c:pt>
                <c:pt idx="493">
                  <c:v>1-Dec-15</c:v>
                </c:pt>
                <c:pt idx="494">
                  <c:v>8-Dec-15</c:v>
                </c:pt>
                <c:pt idx="495">
                  <c:v>15-Dec-15</c:v>
                </c:pt>
                <c:pt idx="496">
                  <c:v>22-Dec-15</c:v>
                </c:pt>
                <c:pt idx="497">
                  <c:v>29-Dec-15</c:v>
                </c:pt>
                <c:pt idx="498">
                  <c:v>5-Jan-16</c:v>
                </c:pt>
                <c:pt idx="499">
                  <c:v>12-Jan-16</c:v>
                </c:pt>
                <c:pt idx="500">
                  <c:v>19-Jan-16</c:v>
                </c:pt>
                <c:pt idx="501">
                  <c:v>26-Jan-16</c:v>
                </c:pt>
                <c:pt idx="502">
                  <c:v>2-Feb-16</c:v>
                </c:pt>
                <c:pt idx="503">
                  <c:v>9-Feb-16</c:v>
                </c:pt>
                <c:pt idx="504">
                  <c:v>16-Feb-16</c:v>
                </c:pt>
                <c:pt idx="505">
                  <c:v>23-Feb-16</c:v>
                </c:pt>
                <c:pt idx="506">
                  <c:v>1-Mar-16</c:v>
                </c:pt>
                <c:pt idx="507">
                  <c:v>8-Mar-16</c:v>
                </c:pt>
                <c:pt idx="508">
                  <c:v>15-Mar-16</c:v>
                </c:pt>
                <c:pt idx="509">
                  <c:v>22-Mar-16</c:v>
                </c:pt>
                <c:pt idx="510">
                  <c:v>29-Mar-16</c:v>
                </c:pt>
                <c:pt idx="511">
                  <c:v>5-Apr-16</c:v>
                </c:pt>
                <c:pt idx="512">
                  <c:v>12-Apr-16</c:v>
                </c:pt>
                <c:pt idx="513">
                  <c:v>19-Apr-16</c:v>
                </c:pt>
                <c:pt idx="514">
                  <c:v>26-Apr-16</c:v>
                </c:pt>
                <c:pt idx="515">
                  <c:v>3-May-16</c:v>
                </c:pt>
                <c:pt idx="516">
                  <c:v>10-May-16</c:v>
                </c:pt>
                <c:pt idx="517">
                  <c:v>17-May-16</c:v>
                </c:pt>
                <c:pt idx="518">
                  <c:v>24-May-16</c:v>
                </c:pt>
                <c:pt idx="519">
                  <c:v>31-May-16</c:v>
                </c:pt>
                <c:pt idx="520">
                  <c:v>7-Jun-16</c:v>
                </c:pt>
                <c:pt idx="521">
                  <c:v>14-Jun-16</c:v>
                </c:pt>
                <c:pt idx="522">
                  <c:v>21-Jun-16</c:v>
                </c:pt>
                <c:pt idx="523">
                  <c:v>28-Jun-16</c:v>
                </c:pt>
                <c:pt idx="524">
                  <c:v>5-Jul-16</c:v>
                </c:pt>
                <c:pt idx="525">
                  <c:v>12-Jul-16</c:v>
                </c:pt>
                <c:pt idx="526">
                  <c:v>19-Jul-16</c:v>
                </c:pt>
                <c:pt idx="527">
                  <c:v>26-Jul-16</c:v>
                </c:pt>
                <c:pt idx="528">
                  <c:v>2-Aug-16</c:v>
                </c:pt>
                <c:pt idx="529">
                  <c:v>9-Aug-16</c:v>
                </c:pt>
                <c:pt idx="530">
                  <c:v>16-Aug-16</c:v>
                </c:pt>
                <c:pt idx="531">
                  <c:v>23-Aug-16</c:v>
                </c:pt>
                <c:pt idx="532">
                  <c:v>30-Aug-16</c:v>
                </c:pt>
                <c:pt idx="533">
                  <c:v>6-Sep-16</c:v>
                </c:pt>
                <c:pt idx="534">
                  <c:v>13-Sep-16</c:v>
                </c:pt>
                <c:pt idx="535">
                  <c:v>20-Sep-16</c:v>
                </c:pt>
                <c:pt idx="536">
                  <c:v>27-Sep-16</c:v>
                </c:pt>
                <c:pt idx="537">
                  <c:v>4-Oct-16</c:v>
                </c:pt>
                <c:pt idx="538">
                  <c:v>11-Oct-16</c:v>
                </c:pt>
                <c:pt idx="539">
                  <c:v>18-Oct-16</c:v>
                </c:pt>
                <c:pt idx="540">
                  <c:v>25-Oct-16</c:v>
                </c:pt>
                <c:pt idx="541">
                  <c:v>1-Nov-16</c:v>
                </c:pt>
                <c:pt idx="542">
                  <c:v>8-Nov-16</c:v>
                </c:pt>
                <c:pt idx="543">
                  <c:v>15-Nov-16</c:v>
                </c:pt>
                <c:pt idx="544">
                  <c:v>22-Nov-16</c:v>
                </c:pt>
                <c:pt idx="545">
                  <c:v>29-Nov-16</c:v>
                </c:pt>
                <c:pt idx="546">
                  <c:v>6-Dec-16</c:v>
                </c:pt>
                <c:pt idx="547">
                  <c:v>13-Dec-16</c:v>
                </c:pt>
                <c:pt idx="548">
                  <c:v>20-Dec-16</c:v>
                </c:pt>
                <c:pt idx="549">
                  <c:v>27-Dec-16</c:v>
                </c:pt>
                <c:pt idx="550">
                  <c:v>3-Jan-17</c:v>
                </c:pt>
                <c:pt idx="551">
                  <c:v>10-Jan-17</c:v>
                </c:pt>
                <c:pt idx="552">
                  <c:v>17-Jan-17</c:v>
                </c:pt>
                <c:pt idx="553">
                  <c:v>24-Jan-17</c:v>
                </c:pt>
                <c:pt idx="554">
                  <c:v>31-Jan-17</c:v>
                </c:pt>
                <c:pt idx="555">
                  <c:v>7-Feb-17</c:v>
                </c:pt>
                <c:pt idx="556">
                  <c:v>14-Feb-17</c:v>
                </c:pt>
                <c:pt idx="557">
                  <c:v>21-Feb-17</c:v>
                </c:pt>
                <c:pt idx="558">
                  <c:v>28-Feb-17</c:v>
                </c:pt>
                <c:pt idx="559">
                  <c:v>7-Mar-17</c:v>
                </c:pt>
                <c:pt idx="560">
                  <c:v>14-Mar-17</c:v>
                </c:pt>
                <c:pt idx="561">
                  <c:v>21-Mar-17</c:v>
                </c:pt>
                <c:pt idx="562">
                  <c:v>28-Mar-17</c:v>
                </c:pt>
                <c:pt idx="563">
                  <c:v>4-Apr-17</c:v>
                </c:pt>
                <c:pt idx="564">
                  <c:v>11-Apr-17</c:v>
                </c:pt>
                <c:pt idx="565">
                  <c:v>18-Apr-17</c:v>
                </c:pt>
                <c:pt idx="566">
                  <c:v>25-Apr-17</c:v>
                </c:pt>
                <c:pt idx="567">
                  <c:v>2-May-17</c:v>
                </c:pt>
                <c:pt idx="568">
                  <c:v>9-May-17</c:v>
                </c:pt>
                <c:pt idx="569">
                  <c:v>16-May-17</c:v>
                </c:pt>
                <c:pt idx="570">
                  <c:v>23-May-17</c:v>
                </c:pt>
                <c:pt idx="571">
                  <c:v>30-May-17</c:v>
                </c:pt>
                <c:pt idx="572">
                  <c:v>6-Jun-17</c:v>
                </c:pt>
                <c:pt idx="573">
                  <c:v>13-Jun-17</c:v>
                </c:pt>
                <c:pt idx="574">
                  <c:v>20-Jun-17</c:v>
                </c:pt>
                <c:pt idx="575">
                  <c:v>27-Jun-17</c:v>
                </c:pt>
                <c:pt idx="576">
                  <c:v>4-Jul-17</c:v>
                </c:pt>
                <c:pt idx="577">
                  <c:v>11-Jul-17</c:v>
                </c:pt>
                <c:pt idx="578">
                  <c:v>18-Jul-17</c:v>
                </c:pt>
                <c:pt idx="579">
                  <c:v>25-Jul-17</c:v>
                </c:pt>
                <c:pt idx="580">
                  <c:v>1-Aug-17</c:v>
                </c:pt>
                <c:pt idx="581">
                  <c:v>8-Aug-17</c:v>
                </c:pt>
                <c:pt idx="582">
                  <c:v>15-Aug-17</c:v>
                </c:pt>
                <c:pt idx="583">
                  <c:v>22-Aug-17</c:v>
                </c:pt>
                <c:pt idx="584">
                  <c:v>29-Aug-17</c:v>
                </c:pt>
                <c:pt idx="585">
                  <c:v>5-Sep-17</c:v>
                </c:pt>
                <c:pt idx="586">
                  <c:v>12-Sep-17</c:v>
                </c:pt>
                <c:pt idx="587">
                  <c:v>19-Sep-17</c:v>
                </c:pt>
                <c:pt idx="588">
                  <c:v>26-Sep-17</c:v>
                </c:pt>
                <c:pt idx="589">
                  <c:v>3-Oct-17</c:v>
                </c:pt>
                <c:pt idx="590">
                  <c:v>10-Oct-17</c:v>
                </c:pt>
                <c:pt idx="591">
                  <c:v>17-Oct-17</c:v>
                </c:pt>
                <c:pt idx="592">
                  <c:v>24-Oct-17</c:v>
                </c:pt>
                <c:pt idx="593">
                  <c:v>31-Oct-17</c:v>
                </c:pt>
                <c:pt idx="594">
                  <c:v>7-Nov-17</c:v>
                </c:pt>
                <c:pt idx="595">
                  <c:v>14-Nov-17</c:v>
                </c:pt>
                <c:pt idx="596">
                  <c:v>21-Nov-17</c:v>
                </c:pt>
                <c:pt idx="597">
                  <c:v>28-Nov-17</c:v>
                </c:pt>
                <c:pt idx="598">
                  <c:v>5-Dec-17</c:v>
                </c:pt>
                <c:pt idx="599">
                  <c:v>12-Dec-17</c:v>
                </c:pt>
                <c:pt idx="600">
                  <c:v>19-Dec-17</c:v>
                </c:pt>
                <c:pt idx="601">
                  <c:v>26-Dec-17</c:v>
                </c:pt>
                <c:pt idx="602">
                  <c:v>2-Jan-18</c:v>
                </c:pt>
                <c:pt idx="603">
                  <c:v>9-Jan-18</c:v>
                </c:pt>
                <c:pt idx="604">
                  <c:v>16-Jan-18</c:v>
                </c:pt>
                <c:pt idx="605">
                  <c:v>23-Jan-18</c:v>
                </c:pt>
                <c:pt idx="606">
                  <c:v>30-Jan-18</c:v>
                </c:pt>
                <c:pt idx="607">
                  <c:v>6-Feb-18</c:v>
                </c:pt>
                <c:pt idx="608">
                  <c:v>13-Feb-18</c:v>
                </c:pt>
                <c:pt idx="609">
                  <c:v>20-Feb-18</c:v>
                </c:pt>
                <c:pt idx="610">
                  <c:v>27-Feb-18</c:v>
                </c:pt>
                <c:pt idx="611">
                  <c:v>6-Mar-18</c:v>
                </c:pt>
                <c:pt idx="612">
                  <c:v>13-Mar-18</c:v>
                </c:pt>
                <c:pt idx="613">
                  <c:v>20-Mar-18</c:v>
                </c:pt>
                <c:pt idx="614">
                  <c:v>27-Mar-18</c:v>
                </c:pt>
                <c:pt idx="615">
                  <c:v>3-Apr-18</c:v>
                </c:pt>
                <c:pt idx="616">
                  <c:v>10-Apr-18</c:v>
                </c:pt>
                <c:pt idx="617">
                  <c:v>17-Apr-18</c:v>
                </c:pt>
                <c:pt idx="618">
                  <c:v>24-Apr-18</c:v>
                </c:pt>
                <c:pt idx="619">
                  <c:v>1-May-18</c:v>
                </c:pt>
                <c:pt idx="620">
                  <c:v>8-May-18</c:v>
                </c:pt>
                <c:pt idx="621">
                  <c:v>15-May-18</c:v>
                </c:pt>
                <c:pt idx="622">
                  <c:v>22-May-18</c:v>
                </c:pt>
                <c:pt idx="623">
                  <c:v>29-May-18</c:v>
                </c:pt>
                <c:pt idx="624">
                  <c:v>5-Jun-18</c:v>
                </c:pt>
                <c:pt idx="625">
                  <c:v>12-Jun-18</c:v>
                </c:pt>
                <c:pt idx="626">
                  <c:v>19-Jun-18</c:v>
                </c:pt>
                <c:pt idx="627">
                  <c:v>26-Jun-18</c:v>
                </c:pt>
                <c:pt idx="628">
                  <c:v>3-Jul-18</c:v>
                </c:pt>
                <c:pt idx="629">
                  <c:v>10-Jul-18</c:v>
                </c:pt>
                <c:pt idx="630">
                  <c:v>17-Jul-18</c:v>
                </c:pt>
                <c:pt idx="631">
                  <c:v>24-Jul-18</c:v>
                </c:pt>
                <c:pt idx="632">
                  <c:v>31-Jul-18</c:v>
                </c:pt>
                <c:pt idx="633">
                  <c:v>7-Aug-18</c:v>
                </c:pt>
                <c:pt idx="634">
                  <c:v>14-Aug-18</c:v>
                </c:pt>
                <c:pt idx="635">
                  <c:v>21-Aug-18</c:v>
                </c:pt>
                <c:pt idx="636">
                  <c:v>28-Aug-18</c:v>
                </c:pt>
                <c:pt idx="637">
                  <c:v>4-Sep-18</c:v>
                </c:pt>
                <c:pt idx="638">
                  <c:v>11-Sep-18</c:v>
                </c:pt>
                <c:pt idx="639">
                  <c:v>18-Sep-18</c:v>
                </c:pt>
                <c:pt idx="640">
                  <c:v>25-Sep-18</c:v>
                </c:pt>
                <c:pt idx="641">
                  <c:v>2-Oct-18</c:v>
                </c:pt>
                <c:pt idx="642">
                  <c:v>9-Oct-18</c:v>
                </c:pt>
                <c:pt idx="643">
                  <c:v>16-Oct-18</c:v>
                </c:pt>
                <c:pt idx="644">
                  <c:v>23-Oct-18</c:v>
                </c:pt>
                <c:pt idx="645">
                  <c:v>30-Oct-18</c:v>
                </c:pt>
                <c:pt idx="646">
                  <c:v>6-Nov-18</c:v>
                </c:pt>
                <c:pt idx="647">
                  <c:v>13-Nov-18</c:v>
                </c:pt>
                <c:pt idx="648">
                  <c:v>20-Nov-18</c:v>
                </c:pt>
                <c:pt idx="649">
                  <c:v>27-Nov-18</c:v>
                </c:pt>
                <c:pt idx="650">
                  <c:v>4-Dec-18</c:v>
                </c:pt>
                <c:pt idx="651">
                  <c:v>11-Dec-18</c:v>
                </c:pt>
                <c:pt idx="652">
                  <c:v>18-Dec-18</c:v>
                </c:pt>
                <c:pt idx="653">
                  <c:v>25-Dec-18</c:v>
                </c:pt>
                <c:pt idx="654">
                  <c:v>1-Jan-19</c:v>
                </c:pt>
                <c:pt idx="655">
                  <c:v>8-Jan-19</c:v>
                </c:pt>
                <c:pt idx="656">
                  <c:v>15-Jan-19</c:v>
                </c:pt>
                <c:pt idx="657">
                  <c:v>22-Jan-19</c:v>
                </c:pt>
                <c:pt idx="658">
                  <c:v>29-Jan-19</c:v>
                </c:pt>
                <c:pt idx="659">
                  <c:v>5-Feb-19</c:v>
                </c:pt>
                <c:pt idx="660">
                  <c:v>12-Feb-19</c:v>
                </c:pt>
                <c:pt idx="661">
                  <c:v>19-Feb-19</c:v>
                </c:pt>
                <c:pt idx="662">
                  <c:v>26-Feb-19</c:v>
                </c:pt>
                <c:pt idx="663">
                  <c:v>5-Mar-19</c:v>
                </c:pt>
                <c:pt idx="664">
                  <c:v>12-Mar-19</c:v>
                </c:pt>
                <c:pt idx="665">
                  <c:v>19-Mar-19</c:v>
                </c:pt>
                <c:pt idx="666">
                  <c:v>26-Mar-19</c:v>
                </c:pt>
                <c:pt idx="667">
                  <c:v>2-Apr-19</c:v>
                </c:pt>
                <c:pt idx="668">
                  <c:v>9-Apr-19</c:v>
                </c:pt>
                <c:pt idx="669">
                  <c:v>16-Apr-19</c:v>
                </c:pt>
                <c:pt idx="670">
                  <c:v>23-Apr-19</c:v>
                </c:pt>
                <c:pt idx="671">
                  <c:v>30-Apr-19</c:v>
                </c:pt>
                <c:pt idx="672">
                  <c:v>7-May-19</c:v>
                </c:pt>
                <c:pt idx="673">
                  <c:v>14-May-19</c:v>
                </c:pt>
                <c:pt idx="674">
                  <c:v>21-May-19</c:v>
                </c:pt>
                <c:pt idx="675">
                  <c:v>28-May-19</c:v>
                </c:pt>
                <c:pt idx="676">
                  <c:v>4-Jun-19</c:v>
                </c:pt>
                <c:pt idx="677">
                  <c:v>11-Jun-19</c:v>
                </c:pt>
                <c:pt idx="678">
                  <c:v>18-Jun-19</c:v>
                </c:pt>
                <c:pt idx="679">
                  <c:v>25-Jun-19</c:v>
                </c:pt>
                <c:pt idx="680">
                  <c:v>2-Jul-19</c:v>
                </c:pt>
                <c:pt idx="681">
                  <c:v>9-Jul-19</c:v>
                </c:pt>
                <c:pt idx="682">
                  <c:v>16-Jul-19</c:v>
                </c:pt>
                <c:pt idx="683">
                  <c:v>23-Jul-19</c:v>
                </c:pt>
                <c:pt idx="684">
                  <c:v>30-Jul-19</c:v>
                </c:pt>
                <c:pt idx="685">
                  <c:v>6-Aug-19</c:v>
                </c:pt>
                <c:pt idx="686">
                  <c:v>13-Aug-19</c:v>
                </c:pt>
                <c:pt idx="687">
                  <c:v>20-Aug-19</c:v>
                </c:pt>
                <c:pt idx="688">
                  <c:v>27-Aug-19</c:v>
                </c:pt>
                <c:pt idx="689">
                  <c:v>3-Sep-19</c:v>
                </c:pt>
                <c:pt idx="690">
                  <c:v>10-Sep-19</c:v>
                </c:pt>
                <c:pt idx="691">
                  <c:v>17-Sep-19</c:v>
                </c:pt>
                <c:pt idx="692">
                  <c:v>24-Sep-19</c:v>
                </c:pt>
                <c:pt idx="693">
                  <c:v>1-Oct-19</c:v>
                </c:pt>
                <c:pt idx="694">
                  <c:v>8-Oct-19</c:v>
                </c:pt>
                <c:pt idx="695">
                  <c:v>15-Oct-19</c:v>
                </c:pt>
                <c:pt idx="696">
                  <c:v>22-Oct-19</c:v>
                </c:pt>
                <c:pt idx="697">
                  <c:v>29-Oct-19</c:v>
                </c:pt>
                <c:pt idx="698">
                  <c:v>5-Nov-19</c:v>
                </c:pt>
                <c:pt idx="699">
                  <c:v>12-Nov-19</c:v>
                </c:pt>
                <c:pt idx="700">
                  <c:v>19-Nov-19</c:v>
                </c:pt>
                <c:pt idx="701">
                  <c:v>26-Nov-19</c:v>
                </c:pt>
                <c:pt idx="702">
                  <c:v>3-Dec-19</c:v>
                </c:pt>
                <c:pt idx="703">
                  <c:v>10-Dec-19</c:v>
                </c:pt>
                <c:pt idx="704">
                  <c:v>17-Dec-19</c:v>
                </c:pt>
                <c:pt idx="705">
                  <c:v>24-Dec-19</c:v>
                </c:pt>
                <c:pt idx="706">
                  <c:v>31-Dec-19</c:v>
                </c:pt>
                <c:pt idx="707">
                  <c:v>7-Jan-20</c:v>
                </c:pt>
                <c:pt idx="708">
                  <c:v>14-Jan-20</c:v>
                </c:pt>
                <c:pt idx="709">
                  <c:v>21-Jan-20</c:v>
                </c:pt>
                <c:pt idx="710">
                  <c:v>28-Jan-20</c:v>
                </c:pt>
                <c:pt idx="711">
                  <c:v>4-Feb-20</c:v>
                </c:pt>
                <c:pt idx="712">
                  <c:v>11-Feb-20</c:v>
                </c:pt>
                <c:pt idx="713">
                  <c:v>18-Feb-20</c:v>
                </c:pt>
                <c:pt idx="714">
                  <c:v>25-Feb-20</c:v>
                </c:pt>
                <c:pt idx="715">
                  <c:v>3-Mar-20</c:v>
                </c:pt>
                <c:pt idx="716">
                  <c:v>10-Mar-20</c:v>
                </c:pt>
                <c:pt idx="717">
                  <c:v>17-Mar-20</c:v>
                </c:pt>
                <c:pt idx="718">
                  <c:v>24-Mar-20</c:v>
                </c:pt>
                <c:pt idx="719">
                  <c:v>31-Mar-20</c:v>
                </c:pt>
                <c:pt idx="720">
                  <c:v>7-Apr-20</c:v>
                </c:pt>
                <c:pt idx="721">
                  <c:v>14-Apr-20</c:v>
                </c:pt>
                <c:pt idx="722">
                  <c:v>21-Apr-20</c:v>
                </c:pt>
                <c:pt idx="723">
                  <c:v>28-Apr-20</c:v>
                </c:pt>
                <c:pt idx="724">
                  <c:v>5-May-20</c:v>
                </c:pt>
                <c:pt idx="725">
                  <c:v>12-May-20</c:v>
                </c:pt>
                <c:pt idx="726">
                  <c:v>19-May-20</c:v>
                </c:pt>
                <c:pt idx="727">
                  <c:v>26-May-20</c:v>
                </c:pt>
                <c:pt idx="728">
                  <c:v>2-Jun-20</c:v>
                </c:pt>
                <c:pt idx="729">
                  <c:v>9-Jun-20</c:v>
                </c:pt>
                <c:pt idx="730">
                  <c:v>16-Jun-20</c:v>
                </c:pt>
                <c:pt idx="731">
                  <c:v>23-Jun-20</c:v>
                </c:pt>
                <c:pt idx="732">
                  <c:v>30-Jun-20</c:v>
                </c:pt>
                <c:pt idx="733">
                  <c:v>7-Jul-20</c:v>
                </c:pt>
                <c:pt idx="734">
                  <c:v>14-Jul-20</c:v>
                </c:pt>
                <c:pt idx="735">
                  <c:v>21-Jul-20</c:v>
                </c:pt>
                <c:pt idx="736">
                  <c:v>28-Jul-20</c:v>
                </c:pt>
                <c:pt idx="737">
                  <c:v>4-Aug-20</c:v>
                </c:pt>
                <c:pt idx="738">
                  <c:v>11-Aug-20</c:v>
                </c:pt>
                <c:pt idx="739">
                  <c:v>18-Aug-20</c:v>
                </c:pt>
                <c:pt idx="740">
                  <c:v>25-Aug-20</c:v>
                </c:pt>
                <c:pt idx="741">
                  <c:v>1-Sep-20</c:v>
                </c:pt>
                <c:pt idx="742">
                  <c:v>8-Sep-20</c:v>
                </c:pt>
                <c:pt idx="743">
                  <c:v>15-Sep-20</c:v>
                </c:pt>
                <c:pt idx="744">
                  <c:v>22-Sep-20</c:v>
                </c:pt>
                <c:pt idx="745">
                  <c:v>29-Sep-20</c:v>
                </c:pt>
                <c:pt idx="746">
                  <c:v>6-Oct-20</c:v>
                </c:pt>
                <c:pt idx="747">
                  <c:v>13-Oct-20</c:v>
                </c:pt>
                <c:pt idx="748">
                  <c:v>20-Oct-20</c:v>
                </c:pt>
                <c:pt idx="749">
                  <c:v>27-Oct-20</c:v>
                </c:pt>
                <c:pt idx="750">
                  <c:v>3-Nov-20</c:v>
                </c:pt>
                <c:pt idx="751">
                  <c:v>10-Nov-20</c:v>
                </c:pt>
                <c:pt idx="752">
                  <c:v>17-Nov-20</c:v>
                </c:pt>
                <c:pt idx="753">
                  <c:v>24-Nov-20</c:v>
                </c:pt>
                <c:pt idx="754">
                  <c:v>1-Dec-20</c:v>
                </c:pt>
                <c:pt idx="755">
                  <c:v>8-Dec-20</c:v>
                </c:pt>
                <c:pt idx="756">
                  <c:v>15-Dec-20</c:v>
                </c:pt>
                <c:pt idx="757">
                  <c:v>22-Dec-20</c:v>
                </c:pt>
                <c:pt idx="758">
                  <c:v>29-Dec-20</c:v>
                </c:pt>
                <c:pt idx="759">
                  <c:v>5-Jan-21</c:v>
                </c:pt>
                <c:pt idx="760">
                  <c:v>12-Jan-21</c:v>
                </c:pt>
                <c:pt idx="761">
                  <c:v>19-Jan-21</c:v>
                </c:pt>
                <c:pt idx="762">
                  <c:v>26-Jan-21</c:v>
                </c:pt>
                <c:pt idx="763">
                  <c:v>2-Feb-21</c:v>
                </c:pt>
                <c:pt idx="764">
                  <c:v>9-Feb-21</c:v>
                </c:pt>
                <c:pt idx="765">
                  <c:v>16-Feb-21</c:v>
                </c:pt>
                <c:pt idx="766">
                  <c:v>23-Feb-21</c:v>
                </c:pt>
                <c:pt idx="767">
                  <c:v>2-Mar-21</c:v>
                </c:pt>
                <c:pt idx="768">
                  <c:v>9-Mar-21</c:v>
                </c:pt>
                <c:pt idx="769">
                  <c:v>16-Mar-21</c:v>
                </c:pt>
                <c:pt idx="770">
                  <c:v>23-Mar-21</c:v>
                </c:pt>
                <c:pt idx="771">
                  <c:v>30-Mar-21</c:v>
                </c:pt>
                <c:pt idx="772">
                  <c:v>6-Apr-21</c:v>
                </c:pt>
                <c:pt idx="773">
                  <c:v>13-Apr-21</c:v>
                </c:pt>
                <c:pt idx="774">
                  <c:v>20-Apr-21</c:v>
                </c:pt>
                <c:pt idx="775">
                  <c:v>27-Apr-21</c:v>
                </c:pt>
                <c:pt idx="776">
                  <c:v>4-May-21</c:v>
                </c:pt>
                <c:pt idx="777">
                  <c:v>11-May-21</c:v>
                </c:pt>
                <c:pt idx="778">
                  <c:v>18-May-21</c:v>
                </c:pt>
                <c:pt idx="779">
                  <c:v>25-May-21</c:v>
                </c:pt>
                <c:pt idx="780">
                  <c:v>1-Jun-21</c:v>
                </c:pt>
                <c:pt idx="781">
                  <c:v>8-Jun-21</c:v>
                </c:pt>
                <c:pt idx="782">
                  <c:v>15-Jun-21</c:v>
                </c:pt>
                <c:pt idx="783">
                  <c:v>22-Jun-21</c:v>
                </c:pt>
                <c:pt idx="784">
                  <c:v>29-Jun-21</c:v>
                </c:pt>
                <c:pt idx="785">
                  <c:v>6-Jul-21</c:v>
                </c:pt>
                <c:pt idx="786">
                  <c:v>13-Jul-21</c:v>
                </c:pt>
                <c:pt idx="787">
                  <c:v>20-Jul-21</c:v>
                </c:pt>
                <c:pt idx="788">
                  <c:v>27-Jul-21</c:v>
                </c:pt>
                <c:pt idx="789">
                  <c:v>3-Aug-21</c:v>
                </c:pt>
                <c:pt idx="790">
                  <c:v>10-Aug-21</c:v>
                </c:pt>
                <c:pt idx="791">
                  <c:v>17-Aug-21</c:v>
                </c:pt>
                <c:pt idx="792">
                  <c:v>24-Aug-21</c:v>
                </c:pt>
                <c:pt idx="793">
                  <c:v>31-Aug-21</c:v>
                </c:pt>
                <c:pt idx="794">
                  <c:v>7-Sep-21</c:v>
                </c:pt>
                <c:pt idx="795">
                  <c:v>14-Sep-21</c:v>
                </c:pt>
                <c:pt idx="796">
                  <c:v>21-Sep-21</c:v>
                </c:pt>
                <c:pt idx="797">
                  <c:v>28-Sep-21</c:v>
                </c:pt>
                <c:pt idx="798">
                  <c:v>5-Oct-21</c:v>
                </c:pt>
                <c:pt idx="799">
                  <c:v>12-Oct-21</c:v>
                </c:pt>
                <c:pt idx="800">
                  <c:v>19-Oct-21</c:v>
                </c:pt>
                <c:pt idx="801">
                  <c:v>26-Oct-21</c:v>
                </c:pt>
                <c:pt idx="802">
                  <c:v>2-Nov-21</c:v>
                </c:pt>
                <c:pt idx="803">
                  <c:v>9-Nov-21</c:v>
                </c:pt>
                <c:pt idx="804">
                  <c:v>16-Nov-21</c:v>
                </c:pt>
                <c:pt idx="805">
                  <c:v>23-Nov-21</c:v>
                </c:pt>
                <c:pt idx="806">
                  <c:v>30-Nov-21</c:v>
                </c:pt>
                <c:pt idx="807">
                  <c:v>7-Dec-21</c:v>
                </c:pt>
                <c:pt idx="808">
                  <c:v>14-Dec-21</c:v>
                </c:pt>
                <c:pt idx="809">
                  <c:v>21-Dec-21</c:v>
                </c:pt>
                <c:pt idx="810">
                  <c:v>28-Dec-21</c:v>
                </c:pt>
                <c:pt idx="811">
                  <c:v>4-Jan-22</c:v>
                </c:pt>
                <c:pt idx="812">
                  <c:v>11-Jan-22</c:v>
                </c:pt>
                <c:pt idx="813">
                  <c:v>18-Jan-22</c:v>
                </c:pt>
                <c:pt idx="814">
                  <c:v>25-Jan-22</c:v>
                </c:pt>
                <c:pt idx="815">
                  <c:v>1-Feb-22</c:v>
                </c:pt>
                <c:pt idx="816">
                  <c:v>8-Feb-22</c:v>
                </c:pt>
                <c:pt idx="817">
                  <c:v>15-Feb-22</c:v>
                </c:pt>
                <c:pt idx="818">
                  <c:v>22-Feb-22</c:v>
                </c:pt>
                <c:pt idx="819">
                  <c:v>1-Mar-22</c:v>
                </c:pt>
                <c:pt idx="820">
                  <c:v>8-Mar-22</c:v>
                </c:pt>
                <c:pt idx="821">
                  <c:v>15-Mar-22</c:v>
                </c:pt>
                <c:pt idx="822">
                  <c:v>22-Mar-22</c:v>
                </c:pt>
                <c:pt idx="823">
                  <c:v>29-Mar-22</c:v>
                </c:pt>
                <c:pt idx="824">
                  <c:v>5-Apr-22</c:v>
                </c:pt>
                <c:pt idx="825">
                  <c:v>12-Apr-22</c:v>
                </c:pt>
                <c:pt idx="826">
                  <c:v>19-Apr-22</c:v>
                </c:pt>
                <c:pt idx="827">
                  <c:v>26-Apr-22</c:v>
                </c:pt>
                <c:pt idx="828">
                  <c:v>3-May-22</c:v>
                </c:pt>
                <c:pt idx="829">
                  <c:v>10-May-22</c:v>
                </c:pt>
                <c:pt idx="830">
                  <c:v>17-May-22</c:v>
                </c:pt>
                <c:pt idx="831">
                  <c:v>24-May-22</c:v>
                </c:pt>
                <c:pt idx="832">
                  <c:v>31-May-22</c:v>
                </c:pt>
                <c:pt idx="833">
                  <c:v>7-Jun-22</c:v>
                </c:pt>
                <c:pt idx="834">
                  <c:v>14-Jun-22</c:v>
                </c:pt>
                <c:pt idx="835">
                  <c:v>21-Jun-22</c:v>
                </c:pt>
                <c:pt idx="836">
                  <c:v>28-Jun-22</c:v>
                </c:pt>
                <c:pt idx="837">
                  <c:v>5-Jul-22</c:v>
                </c:pt>
                <c:pt idx="838">
                  <c:v>12-Jul-22</c:v>
                </c:pt>
                <c:pt idx="839">
                  <c:v>19-Jul-22</c:v>
                </c:pt>
                <c:pt idx="840">
                  <c:v>26-Jul-22</c:v>
                </c:pt>
                <c:pt idx="841">
                  <c:v>2-Aug-22</c:v>
                </c:pt>
                <c:pt idx="842">
                  <c:v>9-Aug-22</c:v>
                </c:pt>
                <c:pt idx="843">
                  <c:v>16-Aug-22</c:v>
                </c:pt>
                <c:pt idx="844">
                  <c:v>23-Aug-22</c:v>
                </c:pt>
                <c:pt idx="845">
                  <c:v>30-Aug-22</c:v>
                </c:pt>
                <c:pt idx="846">
                  <c:v>6-Sep-22</c:v>
                </c:pt>
                <c:pt idx="847">
                  <c:v>13-Sep-22</c:v>
                </c:pt>
                <c:pt idx="848">
                  <c:v>20-Sep-22</c:v>
                </c:pt>
                <c:pt idx="849">
                  <c:v>27-Sep-22</c:v>
                </c:pt>
                <c:pt idx="850">
                  <c:v>4-Oct-22</c:v>
                </c:pt>
                <c:pt idx="851">
                  <c:v>11-Oct-22</c:v>
                </c:pt>
                <c:pt idx="852">
                  <c:v>18-Oct-22</c:v>
                </c:pt>
                <c:pt idx="853">
                  <c:v>25-Oct-22</c:v>
                </c:pt>
                <c:pt idx="854">
                  <c:v>1-Nov-22</c:v>
                </c:pt>
                <c:pt idx="855">
                  <c:v>8-Nov-22</c:v>
                </c:pt>
                <c:pt idx="856">
                  <c:v>15-Nov-22</c:v>
                </c:pt>
                <c:pt idx="857">
                  <c:v>22-Nov-22</c:v>
                </c:pt>
                <c:pt idx="858">
                  <c:v>29-Nov-22</c:v>
                </c:pt>
                <c:pt idx="859">
                  <c:v>6-Dec-22</c:v>
                </c:pt>
                <c:pt idx="860">
                  <c:v>13-Dec-22</c:v>
                </c:pt>
                <c:pt idx="861">
                  <c:v>20-Dec-22</c:v>
                </c:pt>
                <c:pt idx="862">
                  <c:v>27-Dec-22</c:v>
                </c:pt>
                <c:pt idx="863">
                  <c:v>3-Jan-23</c:v>
                </c:pt>
                <c:pt idx="864">
                  <c:v>10-Jan-23</c:v>
                </c:pt>
                <c:pt idx="865">
                  <c:v>17-Jan-23</c:v>
                </c:pt>
                <c:pt idx="866">
                  <c:v>24-Jan-23</c:v>
                </c:pt>
                <c:pt idx="867">
                  <c:v>31-Jan-23</c:v>
                </c:pt>
                <c:pt idx="868">
                  <c:v>7-Feb-23</c:v>
                </c:pt>
                <c:pt idx="869">
                  <c:v>14-Feb-23</c:v>
                </c:pt>
                <c:pt idx="870">
                  <c:v>21-Feb-23</c:v>
                </c:pt>
                <c:pt idx="871">
                  <c:v>28-Feb-23</c:v>
                </c:pt>
                <c:pt idx="872">
                  <c:v>7-Mar-23</c:v>
                </c:pt>
                <c:pt idx="873">
                  <c:v>14-Mar-23</c:v>
                </c:pt>
                <c:pt idx="874">
                  <c:v>21-Mar-23</c:v>
                </c:pt>
                <c:pt idx="875">
                  <c:v>28-Mar-23</c:v>
                </c:pt>
                <c:pt idx="876">
                  <c:v>4-Apr-23</c:v>
                </c:pt>
                <c:pt idx="877">
                  <c:v>11-Apr-23</c:v>
                </c:pt>
                <c:pt idx="878">
                  <c:v>18-Apr-23</c:v>
                </c:pt>
                <c:pt idx="879">
                  <c:v>25-Apr-23</c:v>
                </c:pt>
                <c:pt idx="880">
                  <c:v>2-May-23</c:v>
                </c:pt>
                <c:pt idx="881">
                  <c:v>9-May-23</c:v>
                </c:pt>
                <c:pt idx="882">
                  <c:v>16-May-23</c:v>
                </c:pt>
                <c:pt idx="883">
                  <c:v>23-May-23</c:v>
                </c:pt>
                <c:pt idx="884">
                  <c:v>30-May-23</c:v>
                </c:pt>
                <c:pt idx="885">
                  <c:v>6-Jun-23</c:v>
                </c:pt>
                <c:pt idx="886">
                  <c:v>13-Jun-23</c:v>
                </c:pt>
                <c:pt idx="887">
                  <c:v>20-Jun-23</c:v>
                </c:pt>
                <c:pt idx="888">
                  <c:v>27-Jun-23</c:v>
                </c:pt>
                <c:pt idx="889">
                  <c:v>4-Jul-23</c:v>
                </c:pt>
                <c:pt idx="890">
                  <c:v>11-Jul-23</c:v>
                </c:pt>
                <c:pt idx="891">
                  <c:v>18-Jul-23</c:v>
                </c:pt>
                <c:pt idx="892">
                  <c:v>25-Jul-23</c:v>
                </c:pt>
                <c:pt idx="893">
                  <c:v>1-Aug-23</c:v>
                </c:pt>
                <c:pt idx="894">
                  <c:v>8-Aug-23</c:v>
                </c:pt>
                <c:pt idx="895">
                  <c:v>15-Aug-23</c:v>
                </c:pt>
                <c:pt idx="896">
                  <c:v>22-Aug-23</c:v>
                </c:pt>
                <c:pt idx="897">
                  <c:v>29-Aug-23</c:v>
                </c:pt>
                <c:pt idx="898">
                  <c:v>5-Sep-23</c:v>
                </c:pt>
                <c:pt idx="899">
                  <c:v>12-Sep-23</c:v>
                </c:pt>
                <c:pt idx="900">
                  <c:v>19-Sep-23</c:v>
                </c:pt>
                <c:pt idx="901">
                  <c:v>26-Sep-23</c:v>
                </c:pt>
                <c:pt idx="902">
                  <c:v>3-Oct-23</c:v>
                </c:pt>
                <c:pt idx="903">
                  <c:v>10-Oct-23</c:v>
                </c:pt>
                <c:pt idx="904">
                  <c:v>17-Oct-23</c:v>
                </c:pt>
                <c:pt idx="905">
                  <c:v>24-Oct-23</c:v>
                </c:pt>
                <c:pt idx="906">
                  <c:v>31-Oct-23</c:v>
                </c:pt>
                <c:pt idx="907">
                  <c:v>7-Nov-23</c:v>
                </c:pt>
                <c:pt idx="908">
                  <c:v>14-Nov-23</c:v>
                </c:pt>
                <c:pt idx="909">
                  <c:v>21-Nov-23</c:v>
                </c:pt>
                <c:pt idx="910">
                  <c:v>28-Nov-23</c:v>
                </c:pt>
                <c:pt idx="911">
                  <c:v>5-Dec-23</c:v>
                </c:pt>
                <c:pt idx="912">
                  <c:v>12-Dec-23</c:v>
                </c:pt>
                <c:pt idx="913">
                  <c:v>19-Dec-23</c:v>
                </c:pt>
                <c:pt idx="914">
                  <c:v>26-Dec-23</c:v>
                </c:pt>
                <c:pt idx="915">
                  <c:v>2-Jan-24</c:v>
                </c:pt>
                <c:pt idx="916">
                  <c:v>9-Jan-24</c:v>
                </c:pt>
                <c:pt idx="917">
                  <c:v>16-Jan-24</c:v>
                </c:pt>
                <c:pt idx="918">
                  <c:v>23-Jan-24</c:v>
                </c:pt>
                <c:pt idx="919">
                  <c:v>30-Jan-24</c:v>
                </c:pt>
                <c:pt idx="920">
                  <c:v>6-Feb-24</c:v>
                </c:pt>
                <c:pt idx="921">
                  <c:v>13-Feb-24</c:v>
                </c:pt>
                <c:pt idx="922">
                  <c:v>20-Feb-24</c:v>
                </c:pt>
                <c:pt idx="923">
                  <c:v>27-Feb-24</c:v>
                </c:pt>
                <c:pt idx="924">
                  <c:v>5-Mar-24</c:v>
                </c:pt>
                <c:pt idx="925">
                  <c:v>12-Mar-24</c:v>
                </c:pt>
                <c:pt idx="926">
                  <c:v>19-Mar-24</c:v>
                </c:pt>
                <c:pt idx="927">
                  <c:v>26-Mar-24</c:v>
                </c:pt>
                <c:pt idx="928">
                  <c:v>2-Apr-24</c:v>
                </c:pt>
                <c:pt idx="929">
                  <c:v>9-Apr-24</c:v>
                </c:pt>
                <c:pt idx="930">
                  <c:v>16-Apr-24</c:v>
                </c:pt>
                <c:pt idx="931">
                  <c:v>23-Apr-24</c:v>
                </c:pt>
                <c:pt idx="932">
                  <c:v>30-Apr-24</c:v>
                </c:pt>
                <c:pt idx="933">
                  <c:v>7-May-24</c:v>
                </c:pt>
                <c:pt idx="934">
                  <c:v>14-May-24</c:v>
                </c:pt>
                <c:pt idx="935">
                  <c:v>21-May-24</c:v>
                </c:pt>
                <c:pt idx="936">
                  <c:v>28-May-24</c:v>
                </c:pt>
                <c:pt idx="937">
                  <c:v>4-Jun-24</c:v>
                </c:pt>
                <c:pt idx="938">
                  <c:v>11-Jun-24</c:v>
                </c:pt>
                <c:pt idx="939">
                  <c:v>18-Jun-24</c:v>
                </c:pt>
                <c:pt idx="940">
                  <c:v>25-Jun-24</c:v>
                </c:pt>
                <c:pt idx="941">
                  <c:v>2-Jul-24</c:v>
                </c:pt>
                <c:pt idx="942">
                  <c:v>9-Jul-24</c:v>
                </c:pt>
                <c:pt idx="943">
                  <c:v>16-Jul-24</c:v>
                </c:pt>
                <c:pt idx="944">
                  <c:v>23-Jul-24</c:v>
                </c:pt>
                <c:pt idx="945">
                  <c:v>30-Jul-24</c:v>
                </c:pt>
                <c:pt idx="946">
                  <c:v>6-Aug-24</c:v>
                </c:pt>
                <c:pt idx="947">
                  <c:v>13-Aug-24</c:v>
                </c:pt>
                <c:pt idx="948">
                  <c:v>20-Aug-24</c:v>
                </c:pt>
                <c:pt idx="949">
                  <c:v>27-Aug-24</c:v>
                </c:pt>
                <c:pt idx="950">
                  <c:v>3-Sep-24</c:v>
                </c:pt>
                <c:pt idx="951">
                  <c:v>10-Sep-24</c:v>
                </c:pt>
                <c:pt idx="952">
                  <c:v>17-Sep-24</c:v>
                </c:pt>
                <c:pt idx="953">
                  <c:v>24-Sep-24</c:v>
                </c:pt>
                <c:pt idx="954">
                  <c:v>1-Oct-24</c:v>
                </c:pt>
                <c:pt idx="955">
                  <c:v>8-Oct-24</c:v>
                </c:pt>
                <c:pt idx="956">
                  <c:v>15-Oct-24</c:v>
                </c:pt>
                <c:pt idx="957">
                  <c:v>22-Oct-24</c:v>
                </c:pt>
                <c:pt idx="958">
                  <c:v>29-Oct-24</c:v>
                </c:pt>
                <c:pt idx="959">
                  <c:v>5-Nov-24</c:v>
                </c:pt>
                <c:pt idx="960">
                  <c:v>12-Nov-24</c:v>
                </c:pt>
                <c:pt idx="961">
                  <c:v>19-Nov-24</c:v>
                </c:pt>
                <c:pt idx="962">
                  <c:v>26-Nov-24</c:v>
                </c:pt>
                <c:pt idx="963">
                  <c:v>3-Dec-24</c:v>
                </c:pt>
                <c:pt idx="964">
                  <c:v>10-Dec-24</c:v>
                </c:pt>
                <c:pt idx="997">
                  <c:v>USE THE CONTINUOUS NEARBY CONTRACT FOR THE CHART DATA. </c:v>
                </c:pt>
              </c:strCache>
            </c:strRef>
          </c:cat>
          <c:val>
            <c:numRef>
              <c:f>Data!$H$15:$H$1000</c:f>
              <c:numCache>
                <c:formatCode>#,##0_);[Red]\(#,##0\)</c:formatCode>
                <c:ptCount val="986"/>
                <c:pt idx="0">
                  <c:v>11963</c:v>
                </c:pt>
                <c:pt idx="1">
                  <c:v>-1097</c:v>
                </c:pt>
                <c:pt idx="2">
                  <c:v>-5274</c:v>
                </c:pt>
                <c:pt idx="3">
                  <c:v>-11862</c:v>
                </c:pt>
                <c:pt idx="4">
                  <c:v>-18404</c:v>
                </c:pt>
                <c:pt idx="5">
                  <c:v>-13648</c:v>
                </c:pt>
                <c:pt idx="6">
                  <c:v>817</c:v>
                </c:pt>
                <c:pt idx="7">
                  <c:v>24989</c:v>
                </c:pt>
                <c:pt idx="8">
                  <c:v>30499</c:v>
                </c:pt>
                <c:pt idx="9">
                  <c:v>39379</c:v>
                </c:pt>
                <c:pt idx="10">
                  <c:v>53562</c:v>
                </c:pt>
                <c:pt idx="11">
                  <c:v>55146</c:v>
                </c:pt>
                <c:pt idx="12">
                  <c:v>53755</c:v>
                </c:pt>
                <c:pt idx="13">
                  <c:v>53464</c:v>
                </c:pt>
                <c:pt idx="14">
                  <c:v>51774</c:v>
                </c:pt>
                <c:pt idx="15">
                  <c:v>45900</c:v>
                </c:pt>
                <c:pt idx="16">
                  <c:v>42159</c:v>
                </c:pt>
                <c:pt idx="17">
                  <c:v>39682</c:v>
                </c:pt>
                <c:pt idx="18">
                  <c:v>39946</c:v>
                </c:pt>
                <c:pt idx="19">
                  <c:v>52909</c:v>
                </c:pt>
                <c:pt idx="20">
                  <c:v>53692</c:v>
                </c:pt>
                <c:pt idx="21">
                  <c:v>63512</c:v>
                </c:pt>
                <c:pt idx="22">
                  <c:v>62595</c:v>
                </c:pt>
                <c:pt idx="23">
                  <c:v>62100</c:v>
                </c:pt>
                <c:pt idx="24">
                  <c:v>67808</c:v>
                </c:pt>
                <c:pt idx="25">
                  <c:v>56609</c:v>
                </c:pt>
                <c:pt idx="26">
                  <c:v>56923</c:v>
                </c:pt>
                <c:pt idx="27">
                  <c:v>59658</c:v>
                </c:pt>
                <c:pt idx="28">
                  <c:v>71434</c:v>
                </c:pt>
                <c:pt idx="29">
                  <c:v>75800</c:v>
                </c:pt>
                <c:pt idx="30">
                  <c:v>80785</c:v>
                </c:pt>
                <c:pt idx="31">
                  <c:v>74256</c:v>
                </c:pt>
                <c:pt idx="32">
                  <c:v>63341</c:v>
                </c:pt>
                <c:pt idx="33">
                  <c:v>75815</c:v>
                </c:pt>
                <c:pt idx="34">
                  <c:v>72773</c:v>
                </c:pt>
                <c:pt idx="35">
                  <c:v>77082</c:v>
                </c:pt>
                <c:pt idx="36">
                  <c:v>75830</c:v>
                </c:pt>
                <c:pt idx="37">
                  <c:v>74379</c:v>
                </c:pt>
                <c:pt idx="38">
                  <c:v>77824</c:v>
                </c:pt>
                <c:pt idx="39">
                  <c:v>76790</c:v>
                </c:pt>
                <c:pt idx="40">
                  <c:v>76454</c:v>
                </c:pt>
                <c:pt idx="41">
                  <c:v>59757</c:v>
                </c:pt>
                <c:pt idx="42">
                  <c:v>67633</c:v>
                </c:pt>
                <c:pt idx="43">
                  <c:v>69708</c:v>
                </c:pt>
                <c:pt idx="44">
                  <c:v>66481</c:v>
                </c:pt>
                <c:pt idx="45">
                  <c:v>63437</c:v>
                </c:pt>
                <c:pt idx="46">
                  <c:v>60249</c:v>
                </c:pt>
                <c:pt idx="47">
                  <c:v>52842</c:v>
                </c:pt>
                <c:pt idx="48">
                  <c:v>45693</c:v>
                </c:pt>
                <c:pt idx="49">
                  <c:v>23055</c:v>
                </c:pt>
                <c:pt idx="50">
                  <c:v>23192</c:v>
                </c:pt>
                <c:pt idx="51">
                  <c:v>36529</c:v>
                </c:pt>
                <c:pt idx="52">
                  <c:v>47539</c:v>
                </c:pt>
                <c:pt idx="53">
                  <c:v>53860</c:v>
                </c:pt>
                <c:pt idx="54">
                  <c:v>54026</c:v>
                </c:pt>
                <c:pt idx="55">
                  <c:v>48333</c:v>
                </c:pt>
                <c:pt idx="56">
                  <c:v>49531</c:v>
                </c:pt>
                <c:pt idx="57">
                  <c:v>54817</c:v>
                </c:pt>
                <c:pt idx="58">
                  <c:v>53069</c:v>
                </c:pt>
                <c:pt idx="59">
                  <c:v>54409</c:v>
                </c:pt>
                <c:pt idx="60">
                  <c:v>59483</c:v>
                </c:pt>
                <c:pt idx="61">
                  <c:v>56046</c:v>
                </c:pt>
                <c:pt idx="62">
                  <c:v>55974</c:v>
                </c:pt>
                <c:pt idx="63">
                  <c:v>55046</c:v>
                </c:pt>
                <c:pt idx="64">
                  <c:v>56475</c:v>
                </c:pt>
                <c:pt idx="65">
                  <c:v>49362</c:v>
                </c:pt>
                <c:pt idx="66">
                  <c:v>43753</c:v>
                </c:pt>
                <c:pt idx="67">
                  <c:v>51823</c:v>
                </c:pt>
                <c:pt idx="68">
                  <c:v>53244</c:v>
                </c:pt>
                <c:pt idx="69">
                  <c:v>53317</c:v>
                </c:pt>
                <c:pt idx="70">
                  <c:v>48199</c:v>
                </c:pt>
                <c:pt idx="71">
                  <c:v>42385</c:v>
                </c:pt>
                <c:pt idx="72">
                  <c:v>35205</c:v>
                </c:pt>
                <c:pt idx="73">
                  <c:v>38411</c:v>
                </c:pt>
                <c:pt idx="74">
                  <c:v>37993</c:v>
                </c:pt>
                <c:pt idx="75">
                  <c:v>35355</c:v>
                </c:pt>
                <c:pt idx="76">
                  <c:v>39144</c:v>
                </c:pt>
                <c:pt idx="77">
                  <c:v>32602</c:v>
                </c:pt>
                <c:pt idx="78">
                  <c:v>26990</c:v>
                </c:pt>
                <c:pt idx="79">
                  <c:v>15127</c:v>
                </c:pt>
                <c:pt idx="80">
                  <c:v>10490</c:v>
                </c:pt>
                <c:pt idx="81">
                  <c:v>14385</c:v>
                </c:pt>
                <c:pt idx="82">
                  <c:v>6849</c:v>
                </c:pt>
                <c:pt idx="83">
                  <c:v>18469</c:v>
                </c:pt>
                <c:pt idx="84">
                  <c:v>22586</c:v>
                </c:pt>
                <c:pt idx="85">
                  <c:v>17661</c:v>
                </c:pt>
                <c:pt idx="86">
                  <c:v>19035</c:v>
                </c:pt>
                <c:pt idx="87">
                  <c:v>24591</c:v>
                </c:pt>
                <c:pt idx="88">
                  <c:v>18717</c:v>
                </c:pt>
                <c:pt idx="89">
                  <c:v>18445</c:v>
                </c:pt>
                <c:pt idx="90">
                  <c:v>18375</c:v>
                </c:pt>
                <c:pt idx="91">
                  <c:v>16356</c:v>
                </c:pt>
                <c:pt idx="92">
                  <c:v>22459</c:v>
                </c:pt>
                <c:pt idx="93">
                  <c:v>21231</c:v>
                </c:pt>
                <c:pt idx="94">
                  <c:v>26852</c:v>
                </c:pt>
                <c:pt idx="95">
                  <c:v>18742</c:v>
                </c:pt>
                <c:pt idx="96">
                  <c:v>16668</c:v>
                </c:pt>
                <c:pt idx="97">
                  <c:v>6852</c:v>
                </c:pt>
                <c:pt idx="98">
                  <c:v>5666</c:v>
                </c:pt>
                <c:pt idx="99">
                  <c:v>4040</c:v>
                </c:pt>
                <c:pt idx="100">
                  <c:v>-4406</c:v>
                </c:pt>
                <c:pt idx="101">
                  <c:v>-2979</c:v>
                </c:pt>
                <c:pt idx="102">
                  <c:v>-630</c:v>
                </c:pt>
                <c:pt idx="103">
                  <c:v>18</c:v>
                </c:pt>
                <c:pt idx="104">
                  <c:v>-7291</c:v>
                </c:pt>
                <c:pt idx="105">
                  <c:v>-10031</c:v>
                </c:pt>
                <c:pt idx="106">
                  <c:v>-4064</c:v>
                </c:pt>
                <c:pt idx="107">
                  <c:v>-585</c:v>
                </c:pt>
                <c:pt idx="108">
                  <c:v>-1069</c:v>
                </c:pt>
                <c:pt idx="109">
                  <c:v>-1213</c:v>
                </c:pt>
                <c:pt idx="110">
                  <c:v>-8801</c:v>
                </c:pt>
                <c:pt idx="111">
                  <c:v>-7788</c:v>
                </c:pt>
                <c:pt idx="112">
                  <c:v>-7286</c:v>
                </c:pt>
                <c:pt idx="113">
                  <c:v>-5475</c:v>
                </c:pt>
                <c:pt idx="114">
                  <c:v>-8194</c:v>
                </c:pt>
                <c:pt idx="115">
                  <c:v>-8341</c:v>
                </c:pt>
                <c:pt idx="116">
                  <c:v>-11538</c:v>
                </c:pt>
                <c:pt idx="117">
                  <c:v>-13826</c:v>
                </c:pt>
                <c:pt idx="118">
                  <c:v>-8905</c:v>
                </c:pt>
                <c:pt idx="119">
                  <c:v>-6567</c:v>
                </c:pt>
                <c:pt idx="120">
                  <c:v>-7171</c:v>
                </c:pt>
                <c:pt idx="121">
                  <c:v>-3747</c:v>
                </c:pt>
                <c:pt idx="122">
                  <c:v>234</c:v>
                </c:pt>
                <c:pt idx="123">
                  <c:v>-3371</c:v>
                </c:pt>
                <c:pt idx="124">
                  <c:v>-5550</c:v>
                </c:pt>
                <c:pt idx="125">
                  <c:v>-8739</c:v>
                </c:pt>
                <c:pt idx="126">
                  <c:v>-9309</c:v>
                </c:pt>
                <c:pt idx="127">
                  <c:v>-14095</c:v>
                </c:pt>
                <c:pt idx="128">
                  <c:v>-16456</c:v>
                </c:pt>
                <c:pt idx="129">
                  <c:v>-19199</c:v>
                </c:pt>
                <c:pt idx="130">
                  <c:v>-16483</c:v>
                </c:pt>
                <c:pt idx="131">
                  <c:v>-22101</c:v>
                </c:pt>
                <c:pt idx="132">
                  <c:v>-16111</c:v>
                </c:pt>
                <c:pt idx="133">
                  <c:v>-8266</c:v>
                </c:pt>
                <c:pt idx="134">
                  <c:v>-1101</c:v>
                </c:pt>
                <c:pt idx="135">
                  <c:v>6713</c:v>
                </c:pt>
                <c:pt idx="136">
                  <c:v>8592</c:v>
                </c:pt>
                <c:pt idx="137">
                  <c:v>9339</c:v>
                </c:pt>
                <c:pt idx="138">
                  <c:v>15906</c:v>
                </c:pt>
                <c:pt idx="139">
                  <c:v>22723</c:v>
                </c:pt>
                <c:pt idx="140">
                  <c:v>15519</c:v>
                </c:pt>
                <c:pt idx="141">
                  <c:v>12169</c:v>
                </c:pt>
                <c:pt idx="142">
                  <c:v>21595</c:v>
                </c:pt>
                <c:pt idx="143">
                  <c:v>20614</c:v>
                </c:pt>
                <c:pt idx="144">
                  <c:v>863</c:v>
                </c:pt>
                <c:pt idx="145">
                  <c:v>-2246</c:v>
                </c:pt>
                <c:pt idx="146">
                  <c:v>-8986</c:v>
                </c:pt>
                <c:pt idx="147">
                  <c:v>-19440</c:v>
                </c:pt>
                <c:pt idx="148">
                  <c:v>-24954</c:v>
                </c:pt>
                <c:pt idx="149">
                  <c:v>-22313</c:v>
                </c:pt>
                <c:pt idx="150">
                  <c:v>-19063</c:v>
                </c:pt>
                <c:pt idx="151">
                  <c:v>-4296</c:v>
                </c:pt>
                <c:pt idx="152">
                  <c:v>4191</c:v>
                </c:pt>
                <c:pt idx="153">
                  <c:v>2854</c:v>
                </c:pt>
                <c:pt idx="154">
                  <c:v>7761</c:v>
                </c:pt>
                <c:pt idx="155">
                  <c:v>-9749</c:v>
                </c:pt>
                <c:pt idx="156">
                  <c:v>-18818</c:v>
                </c:pt>
                <c:pt idx="157">
                  <c:v>-17949</c:v>
                </c:pt>
                <c:pt idx="158">
                  <c:v>-18203</c:v>
                </c:pt>
                <c:pt idx="159">
                  <c:v>-21298</c:v>
                </c:pt>
                <c:pt idx="160">
                  <c:v>-19746</c:v>
                </c:pt>
                <c:pt idx="161">
                  <c:v>-5730</c:v>
                </c:pt>
                <c:pt idx="162">
                  <c:v>12716</c:v>
                </c:pt>
                <c:pt idx="163">
                  <c:v>27879</c:v>
                </c:pt>
                <c:pt idx="164">
                  <c:v>20420</c:v>
                </c:pt>
                <c:pt idx="165">
                  <c:v>20360</c:v>
                </c:pt>
                <c:pt idx="166">
                  <c:v>40402</c:v>
                </c:pt>
                <c:pt idx="167">
                  <c:v>53061</c:v>
                </c:pt>
                <c:pt idx="168">
                  <c:v>53866</c:v>
                </c:pt>
                <c:pt idx="169">
                  <c:v>53739</c:v>
                </c:pt>
                <c:pt idx="170">
                  <c:v>47436</c:v>
                </c:pt>
                <c:pt idx="171">
                  <c:v>29956</c:v>
                </c:pt>
                <c:pt idx="172">
                  <c:v>47436</c:v>
                </c:pt>
                <c:pt idx="173">
                  <c:v>41574</c:v>
                </c:pt>
                <c:pt idx="174">
                  <c:v>30385</c:v>
                </c:pt>
                <c:pt idx="175">
                  <c:v>14487</c:v>
                </c:pt>
                <c:pt idx="176">
                  <c:v>4506</c:v>
                </c:pt>
                <c:pt idx="177">
                  <c:v>1972</c:v>
                </c:pt>
                <c:pt idx="178">
                  <c:v>8695</c:v>
                </c:pt>
                <c:pt idx="179">
                  <c:v>21520</c:v>
                </c:pt>
                <c:pt idx="180">
                  <c:v>25802</c:v>
                </c:pt>
                <c:pt idx="181">
                  <c:v>33804</c:v>
                </c:pt>
                <c:pt idx="182">
                  <c:v>36513</c:v>
                </c:pt>
                <c:pt idx="183">
                  <c:v>30949</c:v>
                </c:pt>
                <c:pt idx="184">
                  <c:v>26702</c:v>
                </c:pt>
                <c:pt idx="185">
                  <c:v>14415</c:v>
                </c:pt>
                <c:pt idx="186">
                  <c:v>25784</c:v>
                </c:pt>
                <c:pt idx="187">
                  <c:v>36847</c:v>
                </c:pt>
                <c:pt idx="188">
                  <c:v>21752</c:v>
                </c:pt>
                <c:pt idx="189">
                  <c:v>14544</c:v>
                </c:pt>
                <c:pt idx="190">
                  <c:v>-3094</c:v>
                </c:pt>
                <c:pt idx="191">
                  <c:v>-5286</c:v>
                </c:pt>
                <c:pt idx="192">
                  <c:v>-19216</c:v>
                </c:pt>
                <c:pt idx="193">
                  <c:v>-31325</c:v>
                </c:pt>
                <c:pt idx="194">
                  <c:v>-18152</c:v>
                </c:pt>
                <c:pt idx="195">
                  <c:v>-26635</c:v>
                </c:pt>
                <c:pt idx="196">
                  <c:v>-19254</c:v>
                </c:pt>
                <c:pt idx="197">
                  <c:v>-9601</c:v>
                </c:pt>
                <c:pt idx="198">
                  <c:v>-31088</c:v>
                </c:pt>
                <c:pt idx="199">
                  <c:v>-41008</c:v>
                </c:pt>
                <c:pt idx="200">
                  <c:v>-18654</c:v>
                </c:pt>
                <c:pt idx="201">
                  <c:v>-4067</c:v>
                </c:pt>
                <c:pt idx="202">
                  <c:v>9861</c:v>
                </c:pt>
                <c:pt idx="203">
                  <c:v>35522</c:v>
                </c:pt>
                <c:pt idx="204">
                  <c:v>44317</c:v>
                </c:pt>
                <c:pt idx="205">
                  <c:v>55046</c:v>
                </c:pt>
                <c:pt idx="206">
                  <c:v>36109</c:v>
                </c:pt>
                <c:pt idx="207">
                  <c:v>23292</c:v>
                </c:pt>
                <c:pt idx="208">
                  <c:v>27235</c:v>
                </c:pt>
                <c:pt idx="209">
                  <c:v>41082</c:v>
                </c:pt>
                <c:pt idx="210">
                  <c:v>41082</c:v>
                </c:pt>
                <c:pt idx="211">
                  <c:v>69202</c:v>
                </c:pt>
                <c:pt idx="212">
                  <c:v>79381</c:v>
                </c:pt>
                <c:pt idx="213">
                  <c:v>74277</c:v>
                </c:pt>
                <c:pt idx="214">
                  <c:v>74336</c:v>
                </c:pt>
                <c:pt idx="215">
                  <c:v>69937</c:v>
                </c:pt>
                <c:pt idx="216">
                  <c:v>71439</c:v>
                </c:pt>
                <c:pt idx="217">
                  <c:v>60395</c:v>
                </c:pt>
                <c:pt idx="218">
                  <c:v>51278</c:v>
                </c:pt>
                <c:pt idx="219">
                  <c:v>44885</c:v>
                </c:pt>
                <c:pt idx="220">
                  <c:v>43864</c:v>
                </c:pt>
                <c:pt idx="221">
                  <c:v>48722</c:v>
                </c:pt>
                <c:pt idx="222">
                  <c:v>54413</c:v>
                </c:pt>
                <c:pt idx="223">
                  <c:v>57041</c:v>
                </c:pt>
                <c:pt idx="224">
                  <c:v>56961</c:v>
                </c:pt>
                <c:pt idx="225">
                  <c:v>56159</c:v>
                </c:pt>
                <c:pt idx="226">
                  <c:v>57151</c:v>
                </c:pt>
                <c:pt idx="227">
                  <c:v>61153</c:v>
                </c:pt>
                <c:pt idx="228">
                  <c:v>49347</c:v>
                </c:pt>
                <c:pt idx="229">
                  <c:v>70896</c:v>
                </c:pt>
                <c:pt idx="230">
                  <c:v>77875</c:v>
                </c:pt>
                <c:pt idx="231">
                  <c:v>62475</c:v>
                </c:pt>
                <c:pt idx="232">
                  <c:v>48378</c:v>
                </c:pt>
                <c:pt idx="233">
                  <c:v>59645</c:v>
                </c:pt>
                <c:pt idx="234">
                  <c:v>65173</c:v>
                </c:pt>
                <c:pt idx="235">
                  <c:v>43445</c:v>
                </c:pt>
                <c:pt idx="236">
                  <c:v>43367</c:v>
                </c:pt>
                <c:pt idx="237">
                  <c:v>49875</c:v>
                </c:pt>
                <c:pt idx="238">
                  <c:v>62441</c:v>
                </c:pt>
                <c:pt idx="239">
                  <c:v>57836</c:v>
                </c:pt>
                <c:pt idx="240">
                  <c:v>56698</c:v>
                </c:pt>
                <c:pt idx="241">
                  <c:v>57025</c:v>
                </c:pt>
                <c:pt idx="242">
                  <c:v>50039</c:v>
                </c:pt>
                <c:pt idx="243">
                  <c:v>30989</c:v>
                </c:pt>
                <c:pt idx="244">
                  <c:v>26398</c:v>
                </c:pt>
                <c:pt idx="245">
                  <c:v>41567</c:v>
                </c:pt>
                <c:pt idx="246">
                  <c:v>54125</c:v>
                </c:pt>
                <c:pt idx="247">
                  <c:v>62701</c:v>
                </c:pt>
                <c:pt idx="248">
                  <c:v>45097</c:v>
                </c:pt>
                <c:pt idx="249">
                  <c:v>36152</c:v>
                </c:pt>
                <c:pt idx="250">
                  <c:v>27203</c:v>
                </c:pt>
                <c:pt idx="251">
                  <c:v>15834</c:v>
                </c:pt>
                <c:pt idx="252">
                  <c:v>27933</c:v>
                </c:pt>
                <c:pt idx="253">
                  <c:v>35458</c:v>
                </c:pt>
                <c:pt idx="254">
                  <c:v>27023</c:v>
                </c:pt>
                <c:pt idx="255">
                  <c:v>27127</c:v>
                </c:pt>
                <c:pt idx="256">
                  <c:v>-2509</c:v>
                </c:pt>
                <c:pt idx="257">
                  <c:v>517</c:v>
                </c:pt>
                <c:pt idx="258">
                  <c:v>12749</c:v>
                </c:pt>
                <c:pt idx="259">
                  <c:v>44955</c:v>
                </c:pt>
                <c:pt idx="260">
                  <c:v>49661</c:v>
                </c:pt>
                <c:pt idx="261">
                  <c:v>47055</c:v>
                </c:pt>
                <c:pt idx="262">
                  <c:v>33435</c:v>
                </c:pt>
                <c:pt idx="263">
                  <c:v>12393</c:v>
                </c:pt>
                <c:pt idx="264">
                  <c:v>229</c:v>
                </c:pt>
                <c:pt idx="265">
                  <c:v>-7464</c:v>
                </c:pt>
                <c:pt idx="266">
                  <c:v>-1070</c:v>
                </c:pt>
                <c:pt idx="267">
                  <c:v>-11409</c:v>
                </c:pt>
                <c:pt idx="268">
                  <c:v>-14098</c:v>
                </c:pt>
                <c:pt idx="269">
                  <c:v>-14098</c:v>
                </c:pt>
                <c:pt idx="270">
                  <c:v>-3563</c:v>
                </c:pt>
                <c:pt idx="271">
                  <c:v>-16729</c:v>
                </c:pt>
                <c:pt idx="272">
                  <c:v>-14079</c:v>
                </c:pt>
                <c:pt idx="273">
                  <c:v>-9849</c:v>
                </c:pt>
                <c:pt idx="274">
                  <c:v>-9259</c:v>
                </c:pt>
                <c:pt idx="275">
                  <c:v>-11273</c:v>
                </c:pt>
                <c:pt idx="276">
                  <c:v>-2103</c:v>
                </c:pt>
                <c:pt idx="277">
                  <c:v>10732</c:v>
                </c:pt>
                <c:pt idx="278">
                  <c:v>14597</c:v>
                </c:pt>
                <c:pt idx="279">
                  <c:v>-7529</c:v>
                </c:pt>
                <c:pt idx="280">
                  <c:v>-12759</c:v>
                </c:pt>
                <c:pt idx="281">
                  <c:v>-17350</c:v>
                </c:pt>
                <c:pt idx="282">
                  <c:v>-2505</c:v>
                </c:pt>
                <c:pt idx="283">
                  <c:v>14095</c:v>
                </c:pt>
                <c:pt idx="284">
                  <c:v>27629</c:v>
                </c:pt>
                <c:pt idx="285">
                  <c:v>37277</c:v>
                </c:pt>
                <c:pt idx="286">
                  <c:v>21073</c:v>
                </c:pt>
                <c:pt idx="287">
                  <c:v>24690</c:v>
                </c:pt>
                <c:pt idx="288">
                  <c:v>32097</c:v>
                </c:pt>
                <c:pt idx="289">
                  <c:v>29019</c:v>
                </c:pt>
                <c:pt idx="290">
                  <c:v>37933</c:v>
                </c:pt>
                <c:pt idx="291">
                  <c:v>54263</c:v>
                </c:pt>
                <c:pt idx="292">
                  <c:v>50250</c:v>
                </c:pt>
                <c:pt idx="293">
                  <c:v>42936</c:v>
                </c:pt>
                <c:pt idx="294">
                  <c:v>25408</c:v>
                </c:pt>
                <c:pt idx="295">
                  <c:v>11758</c:v>
                </c:pt>
                <c:pt idx="296">
                  <c:v>-11136</c:v>
                </c:pt>
                <c:pt idx="297">
                  <c:v>-20926</c:v>
                </c:pt>
                <c:pt idx="298">
                  <c:v>-28462</c:v>
                </c:pt>
                <c:pt idx="299">
                  <c:v>-34272</c:v>
                </c:pt>
                <c:pt idx="300">
                  <c:v>-31700</c:v>
                </c:pt>
                <c:pt idx="301">
                  <c:v>-28475</c:v>
                </c:pt>
                <c:pt idx="302">
                  <c:v>-21788</c:v>
                </c:pt>
                <c:pt idx="303">
                  <c:v>-21788</c:v>
                </c:pt>
                <c:pt idx="304">
                  <c:v>6487</c:v>
                </c:pt>
                <c:pt idx="305">
                  <c:v>10026</c:v>
                </c:pt>
                <c:pt idx="306">
                  <c:v>2969</c:v>
                </c:pt>
                <c:pt idx="307">
                  <c:v>10241</c:v>
                </c:pt>
                <c:pt idx="308">
                  <c:v>1521</c:v>
                </c:pt>
                <c:pt idx="309">
                  <c:v>14487</c:v>
                </c:pt>
                <c:pt idx="310">
                  <c:v>31052</c:v>
                </c:pt>
                <c:pt idx="311">
                  <c:v>46132</c:v>
                </c:pt>
                <c:pt idx="312">
                  <c:v>54177</c:v>
                </c:pt>
                <c:pt idx="313">
                  <c:v>52847</c:v>
                </c:pt>
                <c:pt idx="314">
                  <c:v>47768</c:v>
                </c:pt>
                <c:pt idx="315">
                  <c:v>34475</c:v>
                </c:pt>
                <c:pt idx="316">
                  <c:v>15798</c:v>
                </c:pt>
                <c:pt idx="317">
                  <c:v>5672</c:v>
                </c:pt>
                <c:pt idx="318">
                  <c:v>-11969</c:v>
                </c:pt>
                <c:pt idx="319">
                  <c:v>-16620</c:v>
                </c:pt>
                <c:pt idx="320">
                  <c:v>-22821</c:v>
                </c:pt>
                <c:pt idx="321">
                  <c:v>-35853</c:v>
                </c:pt>
                <c:pt idx="322">
                  <c:v>-44140</c:v>
                </c:pt>
                <c:pt idx="323">
                  <c:v>-53421</c:v>
                </c:pt>
                <c:pt idx="324">
                  <c:v>-49155</c:v>
                </c:pt>
                <c:pt idx="325">
                  <c:v>-43125</c:v>
                </c:pt>
                <c:pt idx="326">
                  <c:v>-28606</c:v>
                </c:pt>
                <c:pt idx="327">
                  <c:v>-32508</c:v>
                </c:pt>
                <c:pt idx="328">
                  <c:v>-42424</c:v>
                </c:pt>
                <c:pt idx="329">
                  <c:v>-41600</c:v>
                </c:pt>
                <c:pt idx="330">
                  <c:v>-37016</c:v>
                </c:pt>
                <c:pt idx="331">
                  <c:v>-32495</c:v>
                </c:pt>
                <c:pt idx="332">
                  <c:v>-9996</c:v>
                </c:pt>
                <c:pt idx="333">
                  <c:v>-2714</c:v>
                </c:pt>
                <c:pt idx="334">
                  <c:v>7419</c:v>
                </c:pt>
                <c:pt idx="335">
                  <c:v>-12042</c:v>
                </c:pt>
                <c:pt idx="336">
                  <c:v>-13306</c:v>
                </c:pt>
                <c:pt idx="337">
                  <c:v>-41697</c:v>
                </c:pt>
                <c:pt idx="338">
                  <c:v>-55111</c:v>
                </c:pt>
                <c:pt idx="339">
                  <c:v>-50577</c:v>
                </c:pt>
                <c:pt idx="340">
                  <c:v>-49176</c:v>
                </c:pt>
                <c:pt idx="341">
                  <c:v>-31548</c:v>
                </c:pt>
                <c:pt idx="342">
                  <c:v>-33289</c:v>
                </c:pt>
                <c:pt idx="343">
                  <c:v>-43210</c:v>
                </c:pt>
                <c:pt idx="344">
                  <c:v>-42341</c:v>
                </c:pt>
                <c:pt idx="345">
                  <c:v>-33725</c:v>
                </c:pt>
                <c:pt idx="346">
                  <c:v>-25288</c:v>
                </c:pt>
                <c:pt idx="347">
                  <c:v>-21830</c:v>
                </c:pt>
                <c:pt idx="348">
                  <c:v>-13167</c:v>
                </c:pt>
                <c:pt idx="349">
                  <c:v>-11009</c:v>
                </c:pt>
                <c:pt idx="350">
                  <c:v>-5629</c:v>
                </c:pt>
                <c:pt idx="351">
                  <c:v>-21040</c:v>
                </c:pt>
                <c:pt idx="352">
                  <c:v>-19103</c:v>
                </c:pt>
                <c:pt idx="353">
                  <c:v>-21992</c:v>
                </c:pt>
                <c:pt idx="354">
                  <c:v>-27972</c:v>
                </c:pt>
                <c:pt idx="355">
                  <c:v>-35824</c:v>
                </c:pt>
                <c:pt idx="356">
                  <c:v>-38050</c:v>
                </c:pt>
                <c:pt idx="357">
                  <c:v>-36105</c:v>
                </c:pt>
                <c:pt idx="358">
                  <c:v>-47493</c:v>
                </c:pt>
                <c:pt idx="359">
                  <c:v>-43804</c:v>
                </c:pt>
                <c:pt idx="360">
                  <c:v>-54516</c:v>
                </c:pt>
                <c:pt idx="361">
                  <c:v>-48271</c:v>
                </c:pt>
                <c:pt idx="362">
                  <c:v>-35004</c:v>
                </c:pt>
                <c:pt idx="363">
                  <c:v>-17635</c:v>
                </c:pt>
                <c:pt idx="364">
                  <c:v>-15752</c:v>
                </c:pt>
                <c:pt idx="365">
                  <c:v>-17473</c:v>
                </c:pt>
                <c:pt idx="366">
                  <c:v>-22773</c:v>
                </c:pt>
                <c:pt idx="367">
                  <c:v>-24581</c:v>
                </c:pt>
                <c:pt idx="368">
                  <c:v>-26467</c:v>
                </c:pt>
                <c:pt idx="369">
                  <c:v>-25984</c:v>
                </c:pt>
                <c:pt idx="370">
                  <c:v>-27737</c:v>
                </c:pt>
                <c:pt idx="371">
                  <c:v>-20559</c:v>
                </c:pt>
                <c:pt idx="372">
                  <c:v>-18614</c:v>
                </c:pt>
                <c:pt idx="373">
                  <c:v>-19583</c:v>
                </c:pt>
                <c:pt idx="374">
                  <c:v>-23092</c:v>
                </c:pt>
                <c:pt idx="375">
                  <c:v>-32359</c:v>
                </c:pt>
                <c:pt idx="376">
                  <c:v>-26690</c:v>
                </c:pt>
                <c:pt idx="377">
                  <c:v>-35954</c:v>
                </c:pt>
                <c:pt idx="378">
                  <c:v>-41716</c:v>
                </c:pt>
                <c:pt idx="379">
                  <c:v>-41950</c:v>
                </c:pt>
                <c:pt idx="380">
                  <c:v>-44010</c:v>
                </c:pt>
                <c:pt idx="381">
                  <c:v>-46649</c:v>
                </c:pt>
                <c:pt idx="382">
                  <c:v>-50029</c:v>
                </c:pt>
                <c:pt idx="383">
                  <c:v>-60659</c:v>
                </c:pt>
                <c:pt idx="384">
                  <c:v>-64537</c:v>
                </c:pt>
                <c:pt idx="385">
                  <c:v>-63012</c:v>
                </c:pt>
                <c:pt idx="386">
                  <c:v>-59141</c:v>
                </c:pt>
                <c:pt idx="387">
                  <c:v>-48433</c:v>
                </c:pt>
                <c:pt idx="388">
                  <c:v>-33596</c:v>
                </c:pt>
                <c:pt idx="389">
                  <c:v>-17767</c:v>
                </c:pt>
                <c:pt idx="390">
                  <c:v>-3983</c:v>
                </c:pt>
                <c:pt idx="391">
                  <c:v>25382</c:v>
                </c:pt>
                <c:pt idx="392">
                  <c:v>33473</c:v>
                </c:pt>
                <c:pt idx="393">
                  <c:v>21698</c:v>
                </c:pt>
                <c:pt idx="394">
                  <c:v>11864</c:v>
                </c:pt>
                <c:pt idx="395">
                  <c:v>10571</c:v>
                </c:pt>
                <c:pt idx="396">
                  <c:v>24680</c:v>
                </c:pt>
                <c:pt idx="397">
                  <c:v>29734</c:v>
                </c:pt>
                <c:pt idx="398">
                  <c:v>34723</c:v>
                </c:pt>
                <c:pt idx="399">
                  <c:v>23166</c:v>
                </c:pt>
                <c:pt idx="400">
                  <c:v>18080</c:v>
                </c:pt>
                <c:pt idx="401">
                  <c:v>1240</c:v>
                </c:pt>
                <c:pt idx="402">
                  <c:v>1377</c:v>
                </c:pt>
                <c:pt idx="403">
                  <c:v>-14118</c:v>
                </c:pt>
                <c:pt idx="404">
                  <c:v>-19560</c:v>
                </c:pt>
                <c:pt idx="405">
                  <c:v>-14643</c:v>
                </c:pt>
                <c:pt idx="406">
                  <c:v>5496</c:v>
                </c:pt>
                <c:pt idx="407">
                  <c:v>16806</c:v>
                </c:pt>
                <c:pt idx="408">
                  <c:v>8705</c:v>
                </c:pt>
                <c:pt idx="409">
                  <c:v>792</c:v>
                </c:pt>
                <c:pt idx="410">
                  <c:v>-7671</c:v>
                </c:pt>
                <c:pt idx="411">
                  <c:v>-7436</c:v>
                </c:pt>
                <c:pt idx="412">
                  <c:v>-3695</c:v>
                </c:pt>
                <c:pt idx="413">
                  <c:v>-15509</c:v>
                </c:pt>
                <c:pt idx="414">
                  <c:v>-15155</c:v>
                </c:pt>
                <c:pt idx="415">
                  <c:v>-15695</c:v>
                </c:pt>
                <c:pt idx="416">
                  <c:v>-18030</c:v>
                </c:pt>
                <c:pt idx="417">
                  <c:v>-21300</c:v>
                </c:pt>
                <c:pt idx="418">
                  <c:v>-13455</c:v>
                </c:pt>
                <c:pt idx="419">
                  <c:v>-5030</c:v>
                </c:pt>
                <c:pt idx="420">
                  <c:v>-5988</c:v>
                </c:pt>
                <c:pt idx="421">
                  <c:v>3869</c:v>
                </c:pt>
                <c:pt idx="422">
                  <c:v>4772</c:v>
                </c:pt>
                <c:pt idx="423">
                  <c:v>3841</c:v>
                </c:pt>
                <c:pt idx="424">
                  <c:v>13670</c:v>
                </c:pt>
                <c:pt idx="425">
                  <c:v>24666</c:v>
                </c:pt>
                <c:pt idx="426">
                  <c:v>11055</c:v>
                </c:pt>
                <c:pt idx="427">
                  <c:v>8267</c:v>
                </c:pt>
                <c:pt idx="428">
                  <c:v>20987</c:v>
                </c:pt>
                <c:pt idx="429">
                  <c:v>12339</c:v>
                </c:pt>
                <c:pt idx="430">
                  <c:v>12242</c:v>
                </c:pt>
                <c:pt idx="431">
                  <c:v>18818</c:v>
                </c:pt>
                <c:pt idx="432">
                  <c:v>20691</c:v>
                </c:pt>
                <c:pt idx="433">
                  <c:v>35047</c:v>
                </c:pt>
                <c:pt idx="434">
                  <c:v>38295</c:v>
                </c:pt>
                <c:pt idx="435">
                  <c:v>49170</c:v>
                </c:pt>
                <c:pt idx="436">
                  <c:v>51968</c:v>
                </c:pt>
                <c:pt idx="437">
                  <c:v>22454</c:v>
                </c:pt>
                <c:pt idx="438">
                  <c:v>-2642</c:v>
                </c:pt>
                <c:pt idx="439">
                  <c:v>7575</c:v>
                </c:pt>
                <c:pt idx="440">
                  <c:v>28163</c:v>
                </c:pt>
                <c:pt idx="441">
                  <c:v>24751</c:v>
                </c:pt>
                <c:pt idx="442">
                  <c:v>43465</c:v>
                </c:pt>
                <c:pt idx="443">
                  <c:v>20405</c:v>
                </c:pt>
                <c:pt idx="444">
                  <c:v>3692</c:v>
                </c:pt>
                <c:pt idx="445">
                  <c:v>4148</c:v>
                </c:pt>
                <c:pt idx="446">
                  <c:v>-1948</c:v>
                </c:pt>
                <c:pt idx="447">
                  <c:v>7017</c:v>
                </c:pt>
                <c:pt idx="448">
                  <c:v>17660</c:v>
                </c:pt>
                <c:pt idx="449">
                  <c:v>21649</c:v>
                </c:pt>
                <c:pt idx="450">
                  <c:v>16773</c:v>
                </c:pt>
                <c:pt idx="451">
                  <c:v>36938</c:v>
                </c:pt>
                <c:pt idx="452">
                  <c:v>41000</c:v>
                </c:pt>
                <c:pt idx="453">
                  <c:v>27756</c:v>
                </c:pt>
                <c:pt idx="454">
                  <c:v>28571</c:v>
                </c:pt>
                <c:pt idx="455">
                  <c:v>59630</c:v>
                </c:pt>
                <c:pt idx="456">
                  <c:v>65264</c:v>
                </c:pt>
                <c:pt idx="457">
                  <c:v>39693</c:v>
                </c:pt>
                <c:pt idx="458">
                  <c:v>18591</c:v>
                </c:pt>
                <c:pt idx="459">
                  <c:v>29747</c:v>
                </c:pt>
                <c:pt idx="460">
                  <c:v>17783</c:v>
                </c:pt>
                <c:pt idx="461">
                  <c:v>26693</c:v>
                </c:pt>
                <c:pt idx="462">
                  <c:v>16790</c:v>
                </c:pt>
                <c:pt idx="463">
                  <c:v>-1230</c:v>
                </c:pt>
                <c:pt idx="464">
                  <c:v>-12397</c:v>
                </c:pt>
                <c:pt idx="465">
                  <c:v>-8314</c:v>
                </c:pt>
                <c:pt idx="466">
                  <c:v>-11316</c:v>
                </c:pt>
                <c:pt idx="467">
                  <c:v>-9007</c:v>
                </c:pt>
                <c:pt idx="468">
                  <c:v>-7480</c:v>
                </c:pt>
                <c:pt idx="469">
                  <c:v>-11510</c:v>
                </c:pt>
                <c:pt idx="470">
                  <c:v>-17887</c:v>
                </c:pt>
                <c:pt idx="471">
                  <c:v>-18796</c:v>
                </c:pt>
                <c:pt idx="472">
                  <c:v>-3294</c:v>
                </c:pt>
                <c:pt idx="473">
                  <c:v>13304</c:v>
                </c:pt>
                <c:pt idx="474">
                  <c:v>18543</c:v>
                </c:pt>
                <c:pt idx="475">
                  <c:v>25182</c:v>
                </c:pt>
                <c:pt idx="476">
                  <c:v>20506</c:v>
                </c:pt>
                <c:pt idx="477">
                  <c:v>13638</c:v>
                </c:pt>
                <c:pt idx="478">
                  <c:v>615</c:v>
                </c:pt>
                <c:pt idx="479">
                  <c:v>3094</c:v>
                </c:pt>
                <c:pt idx="480">
                  <c:v>21535</c:v>
                </c:pt>
                <c:pt idx="481">
                  <c:v>40538</c:v>
                </c:pt>
                <c:pt idx="482">
                  <c:v>62466</c:v>
                </c:pt>
                <c:pt idx="483">
                  <c:v>72457</c:v>
                </c:pt>
                <c:pt idx="484">
                  <c:v>65283</c:v>
                </c:pt>
                <c:pt idx="485">
                  <c:v>60895</c:v>
                </c:pt>
                <c:pt idx="486">
                  <c:v>47380</c:v>
                </c:pt>
                <c:pt idx="487">
                  <c:v>32847</c:v>
                </c:pt>
                <c:pt idx="488">
                  <c:v>39547</c:v>
                </c:pt>
                <c:pt idx="489">
                  <c:v>48549</c:v>
                </c:pt>
                <c:pt idx="490">
                  <c:v>50411</c:v>
                </c:pt>
                <c:pt idx="491">
                  <c:v>47261</c:v>
                </c:pt>
                <c:pt idx="492">
                  <c:v>57672</c:v>
                </c:pt>
                <c:pt idx="493">
                  <c:v>50488</c:v>
                </c:pt>
                <c:pt idx="494">
                  <c:v>41561</c:v>
                </c:pt>
                <c:pt idx="495">
                  <c:v>39092</c:v>
                </c:pt>
                <c:pt idx="496">
                  <c:v>74908</c:v>
                </c:pt>
                <c:pt idx="497">
                  <c:v>99340</c:v>
                </c:pt>
                <c:pt idx="498">
                  <c:v>105655</c:v>
                </c:pt>
                <c:pt idx="499">
                  <c:v>108719</c:v>
                </c:pt>
                <c:pt idx="500">
                  <c:v>96441</c:v>
                </c:pt>
                <c:pt idx="501">
                  <c:v>92725</c:v>
                </c:pt>
                <c:pt idx="502">
                  <c:v>94401</c:v>
                </c:pt>
                <c:pt idx="503">
                  <c:v>70952</c:v>
                </c:pt>
                <c:pt idx="504">
                  <c:v>68333</c:v>
                </c:pt>
                <c:pt idx="505">
                  <c:v>69996</c:v>
                </c:pt>
                <c:pt idx="506">
                  <c:v>46409</c:v>
                </c:pt>
                <c:pt idx="507">
                  <c:v>37008</c:v>
                </c:pt>
                <c:pt idx="508">
                  <c:v>40728</c:v>
                </c:pt>
                <c:pt idx="509">
                  <c:v>52870</c:v>
                </c:pt>
                <c:pt idx="510">
                  <c:v>34840</c:v>
                </c:pt>
                <c:pt idx="511">
                  <c:v>20198</c:v>
                </c:pt>
                <c:pt idx="512">
                  <c:v>1884</c:v>
                </c:pt>
                <c:pt idx="513">
                  <c:v>559</c:v>
                </c:pt>
                <c:pt idx="514">
                  <c:v>-4078</c:v>
                </c:pt>
                <c:pt idx="515">
                  <c:v>-17218</c:v>
                </c:pt>
                <c:pt idx="516">
                  <c:v>-16830</c:v>
                </c:pt>
                <c:pt idx="517">
                  <c:v>7201</c:v>
                </c:pt>
                <c:pt idx="518">
                  <c:v>39055</c:v>
                </c:pt>
                <c:pt idx="519">
                  <c:v>75998</c:v>
                </c:pt>
                <c:pt idx="520">
                  <c:v>85303</c:v>
                </c:pt>
                <c:pt idx="521">
                  <c:v>82366</c:v>
                </c:pt>
                <c:pt idx="522">
                  <c:v>70228</c:v>
                </c:pt>
                <c:pt idx="523">
                  <c:v>82241</c:v>
                </c:pt>
                <c:pt idx="524">
                  <c:v>94192</c:v>
                </c:pt>
                <c:pt idx="525">
                  <c:v>92742</c:v>
                </c:pt>
                <c:pt idx="526">
                  <c:v>81809</c:v>
                </c:pt>
                <c:pt idx="527">
                  <c:v>101261</c:v>
                </c:pt>
                <c:pt idx="528">
                  <c:v>115154</c:v>
                </c:pt>
                <c:pt idx="529">
                  <c:v>126543</c:v>
                </c:pt>
                <c:pt idx="530">
                  <c:v>118754</c:v>
                </c:pt>
                <c:pt idx="531">
                  <c:v>97641</c:v>
                </c:pt>
                <c:pt idx="532">
                  <c:v>95533</c:v>
                </c:pt>
                <c:pt idx="533">
                  <c:v>111951</c:v>
                </c:pt>
                <c:pt idx="534">
                  <c:v>109860</c:v>
                </c:pt>
                <c:pt idx="535">
                  <c:v>101367</c:v>
                </c:pt>
                <c:pt idx="536">
                  <c:v>97887</c:v>
                </c:pt>
                <c:pt idx="537">
                  <c:v>85522</c:v>
                </c:pt>
                <c:pt idx="538">
                  <c:v>71134</c:v>
                </c:pt>
                <c:pt idx="539">
                  <c:v>78625</c:v>
                </c:pt>
                <c:pt idx="540">
                  <c:v>85283</c:v>
                </c:pt>
                <c:pt idx="541">
                  <c:v>95905</c:v>
                </c:pt>
                <c:pt idx="542">
                  <c:v>66975</c:v>
                </c:pt>
                <c:pt idx="543">
                  <c:v>62852</c:v>
                </c:pt>
                <c:pt idx="544">
                  <c:v>68618</c:v>
                </c:pt>
                <c:pt idx="545">
                  <c:v>44898</c:v>
                </c:pt>
                <c:pt idx="546">
                  <c:v>27046</c:v>
                </c:pt>
                <c:pt idx="547">
                  <c:v>26364</c:v>
                </c:pt>
                <c:pt idx="548">
                  <c:v>784</c:v>
                </c:pt>
                <c:pt idx="549">
                  <c:v>-25165</c:v>
                </c:pt>
                <c:pt idx="550">
                  <c:v>-19748</c:v>
                </c:pt>
                <c:pt idx="551">
                  <c:v>-38796</c:v>
                </c:pt>
                <c:pt idx="552">
                  <c:v>-50706</c:v>
                </c:pt>
                <c:pt idx="553">
                  <c:v>-47296</c:v>
                </c:pt>
                <c:pt idx="554">
                  <c:v>-37014</c:v>
                </c:pt>
                <c:pt idx="555">
                  <c:v>-29388</c:v>
                </c:pt>
                <c:pt idx="556">
                  <c:v>-12851</c:v>
                </c:pt>
                <c:pt idx="557">
                  <c:v>-6008</c:v>
                </c:pt>
                <c:pt idx="558">
                  <c:v>-8621</c:v>
                </c:pt>
                <c:pt idx="559">
                  <c:v>-22313</c:v>
                </c:pt>
                <c:pt idx="560">
                  <c:v>-34301</c:v>
                </c:pt>
                <c:pt idx="561">
                  <c:v>-16840</c:v>
                </c:pt>
                <c:pt idx="562">
                  <c:v>4769</c:v>
                </c:pt>
                <c:pt idx="563">
                  <c:v>10511</c:v>
                </c:pt>
                <c:pt idx="564">
                  <c:v>19718</c:v>
                </c:pt>
                <c:pt idx="565">
                  <c:v>42996</c:v>
                </c:pt>
                <c:pt idx="566">
                  <c:v>48948</c:v>
                </c:pt>
                <c:pt idx="567">
                  <c:v>62628</c:v>
                </c:pt>
                <c:pt idx="568">
                  <c:v>67913</c:v>
                </c:pt>
                <c:pt idx="569">
                  <c:v>65015</c:v>
                </c:pt>
                <c:pt idx="570">
                  <c:v>46030</c:v>
                </c:pt>
                <c:pt idx="571">
                  <c:v>44604</c:v>
                </c:pt>
                <c:pt idx="572">
                  <c:v>66871</c:v>
                </c:pt>
                <c:pt idx="573">
                  <c:v>88634</c:v>
                </c:pt>
                <c:pt idx="574">
                  <c:v>100435</c:v>
                </c:pt>
                <c:pt idx="575">
                  <c:v>92870</c:v>
                </c:pt>
                <c:pt idx="576">
                  <c:v>75629</c:v>
                </c:pt>
                <c:pt idx="577">
                  <c:v>30716</c:v>
                </c:pt>
                <c:pt idx="578">
                  <c:v>23132</c:v>
                </c:pt>
                <c:pt idx="579">
                  <c:v>24925</c:v>
                </c:pt>
                <c:pt idx="580">
                  <c:v>35613</c:v>
                </c:pt>
                <c:pt idx="581">
                  <c:v>44050</c:v>
                </c:pt>
                <c:pt idx="582">
                  <c:v>54363</c:v>
                </c:pt>
                <c:pt idx="583">
                  <c:v>56675</c:v>
                </c:pt>
                <c:pt idx="584">
                  <c:v>47664</c:v>
                </c:pt>
                <c:pt idx="585">
                  <c:v>26398</c:v>
                </c:pt>
                <c:pt idx="586">
                  <c:v>13679</c:v>
                </c:pt>
                <c:pt idx="587">
                  <c:v>12709</c:v>
                </c:pt>
                <c:pt idx="588">
                  <c:v>9133</c:v>
                </c:pt>
                <c:pt idx="589">
                  <c:v>3406</c:v>
                </c:pt>
                <c:pt idx="590">
                  <c:v>3374</c:v>
                </c:pt>
                <c:pt idx="591">
                  <c:v>11912</c:v>
                </c:pt>
                <c:pt idx="592">
                  <c:v>-5832</c:v>
                </c:pt>
                <c:pt idx="593">
                  <c:v>-21496</c:v>
                </c:pt>
                <c:pt idx="594">
                  <c:v>-16588</c:v>
                </c:pt>
                <c:pt idx="595">
                  <c:v>-2688</c:v>
                </c:pt>
                <c:pt idx="596">
                  <c:v>-13630</c:v>
                </c:pt>
                <c:pt idx="597">
                  <c:v>-27135</c:v>
                </c:pt>
                <c:pt idx="598">
                  <c:v>-9347</c:v>
                </c:pt>
                <c:pt idx="599">
                  <c:v>-9046</c:v>
                </c:pt>
                <c:pt idx="600">
                  <c:v>-21221</c:v>
                </c:pt>
                <c:pt idx="601">
                  <c:v>-24920</c:v>
                </c:pt>
                <c:pt idx="602">
                  <c:v>-36116</c:v>
                </c:pt>
                <c:pt idx="603">
                  <c:v>-22442</c:v>
                </c:pt>
                <c:pt idx="604">
                  <c:v>-32799</c:v>
                </c:pt>
                <c:pt idx="605">
                  <c:v>-40827</c:v>
                </c:pt>
                <c:pt idx="606">
                  <c:v>-52726</c:v>
                </c:pt>
                <c:pt idx="607">
                  <c:v>-73540</c:v>
                </c:pt>
                <c:pt idx="608">
                  <c:v>-67949</c:v>
                </c:pt>
                <c:pt idx="609">
                  <c:v>-55442</c:v>
                </c:pt>
                <c:pt idx="610">
                  <c:v>-47249</c:v>
                </c:pt>
                <c:pt idx="611">
                  <c:v>-48975</c:v>
                </c:pt>
                <c:pt idx="612">
                  <c:v>-57610</c:v>
                </c:pt>
                <c:pt idx="613">
                  <c:v>-73745</c:v>
                </c:pt>
                <c:pt idx="614">
                  <c:v>-93139</c:v>
                </c:pt>
                <c:pt idx="615">
                  <c:v>-90180</c:v>
                </c:pt>
                <c:pt idx="616">
                  <c:v>-89305</c:v>
                </c:pt>
                <c:pt idx="617">
                  <c:v>-85365</c:v>
                </c:pt>
                <c:pt idx="618">
                  <c:v>-90211</c:v>
                </c:pt>
                <c:pt idx="619">
                  <c:v>-89952</c:v>
                </c:pt>
                <c:pt idx="620">
                  <c:v>-91771</c:v>
                </c:pt>
                <c:pt idx="621">
                  <c:v>-91381</c:v>
                </c:pt>
                <c:pt idx="622">
                  <c:v>-97124</c:v>
                </c:pt>
                <c:pt idx="623">
                  <c:v>-95209</c:v>
                </c:pt>
                <c:pt idx="624">
                  <c:v>-86485</c:v>
                </c:pt>
                <c:pt idx="625">
                  <c:v>-88029</c:v>
                </c:pt>
                <c:pt idx="626">
                  <c:v>-97356</c:v>
                </c:pt>
                <c:pt idx="627">
                  <c:v>-109950</c:v>
                </c:pt>
                <c:pt idx="628">
                  <c:v>-85782</c:v>
                </c:pt>
                <c:pt idx="629">
                  <c:v>-51331</c:v>
                </c:pt>
                <c:pt idx="630">
                  <c:v>-41118</c:v>
                </c:pt>
                <c:pt idx="631">
                  <c:v>-33106</c:v>
                </c:pt>
                <c:pt idx="632">
                  <c:v>-31548</c:v>
                </c:pt>
                <c:pt idx="633">
                  <c:v>-54999</c:v>
                </c:pt>
                <c:pt idx="634">
                  <c:v>-59166</c:v>
                </c:pt>
                <c:pt idx="635">
                  <c:v>-70156</c:v>
                </c:pt>
                <c:pt idx="636">
                  <c:v>-79245</c:v>
                </c:pt>
                <c:pt idx="637">
                  <c:v>-80374</c:v>
                </c:pt>
                <c:pt idx="638">
                  <c:v>-59951</c:v>
                </c:pt>
                <c:pt idx="639">
                  <c:v>-46621</c:v>
                </c:pt>
                <c:pt idx="640">
                  <c:v>-47798</c:v>
                </c:pt>
                <c:pt idx="641">
                  <c:v>-51502</c:v>
                </c:pt>
                <c:pt idx="642">
                  <c:v>-60072</c:v>
                </c:pt>
                <c:pt idx="643">
                  <c:v>-50181</c:v>
                </c:pt>
                <c:pt idx="644">
                  <c:v>-48162</c:v>
                </c:pt>
                <c:pt idx="645">
                  <c:v>-31366</c:v>
                </c:pt>
                <c:pt idx="646">
                  <c:v>3194</c:v>
                </c:pt>
                <c:pt idx="647">
                  <c:v>28560</c:v>
                </c:pt>
                <c:pt idx="648">
                  <c:v>34459</c:v>
                </c:pt>
                <c:pt idx="649">
                  <c:v>29867</c:v>
                </c:pt>
                <c:pt idx="650">
                  <c:v>23281</c:v>
                </c:pt>
                <c:pt idx="651">
                  <c:v>21038</c:v>
                </c:pt>
                <c:pt idx="652">
                  <c:v>18962</c:v>
                </c:pt>
                <c:pt idx="653">
                  <c:v>10376</c:v>
                </c:pt>
                <c:pt idx="654">
                  <c:v>-8320</c:v>
                </c:pt>
                <c:pt idx="655">
                  <c:v>-26961</c:v>
                </c:pt>
                <c:pt idx="656">
                  <c:v>-31609</c:v>
                </c:pt>
                <c:pt idx="657">
                  <c:v>-33920</c:v>
                </c:pt>
                <c:pt idx="658">
                  <c:v>-50637</c:v>
                </c:pt>
                <c:pt idx="659">
                  <c:v>-58072</c:v>
                </c:pt>
                <c:pt idx="660">
                  <c:v>-70850</c:v>
                </c:pt>
                <c:pt idx="661">
                  <c:v>-80406</c:v>
                </c:pt>
                <c:pt idx="662">
                  <c:v>-68940</c:v>
                </c:pt>
                <c:pt idx="663">
                  <c:v>-62224</c:v>
                </c:pt>
                <c:pt idx="664">
                  <c:v>-55811</c:v>
                </c:pt>
                <c:pt idx="665">
                  <c:v>-53803</c:v>
                </c:pt>
                <c:pt idx="666">
                  <c:v>-42746</c:v>
                </c:pt>
                <c:pt idx="667">
                  <c:v>-35969</c:v>
                </c:pt>
                <c:pt idx="668">
                  <c:v>-36283</c:v>
                </c:pt>
                <c:pt idx="669">
                  <c:v>-30669</c:v>
                </c:pt>
                <c:pt idx="670">
                  <c:v>-31194</c:v>
                </c:pt>
                <c:pt idx="671">
                  <c:v>-39175</c:v>
                </c:pt>
                <c:pt idx="672">
                  <c:v>-24403</c:v>
                </c:pt>
                <c:pt idx="673">
                  <c:v>-37075</c:v>
                </c:pt>
                <c:pt idx="674">
                  <c:v>10329</c:v>
                </c:pt>
                <c:pt idx="675">
                  <c:v>2982</c:v>
                </c:pt>
                <c:pt idx="676">
                  <c:v>-14523</c:v>
                </c:pt>
                <c:pt idx="677">
                  <c:v>-12731</c:v>
                </c:pt>
                <c:pt idx="678">
                  <c:v>-19106</c:v>
                </c:pt>
                <c:pt idx="679">
                  <c:v>19931</c:v>
                </c:pt>
                <c:pt idx="680">
                  <c:v>22399</c:v>
                </c:pt>
                <c:pt idx="681">
                  <c:v>11473</c:v>
                </c:pt>
                <c:pt idx="682">
                  <c:v>29723</c:v>
                </c:pt>
                <c:pt idx="683">
                  <c:v>43457</c:v>
                </c:pt>
                <c:pt idx="684">
                  <c:v>67620</c:v>
                </c:pt>
                <c:pt idx="685">
                  <c:v>75353</c:v>
                </c:pt>
                <c:pt idx="686">
                  <c:v>84643</c:v>
                </c:pt>
                <c:pt idx="687">
                  <c:v>88097</c:v>
                </c:pt>
                <c:pt idx="688">
                  <c:v>82356</c:v>
                </c:pt>
                <c:pt idx="689">
                  <c:v>66884</c:v>
                </c:pt>
                <c:pt idx="690">
                  <c:v>59178</c:v>
                </c:pt>
                <c:pt idx="691">
                  <c:v>77670</c:v>
                </c:pt>
                <c:pt idx="692">
                  <c:v>103340</c:v>
                </c:pt>
                <c:pt idx="693">
                  <c:v>119420</c:v>
                </c:pt>
                <c:pt idx="694">
                  <c:v>112183</c:v>
                </c:pt>
                <c:pt idx="695">
                  <c:v>110862</c:v>
                </c:pt>
                <c:pt idx="696">
                  <c:v>112911</c:v>
                </c:pt>
                <c:pt idx="697">
                  <c:v>101259</c:v>
                </c:pt>
                <c:pt idx="698">
                  <c:v>96738</c:v>
                </c:pt>
                <c:pt idx="699">
                  <c:v>67885</c:v>
                </c:pt>
                <c:pt idx="700">
                  <c:v>52669</c:v>
                </c:pt>
                <c:pt idx="701">
                  <c:v>39628</c:v>
                </c:pt>
                <c:pt idx="702">
                  <c:v>23048</c:v>
                </c:pt>
                <c:pt idx="703">
                  <c:v>14990</c:v>
                </c:pt>
                <c:pt idx="704">
                  <c:v>11460</c:v>
                </c:pt>
                <c:pt idx="705">
                  <c:v>1712</c:v>
                </c:pt>
                <c:pt idx="706">
                  <c:v>-746</c:v>
                </c:pt>
                <c:pt idx="707">
                  <c:v>-5353</c:v>
                </c:pt>
                <c:pt idx="708">
                  <c:v>2708</c:v>
                </c:pt>
                <c:pt idx="709">
                  <c:v>-2096</c:v>
                </c:pt>
                <c:pt idx="710">
                  <c:v>-11557</c:v>
                </c:pt>
                <c:pt idx="711">
                  <c:v>-11906</c:v>
                </c:pt>
                <c:pt idx="712">
                  <c:v>-6754</c:v>
                </c:pt>
                <c:pt idx="713">
                  <c:v>-7865</c:v>
                </c:pt>
                <c:pt idx="714">
                  <c:v>2681</c:v>
                </c:pt>
                <c:pt idx="715">
                  <c:v>3984</c:v>
                </c:pt>
                <c:pt idx="716">
                  <c:v>11376</c:v>
                </c:pt>
                <c:pt idx="717">
                  <c:v>-56</c:v>
                </c:pt>
                <c:pt idx="718">
                  <c:v>-4786</c:v>
                </c:pt>
                <c:pt idx="719">
                  <c:v>-721</c:v>
                </c:pt>
                <c:pt idx="720">
                  <c:v>847</c:v>
                </c:pt>
                <c:pt idx="721">
                  <c:v>19418</c:v>
                </c:pt>
                <c:pt idx="722">
                  <c:v>10198</c:v>
                </c:pt>
                <c:pt idx="723">
                  <c:v>36897</c:v>
                </c:pt>
                <c:pt idx="724">
                  <c:v>37549</c:v>
                </c:pt>
                <c:pt idx="725">
                  <c:v>48333</c:v>
                </c:pt>
                <c:pt idx="726">
                  <c:v>52143</c:v>
                </c:pt>
                <c:pt idx="727">
                  <c:v>57524</c:v>
                </c:pt>
                <c:pt idx="728">
                  <c:v>67690</c:v>
                </c:pt>
                <c:pt idx="729">
                  <c:v>81557</c:v>
                </c:pt>
                <c:pt idx="730">
                  <c:v>85299</c:v>
                </c:pt>
                <c:pt idx="731">
                  <c:v>94564</c:v>
                </c:pt>
                <c:pt idx="732">
                  <c:v>101702</c:v>
                </c:pt>
                <c:pt idx="733">
                  <c:v>94098</c:v>
                </c:pt>
                <c:pt idx="734">
                  <c:v>80994</c:v>
                </c:pt>
                <c:pt idx="735">
                  <c:v>82188</c:v>
                </c:pt>
                <c:pt idx="736">
                  <c:v>82034</c:v>
                </c:pt>
                <c:pt idx="737">
                  <c:v>94426</c:v>
                </c:pt>
                <c:pt idx="738">
                  <c:v>89051</c:v>
                </c:pt>
                <c:pt idx="739">
                  <c:v>97111</c:v>
                </c:pt>
                <c:pt idx="740">
                  <c:v>103778</c:v>
                </c:pt>
                <c:pt idx="741">
                  <c:v>105341</c:v>
                </c:pt>
                <c:pt idx="742">
                  <c:v>104715</c:v>
                </c:pt>
                <c:pt idx="743">
                  <c:v>89063</c:v>
                </c:pt>
                <c:pt idx="744">
                  <c:v>97719</c:v>
                </c:pt>
                <c:pt idx="745">
                  <c:v>101253</c:v>
                </c:pt>
                <c:pt idx="746">
                  <c:v>112989</c:v>
                </c:pt>
                <c:pt idx="747">
                  <c:v>112917</c:v>
                </c:pt>
                <c:pt idx="748">
                  <c:v>93536</c:v>
                </c:pt>
                <c:pt idx="749">
                  <c:v>90699</c:v>
                </c:pt>
                <c:pt idx="750">
                  <c:v>107334</c:v>
                </c:pt>
                <c:pt idx="751">
                  <c:v>105930</c:v>
                </c:pt>
                <c:pt idx="752">
                  <c:v>110392</c:v>
                </c:pt>
                <c:pt idx="753">
                  <c:v>110396</c:v>
                </c:pt>
                <c:pt idx="754">
                  <c:v>112645</c:v>
                </c:pt>
                <c:pt idx="755">
                  <c:v>108081</c:v>
                </c:pt>
                <c:pt idx="756">
                  <c:v>99574</c:v>
                </c:pt>
                <c:pt idx="757">
                  <c:v>98686</c:v>
                </c:pt>
                <c:pt idx="758">
                  <c:v>93977</c:v>
                </c:pt>
                <c:pt idx="759">
                  <c:v>80840</c:v>
                </c:pt>
                <c:pt idx="760">
                  <c:v>77037</c:v>
                </c:pt>
                <c:pt idx="761">
                  <c:v>81165</c:v>
                </c:pt>
                <c:pt idx="762">
                  <c:v>89992</c:v>
                </c:pt>
                <c:pt idx="763">
                  <c:v>92587</c:v>
                </c:pt>
                <c:pt idx="764">
                  <c:v>87505</c:v>
                </c:pt>
                <c:pt idx="765">
                  <c:v>85850</c:v>
                </c:pt>
                <c:pt idx="766">
                  <c:v>83220</c:v>
                </c:pt>
                <c:pt idx="767">
                  <c:v>85327</c:v>
                </c:pt>
                <c:pt idx="768">
                  <c:v>86084</c:v>
                </c:pt>
                <c:pt idx="769">
                  <c:v>81320</c:v>
                </c:pt>
                <c:pt idx="770">
                  <c:v>67226</c:v>
                </c:pt>
                <c:pt idx="771">
                  <c:v>52152</c:v>
                </c:pt>
                <c:pt idx="772">
                  <c:v>48174</c:v>
                </c:pt>
                <c:pt idx="773">
                  <c:v>48174</c:v>
                </c:pt>
                <c:pt idx="774">
                  <c:v>48927</c:v>
                </c:pt>
                <c:pt idx="775">
                  <c:v>57147</c:v>
                </c:pt>
                <c:pt idx="776">
                  <c:v>61262</c:v>
                </c:pt>
                <c:pt idx="777">
                  <c:v>64687</c:v>
                </c:pt>
                <c:pt idx="778">
                  <c:v>63542</c:v>
                </c:pt>
                <c:pt idx="779">
                  <c:v>69095</c:v>
                </c:pt>
                <c:pt idx="780">
                  <c:v>66987</c:v>
                </c:pt>
                <c:pt idx="781">
                  <c:v>55306</c:v>
                </c:pt>
                <c:pt idx="782">
                  <c:v>53080</c:v>
                </c:pt>
                <c:pt idx="783">
                  <c:v>47094</c:v>
                </c:pt>
                <c:pt idx="784">
                  <c:v>38980</c:v>
                </c:pt>
                <c:pt idx="785">
                  <c:v>47490</c:v>
                </c:pt>
                <c:pt idx="786">
                  <c:v>75178</c:v>
                </c:pt>
                <c:pt idx="787">
                  <c:v>72984</c:v>
                </c:pt>
                <c:pt idx="788">
                  <c:v>82211</c:v>
                </c:pt>
                <c:pt idx="789">
                  <c:v>85631</c:v>
                </c:pt>
                <c:pt idx="790">
                  <c:v>88748</c:v>
                </c:pt>
                <c:pt idx="791">
                  <c:v>72605</c:v>
                </c:pt>
                <c:pt idx="792">
                  <c:v>76212</c:v>
                </c:pt>
                <c:pt idx="793">
                  <c:v>82354</c:v>
                </c:pt>
                <c:pt idx="794">
                  <c:v>64360</c:v>
                </c:pt>
                <c:pt idx="795">
                  <c:v>58828</c:v>
                </c:pt>
                <c:pt idx="796">
                  <c:v>44783</c:v>
                </c:pt>
                <c:pt idx="797">
                  <c:v>39078</c:v>
                </c:pt>
                <c:pt idx="798">
                  <c:v>45394</c:v>
                </c:pt>
                <c:pt idx="799">
                  <c:v>53188</c:v>
                </c:pt>
                <c:pt idx="800">
                  <c:v>55907</c:v>
                </c:pt>
                <c:pt idx="801">
                  <c:v>58208</c:v>
                </c:pt>
                <c:pt idx="802">
                  <c:v>68773</c:v>
                </c:pt>
                <c:pt idx="803">
                  <c:v>80476</c:v>
                </c:pt>
                <c:pt idx="804">
                  <c:v>72782</c:v>
                </c:pt>
                <c:pt idx="805">
                  <c:v>70381</c:v>
                </c:pt>
                <c:pt idx="806">
                  <c:v>79200</c:v>
                </c:pt>
                <c:pt idx="807">
                  <c:v>81431</c:v>
                </c:pt>
                <c:pt idx="808">
                  <c:v>85669</c:v>
                </c:pt>
                <c:pt idx="809">
                  <c:v>89171</c:v>
                </c:pt>
                <c:pt idx="810">
                  <c:v>84078</c:v>
                </c:pt>
                <c:pt idx="811">
                  <c:v>78601</c:v>
                </c:pt>
                <c:pt idx="812">
                  <c:v>76750</c:v>
                </c:pt>
                <c:pt idx="813">
                  <c:v>84063</c:v>
                </c:pt>
                <c:pt idx="814">
                  <c:v>96088</c:v>
                </c:pt>
                <c:pt idx="815">
                  <c:v>97683</c:v>
                </c:pt>
                <c:pt idx="816">
                  <c:v>85643</c:v>
                </c:pt>
                <c:pt idx="817">
                  <c:v>88376</c:v>
                </c:pt>
                <c:pt idx="818">
                  <c:v>86237</c:v>
                </c:pt>
                <c:pt idx="819">
                  <c:v>68994</c:v>
                </c:pt>
                <c:pt idx="820">
                  <c:v>64461</c:v>
                </c:pt>
                <c:pt idx="821">
                  <c:v>68823</c:v>
                </c:pt>
                <c:pt idx="822">
                  <c:v>62996</c:v>
                </c:pt>
                <c:pt idx="823">
                  <c:v>50886</c:v>
                </c:pt>
                <c:pt idx="824">
                  <c:v>33605</c:v>
                </c:pt>
                <c:pt idx="825">
                  <c:v>24929</c:v>
                </c:pt>
                <c:pt idx="826">
                  <c:v>18877</c:v>
                </c:pt>
                <c:pt idx="827">
                  <c:v>17844</c:v>
                </c:pt>
                <c:pt idx="828">
                  <c:v>14908</c:v>
                </c:pt>
                <c:pt idx="829">
                  <c:v>22141</c:v>
                </c:pt>
                <c:pt idx="830">
                  <c:v>22210</c:v>
                </c:pt>
                <c:pt idx="831">
                  <c:v>33235</c:v>
                </c:pt>
                <c:pt idx="832">
                  <c:v>42208</c:v>
                </c:pt>
                <c:pt idx="833">
                  <c:v>49186</c:v>
                </c:pt>
                <c:pt idx="834">
                  <c:v>43982</c:v>
                </c:pt>
                <c:pt idx="835">
                  <c:v>55270</c:v>
                </c:pt>
                <c:pt idx="836">
                  <c:v>58310</c:v>
                </c:pt>
                <c:pt idx="837">
                  <c:v>58417</c:v>
                </c:pt>
                <c:pt idx="838">
                  <c:v>62754</c:v>
                </c:pt>
                <c:pt idx="839">
                  <c:v>60984</c:v>
                </c:pt>
                <c:pt idx="840">
                  <c:v>74974</c:v>
                </c:pt>
                <c:pt idx="841">
                  <c:v>95161</c:v>
                </c:pt>
                <c:pt idx="842">
                  <c:v>100118</c:v>
                </c:pt>
                <c:pt idx="843">
                  <c:v>105210</c:v>
                </c:pt>
                <c:pt idx="844">
                  <c:v>110371</c:v>
                </c:pt>
                <c:pt idx="845">
                  <c:v>100274</c:v>
                </c:pt>
                <c:pt idx="846">
                  <c:v>105503</c:v>
                </c:pt>
                <c:pt idx="847">
                  <c:v>62584</c:v>
                </c:pt>
                <c:pt idx="848">
                  <c:v>53349</c:v>
                </c:pt>
                <c:pt idx="849">
                  <c:v>58130</c:v>
                </c:pt>
                <c:pt idx="850">
                  <c:v>65587</c:v>
                </c:pt>
                <c:pt idx="851">
                  <c:v>63762</c:v>
                </c:pt>
                <c:pt idx="852">
                  <c:v>54614</c:v>
                </c:pt>
                <c:pt idx="853">
                  <c:v>54008</c:v>
                </c:pt>
                <c:pt idx="854">
                  <c:v>35961</c:v>
                </c:pt>
                <c:pt idx="855">
                  <c:v>31224</c:v>
                </c:pt>
                <c:pt idx="856">
                  <c:v>22495</c:v>
                </c:pt>
                <c:pt idx="857">
                  <c:v>22323</c:v>
                </c:pt>
                <c:pt idx="858">
                  <c:v>34301</c:v>
                </c:pt>
                <c:pt idx="859">
                  <c:v>28093</c:v>
                </c:pt>
                <c:pt idx="860">
                  <c:v>20526</c:v>
                </c:pt>
                <c:pt idx="861">
                  <c:v>-1189</c:v>
                </c:pt>
                <c:pt idx="862">
                  <c:v>-5718</c:v>
                </c:pt>
                <c:pt idx="863">
                  <c:v>-12459</c:v>
                </c:pt>
                <c:pt idx="864">
                  <c:v>-10585</c:v>
                </c:pt>
                <c:pt idx="865">
                  <c:v>-12566</c:v>
                </c:pt>
                <c:pt idx="866">
                  <c:v>-15743</c:v>
                </c:pt>
                <c:pt idx="867">
                  <c:v>-19555</c:v>
                </c:pt>
                <c:pt idx="868">
                  <c:v>-23734</c:v>
                </c:pt>
                <c:pt idx="869">
                  <c:v>-13484</c:v>
                </c:pt>
                <c:pt idx="870">
                  <c:v>-36381</c:v>
                </c:pt>
                <c:pt idx="871">
                  <c:v>-36877</c:v>
                </c:pt>
                <c:pt idx="872">
                  <c:v>-37449</c:v>
                </c:pt>
                <c:pt idx="873">
                  <c:v>-18306</c:v>
                </c:pt>
                <c:pt idx="874">
                  <c:v>8748</c:v>
                </c:pt>
                <c:pt idx="875">
                  <c:v>29817</c:v>
                </c:pt>
                <c:pt idx="876">
                  <c:v>38751</c:v>
                </c:pt>
                <c:pt idx="877">
                  <c:v>41919</c:v>
                </c:pt>
                <c:pt idx="878">
                  <c:v>49572</c:v>
                </c:pt>
                <c:pt idx="879">
                  <c:v>44914</c:v>
                </c:pt>
                <c:pt idx="880">
                  <c:v>54190</c:v>
                </c:pt>
                <c:pt idx="881">
                  <c:v>49477</c:v>
                </c:pt>
                <c:pt idx="882">
                  <c:v>46523</c:v>
                </c:pt>
                <c:pt idx="883">
                  <c:v>46668</c:v>
                </c:pt>
                <c:pt idx="884">
                  <c:v>55077</c:v>
                </c:pt>
                <c:pt idx="885">
                  <c:v>58317</c:v>
                </c:pt>
                <c:pt idx="886">
                  <c:v>55159</c:v>
                </c:pt>
                <c:pt idx="887">
                  <c:v>40865</c:v>
                </c:pt>
                <c:pt idx="888">
                  <c:v>47064</c:v>
                </c:pt>
                <c:pt idx="889">
                  <c:v>35050</c:v>
                </c:pt>
                <c:pt idx="890">
                  <c:v>41384</c:v>
                </c:pt>
                <c:pt idx="891">
                  <c:v>25967</c:v>
                </c:pt>
                <c:pt idx="892">
                  <c:v>20729</c:v>
                </c:pt>
                <c:pt idx="893">
                  <c:v>11523</c:v>
                </c:pt>
                <c:pt idx="894">
                  <c:v>4495</c:v>
                </c:pt>
                <c:pt idx="895">
                  <c:v>-10352</c:v>
                </c:pt>
                <c:pt idx="896">
                  <c:v>-6597</c:v>
                </c:pt>
                <c:pt idx="897">
                  <c:v>-2831</c:v>
                </c:pt>
                <c:pt idx="898">
                  <c:v>-4720</c:v>
                </c:pt>
                <c:pt idx="899">
                  <c:v>-17902</c:v>
                </c:pt>
                <c:pt idx="900">
                  <c:v>-22584</c:v>
                </c:pt>
                <c:pt idx="901">
                  <c:v>-31935</c:v>
                </c:pt>
                <c:pt idx="902">
                  <c:v>-49653</c:v>
                </c:pt>
                <c:pt idx="903">
                  <c:v>-50554</c:v>
                </c:pt>
                <c:pt idx="904">
                  <c:v>-46608</c:v>
                </c:pt>
                <c:pt idx="905">
                  <c:v>-47011</c:v>
                </c:pt>
                <c:pt idx="906">
                  <c:v>-44705</c:v>
                </c:pt>
                <c:pt idx="907">
                  <c:v>-54418</c:v>
                </c:pt>
                <c:pt idx="908">
                  <c:v>-44225</c:v>
                </c:pt>
                <c:pt idx="909">
                  <c:v>-35440</c:v>
                </c:pt>
                <c:pt idx="910">
                  <c:v>-52841</c:v>
                </c:pt>
                <c:pt idx="911">
                  <c:v>-52329</c:v>
                </c:pt>
                <c:pt idx="912">
                  <c:v>-62473</c:v>
                </c:pt>
                <c:pt idx="913">
                  <c:v>-33410</c:v>
                </c:pt>
                <c:pt idx="914">
                  <c:v>-14748</c:v>
                </c:pt>
                <c:pt idx="915">
                  <c:v>951</c:v>
                </c:pt>
                <c:pt idx="916">
                  <c:v>8383</c:v>
                </c:pt>
                <c:pt idx="917">
                  <c:v>-4128</c:v>
                </c:pt>
                <c:pt idx="918">
                  <c:v>-53295</c:v>
                </c:pt>
                <c:pt idx="919">
                  <c:v>-49528</c:v>
                </c:pt>
                <c:pt idx="920">
                  <c:v>-66882</c:v>
                </c:pt>
                <c:pt idx="921">
                  <c:v>-65706</c:v>
                </c:pt>
                <c:pt idx="922">
                  <c:v>-61812</c:v>
                </c:pt>
                <c:pt idx="923">
                  <c:v>-46521</c:v>
                </c:pt>
                <c:pt idx="924">
                  <c:v>-41844</c:v>
                </c:pt>
                <c:pt idx="925">
                  <c:v>-57690</c:v>
                </c:pt>
                <c:pt idx="926">
                  <c:v>-75844</c:v>
                </c:pt>
                <c:pt idx="927">
                  <c:v>-84973</c:v>
                </c:pt>
                <c:pt idx="928">
                  <c:v>-108483</c:v>
                </c:pt>
                <c:pt idx="929">
                  <c:v>-61854</c:v>
                </c:pt>
                <c:pt idx="930">
                  <c:v>-17018</c:v>
                </c:pt>
                <c:pt idx="931">
                  <c:v>-16638</c:v>
                </c:pt>
                <c:pt idx="932">
                  <c:v>-29620</c:v>
                </c:pt>
                <c:pt idx="933">
                  <c:v>-59587</c:v>
                </c:pt>
                <c:pt idx="934">
                  <c:v>-79269</c:v>
                </c:pt>
                <c:pt idx="935">
                  <c:v>-80273</c:v>
                </c:pt>
                <c:pt idx="936">
                  <c:v>-84388</c:v>
                </c:pt>
                <c:pt idx="937">
                  <c:v>-68279</c:v>
                </c:pt>
                <c:pt idx="938">
                  <c:v>-47527</c:v>
                </c:pt>
                <c:pt idx="939">
                  <c:v>-47617</c:v>
                </c:pt>
                <c:pt idx="940">
                  <c:v>-50588</c:v>
                </c:pt>
                <c:pt idx="941">
                  <c:v>-18856</c:v>
                </c:pt>
                <c:pt idx="942">
                  <c:v>15803</c:v>
                </c:pt>
                <c:pt idx="943">
                  <c:v>32503</c:v>
                </c:pt>
                <c:pt idx="944">
                  <c:v>26938</c:v>
                </c:pt>
                <c:pt idx="945">
                  <c:v>40649</c:v>
                </c:pt>
                <c:pt idx="946">
                  <c:v>37527</c:v>
                </c:pt>
                <c:pt idx="947">
                  <c:v>63706</c:v>
                </c:pt>
                <c:pt idx="948">
                  <c:v>75144</c:v>
                </c:pt>
                <c:pt idx="949">
                  <c:v>56060</c:v>
                </c:pt>
                <c:pt idx="950">
                  <c:v>23193</c:v>
                </c:pt>
                <c:pt idx="951">
                  <c:v>9427</c:v>
                </c:pt>
                <c:pt idx="952">
                  <c:v>17519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C9-4641-943A-98884549B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598664"/>
        <c:axId val="815598992"/>
      </c:lineChart>
      <c:catAx>
        <c:axId val="81559866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815598992"/>
        <c:crosses val="autoZero"/>
        <c:auto val="1"/>
        <c:lblAlgn val="ctr"/>
        <c:lblOffset val="100"/>
        <c:noMultiLvlLbl val="1"/>
      </c:catAx>
      <c:valAx>
        <c:axId val="815598992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Helvetica" panose="020B060402020203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Helvetica" panose="020B0604020202030204" pitchFamily="34" charset="0"/>
                  </a:rPr>
                  <a:t>contracts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Helvetica" panose="020B0604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5598664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  <a:latin typeface="Helvetica" panose="020B0604020202030204" pitchFamily="34" charset="0"/>
              </a:rPr>
              <a:t>Soybean Oil Commercial Net Futures and Options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Helvetica" panose="020B0604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07618656494417"/>
          <c:y val="8.519155459549857E-2"/>
          <c:w val="0.87930405389396538"/>
          <c:h val="0.80725301372726643"/>
        </c:manualLayout>
      </c:layout>
      <c:lineChart>
        <c:grouping val="standard"/>
        <c:varyColors val="0"/>
        <c:ser>
          <c:idx val="0"/>
          <c:order val="0"/>
          <c:tx>
            <c:strRef>
              <c:f>Data!$N$3:$N$695</c:f>
              <c:strCache>
                <c:ptCount val="693"/>
                <c:pt idx="0">
                  <c:v>(58,466)</c:v>
                </c:pt>
                <c:pt idx="1">
                  <c:v>(28,592)</c:v>
                </c:pt>
                <c:pt idx="2">
                  <c:v>(36,618)</c:v>
                </c:pt>
                <c:pt idx="3">
                  <c:v>(59,388)</c:v>
                </c:pt>
                <c:pt idx="4">
                  <c:v>(85,063)</c:v>
                </c:pt>
                <c:pt idx="5">
                  <c:v>(85,322)</c:v>
                </c:pt>
                <c:pt idx="6">
                  <c:v>(80,517)</c:v>
                </c:pt>
                <c:pt idx="7">
                  <c:v>(81,160)</c:v>
                </c:pt>
                <c:pt idx="8">
                  <c:v>(78,552)</c:v>
                </c:pt>
                <c:pt idx="9">
                  <c:v>(49,720)</c:v>
                </c:pt>
                <c:pt idx="10">
                  <c:v>(39,520)</c:v>
                </c:pt>
                <c:pt idx="11">
                  <c:v>(25,814)</c:v>
                </c:pt>
                <c:pt idx="12">
                  <c:v>(22,488)</c:v>
                </c:pt>
                <c:pt idx="13">
                  <c:v>(8,730)</c:v>
                </c:pt>
                <c:pt idx="14">
                  <c:v>(4,955)</c:v>
                </c:pt>
                <c:pt idx="15">
                  <c:v>8,923 </c:v>
                </c:pt>
                <c:pt idx="16">
                  <c:v>13,948 </c:v>
                </c:pt>
                <c:pt idx="17">
                  <c:v>6,902 </c:v>
                </c:pt>
                <c:pt idx="18">
                  <c:v>(12,345)</c:v>
                </c:pt>
                <c:pt idx="19">
                  <c:v>(46,067)</c:v>
                </c:pt>
                <c:pt idx="20">
                  <c:v>(49,774)</c:v>
                </c:pt>
                <c:pt idx="21">
                  <c:v>(63,777)</c:v>
                </c:pt>
                <c:pt idx="22">
                  <c:v>(81,230)</c:v>
                </c:pt>
                <c:pt idx="23">
                  <c:v>(84,263)</c:v>
                </c:pt>
                <c:pt idx="24">
                  <c:v>(81,710)</c:v>
                </c:pt>
                <c:pt idx="25">
                  <c:v>(77,864)</c:v>
                </c:pt>
                <c:pt idx="26">
                  <c:v>(75,437)</c:v>
                </c:pt>
                <c:pt idx="27">
                  <c:v>(61,303)</c:v>
                </c:pt>
                <c:pt idx="28">
                  <c:v>(58,623)</c:v>
                </c:pt>
                <c:pt idx="29">
                  <c:v>(50,367)</c:v>
                </c:pt>
                <c:pt idx="30">
                  <c:v>(50,617)</c:v>
                </c:pt>
                <c:pt idx="31">
                  <c:v>(69,390)</c:v>
                </c:pt>
                <c:pt idx="32">
                  <c:v>(73,391)</c:v>
                </c:pt>
                <c:pt idx="33">
                  <c:v>(85,232)</c:v>
                </c:pt>
                <c:pt idx="34">
                  <c:v>(85,058)</c:v>
                </c:pt>
                <c:pt idx="35">
                  <c:v>(87,125)</c:v>
                </c:pt>
                <c:pt idx="36">
                  <c:v>(84,869)</c:v>
                </c:pt>
                <c:pt idx="37">
                  <c:v>(63,808)</c:v>
                </c:pt>
                <c:pt idx="38">
                  <c:v>(76,460)</c:v>
                </c:pt>
                <c:pt idx="39">
                  <c:v>(79,705)</c:v>
                </c:pt>
                <c:pt idx="40">
                  <c:v>(93,590)</c:v>
                </c:pt>
                <c:pt idx="41">
                  <c:v>(96,102)</c:v>
                </c:pt>
                <c:pt idx="42">
                  <c:v>(99,810)</c:v>
                </c:pt>
                <c:pt idx="43">
                  <c:v>(89,939)</c:v>
                </c:pt>
                <c:pt idx="44">
                  <c:v>(77,632)</c:v>
                </c:pt>
                <c:pt idx="45">
                  <c:v>(89,510)</c:v>
                </c:pt>
                <c:pt idx="46">
                  <c:v>(85,421)</c:v>
                </c:pt>
                <c:pt idx="47">
                  <c:v>(93,333)</c:v>
                </c:pt>
                <c:pt idx="48">
                  <c:v>(88,397)</c:v>
                </c:pt>
                <c:pt idx="49">
                  <c:v>(89,102)</c:v>
                </c:pt>
                <c:pt idx="50">
                  <c:v>(96,581)</c:v>
                </c:pt>
                <c:pt idx="51">
                  <c:v>(90,735)</c:v>
                </c:pt>
                <c:pt idx="52">
                  <c:v>(88,528)</c:v>
                </c:pt>
                <c:pt idx="53">
                  <c:v>(69,424)</c:v>
                </c:pt>
                <c:pt idx="54">
                  <c:v>(77,622)</c:v>
                </c:pt>
                <c:pt idx="55">
                  <c:v>(81,444)</c:v>
                </c:pt>
                <c:pt idx="56">
                  <c:v>(77,239)</c:v>
                </c:pt>
                <c:pt idx="57">
                  <c:v>(72,562)</c:v>
                </c:pt>
                <c:pt idx="58">
                  <c:v>(72,387)</c:v>
                </c:pt>
                <c:pt idx="59">
                  <c:v>(64,683)</c:v>
                </c:pt>
                <c:pt idx="60">
                  <c:v>(55,024)</c:v>
                </c:pt>
                <c:pt idx="61">
                  <c:v>(30,973)</c:v>
                </c:pt>
                <c:pt idx="62">
                  <c:v>(31,596)</c:v>
                </c:pt>
                <c:pt idx="63">
                  <c:v>(46,908)</c:v>
                </c:pt>
                <c:pt idx="64">
                  <c:v>(61,628)</c:v>
                </c:pt>
                <c:pt idx="65">
                  <c:v>(70,465)</c:v>
                </c:pt>
                <c:pt idx="66">
                  <c:v>(70,951)</c:v>
                </c:pt>
                <c:pt idx="67">
                  <c:v>(60,550)</c:v>
                </c:pt>
                <c:pt idx="68">
                  <c:v>(64,031)</c:v>
                </c:pt>
                <c:pt idx="69">
                  <c:v>(68,743)</c:v>
                </c:pt>
                <c:pt idx="70">
                  <c:v>(68,088)</c:v>
                </c:pt>
                <c:pt idx="71">
                  <c:v>(72,810)</c:v>
                </c:pt>
                <c:pt idx="72">
                  <c:v>(76,561)</c:v>
                </c:pt>
                <c:pt idx="73">
                  <c:v>(71,797)</c:v>
                </c:pt>
                <c:pt idx="74">
                  <c:v>(68,976)</c:v>
                </c:pt>
                <c:pt idx="75">
                  <c:v>(70,161)</c:v>
                </c:pt>
                <c:pt idx="76">
                  <c:v>(68,568)</c:v>
                </c:pt>
                <c:pt idx="77">
                  <c:v>(62,620)</c:v>
                </c:pt>
                <c:pt idx="78">
                  <c:v>(61,873)</c:v>
                </c:pt>
                <c:pt idx="79">
                  <c:v>(71,818)</c:v>
                </c:pt>
                <c:pt idx="80">
                  <c:v>(64,474)</c:v>
                </c:pt>
                <c:pt idx="81">
                  <c:v>(70,182)</c:v>
                </c:pt>
                <c:pt idx="82">
                  <c:v>(65,236)</c:v>
                </c:pt>
                <c:pt idx="83">
                  <c:v>(57,969)</c:v>
                </c:pt>
                <c:pt idx="84">
                  <c:v>(48,467)</c:v>
                </c:pt>
                <c:pt idx="85">
                  <c:v>(50,672)</c:v>
                </c:pt>
                <c:pt idx="86">
                  <c:v>(49,717)</c:v>
                </c:pt>
                <c:pt idx="87">
                  <c:v>(52,268)</c:v>
                </c:pt>
                <c:pt idx="88">
                  <c:v>(58,035)</c:v>
                </c:pt>
                <c:pt idx="89">
                  <c:v>(54,240)</c:v>
                </c:pt>
                <c:pt idx="90">
                  <c:v>(42,718)</c:v>
                </c:pt>
                <c:pt idx="91">
                  <c:v>(28,782)</c:v>
                </c:pt>
                <c:pt idx="92">
                  <c:v>(20,733)</c:v>
                </c:pt>
                <c:pt idx="93">
                  <c:v>(22,441)</c:v>
                </c:pt>
                <c:pt idx="94">
                  <c:v>(16,793)</c:v>
                </c:pt>
                <c:pt idx="95">
                  <c:v>(31,107)</c:v>
                </c:pt>
                <c:pt idx="96">
                  <c:v>(35,616)</c:v>
                </c:pt>
                <c:pt idx="97">
                  <c:v>(26,886)</c:v>
                </c:pt>
                <c:pt idx="98">
                  <c:v>(27,522)</c:v>
                </c:pt>
                <c:pt idx="99">
                  <c:v>(40,340)</c:v>
                </c:pt>
                <c:pt idx="100">
                  <c:v>(34,396)</c:v>
                </c:pt>
                <c:pt idx="101">
                  <c:v>(34,995)</c:v>
                </c:pt>
                <c:pt idx="102">
                  <c:v>(33,319)</c:v>
                </c:pt>
                <c:pt idx="103">
                  <c:v>(35,021)</c:v>
                </c:pt>
                <c:pt idx="104">
                  <c:v>(42,831)</c:v>
                </c:pt>
                <c:pt idx="105">
                  <c:v>(43,300)</c:v>
                </c:pt>
                <c:pt idx="106">
                  <c:v>(46,339)</c:v>
                </c:pt>
                <c:pt idx="107">
                  <c:v>(37,266)</c:v>
                </c:pt>
                <c:pt idx="108">
                  <c:v>(35,286)</c:v>
                </c:pt>
                <c:pt idx="109">
                  <c:v>(21,791)</c:v>
                </c:pt>
                <c:pt idx="110">
                  <c:v>(19,554)</c:v>
                </c:pt>
                <c:pt idx="111">
                  <c:v>(4,499)</c:v>
                </c:pt>
                <c:pt idx="112">
                  <c:v>3,665 </c:v>
                </c:pt>
                <c:pt idx="113">
                  <c:v>2,409 </c:v>
                </c:pt>
                <c:pt idx="114">
                  <c:v>2,035 </c:v>
                </c:pt>
                <c:pt idx="115">
                  <c:v>5,715 </c:v>
                </c:pt>
                <c:pt idx="116">
                  <c:v>18,493 </c:v>
                </c:pt>
                <c:pt idx="117">
                  <c:v>22,237 </c:v>
                </c:pt>
                <c:pt idx="118">
                  <c:v>11,092 </c:v>
                </c:pt>
                <c:pt idx="119">
                  <c:v>9,908 </c:v>
                </c:pt>
                <c:pt idx="120">
                  <c:v>9,597 </c:v>
                </c:pt>
                <c:pt idx="121">
                  <c:v>12,963 </c:v>
                </c:pt>
                <c:pt idx="122">
                  <c:v>23,461 </c:v>
                </c:pt>
                <c:pt idx="123">
                  <c:v>25,714 </c:v>
                </c:pt>
                <c:pt idx="124">
                  <c:v>13,301 </c:v>
                </c:pt>
                <c:pt idx="125">
                  <c:v>16,033 </c:v>
                </c:pt>
                <c:pt idx="126">
                  <c:v>18,419 </c:v>
                </c:pt>
                <c:pt idx="127">
                  <c:v>18,071 </c:v>
                </c:pt>
                <c:pt idx="128">
                  <c:v>23,940 </c:v>
                </c:pt>
                <c:pt idx="129">
                  <c:v>26,777 </c:v>
                </c:pt>
                <c:pt idx="130">
                  <c:v>20,447 </c:v>
                </c:pt>
                <c:pt idx="131">
                  <c:v>18,056 </c:v>
                </c:pt>
                <c:pt idx="132">
                  <c:v>13,717 </c:v>
                </c:pt>
                <c:pt idx="133">
                  <c:v>5,902 </c:v>
                </c:pt>
                <c:pt idx="134">
                  <c:v>3,910 </c:v>
                </c:pt>
                <c:pt idx="135">
                  <c:v>6,606 </c:v>
                </c:pt>
                <c:pt idx="136">
                  <c:v>8,351 </c:v>
                </c:pt>
                <c:pt idx="137">
                  <c:v>14,987 </c:v>
                </c:pt>
                <c:pt idx="138">
                  <c:v>2,825 </c:v>
                </c:pt>
                <c:pt idx="139">
                  <c:v>13,375 </c:v>
                </c:pt>
                <c:pt idx="140">
                  <c:v>18,133 </c:v>
                </c:pt>
                <c:pt idx="141">
                  <c:v>20,891 </c:v>
                </c:pt>
                <c:pt idx="142">
                  <c:v>19,507 </c:v>
                </c:pt>
                <c:pt idx="143">
                  <c:v>24,393 </c:v>
                </c:pt>
                <c:pt idx="144">
                  <c:v>15,857 </c:v>
                </c:pt>
                <c:pt idx="145">
                  <c:v>7,385 </c:v>
                </c:pt>
                <c:pt idx="146">
                  <c:v>(5,264)</c:v>
                </c:pt>
                <c:pt idx="147">
                  <c:v>(14,860)</c:v>
                </c:pt>
                <c:pt idx="148">
                  <c:v>(14,542)</c:v>
                </c:pt>
                <c:pt idx="149">
                  <c:v>(12,214)</c:v>
                </c:pt>
                <c:pt idx="150">
                  <c:v>(26,018)</c:v>
                </c:pt>
                <c:pt idx="151">
                  <c:v>(36,661)</c:v>
                </c:pt>
                <c:pt idx="152">
                  <c:v>(27,556)</c:v>
                </c:pt>
                <c:pt idx="153">
                  <c:v>(21,803)</c:v>
                </c:pt>
                <c:pt idx="154">
                  <c:v>(33,801)</c:v>
                </c:pt>
                <c:pt idx="155">
                  <c:v>(28,167)</c:v>
                </c:pt>
                <c:pt idx="156">
                  <c:v>(2,209)</c:v>
                </c:pt>
                <c:pt idx="157">
                  <c:v>4,209 </c:v>
                </c:pt>
                <c:pt idx="158">
                  <c:v>17,615 </c:v>
                </c:pt>
                <c:pt idx="159">
                  <c:v>34,533 </c:v>
                </c:pt>
                <c:pt idx="160">
                  <c:v>36,515 </c:v>
                </c:pt>
                <c:pt idx="161">
                  <c:v>34,619 </c:v>
                </c:pt>
                <c:pt idx="162">
                  <c:v>28,980 </c:v>
                </c:pt>
                <c:pt idx="163">
                  <c:v>1,009 </c:v>
                </c:pt>
                <c:pt idx="164">
                  <c:v>(7,073)</c:v>
                </c:pt>
                <c:pt idx="165">
                  <c:v>(6,927)</c:v>
                </c:pt>
                <c:pt idx="166">
                  <c:v>(12,645)</c:v>
                </c:pt>
                <c:pt idx="167">
                  <c:v>14,349 </c:v>
                </c:pt>
                <c:pt idx="168">
                  <c:v>21,935 </c:v>
                </c:pt>
                <c:pt idx="169">
                  <c:v>19,070 </c:v>
                </c:pt>
                <c:pt idx="170">
                  <c:v>20,452 </c:v>
                </c:pt>
                <c:pt idx="171">
                  <c:v>28,894 </c:v>
                </c:pt>
                <c:pt idx="172">
                  <c:v>23,590 </c:v>
                </c:pt>
                <c:pt idx="173">
                  <c:v>(517)</c:v>
                </c:pt>
                <c:pt idx="174">
                  <c:v>(17,984)</c:v>
                </c:pt>
                <c:pt idx="175">
                  <c:v>(31,876)</c:v>
                </c:pt>
                <c:pt idx="176">
                  <c:v>(25,796)</c:v>
                </c:pt>
                <c:pt idx="177">
                  <c:v>(25,486)</c:v>
                </c:pt>
                <c:pt idx="178">
                  <c:v>(50,007)</c:v>
                </c:pt>
                <c:pt idx="179">
                  <c:v>(54,007)</c:v>
                </c:pt>
                <c:pt idx="180">
                  <c:v>(56,529)</c:v>
                </c:pt>
                <c:pt idx="181">
                  <c:v>(56,431)</c:v>
                </c:pt>
                <c:pt idx="182">
                  <c:v>(50,374)</c:v>
                </c:pt>
                <c:pt idx="183">
                  <c:v>(27,718)</c:v>
                </c:pt>
                <c:pt idx="184">
                  <c:v>(33,333)</c:v>
                </c:pt>
                <c:pt idx="185">
                  <c:v>(46,897)</c:v>
                </c:pt>
                <c:pt idx="186">
                  <c:v>(34,829)</c:v>
                </c:pt>
                <c:pt idx="187">
                  <c:v>(13,318)</c:v>
                </c:pt>
                <c:pt idx="188">
                  <c:v>(1,198)</c:v>
                </c:pt>
                <c:pt idx="189">
                  <c:v>(1,275)</c:v>
                </c:pt>
                <c:pt idx="190">
                  <c:v>(12,692)</c:v>
                </c:pt>
                <c:pt idx="191">
                  <c:v>(23,476)</c:v>
                </c:pt>
                <c:pt idx="192">
                  <c:v>(25,888)</c:v>
                </c:pt>
                <c:pt idx="193">
                  <c:v>(36,026)</c:v>
                </c:pt>
                <c:pt idx="194">
                  <c:v>(36,726)</c:v>
                </c:pt>
                <c:pt idx="195">
                  <c:v>(32,827)</c:v>
                </c:pt>
                <c:pt idx="196">
                  <c:v>(34,737)</c:v>
                </c:pt>
                <c:pt idx="197">
                  <c:v>(17,045)</c:v>
                </c:pt>
                <c:pt idx="198">
                  <c:v>(29,868)</c:v>
                </c:pt>
                <c:pt idx="199">
                  <c:v>(43,734)</c:v>
                </c:pt>
                <c:pt idx="200">
                  <c:v>(25,862)</c:v>
                </c:pt>
                <c:pt idx="201">
                  <c:v>(29,108)</c:v>
                </c:pt>
                <c:pt idx="202">
                  <c:v>(222)</c:v>
                </c:pt>
                <c:pt idx="203">
                  <c:v>3,727 </c:v>
                </c:pt>
                <c:pt idx="204">
                  <c:v>19,052 </c:v>
                </c:pt>
                <c:pt idx="205">
                  <c:v>26,673 </c:v>
                </c:pt>
                <c:pt idx="206">
                  <c:v>15,615 </c:v>
                </c:pt>
                <c:pt idx="207">
                  <c:v>30,051 </c:v>
                </c:pt>
                <c:pt idx="208">
                  <c:v>19,954 </c:v>
                </c:pt>
                <c:pt idx="209">
                  <c:v>13,645 </c:v>
                </c:pt>
                <c:pt idx="210">
                  <c:v>34,760 </c:v>
                </c:pt>
                <c:pt idx="211">
                  <c:v>43,387 </c:v>
                </c:pt>
                <c:pt idx="212">
                  <c:v>17,845 </c:v>
                </c:pt>
                <c:pt idx="213">
                  <c:v>6,633 </c:v>
                </c:pt>
                <c:pt idx="214">
                  <c:v>(7,514)</c:v>
                </c:pt>
                <c:pt idx="215">
                  <c:v>(34,194)</c:v>
                </c:pt>
                <c:pt idx="216">
                  <c:v>(49,370)</c:v>
                </c:pt>
                <c:pt idx="217">
                  <c:v>(63,493)</c:v>
                </c:pt>
                <c:pt idx="218">
                  <c:v>(43,835)</c:v>
                </c:pt>
                <c:pt idx="219">
                  <c:v>(31,375)</c:v>
                </c:pt>
                <c:pt idx="220">
                  <c:v>(38,328)</c:v>
                </c:pt>
                <c:pt idx="221">
                  <c:v>(53,965)</c:v>
                </c:pt>
                <c:pt idx="222">
                  <c:v>(53,965)</c:v>
                </c:pt>
                <c:pt idx="223">
                  <c:v>(94,099)</c:v>
                </c:pt>
                <c:pt idx="224">
                  <c:v>(105,837)</c:v>
                </c:pt>
                <c:pt idx="225">
                  <c:v>(101,001)</c:v>
                </c:pt>
                <c:pt idx="226">
                  <c:v>(98,481)</c:v>
                </c:pt>
                <c:pt idx="227">
                  <c:v>(101,231)</c:v>
                </c:pt>
                <c:pt idx="228">
                  <c:v>(94,266)</c:v>
                </c:pt>
                <c:pt idx="229">
                  <c:v>(87,929)</c:v>
                </c:pt>
                <c:pt idx="230">
                  <c:v>(66,449)</c:v>
                </c:pt>
                <c:pt idx="231">
                  <c:v>(55,153)</c:v>
                </c:pt>
                <c:pt idx="232">
                  <c:v>(56,635)</c:v>
                </c:pt>
                <c:pt idx="233">
                  <c:v>(68,124)</c:v>
                </c:pt>
                <c:pt idx="234">
                  <c:v>(73,603)</c:v>
                </c:pt>
                <c:pt idx="235">
                  <c:v>(79,303)</c:v>
                </c:pt>
                <c:pt idx="236">
                  <c:v>(79,718)</c:v>
                </c:pt>
                <c:pt idx="237">
                  <c:v>(81,214)</c:v>
                </c:pt>
                <c:pt idx="238">
                  <c:v>(79,073)</c:v>
                </c:pt>
                <c:pt idx="239">
                  <c:v>(80,049)</c:v>
                </c:pt>
                <c:pt idx="240">
                  <c:v>(65,250)</c:v>
                </c:pt>
                <c:pt idx="241">
                  <c:v>(95,923)</c:v>
                </c:pt>
                <c:pt idx="242">
                  <c:v>(108,505)</c:v>
                </c:pt>
                <c:pt idx="243">
                  <c:v>(77,331)</c:v>
                </c:pt>
                <c:pt idx="244">
                  <c:v>(59,347)</c:v>
                </c:pt>
                <c:pt idx="245">
                  <c:v>(75,494)</c:v>
                </c:pt>
                <c:pt idx="246">
                  <c:v>(84,733)</c:v>
                </c:pt>
                <c:pt idx="247">
                  <c:v>(51,781)</c:v>
                </c:pt>
                <c:pt idx="248">
                  <c:v>(57,380)</c:v>
                </c:pt>
                <c:pt idx="249">
                  <c:v>(65,374)</c:v>
                </c:pt>
                <c:pt idx="250">
                  <c:v>(79,454)</c:v>
                </c:pt>
                <c:pt idx="251">
                  <c:v>(73,430)</c:v>
                </c:pt>
                <c:pt idx="252">
                  <c:v>(80,065)</c:v>
                </c:pt>
                <c:pt idx="253">
                  <c:v>(74,838)</c:v>
                </c:pt>
                <c:pt idx="254">
                  <c:v>(64,803)</c:v>
                </c:pt>
                <c:pt idx="255">
                  <c:v>(41,619)</c:v>
                </c:pt>
                <c:pt idx="256">
                  <c:v>(32,866)</c:v>
                </c:pt>
                <c:pt idx="257">
                  <c:v>(55,227)</c:v>
                </c:pt>
                <c:pt idx="258">
                  <c:v>(71,891)</c:v>
                </c:pt>
                <c:pt idx="259">
                  <c:v>(84,550)</c:v>
                </c:pt>
                <c:pt idx="260">
                  <c:v>(61,369)</c:v>
                </c:pt>
                <c:pt idx="261">
                  <c:v>(45,995)</c:v>
                </c:pt>
                <c:pt idx="262">
                  <c:v>(20,848)</c:v>
                </c:pt>
                <c:pt idx="263">
                  <c:v>(12,807)</c:v>
                </c:pt>
                <c:pt idx="264">
                  <c:v>(31,119)</c:v>
                </c:pt>
                <c:pt idx="265">
                  <c:v>(44,705)</c:v>
                </c:pt>
                <c:pt idx="266">
                  <c:v>(31,352)</c:v>
                </c:pt>
                <c:pt idx="267">
                  <c:v>(34,854)</c:v>
                </c:pt>
                <c:pt idx="268">
                  <c:v>7,509 </c:v>
                </c:pt>
                <c:pt idx="269">
                  <c:v>3,461 </c:v>
                </c:pt>
                <c:pt idx="270">
                  <c:v>(9,548)</c:v>
                </c:pt>
                <c:pt idx="271">
                  <c:v>(52,323)</c:v>
                </c:pt>
                <c:pt idx="272">
                  <c:v>(54,139)</c:v>
                </c:pt>
                <c:pt idx="273">
                  <c:v>(52,841)</c:v>
                </c:pt>
                <c:pt idx="274">
                  <c:v>(34,017)</c:v>
                </c:pt>
                <c:pt idx="275">
                  <c:v>4,551 </c:v>
                </c:pt>
                <c:pt idx="276">
                  <c:v>13,875 </c:v>
                </c:pt>
                <c:pt idx="277">
                  <c:v>17,512 </c:v>
                </c:pt>
                <c:pt idx="278">
                  <c:v>14,319 </c:v>
                </c:pt>
                <c:pt idx="279">
                  <c:v>22,518 </c:v>
                </c:pt>
                <c:pt idx="280">
                  <c:v>20,615 </c:v>
                </c:pt>
                <c:pt idx="281">
                  <c:v>20,615 </c:v>
                </c:pt>
                <c:pt idx="282">
                  <c:v>9,088 </c:v>
                </c:pt>
                <c:pt idx="283">
                  <c:v>27,248 </c:v>
                </c:pt>
                <c:pt idx="284">
                  <c:v>26,513 </c:v>
                </c:pt>
                <c:pt idx="285">
                  <c:v>22,410 </c:v>
                </c:pt>
                <c:pt idx="286">
                  <c:v>19,908 </c:v>
                </c:pt>
                <c:pt idx="287">
                  <c:v>17,214 </c:v>
                </c:pt>
                <c:pt idx="288">
                  <c:v>5,995 </c:v>
                </c:pt>
                <c:pt idx="289">
                  <c:v>(6,478)</c:v>
                </c:pt>
                <c:pt idx="290">
                  <c:v>(12,590)</c:v>
                </c:pt>
                <c:pt idx="291">
                  <c:v>12,653 </c:v>
                </c:pt>
                <c:pt idx="292">
                  <c:v>10,096 </c:v>
                </c:pt>
                <c:pt idx="293">
                  <c:v>16,669 </c:v>
                </c:pt>
                <c:pt idx="294">
                  <c:v>(3,912)</c:v>
                </c:pt>
                <c:pt idx="295">
                  <c:v>(15,699)</c:v>
                </c:pt>
                <c:pt idx="296">
                  <c:v>(31,011)</c:v>
                </c:pt>
                <c:pt idx="297">
                  <c:v>(44,134)</c:v>
                </c:pt>
                <c:pt idx="298">
                  <c:v>(25,596)</c:v>
                </c:pt>
                <c:pt idx="299">
                  <c:v>(38,559)</c:v>
                </c:pt>
                <c:pt idx="300">
                  <c:v>(43,985)</c:v>
                </c:pt>
                <c:pt idx="301">
                  <c:v>(48,075)</c:v>
                </c:pt>
                <c:pt idx="302">
                  <c:v>(59,993)</c:v>
                </c:pt>
                <c:pt idx="303">
                  <c:v>(72,448)</c:v>
                </c:pt>
                <c:pt idx="304">
                  <c:v>(72,498)</c:v>
                </c:pt>
                <c:pt idx="305">
                  <c:v>(66,072)</c:v>
                </c:pt>
                <c:pt idx="306">
                  <c:v>(42,835)</c:v>
                </c:pt>
                <c:pt idx="307">
                  <c:v>(20,545)</c:v>
                </c:pt>
                <c:pt idx="308">
                  <c:v>7,835 </c:v>
                </c:pt>
                <c:pt idx="309">
                  <c:v>19,871 </c:v>
                </c:pt>
                <c:pt idx="310">
                  <c:v>32,511 </c:v>
                </c:pt>
                <c:pt idx="311">
                  <c:v>43,025 </c:v>
                </c:pt>
                <c:pt idx="312">
                  <c:v>44,393 </c:v>
                </c:pt>
                <c:pt idx="313">
                  <c:v>36,503 </c:v>
                </c:pt>
                <c:pt idx="314">
                  <c:v>40,584 </c:v>
                </c:pt>
                <c:pt idx="315">
                  <c:v>4,769 </c:v>
                </c:pt>
                <c:pt idx="316">
                  <c:v>8,656 </c:v>
                </c:pt>
                <c:pt idx="317">
                  <c:v>4,769 </c:v>
                </c:pt>
                <c:pt idx="318">
                  <c:v>8,782 </c:v>
                </c:pt>
                <c:pt idx="319">
                  <c:v>(10,401)</c:v>
                </c:pt>
                <c:pt idx="320">
                  <c:v>4,491 </c:v>
                </c:pt>
                <c:pt idx="321">
                  <c:v>(11,495)</c:v>
                </c:pt>
                <c:pt idx="322">
                  <c:v>(34,383)</c:v>
                </c:pt>
                <c:pt idx="323">
                  <c:v>(51,055)</c:v>
                </c:pt>
                <c:pt idx="324">
                  <c:v>(72,403)</c:v>
                </c:pt>
                <c:pt idx="325">
                  <c:v>(64,959)</c:v>
                </c:pt>
                <c:pt idx="326">
                  <c:v>(53,357)</c:v>
                </c:pt>
                <c:pt idx="327">
                  <c:v>(30,839)</c:v>
                </c:pt>
                <c:pt idx="328">
                  <c:v>(2,756)</c:v>
                </c:pt>
                <c:pt idx="329">
                  <c:v>6,189 </c:v>
                </c:pt>
                <c:pt idx="330">
                  <c:v>20,353 </c:v>
                </c:pt>
                <c:pt idx="331">
                  <c:v>22,972 </c:v>
                </c:pt>
                <c:pt idx="332">
                  <c:v>29,132 </c:v>
                </c:pt>
                <c:pt idx="333">
                  <c:v>47,114 </c:v>
                </c:pt>
                <c:pt idx="334">
                  <c:v>57,784 </c:v>
                </c:pt>
                <c:pt idx="335">
                  <c:v>60,190 </c:v>
                </c:pt>
                <c:pt idx="336">
                  <c:v>55,808 </c:v>
                </c:pt>
                <c:pt idx="337">
                  <c:v>50,300 </c:v>
                </c:pt>
                <c:pt idx="338">
                  <c:v>35,044 </c:v>
                </c:pt>
                <c:pt idx="339">
                  <c:v>35,966 </c:v>
                </c:pt>
                <c:pt idx="340">
                  <c:v>40,877 </c:v>
                </c:pt>
                <c:pt idx="341">
                  <c:v>37,486 </c:v>
                </c:pt>
                <c:pt idx="342">
                  <c:v>31,981 </c:v>
                </c:pt>
                <c:pt idx="343">
                  <c:v>24,413 </c:v>
                </c:pt>
                <c:pt idx="344">
                  <c:v>6,801 </c:v>
                </c:pt>
                <c:pt idx="345">
                  <c:v>1,010 </c:v>
                </c:pt>
                <c:pt idx="346">
                  <c:v>(10,176)</c:v>
                </c:pt>
                <c:pt idx="347">
                  <c:v>9,601 </c:v>
                </c:pt>
                <c:pt idx="348">
                  <c:v>1,809 </c:v>
                </c:pt>
                <c:pt idx="349">
                  <c:v>35,575 </c:v>
                </c:pt>
                <c:pt idx="350">
                  <c:v>52,211 </c:v>
                </c:pt>
                <c:pt idx="351">
                  <c:v>50,128 </c:v>
                </c:pt>
                <c:pt idx="352">
                  <c:v>53,881 </c:v>
                </c:pt>
                <c:pt idx="353">
                  <c:v>32,484 </c:v>
                </c:pt>
                <c:pt idx="354">
                  <c:v>43,800 </c:v>
                </c:pt>
                <c:pt idx="355">
                  <c:v>56,593 </c:v>
                </c:pt>
                <c:pt idx="356">
                  <c:v>62,772 </c:v>
                </c:pt>
                <c:pt idx="357">
                  <c:v>71,195 </c:v>
                </c:pt>
                <c:pt idx="358">
                  <c:v>55,900 </c:v>
                </c:pt>
                <c:pt idx="359">
                  <c:v>54,231 </c:v>
                </c:pt>
                <c:pt idx="360">
                  <c:v>40,044 </c:v>
                </c:pt>
                <c:pt idx="361">
                  <c:v>34,757 </c:v>
                </c:pt>
                <c:pt idx="362">
                  <c:v>27,056 </c:v>
                </c:pt>
                <c:pt idx="363">
                  <c:v>44,621 </c:v>
                </c:pt>
                <c:pt idx="364">
                  <c:v>46,402 </c:v>
                </c:pt>
                <c:pt idx="365">
                  <c:v>36,233 </c:v>
                </c:pt>
                <c:pt idx="366">
                  <c:v>39,359 </c:v>
                </c:pt>
                <c:pt idx="367">
                  <c:v>48,320 </c:v>
                </c:pt>
                <c:pt idx="368">
                  <c:v>48,697 </c:v>
                </c:pt>
                <c:pt idx="369">
                  <c:v>46,708 </c:v>
                </c:pt>
                <c:pt idx="370">
                  <c:v>56,957 </c:v>
                </c:pt>
                <c:pt idx="371">
                  <c:v>54,976 </c:v>
                </c:pt>
                <c:pt idx="372">
                  <c:v>65,230 </c:v>
                </c:pt>
                <c:pt idx="373">
                  <c:v>54,196 </c:v>
                </c:pt>
                <c:pt idx="374">
                  <c:v>41,678 </c:v>
                </c:pt>
                <c:pt idx="375">
                  <c:v>14,762 </c:v>
                </c:pt>
                <c:pt idx="376">
                  <c:v>14,252 </c:v>
                </c:pt>
                <c:pt idx="377">
                  <c:v>18,661 </c:v>
                </c:pt>
                <c:pt idx="378">
                  <c:v>29,411 </c:v>
                </c:pt>
                <c:pt idx="379">
                  <c:v>33,261 </c:v>
                </c:pt>
                <c:pt idx="380">
                  <c:v>35,433 </c:v>
                </c:pt>
                <c:pt idx="381">
                  <c:v>37,002 </c:v>
                </c:pt>
                <c:pt idx="382">
                  <c:v>35,798 </c:v>
                </c:pt>
                <c:pt idx="383">
                  <c:v>20,868 </c:v>
                </c:pt>
                <c:pt idx="384">
                  <c:v>20,605 </c:v>
                </c:pt>
                <c:pt idx="385">
                  <c:v>11,751 </c:v>
                </c:pt>
                <c:pt idx="386">
                  <c:v>16,524 </c:v>
                </c:pt>
                <c:pt idx="387">
                  <c:v>31,377 </c:v>
                </c:pt>
                <c:pt idx="388">
                  <c:v>19,962 </c:v>
                </c:pt>
                <c:pt idx="389">
                  <c:v>32,172 </c:v>
                </c:pt>
                <c:pt idx="390">
                  <c:v>36,614 </c:v>
                </c:pt>
                <c:pt idx="391">
                  <c:v>39,911 </c:v>
                </c:pt>
                <c:pt idx="392">
                  <c:v>38,461 </c:v>
                </c:pt>
                <c:pt idx="393">
                  <c:v>40,224 </c:v>
                </c:pt>
                <c:pt idx="394">
                  <c:v>48,594 </c:v>
                </c:pt>
                <c:pt idx="395">
                  <c:v>62,957 </c:v>
                </c:pt>
                <c:pt idx="396">
                  <c:v>62,660 </c:v>
                </c:pt>
                <c:pt idx="397">
                  <c:v>59,639 </c:v>
                </c:pt>
                <c:pt idx="398">
                  <c:v>50,776 </c:v>
                </c:pt>
                <c:pt idx="399">
                  <c:v>37,171 </c:v>
                </c:pt>
                <c:pt idx="400">
                  <c:v>15,521 </c:v>
                </c:pt>
                <c:pt idx="401">
                  <c:v>(2,405)</c:v>
                </c:pt>
                <c:pt idx="402">
                  <c:v>(18,390)</c:v>
                </c:pt>
                <c:pt idx="403">
                  <c:v>(53,624)</c:v>
                </c:pt>
                <c:pt idx="404">
                  <c:v>(53,758)</c:v>
                </c:pt>
                <c:pt idx="405">
                  <c:v>(33,360)</c:v>
                </c:pt>
                <c:pt idx="406">
                  <c:v>(30,123)</c:v>
                </c:pt>
                <c:pt idx="407">
                  <c:v>(34,265)</c:v>
                </c:pt>
                <c:pt idx="408">
                  <c:v>(48,259)</c:v>
                </c:pt>
                <c:pt idx="409">
                  <c:v>(47,900)</c:v>
                </c:pt>
                <c:pt idx="410">
                  <c:v>(45,447)</c:v>
                </c:pt>
                <c:pt idx="411">
                  <c:v>(27,517)</c:v>
                </c:pt>
                <c:pt idx="412">
                  <c:v>(23,386)</c:v>
                </c:pt>
                <c:pt idx="413">
                  <c:v>(4,270)</c:v>
                </c:pt>
                <c:pt idx="414">
                  <c:v>(5,054)</c:v>
                </c:pt>
                <c:pt idx="415">
                  <c:v>16,931 </c:v>
                </c:pt>
                <c:pt idx="416">
                  <c:v>20,167 </c:v>
                </c:pt>
                <c:pt idx="417">
                  <c:v>14,936 </c:v>
                </c:pt>
                <c:pt idx="418">
                  <c:v>(11,861)</c:v>
                </c:pt>
                <c:pt idx="419">
                  <c:v>(15,711)</c:v>
                </c:pt>
                <c:pt idx="420">
                  <c:v>(2,086)</c:v>
                </c:pt>
                <c:pt idx="421">
                  <c:v>3,572 </c:v>
                </c:pt>
                <c:pt idx="422">
                  <c:v>5,480 </c:v>
                </c:pt>
                <c:pt idx="423">
                  <c:v>(2,488)</c:v>
                </c:pt>
                <c:pt idx="424">
                  <c:v>(4,495)</c:v>
                </c:pt>
                <c:pt idx="425">
                  <c:v>(568)</c:v>
                </c:pt>
                <c:pt idx="426">
                  <c:v>(2,043)</c:v>
                </c:pt>
                <c:pt idx="427">
                  <c:v>(6,826)</c:v>
                </c:pt>
                <c:pt idx="428">
                  <c:v>(7,078)</c:v>
                </c:pt>
                <c:pt idx="429">
                  <c:v>(7,698)</c:v>
                </c:pt>
                <c:pt idx="430">
                  <c:v>(13,069)</c:v>
                </c:pt>
                <c:pt idx="431">
                  <c:v>(26,887)</c:v>
                </c:pt>
                <c:pt idx="432">
                  <c:v>(35,100)</c:v>
                </c:pt>
                <c:pt idx="433">
                  <c:v>(45,657)</c:v>
                </c:pt>
                <c:pt idx="434">
                  <c:v>(42,739)</c:v>
                </c:pt>
                <c:pt idx="435">
                  <c:v>(33,987)</c:v>
                </c:pt>
                <c:pt idx="436">
                  <c:v>(52,826)</c:v>
                </c:pt>
                <c:pt idx="437">
                  <c:v>(71,695)</c:v>
                </c:pt>
                <c:pt idx="438">
                  <c:v>(57,891)</c:v>
                </c:pt>
                <c:pt idx="439">
                  <c:v>(51,894)</c:v>
                </c:pt>
                <c:pt idx="440">
                  <c:v>(65,541)</c:v>
                </c:pt>
                <c:pt idx="441">
                  <c:v>(36,047)</c:v>
                </c:pt>
                <c:pt idx="442">
                  <c:v>(38,026)</c:v>
                </c:pt>
                <c:pt idx="443">
                  <c:v>(39,529)</c:v>
                </c:pt>
                <c:pt idx="444">
                  <c:v>(46,084)</c:v>
                </c:pt>
                <c:pt idx="445">
                  <c:v>(63,055)</c:v>
                </c:pt>
                <c:pt idx="446">
                  <c:v>(65,330)</c:v>
                </c:pt>
                <c:pt idx="447">
                  <c:v>(82,164)</c:v>
                </c:pt>
                <c:pt idx="448">
                  <c:v>(86,109)</c:v>
                </c:pt>
                <c:pt idx="449">
                  <c:v>(48,388)</c:v>
                </c:pt>
                <c:pt idx="450">
                  <c:v>(10,040)</c:v>
                </c:pt>
                <c:pt idx="451">
                  <c:v>(16,602)</c:v>
                </c:pt>
                <c:pt idx="452">
                  <c:v>(37,717)</c:v>
                </c:pt>
                <c:pt idx="453">
                  <c:v>(38,099)</c:v>
                </c:pt>
                <c:pt idx="454">
                  <c:v>(72,044)</c:v>
                </c:pt>
                <c:pt idx="455">
                  <c:v>(37,815)</c:v>
                </c:pt>
                <c:pt idx="456">
                  <c:v>(17,262)</c:v>
                </c:pt>
                <c:pt idx="457">
                  <c:v>(22,436)</c:v>
                </c:pt>
                <c:pt idx="458">
                  <c:v>(13,235)</c:v>
                </c:pt>
                <c:pt idx="459">
                  <c:v>(25,179)</c:v>
                </c:pt>
                <c:pt idx="460">
                  <c:v>(39,830)</c:v>
                </c:pt>
                <c:pt idx="461">
                  <c:v>(54,444)</c:v>
                </c:pt>
                <c:pt idx="462">
                  <c:v>(46,104)</c:v>
                </c:pt>
                <c:pt idx="463">
                  <c:v>(77,569)</c:v>
                </c:pt>
                <c:pt idx="464">
                  <c:v>(85,006)</c:v>
                </c:pt>
                <c:pt idx="465">
                  <c:v>(80,243)</c:v>
                </c:pt>
                <c:pt idx="466">
                  <c:v>(64,688)</c:v>
                </c:pt>
                <c:pt idx="467">
                  <c:v>(104,893)</c:v>
                </c:pt>
                <c:pt idx="468">
                  <c:v>(120,063)</c:v>
                </c:pt>
                <c:pt idx="469">
                  <c:v>(84,939)</c:v>
                </c:pt>
                <c:pt idx="470">
                  <c:v>(63,808)</c:v>
                </c:pt>
                <c:pt idx="471">
                  <c:v>(77,378)</c:v>
                </c:pt>
                <c:pt idx="472">
                  <c:v>(49,011)</c:v>
                </c:pt>
                <c:pt idx="473">
                  <c:v>(60,730)</c:v>
                </c:pt>
                <c:pt idx="474">
                  <c:v>(49,868)</c:v>
                </c:pt>
                <c:pt idx="475">
                  <c:v>(23,954)</c:v>
                </c:pt>
                <c:pt idx="476">
                  <c:v>(10,715)</c:v>
                </c:pt>
                <c:pt idx="477">
                  <c:v>(11,669)</c:v>
                </c:pt>
                <c:pt idx="478">
                  <c:v>(1,581)</c:v>
                </c:pt>
                <c:pt idx="479">
                  <c:v>(1,583)</c:v>
                </c:pt>
                <c:pt idx="480">
                  <c:v>2,091 </c:v>
                </c:pt>
                <c:pt idx="481">
                  <c:v>(3,686)</c:v>
                </c:pt>
                <c:pt idx="482">
                  <c:v>4,952 </c:v>
                </c:pt>
                <c:pt idx="483">
                  <c:v>6,230 </c:v>
                </c:pt>
                <c:pt idx="484">
                  <c:v>(13,254)</c:v>
                </c:pt>
                <c:pt idx="485">
                  <c:v>(33,205)</c:v>
                </c:pt>
                <c:pt idx="486">
                  <c:v>(40,485)</c:v>
                </c:pt>
                <c:pt idx="487">
                  <c:v>(42,473)</c:v>
                </c:pt>
                <c:pt idx="488">
                  <c:v>(38,526)</c:v>
                </c:pt>
                <c:pt idx="489">
                  <c:v>(32,343)</c:v>
                </c:pt>
                <c:pt idx="490">
                  <c:v>(15,146)</c:v>
                </c:pt>
                <c:pt idx="491">
                  <c:v>(15,268)</c:v>
                </c:pt>
                <c:pt idx="492">
                  <c:v>(40,145)</c:v>
                </c:pt>
                <c:pt idx="493">
                  <c:v>(64,120)</c:v>
                </c:pt>
                <c:pt idx="494">
                  <c:v>(99,253)</c:v>
                </c:pt>
                <c:pt idx="495">
                  <c:v>(104,088)</c:v>
                </c:pt>
                <c:pt idx="496">
                  <c:v>(91,742)</c:v>
                </c:pt>
                <c:pt idx="497">
                  <c:v>(94,858)</c:v>
                </c:pt>
                <c:pt idx="498">
                  <c:v>(76,012)</c:v>
                </c:pt>
                <c:pt idx="499">
                  <c:v>(54,213)</c:v>
                </c:pt>
                <c:pt idx="500">
                  <c:v>(62,143)</c:v>
                </c:pt>
                <c:pt idx="501">
                  <c:v>(78,689)</c:v>
                </c:pt>
                <c:pt idx="502">
                  <c:v>(80,850)</c:v>
                </c:pt>
                <c:pt idx="503">
                  <c:v>(75,451)</c:v>
                </c:pt>
                <c:pt idx="504">
                  <c:v>(91,127)</c:v>
                </c:pt>
                <c:pt idx="505">
                  <c:v>(74,827)</c:v>
                </c:pt>
                <c:pt idx="506">
                  <c:v>(57,935)</c:v>
                </c:pt>
                <c:pt idx="507">
                  <c:v>(57,971)</c:v>
                </c:pt>
                <c:pt idx="508">
                  <c:v>(108,809)</c:v>
                </c:pt>
                <c:pt idx="509">
                  <c:v>(137,623)</c:v>
                </c:pt>
                <c:pt idx="510">
                  <c:v>(145,416)</c:v>
                </c:pt>
                <c:pt idx="511">
                  <c:v>(152,205)</c:v>
                </c:pt>
                <c:pt idx="512">
                  <c:v>(139,237)</c:v>
                </c:pt>
                <c:pt idx="513">
                  <c:v>(147,195)</c:v>
                </c:pt>
                <c:pt idx="514">
                  <c:v>(147,608)</c:v>
                </c:pt>
                <c:pt idx="515">
                  <c:v>(105,510)</c:v>
                </c:pt>
                <c:pt idx="516">
                  <c:v>(111,739)</c:v>
                </c:pt>
                <c:pt idx="517">
                  <c:v>(106,755)</c:v>
                </c:pt>
                <c:pt idx="518">
                  <c:v>(62,245)</c:v>
                </c:pt>
                <c:pt idx="519">
                  <c:v>(54,742)</c:v>
                </c:pt>
                <c:pt idx="520">
                  <c:v>(52,918)</c:v>
                </c:pt>
                <c:pt idx="521">
                  <c:v>(75,827)</c:v>
                </c:pt>
                <c:pt idx="522">
                  <c:v>(49,657)</c:v>
                </c:pt>
                <c:pt idx="523">
                  <c:v>(32,632)</c:v>
                </c:pt>
                <c:pt idx="524">
                  <c:v>(11,158)</c:v>
                </c:pt>
                <c:pt idx="525">
                  <c:v>(10,006)</c:v>
                </c:pt>
                <c:pt idx="526">
                  <c:v>(9,025)</c:v>
                </c:pt>
                <c:pt idx="527">
                  <c:v>(4,091)</c:v>
                </c:pt>
                <c:pt idx="528">
                  <c:v>(6,447)</c:v>
                </c:pt>
                <c:pt idx="529">
                  <c:v>(31,675)</c:v>
                </c:pt>
                <c:pt idx="530">
                  <c:v>(64,782)</c:v>
                </c:pt>
                <c:pt idx="531">
                  <c:v>(109,858)</c:v>
                </c:pt>
                <c:pt idx="532">
                  <c:v>(118,339)</c:v>
                </c:pt>
                <c:pt idx="533">
                  <c:v>(121,801)</c:v>
                </c:pt>
                <c:pt idx="534">
                  <c:v>(108,894)</c:v>
                </c:pt>
                <c:pt idx="535">
                  <c:v>(128,663)</c:v>
                </c:pt>
                <c:pt idx="536">
                  <c:v>(142,676)</c:v>
                </c:pt>
                <c:pt idx="537">
                  <c:v>(139,438)</c:v>
                </c:pt>
                <c:pt idx="538">
                  <c:v>(129,441)</c:v>
                </c:pt>
                <c:pt idx="539">
                  <c:v>(147,856)</c:v>
                </c:pt>
                <c:pt idx="540">
                  <c:v>(167,057)</c:v>
                </c:pt>
                <c:pt idx="541">
                  <c:v>(178,489)</c:v>
                </c:pt>
                <c:pt idx="542">
                  <c:v>(170,936)</c:v>
                </c:pt>
                <c:pt idx="543">
                  <c:v>(143,047)</c:v>
                </c:pt>
                <c:pt idx="544">
                  <c:v>(146,073)</c:v>
                </c:pt>
                <c:pt idx="545">
                  <c:v>(161,425)</c:v>
                </c:pt>
                <c:pt idx="546">
                  <c:v>(166,334)</c:v>
                </c:pt>
                <c:pt idx="547">
                  <c:v>(150,030)</c:v>
                </c:pt>
                <c:pt idx="548">
                  <c:v>(144,682)</c:v>
                </c:pt>
                <c:pt idx="549">
                  <c:v>(123,288)</c:v>
                </c:pt>
                <c:pt idx="550">
                  <c:v>(104,367)</c:v>
                </c:pt>
                <c:pt idx="551">
                  <c:v>(116,362)</c:v>
                </c:pt>
                <c:pt idx="552">
                  <c:v>(128,632)</c:v>
                </c:pt>
                <c:pt idx="553">
                  <c:v>(134,447)</c:v>
                </c:pt>
                <c:pt idx="554">
                  <c:v>(91,381)</c:v>
                </c:pt>
                <c:pt idx="555">
                  <c:v>(85,005)</c:v>
                </c:pt>
                <c:pt idx="556">
                  <c:v>(86,837)</c:v>
                </c:pt>
                <c:pt idx="557">
                  <c:v>(60,621)</c:v>
                </c:pt>
                <c:pt idx="558">
                  <c:v>(48,531)</c:v>
                </c:pt>
                <c:pt idx="559">
                  <c:v>(46,244)</c:v>
                </c:pt>
                <c:pt idx="560">
                  <c:v>(15,504)</c:v>
                </c:pt>
                <c:pt idx="561">
                  <c:v>13,818 </c:v>
                </c:pt>
                <c:pt idx="562">
                  <c:v>11,606 </c:v>
                </c:pt>
                <c:pt idx="563">
                  <c:v>27,902 </c:v>
                </c:pt>
                <c:pt idx="564">
                  <c:v>36,960 </c:v>
                </c:pt>
                <c:pt idx="565">
                  <c:v>37,643 </c:v>
                </c:pt>
                <c:pt idx="566">
                  <c:v>27,707 </c:v>
                </c:pt>
                <c:pt idx="567">
                  <c:v>12,748 </c:v>
                </c:pt>
                <c:pt idx="568">
                  <c:v>(4,248)</c:v>
                </c:pt>
                <c:pt idx="569">
                  <c:v>(10,061)</c:v>
                </c:pt>
                <c:pt idx="570">
                  <c:v>(5,035)</c:v>
                </c:pt>
                <c:pt idx="571">
                  <c:v>10,607 </c:v>
                </c:pt>
                <c:pt idx="572">
                  <c:v>22,440 </c:v>
                </c:pt>
                <c:pt idx="573">
                  <c:v>6,236 </c:v>
                </c:pt>
                <c:pt idx="574">
                  <c:v>(15,955)</c:v>
                </c:pt>
                <c:pt idx="575">
                  <c:v>(22,649)</c:v>
                </c:pt>
                <c:pt idx="576">
                  <c:v>(40,904)</c:v>
                </c:pt>
                <c:pt idx="577">
                  <c:v>(60,124)</c:v>
                </c:pt>
                <c:pt idx="578">
                  <c:v>(64,394)</c:v>
                </c:pt>
                <c:pt idx="579">
                  <c:v>(78,057)</c:v>
                </c:pt>
                <c:pt idx="580">
                  <c:v>(87,562)</c:v>
                </c:pt>
                <c:pt idx="581">
                  <c:v>(82,711)</c:v>
                </c:pt>
                <c:pt idx="582">
                  <c:v>(62,562)</c:v>
                </c:pt>
                <c:pt idx="583">
                  <c:v>(63,313)</c:v>
                </c:pt>
                <c:pt idx="584">
                  <c:v>(86,813)</c:v>
                </c:pt>
                <c:pt idx="585">
                  <c:v>(115,015)</c:v>
                </c:pt>
                <c:pt idx="586">
                  <c:v>(123,333)</c:v>
                </c:pt>
                <c:pt idx="587">
                  <c:v>(118,081)</c:v>
                </c:pt>
                <c:pt idx="588">
                  <c:v>(106,339)</c:v>
                </c:pt>
                <c:pt idx="589">
                  <c:v>(60,362)</c:v>
                </c:pt>
                <c:pt idx="590">
                  <c:v>(55,342)</c:v>
                </c:pt>
                <c:pt idx="591">
                  <c:v>(60,104)</c:v>
                </c:pt>
                <c:pt idx="592">
                  <c:v>(70,393)</c:v>
                </c:pt>
                <c:pt idx="593">
                  <c:v>(75,672)</c:v>
                </c:pt>
                <c:pt idx="594">
                  <c:v>(76,209)</c:v>
                </c:pt>
                <c:pt idx="595">
                  <c:v>(79,182)</c:v>
                </c:pt>
                <c:pt idx="596">
                  <c:v>(72,048)</c:v>
                </c:pt>
                <c:pt idx="597">
                  <c:v>(50,743)</c:v>
                </c:pt>
                <c:pt idx="598">
                  <c:v>(45,897)</c:v>
                </c:pt>
                <c:pt idx="599">
                  <c:v>(42,745)</c:v>
                </c:pt>
                <c:pt idx="600">
                  <c:v>(36,152)</c:v>
                </c:pt>
                <c:pt idx="601">
                  <c:v>(27,547)</c:v>
                </c:pt>
                <c:pt idx="602">
                  <c:v>(27,222)</c:v>
                </c:pt>
                <c:pt idx="603">
                  <c:v>(35,637)</c:v>
                </c:pt>
                <c:pt idx="604">
                  <c:v>(22,201)</c:v>
                </c:pt>
                <c:pt idx="605">
                  <c:v>(12,073)</c:v>
                </c:pt>
                <c:pt idx="606">
                  <c:v>(24,240)</c:v>
                </c:pt>
                <c:pt idx="607">
                  <c:v>(39,337)</c:v>
                </c:pt>
                <c:pt idx="608">
                  <c:v>(33,156)</c:v>
                </c:pt>
                <c:pt idx="609">
                  <c:v>(24,387)</c:v>
                </c:pt>
                <c:pt idx="610">
                  <c:v>(48,660)</c:v>
                </c:pt>
                <c:pt idx="611">
                  <c:v>(49,542)</c:v>
                </c:pt>
                <c:pt idx="612">
                  <c:v>(35,796)</c:v>
                </c:pt>
                <c:pt idx="613">
                  <c:v>(32,774)</c:v>
                </c:pt>
                <c:pt idx="614">
                  <c:v>(25,605)</c:v>
                </c:pt>
                <c:pt idx="615">
                  <c:v>(36,607)</c:v>
                </c:pt>
                <c:pt idx="616">
                  <c:v>(26,480)</c:v>
                </c:pt>
                <c:pt idx="617">
                  <c:v>(12,680)</c:v>
                </c:pt>
                <c:pt idx="618">
                  <c:v>(3,002)</c:v>
                </c:pt>
                <c:pt idx="619">
                  <c:v>18,939 </c:v>
                </c:pt>
                <c:pt idx="620">
                  <c:v>16,611 </c:v>
                </c:pt>
                <c:pt idx="621">
                  <c:v>5,550 </c:v>
                </c:pt>
                <c:pt idx="622">
                  <c:v>(7,447)</c:v>
                </c:pt>
                <c:pt idx="623">
                  <c:v>(5,657)</c:v>
                </c:pt>
                <c:pt idx="624">
                  <c:v>45 </c:v>
                </c:pt>
                <c:pt idx="625">
                  <c:v>14,928 </c:v>
                </c:pt>
                <c:pt idx="626">
                  <c:v>42,255 </c:v>
                </c:pt>
                <c:pt idx="627">
                  <c:v>37,415 </c:v>
                </c:pt>
                <c:pt idx="628">
                  <c:v>45,643 </c:v>
                </c:pt>
                <c:pt idx="629">
                  <c:v>40,812 </c:v>
                </c:pt>
                <c:pt idx="630">
                  <c:v>54,318 </c:v>
                </c:pt>
                <c:pt idx="631">
                  <c:v>52,845 </c:v>
                </c:pt>
                <c:pt idx="632">
                  <c:v>52,497 </c:v>
                </c:pt>
                <c:pt idx="633">
                  <c:v>50,423 </c:v>
                </c:pt>
                <c:pt idx="634">
                  <c:v>57,651 </c:v>
                </c:pt>
                <c:pt idx="635">
                  <c:v>57,242 </c:v>
                </c:pt>
                <c:pt idx="636">
                  <c:v>49,834 </c:v>
                </c:pt>
                <c:pt idx="637">
                  <c:v>49,968 </c:v>
                </c:pt>
                <c:pt idx="638">
                  <c:v>62,335 </c:v>
                </c:pt>
                <c:pt idx="639">
                  <c:v>72,519 </c:v>
                </c:pt>
                <c:pt idx="640">
                  <c:v>44,053 </c:v>
                </c:pt>
                <c:pt idx="641">
                  <c:v>9,209 </c:v>
                </c:pt>
                <c:pt idx="642">
                  <c:v>374 </c:v>
                </c:pt>
                <c:pt idx="643">
                  <c:v>(4,849)</c:v>
                </c:pt>
                <c:pt idx="644">
                  <c:v>(2,936)</c:v>
                </c:pt>
                <c:pt idx="645">
                  <c:v>14,356 </c:v>
                </c:pt>
                <c:pt idx="646">
                  <c:v>15,181 </c:v>
                </c:pt>
                <c:pt idx="647">
                  <c:v>29,035 </c:v>
                </c:pt>
                <c:pt idx="648">
                  <c:v>37,409 </c:v>
                </c:pt>
                <c:pt idx="649">
                  <c:v>36,678 </c:v>
                </c:pt>
                <c:pt idx="650">
                  <c:v>14,401 </c:v>
                </c:pt>
                <c:pt idx="651">
                  <c:v>(903)</c:v>
                </c:pt>
                <c:pt idx="652">
                  <c:v>2,024 </c:v>
                </c:pt>
                <c:pt idx="653">
                  <c:v>5,673 </c:v>
                </c:pt>
                <c:pt idx="654">
                  <c:v>8,614 </c:v>
                </c:pt>
                <c:pt idx="655">
                  <c:v>(3,983)</c:v>
                </c:pt>
                <c:pt idx="656">
                  <c:v>(4,768)</c:v>
                </c:pt>
                <c:pt idx="657">
                  <c:v>(24,415)</c:v>
                </c:pt>
                <c:pt idx="658">
                  <c:v>(56,339)</c:v>
                </c:pt>
                <c:pt idx="659">
                  <c:v>(76,225)</c:v>
                </c:pt>
                <c:pt idx="660">
                  <c:v>(73,961)</c:v>
                </c:pt>
                <c:pt idx="661">
                  <c:v>(65,024)</c:v>
                </c:pt>
                <c:pt idx="662">
                  <c:v>(57,375)</c:v>
                </c:pt>
                <c:pt idx="663">
                  <c:v>(52,606)</c:v>
                </c:pt>
                <c:pt idx="664">
                  <c:v>(53,905)</c:v>
                </c:pt>
                <c:pt idx="665">
                  <c:v>(31,956)</c:v>
                </c:pt>
                <c:pt idx="666">
                  <c:v>(15,073)</c:v>
                </c:pt>
                <c:pt idx="667">
                  <c:v>3,670 </c:v>
                </c:pt>
                <c:pt idx="668">
                  <c:v>3,210 </c:v>
                </c:pt>
                <c:pt idx="669">
                  <c:v>10,148 </c:v>
                </c:pt>
                <c:pt idx="670">
                  <c:v>22,752 </c:v>
                </c:pt>
                <c:pt idx="671">
                  <c:v>31,823 </c:v>
                </c:pt>
                <c:pt idx="672">
                  <c:v>41,477 </c:v>
                </c:pt>
                <c:pt idx="673">
                  <c:v>44,083 </c:v>
                </c:pt>
                <c:pt idx="674">
                  <c:v>30,602 </c:v>
                </c:pt>
                <c:pt idx="675">
                  <c:v>18,360 </c:v>
                </c:pt>
                <c:pt idx="676">
                  <c:v>10,536 </c:v>
                </c:pt>
                <c:pt idx="677">
                  <c:v>10,649 </c:v>
                </c:pt>
                <c:pt idx="678">
                  <c:v>(820)</c:v>
                </c:pt>
                <c:pt idx="679">
                  <c:v>476 </c:v>
                </c:pt>
                <c:pt idx="680">
                  <c:v>5,327 </c:v>
                </c:pt>
                <c:pt idx="681">
                  <c:v>(866)</c:v>
                </c:pt>
                <c:pt idx="682">
                  <c:v>635 </c:v>
                </c:pt>
                <c:pt idx="683">
                  <c:v>9,091 </c:v>
                </c:pt>
                <c:pt idx="684">
                  <c:v>(1,517)</c:v>
                </c:pt>
                <c:pt idx="685">
                  <c:v>6,619 </c:v>
                </c:pt>
                <c:pt idx="686">
                  <c:v>(48,063)</c:v>
                </c:pt>
                <c:pt idx="687">
                  <c:v>(42,893)</c:v>
                </c:pt>
                <c:pt idx="688">
                  <c:v>(27,256)</c:v>
                </c:pt>
                <c:pt idx="689">
                  <c:v>(29,821)</c:v>
                </c:pt>
                <c:pt idx="690">
                  <c:v>(23,349)</c:v>
                </c:pt>
                <c:pt idx="691">
                  <c:v>(61,735)</c:v>
                </c:pt>
                <c:pt idx="692">
                  <c:v>(58,163)</c:v>
                </c:pt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strRef>
              <c:f>Data!$A$3:$A$1000</c:f>
              <c:strCache>
                <c:ptCount val="998"/>
                <c:pt idx="0">
                  <c:v>13-Jun-06</c:v>
                </c:pt>
                <c:pt idx="1">
                  <c:v>20-Jun-06</c:v>
                </c:pt>
                <c:pt idx="2">
                  <c:v>27-Jun-06</c:v>
                </c:pt>
                <c:pt idx="3">
                  <c:v>4-Jul-06</c:v>
                </c:pt>
                <c:pt idx="4">
                  <c:v>11-Jul-06</c:v>
                </c:pt>
                <c:pt idx="5">
                  <c:v>18-Jul-06</c:v>
                </c:pt>
                <c:pt idx="6">
                  <c:v>25-Jul-06</c:v>
                </c:pt>
                <c:pt idx="7">
                  <c:v>1-Aug-06</c:v>
                </c:pt>
                <c:pt idx="8">
                  <c:v>8-Aug-06</c:v>
                </c:pt>
                <c:pt idx="9">
                  <c:v>15-Aug-06</c:v>
                </c:pt>
                <c:pt idx="10">
                  <c:v>22-Aug-06</c:v>
                </c:pt>
                <c:pt idx="11">
                  <c:v>29-Aug-06</c:v>
                </c:pt>
                <c:pt idx="12">
                  <c:v>5-Sep-06</c:v>
                </c:pt>
                <c:pt idx="13">
                  <c:v>12-Sep-06</c:v>
                </c:pt>
                <c:pt idx="14">
                  <c:v>19-Sep-06</c:v>
                </c:pt>
                <c:pt idx="15">
                  <c:v>26-Sep-06</c:v>
                </c:pt>
                <c:pt idx="16">
                  <c:v>3-Oct-06</c:v>
                </c:pt>
                <c:pt idx="17">
                  <c:v>10-Oct-06</c:v>
                </c:pt>
                <c:pt idx="18">
                  <c:v>17-Oct-06</c:v>
                </c:pt>
                <c:pt idx="19">
                  <c:v>24-Oct-06</c:v>
                </c:pt>
                <c:pt idx="20">
                  <c:v>31-Oct-06</c:v>
                </c:pt>
                <c:pt idx="21">
                  <c:v>7-Nov-06</c:v>
                </c:pt>
                <c:pt idx="22">
                  <c:v>14-Nov-06</c:v>
                </c:pt>
                <c:pt idx="23">
                  <c:v>21-Nov-06</c:v>
                </c:pt>
                <c:pt idx="24">
                  <c:v>28-Nov-06</c:v>
                </c:pt>
                <c:pt idx="25">
                  <c:v>5-Dec-06</c:v>
                </c:pt>
                <c:pt idx="26">
                  <c:v>12-Dec-06</c:v>
                </c:pt>
                <c:pt idx="27">
                  <c:v>19-Dec-06</c:v>
                </c:pt>
                <c:pt idx="28">
                  <c:v>26-Dec-06</c:v>
                </c:pt>
                <c:pt idx="29">
                  <c:v>9-Jan-07</c:v>
                </c:pt>
                <c:pt idx="30">
                  <c:v>16-Jan-07</c:v>
                </c:pt>
                <c:pt idx="31">
                  <c:v>23-Jan-07</c:v>
                </c:pt>
                <c:pt idx="32">
                  <c:v>30-Jan-07</c:v>
                </c:pt>
                <c:pt idx="33">
                  <c:v>6-Feb-07</c:v>
                </c:pt>
                <c:pt idx="34">
                  <c:v>13-Feb-07</c:v>
                </c:pt>
                <c:pt idx="35">
                  <c:v>20-Feb-07</c:v>
                </c:pt>
                <c:pt idx="36">
                  <c:v>27-Feb-07</c:v>
                </c:pt>
                <c:pt idx="37">
                  <c:v>6-Mar-07</c:v>
                </c:pt>
                <c:pt idx="38">
                  <c:v>13-Mar-07</c:v>
                </c:pt>
                <c:pt idx="39">
                  <c:v>20-Mar-07</c:v>
                </c:pt>
                <c:pt idx="40">
                  <c:v>27-Mar-07</c:v>
                </c:pt>
                <c:pt idx="41">
                  <c:v>3-Apr-07</c:v>
                </c:pt>
                <c:pt idx="42">
                  <c:v>10-Apr-07</c:v>
                </c:pt>
                <c:pt idx="43">
                  <c:v>17-Apr-07</c:v>
                </c:pt>
                <c:pt idx="44">
                  <c:v>24-Apr-07</c:v>
                </c:pt>
                <c:pt idx="45">
                  <c:v>1-May-07</c:v>
                </c:pt>
                <c:pt idx="46">
                  <c:v>8-May-07</c:v>
                </c:pt>
                <c:pt idx="47">
                  <c:v>15-May-07</c:v>
                </c:pt>
                <c:pt idx="48">
                  <c:v>22-May-07</c:v>
                </c:pt>
                <c:pt idx="49">
                  <c:v>29-May-07</c:v>
                </c:pt>
                <c:pt idx="50">
                  <c:v>5-Jun-07</c:v>
                </c:pt>
                <c:pt idx="51">
                  <c:v>12-Jun-07</c:v>
                </c:pt>
                <c:pt idx="52">
                  <c:v>19-Jun-07</c:v>
                </c:pt>
                <c:pt idx="53">
                  <c:v>26-Jun-07</c:v>
                </c:pt>
                <c:pt idx="54">
                  <c:v>3-Jul-07</c:v>
                </c:pt>
                <c:pt idx="55">
                  <c:v>10-Jul-07</c:v>
                </c:pt>
                <c:pt idx="56">
                  <c:v>17-Jul-07</c:v>
                </c:pt>
                <c:pt idx="57">
                  <c:v>24-Jul-07</c:v>
                </c:pt>
                <c:pt idx="58">
                  <c:v>31-Jul-07</c:v>
                </c:pt>
                <c:pt idx="59">
                  <c:v>7-Aug-07</c:v>
                </c:pt>
                <c:pt idx="60">
                  <c:v>14-Aug-07</c:v>
                </c:pt>
                <c:pt idx="61">
                  <c:v>21-Aug-07</c:v>
                </c:pt>
                <c:pt idx="62">
                  <c:v>28-Aug-07</c:v>
                </c:pt>
                <c:pt idx="63">
                  <c:v>4-Sep-07</c:v>
                </c:pt>
                <c:pt idx="64">
                  <c:v>11-Sep-07</c:v>
                </c:pt>
                <c:pt idx="65">
                  <c:v>18-Sep-07</c:v>
                </c:pt>
                <c:pt idx="66">
                  <c:v>25-Sep-07</c:v>
                </c:pt>
                <c:pt idx="67">
                  <c:v>2-Oct-07</c:v>
                </c:pt>
                <c:pt idx="68">
                  <c:v>9-Oct-07</c:v>
                </c:pt>
                <c:pt idx="69">
                  <c:v>16-Oct-07</c:v>
                </c:pt>
                <c:pt idx="70">
                  <c:v>23-Oct-07</c:v>
                </c:pt>
                <c:pt idx="71">
                  <c:v>30-Oct-07</c:v>
                </c:pt>
                <c:pt idx="72">
                  <c:v>6-Nov-07</c:v>
                </c:pt>
                <c:pt idx="73">
                  <c:v>13-Nov-07</c:v>
                </c:pt>
                <c:pt idx="74">
                  <c:v>20-Nov-07</c:v>
                </c:pt>
                <c:pt idx="75">
                  <c:v>27-Nov-07</c:v>
                </c:pt>
                <c:pt idx="76">
                  <c:v>4-Dec-07</c:v>
                </c:pt>
                <c:pt idx="77">
                  <c:v>11-Dec-07</c:v>
                </c:pt>
                <c:pt idx="78">
                  <c:v>18-Dec-07</c:v>
                </c:pt>
                <c:pt idx="79">
                  <c:v>25-Dec-07</c:v>
                </c:pt>
                <c:pt idx="80">
                  <c:v>1-Jan-08</c:v>
                </c:pt>
                <c:pt idx="81">
                  <c:v>8-Jan-08</c:v>
                </c:pt>
                <c:pt idx="82">
                  <c:v>15-Jan-08</c:v>
                </c:pt>
                <c:pt idx="83">
                  <c:v>22-Jan-08</c:v>
                </c:pt>
                <c:pt idx="84">
                  <c:v>29-Jan-08</c:v>
                </c:pt>
                <c:pt idx="85">
                  <c:v>5-Feb-08</c:v>
                </c:pt>
                <c:pt idx="86">
                  <c:v>12-Feb-08</c:v>
                </c:pt>
                <c:pt idx="87">
                  <c:v>19-Feb-08</c:v>
                </c:pt>
                <c:pt idx="88">
                  <c:v>26-Feb-08</c:v>
                </c:pt>
                <c:pt idx="89">
                  <c:v>4-Mar-08</c:v>
                </c:pt>
                <c:pt idx="90">
                  <c:v>11-Mar-08</c:v>
                </c:pt>
                <c:pt idx="91">
                  <c:v>18-Mar-08</c:v>
                </c:pt>
                <c:pt idx="92">
                  <c:v>25-Mar-08</c:v>
                </c:pt>
                <c:pt idx="93">
                  <c:v>1-Apr-08</c:v>
                </c:pt>
                <c:pt idx="94">
                  <c:v>8-Apr-08</c:v>
                </c:pt>
                <c:pt idx="95">
                  <c:v>15-Apr-08</c:v>
                </c:pt>
                <c:pt idx="96">
                  <c:v>22-Apr-08</c:v>
                </c:pt>
                <c:pt idx="97">
                  <c:v>29-Apr-08</c:v>
                </c:pt>
                <c:pt idx="98">
                  <c:v>6-May-08</c:v>
                </c:pt>
                <c:pt idx="99">
                  <c:v>13-May-08</c:v>
                </c:pt>
                <c:pt idx="100">
                  <c:v>20-May-08</c:v>
                </c:pt>
                <c:pt idx="101">
                  <c:v>27-May-08</c:v>
                </c:pt>
                <c:pt idx="102">
                  <c:v>3-Jun-08</c:v>
                </c:pt>
                <c:pt idx="103">
                  <c:v>10-Jun-08</c:v>
                </c:pt>
                <c:pt idx="104">
                  <c:v>17-Jun-08</c:v>
                </c:pt>
                <c:pt idx="105">
                  <c:v>24-Jun-08</c:v>
                </c:pt>
                <c:pt idx="106">
                  <c:v>1-Jul-08</c:v>
                </c:pt>
                <c:pt idx="107">
                  <c:v>8-Jul-08</c:v>
                </c:pt>
                <c:pt idx="108">
                  <c:v>15-Jul-08</c:v>
                </c:pt>
                <c:pt idx="109">
                  <c:v>22-Jul-08</c:v>
                </c:pt>
                <c:pt idx="110">
                  <c:v>29-Jul-08</c:v>
                </c:pt>
                <c:pt idx="111">
                  <c:v>5-Aug-08</c:v>
                </c:pt>
                <c:pt idx="112">
                  <c:v>12-Aug-08</c:v>
                </c:pt>
                <c:pt idx="113">
                  <c:v>19-Aug-08</c:v>
                </c:pt>
                <c:pt idx="114">
                  <c:v>26-Aug-08</c:v>
                </c:pt>
                <c:pt idx="115">
                  <c:v>2-Sep-08</c:v>
                </c:pt>
                <c:pt idx="116">
                  <c:v>9-Sep-08</c:v>
                </c:pt>
                <c:pt idx="117">
                  <c:v>16-Sep-08</c:v>
                </c:pt>
                <c:pt idx="118">
                  <c:v>23-Sep-08</c:v>
                </c:pt>
                <c:pt idx="119">
                  <c:v>30-Sep-08</c:v>
                </c:pt>
                <c:pt idx="120">
                  <c:v>7-Oct-08</c:v>
                </c:pt>
                <c:pt idx="121">
                  <c:v>14-Oct-08</c:v>
                </c:pt>
                <c:pt idx="122">
                  <c:v>21-Oct-08</c:v>
                </c:pt>
                <c:pt idx="123">
                  <c:v>28-Oct-08</c:v>
                </c:pt>
                <c:pt idx="124">
                  <c:v>4-Nov-08</c:v>
                </c:pt>
                <c:pt idx="125">
                  <c:v>11-Nov-08</c:v>
                </c:pt>
                <c:pt idx="126">
                  <c:v>18-Nov-08</c:v>
                </c:pt>
                <c:pt idx="127">
                  <c:v>25-Nov-08</c:v>
                </c:pt>
                <c:pt idx="128">
                  <c:v>2-Dec-08</c:v>
                </c:pt>
                <c:pt idx="129">
                  <c:v>9-Dec-08</c:v>
                </c:pt>
                <c:pt idx="130">
                  <c:v>16-Dec-08</c:v>
                </c:pt>
                <c:pt idx="131">
                  <c:v>23-Dec-08</c:v>
                </c:pt>
                <c:pt idx="132">
                  <c:v>30-Dec-08</c:v>
                </c:pt>
                <c:pt idx="133">
                  <c:v>6-Jan-09</c:v>
                </c:pt>
                <c:pt idx="134">
                  <c:v>13-Jan-09</c:v>
                </c:pt>
                <c:pt idx="135">
                  <c:v>20-Jan-09</c:v>
                </c:pt>
                <c:pt idx="136">
                  <c:v>27-Jan-09</c:v>
                </c:pt>
                <c:pt idx="137">
                  <c:v>3-Feb-09</c:v>
                </c:pt>
                <c:pt idx="138">
                  <c:v>10-Feb-09</c:v>
                </c:pt>
                <c:pt idx="139">
                  <c:v>17-Feb-09</c:v>
                </c:pt>
                <c:pt idx="140">
                  <c:v>24-Feb-09</c:v>
                </c:pt>
                <c:pt idx="141">
                  <c:v>3-Mar-09</c:v>
                </c:pt>
                <c:pt idx="142">
                  <c:v>10-Mar-09</c:v>
                </c:pt>
                <c:pt idx="143">
                  <c:v>17-Mar-09</c:v>
                </c:pt>
                <c:pt idx="144">
                  <c:v>24-Mar-09</c:v>
                </c:pt>
                <c:pt idx="145">
                  <c:v>31-Mar-09</c:v>
                </c:pt>
                <c:pt idx="146">
                  <c:v>7-Apr-09</c:v>
                </c:pt>
                <c:pt idx="147">
                  <c:v>14-Apr-09</c:v>
                </c:pt>
                <c:pt idx="148">
                  <c:v>21-Apr-09</c:v>
                </c:pt>
                <c:pt idx="149">
                  <c:v>28-Apr-09</c:v>
                </c:pt>
                <c:pt idx="150">
                  <c:v>5-May-09</c:v>
                </c:pt>
                <c:pt idx="151">
                  <c:v>12-May-09</c:v>
                </c:pt>
                <c:pt idx="152">
                  <c:v>19-May-09</c:v>
                </c:pt>
                <c:pt idx="153">
                  <c:v>26-May-09</c:v>
                </c:pt>
                <c:pt idx="154">
                  <c:v>2-Jun-09</c:v>
                </c:pt>
                <c:pt idx="155">
                  <c:v>9-Jun-09</c:v>
                </c:pt>
                <c:pt idx="156">
                  <c:v>16-Jun-09</c:v>
                </c:pt>
                <c:pt idx="157">
                  <c:v>23-Jun-09</c:v>
                </c:pt>
                <c:pt idx="158">
                  <c:v>30-Jun-09</c:v>
                </c:pt>
                <c:pt idx="159">
                  <c:v>7-Jul-09</c:v>
                </c:pt>
                <c:pt idx="160">
                  <c:v>14-Jul-09</c:v>
                </c:pt>
                <c:pt idx="161">
                  <c:v>21-Jul-09</c:v>
                </c:pt>
                <c:pt idx="162">
                  <c:v>28-Jul-09</c:v>
                </c:pt>
                <c:pt idx="163">
                  <c:v>4-Aug-09</c:v>
                </c:pt>
                <c:pt idx="164">
                  <c:v>11-Aug-09</c:v>
                </c:pt>
                <c:pt idx="165">
                  <c:v>18-Aug-09</c:v>
                </c:pt>
                <c:pt idx="166">
                  <c:v>25-Aug-09</c:v>
                </c:pt>
                <c:pt idx="167">
                  <c:v>1-Sep-09</c:v>
                </c:pt>
                <c:pt idx="168">
                  <c:v>8-Sep-09</c:v>
                </c:pt>
                <c:pt idx="169">
                  <c:v>15-Sep-09</c:v>
                </c:pt>
                <c:pt idx="170">
                  <c:v>22-Sep-09</c:v>
                </c:pt>
                <c:pt idx="171">
                  <c:v>29-Sep-09</c:v>
                </c:pt>
                <c:pt idx="172">
                  <c:v>6-Oct-09</c:v>
                </c:pt>
                <c:pt idx="173">
                  <c:v>13-Oct-09</c:v>
                </c:pt>
                <c:pt idx="174">
                  <c:v>20-Oct-09</c:v>
                </c:pt>
                <c:pt idx="175">
                  <c:v>27-Oct-09</c:v>
                </c:pt>
                <c:pt idx="176">
                  <c:v>3-Nov-09</c:v>
                </c:pt>
                <c:pt idx="177">
                  <c:v>10-Nov-09</c:v>
                </c:pt>
                <c:pt idx="178">
                  <c:v>17-Nov-09</c:v>
                </c:pt>
                <c:pt idx="179">
                  <c:v>24-Nov-09</c:v>
                </c:pt>
                <c:pt idx="180">
                  <c:v>1-Dec-09</c:v>
                </c:pt>
                <c:pt idx="181">
                  <c:v>8-Dec-09</c:v>
                </c:pt>
                <c:pt idx="182">
                  <c:v>15-Dec-09</c:v>
                </c:pt>
                <c:pt idx="183">
                  <c:v>22-Dec-09</c:v>
                </c:pt>
                <c:pt idx="184">
                  <c:v>29-Dec-09</c:v>
                </c:pt>
                <c:pt idx="185">
                  <c:v>5-Jan-10</c:v>
                </c:pt>
                <c:pt idx="186">
                  <c:v>12-Jan-10</c:v>
                </c:pt>
                <c:pt idx="187">
                  <c:v>19-Jan-10</c:v>
                </c:pt>
                <c:pt idx="188">
                  <c:v>26-Jan-10</c:v>
                </c:pt>
                <c:pt idx="189">
                  <c:v>2-Feb-10</c:v>
                </c:pt>
                <c:pt idx="190">
                  <c:v>9-Feb-10</c:v>
                </c:pt>
                <c:pt idx="191">
                  <c:v>16-Feb-10</c:v>
                </c:pt>
                <c:pt idx="192">
                  <c:v>23-Feb-10</c:v>
                </c:pt>
                <c:pt idx="193">
                  <c:v>2-Mar-10</c:v>
                </c:pt>
                <c:pt idx="194">
                  <c:v>9-Mar-10</c:v>
                </c:pt>
                <c:pt idx="195">
                  <c:v>16-Mar-10</c:v>
                </c:pt>
                <c:pt idx="196">
                  <c:v>23-Mar-10</c:v>
                </c:pt>
                <c:pt idx="197">
                  <c:v>30-Mar-10</c:v>
                </c:pt>
                <c:pt idx="198">
                  <c:v>6-Apr-10</c:v>
                </c:pt>
                <c:pt idx="199">
                  <c:v>13-Apr-10</c:v>
                </c:pt>
                <c:pt idx="200">
                  <c:v>20-Apr-10</c:v>
                </c:pt>
                <c:pt idx="201">
                  <c:v>27-Apr-10</c:v>
                </c:pt>
                <c:pt idx="202">
                  <c:v>4-May-10</c:v>
                </c:pt>
                <c:pt idx="203">
                  <c:v>11-May-10</c:v>
                </c:pt>
                <c:pt idx="204">
                  <c:v>18-May-10</c:v>
                </c:pt>
                <c:pt idx="205">
                  <c:v>25-May-10</c:v>
                </c:pt>
                <c:pt idx="206">
                  <c:v>1-Jun-10</c:v>
                </c:pt>
                <c:pt idx="207">
                  <c:v>8-Jun-10</c:v>
                </c:pt>
                <c:pt idx="208">
                  <c:v>15-Jun-10</c:v>
                </c:pt>
                <c:pt idx="209">
                  <c:v>22-Jun-10</c:v>
                </c:pt>
                <c:pt idx="210">
                  <c:v>29-Jun-10</c:v>
                </c:pt>
                <c:pt idx="211">
                  <c:v>6-Jul-10</c:v>
                </c:pt>
                <c:pt idx="212">
                  <c:v>13-Jul-10</c:v>
                </c:pt>
                <c:pt idx="213">
                  <c:v>20-Jul-10</c:v>
                </c:pt>
                <c:pt idx="214">
                  <c:v>27-Jul-10</c:v>
                </c:pt>
                <c:pt idx="215">
                  <c:v>3-Aug-10</c:v>
                </c:pt>
                <c:pt idx="216">
                  <c:v>10-Aug-10</c:v>
                </c:pt>
                <c:pt idx="217">
                  <c:v>17-Aug-10</c:v>
                </c:pt>
                <c:pt idx="218">
                  <c:v>24-Aug-10</c:v>
                </c:pt>
                <c:pt idx="219">
                  <c:v>31-Aug-10</c:v>
                </c:pt>
                <c:pt idx="220">
                  <c:v>7-Sep-10</c:v>
                </c:pt>
                <c:pt idx="221">
                  <c:v>14-Sep-10</c:v>
                </c:pt>
                <c:pt idx="222">
                  <c:v>21-Sep-10</c:v>
                </c:pt>
                <c:pt idx="223">
                  <c:v>28-Sep-10</c:v>
                </c:pt>
                <c:pt idx="224">
                  <c:v>5-Oct-10</c:v>
                </c:pt>
                <c:pt idx="225">
                  <c:v>12-Oct-10</c:v>
                </c:pt>
                <c:pt idx="226">
                  <c:v>19-Oct-10</c:v>
                </c:pt>
                <c:pt idx="227">
                  <c:v>26-Oct-10</c:v>
                </c:pt>
                <c:pt idx="228">
                  <c:v>2-Nov-10</c:v>
                </c:pt>
                <c:pt idx="229">
                  <c:v>9-Nov-10</c:v>
                </c:pt>
                <c:pt idx="230">
                  <c:v>16-Nov-10</c:v>
                </c:pt>
                <c:pt idx="231">
                  <c:v>23-Nov-10</c:v>
                </c:pt>
                <c:pt idx="232">
                  <c:v>30-Nov-10</c:v>
                </c:pt>
                <c:pt idx="233">
                  <c:v>7-Dec-10</c:v>
                </c:pt>
                <c:pt idx="234">
                  <c:v>14-Dec-10</c:v>
                </c:pt>
                <c:pt idx="235">
                  <c:v>21-Dec-10</c:v>
                </c:pt>
                <c:pt idx="236">
                  <c:v>28-Dec-10</c:v>
                </c:pt>
                <c:pt idx="237">
                  <c:v>4-Jan-11</c:v>
                </c:pt>
                <c:pt idx="238">
                  <c:v>11-Jan-11</c:v>
                </c:pt>
                <c:pt idx="239">
                  <c:v>18-Jan-11</c:v>
                </c:pt>
                <c:pt idx="240">
                  <c:v>25-Jan-11</c:v>
                </c:pt>
                <c:pt idx="241">
                  <c:v>1-Feb-11</c:v>
                </c:pt>
                <c:pt idx="242">
                  <c:v>8-Feb-11</c:v>
                </c:pt>
                <c:pt idx="243">
                  <c:v>15-Feb-11</c:v>
                </c:pt>
                <c:pt idx="244">
                  <c:v>22-Feb-11</c:v>
                </c:pt>
                <c:pt idx="245">
                  <c:v>1-Mar-11</c:v>
                </c:pt>
                <c:pt idx="246">
                  <c:v>8-Mar-11</c:v>
                </c:pt>
                <c:pt idx="247">
                  <c:v>15-Mar-11</c:v>
                </c:pt>
                <c:pt idx="248">
                  <c:v>22-Mar-11</c:v>
                </c:pt>
                <c:pt idx="249">
                  <c:v>29-Mar-11</c:v>
                </c:pt>
                <c:pt idx="250">
                  <c:v>5-Apr-11</c:v>
                </c:pt>
                <c:pt idx="251">
                  <c:v>12-Apr-11</c:v>
                </c:pt>
                <c:pt idx="252">
                  <c:v>19-Apr-11</c:v>
                </c:pt>
                <c:pt idx="253">
                  <c:v>26-Apr-11</c:v>
                </c:pt>
                <c:pt idx="254">
                  <c:v>3-May-11</c:v>
                </c:pt>
                <c:pt idx="255">
                  <c:v>10-May-11</c:v>
                </c:pt>
                <c:pt idx="256">
                  <c:v>17-May-11</c:v>
                </c:pt>
                <c:pt idx="257">
                  <c:v>24-May-11</c:v>
                </c:pt>
                <c:pt idx="258">
                  <c:v>31-May-11</c:v>
                </c:pt>
                <c:pt idx="259">
                  <c:v>7-Jun-11</c:v>
                </c:pt>
                <c:pt idx="260">
                  <c:v>14-Jun-11</c:v>
                </c:pt>
                <c:pt idx="261">
                  <c:v>21-Jun-11</c:v>
                </c:pt>
                <c:pt idx="262">
                  <c:v>28-Jun-11</c:v>
                </c:pt>
                <c:pt idx="263">
                  <c:v>5-Jul-11</c:v>
                </c:pt>
                <c:pt idx="264">
                  <c:v>12-Jul-11</c:v>
                </c:pt>
                <c:pt idx="265">
                  <c:v>19-Jul-11</c:v>
                </c:pt>
                <c:pt idx="266">
                  <c:v>26-Jul-11</c:v>
                </c:pt>
                <c:pt idx="267">
                  <c:v>2-Aug-11</c:v>
                </c:pt>
                <c:pt idx="268">
                  <c:v>9-Aug-11</c:v>
                </c:pt>
                <c:pt idx="269">
                  <c:v>16-Aug-11</c:v>
                </c:pt>
                <c:pt idx="270">
                  <c:v>23-Aug-11</c:v>
                </c:pt>
                <c:pt idx="271">
                  <c:v>30-Aug-11</c:v>
                </c:pt>
                <c:pt idx="272">
                  <c:v>6-Sep-11</c:v>
                </c:pt>
                <c:pt idx="273">
                  <c:v>13-Sep-11</c:v>
                </c:pt>
                <c:pt idx="274">
                  <c:v>20-Sep-11</c:v>
                </c:pt>
                <c:pt idx="275">
                  <c:v>27-Sep-11</c:v>
                </c:pt>
                <c:pt idx="276">
                  <c:v>4-Oct-11</c:v>
                </c:pt>
                <c:pt idx="277">
                  <c:v>11-Oct-11</c:v>
                </c:pt>
                <c:pt idx="278">
                  <c:v>18-Oct-11</c:v>
                </c:pt>
                <c:pt idx="279">
                  <c:v>25-Oct-11</c:v>
                </c:pt>
                <c:pt idx="280">
                  <c:v>1-Nov-11</c:v>
                </c:pt>
                <c:pt idx="281">
                  <c:v>8-Nov-11</c:v>
                </c:pt>
                <c:pt idx="282">
                  <c:v>15-Nov-11</c:v>
                </c:pt>
                <c:pt idx="283">
                  <c:v>22-Nov-11</c:v>
                </c:pt>
                <c:pt idx="284">
                  <c:v>29-Nov-11</c:v>
                </c:pt>
                <c:pt idx="285">
                  <c:v>6-Dec-11</c:v>
                </c:pt>
                <c:pt idx="286">
                  <c:v>13-Dec-11</c:v>
                </c:pt>
                <c:pt idx="287">
                  <c:v>20-Dec-11</c:v>
                </c:pt>
                <c:pt idx="288">
                  <c:v>27-Dec-11</c:v>
                </c:pt>
                <c:pt idx="289">
                  <c:v>3-Jan-12</c:v>
                </c:pt>
                <c:pt idx="290">
                  <c:v>10-Jan-12</c:v>
                </c:pt>
                <c:pt idx="291">
                  <c:v>17-Jan-12</c:v>
                </c:pt>
                <c:pt idx="292">
                  <c:v>24-Jan-12</c:v>
                </c:pt>
                <c:pt idx="293">
                  <c:v>31-Jan-12</c:v>
                </c:pt>
                <c:pt idx="294">
                  <c:v>7-Feb-12</c:v>
                </c:pt>
                <c:pt idx="295">
                  <c:v>14-Feb-12</c:v>
                </c:pt>
                <c:pt idx="296">
                  <c:v>21-Feb-12</c:v>
                </c:pt>
                <c:pt idx="297">
                  <c:v>28-Feb-12</c:v>
                </c:pt>
                <c:pt idx="298">
                  <c:v>6-Mar-12</c:v>
                </c:pt>
                <c:pt idx="299">
                  <c:v>13-Mar-12</c:v>
                </c:pt>
                <c:pt idx="300">
                  <c:v>20-Mar-12</c:v>
                </c:pt>
                <c:pt idx="301">
                  <c:v>27-Mar-12</c:v>
                </c:pt>
                <c:pt idx="302">
                  <c:v>3-Apr-12</c:v>
                </c:pt>
                <c:pt idx="303">
                  <c:v>10-Apr-12</c:v>
                </c:pt>
                <c:pt idx="304">
                  <c:v>17-Apr-12</c:v>
                </c:pt>
                <c:pt idx="305">
                  <c:v>24-Apr-12</c:v>
                </c:pt>
                <c:pt idx="306">
                  <c:v>1-May-12</c:v>
                </c:pt>
                <c:pt idx="307">
                  <c:v>8-May-12</c:v>
                </c:pt>
                <c:pt idx="308">
                  <c:v>15-May-12</c:v>
                </c:pt>
                <c:pt idx="309">
                  <c:v>22-May-12</c:v>
                </c:pt>
                <c:pt idx="310">
                  <c:v>29-May-12</c:v>
                </c:pt>
                <c:pt idx="311">
                  <c:v>5-Jun-12</c:v>
                </c:pt>
                <c:pt idx="312">
                  <c:v>12-Jun-12</c:v>
                </c:pt>
                <c:pt idx="313">
                  <c:v>19-Jun-12</c:v>
                </c:pt>
                <c:pt idx="314">
                  <c:v>26-Jun-12</c:v>
                </c:pt>
                <c:pt idx="315">
                  <c:v>3-Jul-12</c:v>
                </c:pt>
                <c:pt idx="316">
                  <c:v>10-Jul-12</c:v>
                </c:pt>
                <c:pt idx="317">
                  <c:v>17-Jul-12</c:v>
                </c:pt>
                <c:pt idx="318">
                  <c:v>24-Jul-12</c:v>
                </c:pt>
                <c:pt idx="319">
                  <c:v>31-Jul-12</c:v>
                </c:pt>
                <c:pt idx="320">
                  <c:v>7-Aug-12</c:v>
                </c:pt>
                <c:pt idx="321">
                  <c:v>14-Aug-12</c:v>
                </c:pt>
                <c:pt idx="322">
                  <c:v>21-Aug-12</c:v>
                </c:pt>
                <c:pt idx="323">
                  <c:v>28-Aug-12</c:v>
                </c:pt>
                <c:pt idx="324">
                  <c:v>4-Sep-12</c:v>
                </c:pt>
                <c:pt idx="325">
                  <c:v>11-Sep-12</c:v>
                </c:pt>
                <c:pt idx="326">
                  <c:v>18-Sep-12</c:v>
                </c:pt>
                <c:pt idx="327">
                  <c:v>25-Sep-12</c:v>
                </c:pt>
                <c:pt idx="328">
                  <c:v>2-Oct-12</c:v>
                </c:pt>
                <c:pt idx="329">
                  <c:v>9-Oct-12</c:v>
                </c:pt>
                <c:pt idx="330">
                  <c:v>16-Oct-12</c:v>
                </c:pt>
                <c:pt idx="331">
                  <c:v>23-Oct-12</c:v>
                </c:pt>
                <c:pt idx="332">
                  <c:v>30-Oct-12</c:v>
                </c:pt>
                <c:pt idx="333">
                  <c:v>6-Nov-12</c:v>
                </c:pt>
                <c:pt idx="334">
                  <c:v>13-Nov-12</c:v>
                </c:pt>
                <c:pt idx="335">
                  <c:v>20-Nov-12</c:v>
                </c:pt>
                <c:pt idx="336">
                  <c:v>27-Nov-12</c:v>
                </c:pt>
                <c:pt idx="337">
                  <c:v>4-Dec-12</c:v>
                </c:pt>
                <c:pt idx="338">
                  <c:v>11-Dec-12</c:v>
                </c:pt>
                <c:pt idx="339">
                  <c:v>18-Dec-12</c:v>
                </c:pt>
                <c:pt idx="340">
                  <c:v>25-Dec-12</c:v>
                </c:pt>
                <c:pt idx="341">
                  <c:v>1-Jan-13</c:v>
                </c:pt>
                <c:pt idx="342">
                  <c:v>8-Jan-13</c:v>
                </c:pt>
                <c:pt idx="343">
                  <c:v>15-Jan-13</c:v>
                </c:pt>
                <c:pt idx="344">
                  <c:v>22-Jan-13</c:v>
                </c:pt>
                <c:pt idx="345">
                  <c:v>29-Jan-13</c:v>
                </c:pt>
                <c:pt idx="346">
                  <c:v>5-Feb-13</c:v>
                </c:pt>
                <c:pt idx="347">
                  <c:v>12-Feb-13</c:v>
                </c:pt>
                <c:pt idx="348">
                  <c:v>19-Feb-13</c:v>
                </c:pt>
                <c:pt idx="349">
                  <c:v>26-Feb-13</c:v>
                </c:pt>
                <c:pt idx="350">
                  <c:v>5-Mar-13</c:v>
                </c:pt>
                <c:pt idx="351">
                  <c:v>12-Mar-13</c:v>
                </c:pt>
                <c:pt idx="352">
                  <c:v>19-Mar-13</c:v>
                </c:pt>
                <c:pt idx="353">
                  <c:v>26-Mar-13</c:v>
                </c:pt>
                <c:pt idx="354">
                  <c:v>2-Apr-13</c:v>
                </c:pt>
                <c:pt idx="355">
                  <c:v>9-Apr-13</c:v>
                </c:pt>
                <c:pt idx="356">
                  <c:v>16-Apr-13</c:v>
                </c:pt>
                <c:pt idx="357">
                  <c:v>23-Apr-13</c:v>
                </c:pt>
                <c:pt idx="358">
                  <c:v>30-Apr-13</c:v>
                </c:pt>
                <c:pt idx="359">
                  <c:v>7-May-13</c:v>
                </c:pt>
                <c:pt idx="360">
                  <c:v>14-May-13</c:v>
                </c:pt>
                <c:pt idx="361">
                  <c:v>21-May-13</c:v>
                </c:pt>
                <c:pt idx="362">
                  <c:v>28-May-13</c:v>
                </c:pt>
                <c:pt idx="363">
                  <c:v>4-Jun-13</c:v>
                </c:pt>
                <c:pt idx="364">
                  <c:v>11-Jun-13</c:v>
                </c:pt>
                <c:pt idx="365">
                  <c:v>18-Jun-13</c:v>
                </c:pt>
                <c:pt idx="366">
                  <c:v>25-Jun-13</c:v>
                </c:pt>
                <c:pt idx="367">
                  <c:v>2-Jul-13</c:v>
                </c:pt>
                <c:pt idx="368">
                  <c:v>9-Jul-13</c:v>
                </c:pt>
                <c:pt idx="369">
                  <c:v>16-Jul-13</c:v>
                </c:pt>
                <c:pt idx="370">
                  <c:v>23-Jul-13</c:v>
                </c:pt>
                <c:pt idx="371">
                  <c:v>30-Jul-13</c:v>
                </c:pt>
                <c:pt idx="372">
                  <c:v>6-Aug-13</c:v>
                </c:pt>
                <c:pt idx="373">
                  <c:v>13-Aug-13</c:v>
                </c:pt>
                <c:pt idx="374">
                  <c:v>20-Aug-13</c:v>
                </c:pt>
                <c:pt idx="375">
                  <c:v>27-Aug-13</c:v>
                </c:pt>
                <c:pt idx="376">
                  <c:v>3-Sep-13</c:v>
                </c:pt>
                <c:pt idx="377">
                  <c:v>10-Sep-13</c:v>
                </c:pt>
                <c:pt idx="378">
                  <c:v>17-Sep-13</c:v>
                </c:pt>
                <c:pt idx="379">
                  <c:v>24-Sep-13</c:v>
                </c:pt>
                <c:pt idx="380">
                  <c:v>1-Oct-13</c:v>
                </c:pt>
                <c:pt idx="381">
                  <c:v>8-Oct-13</c:v>
                </c:pt>
                <c:pt idx="382">
                  <c:v>15-Oct-13</c:v>
                </c:pt>
                <c:pt idx="383">
                  <c:v>22-Oct-13</c:v>
                </c:pt>
                <c:pt idx="384">
                  <c:v>29-Oct-13</c:v>
                </c:pt>
                <c:pt idx="385">
                  <c:v>5-Nov-13</c:v>
                </c:pt>
                <c:pt idx="386">
                  <c:v>12-Nov-13</c:v>
                </c:pt>
                <c:pt idx="387">
                  <c:v>19-Nov-13</c:v>
                </c:pt>
                <c:pt idx="388">
                  <c:v>26-Nov-13</c:v>
                </c:pt>
                <c:pt idx="389">
                  <c:v>3-Dec-13</c:v>
                </c:pt>
                <c:pt idx="390">
                  <c:v>10-Dec-13</c:v>
                </c:pt>
                <c:pt idx="391">
                  <c:v>17-Dec-13</c:v>
                </c:pt>
                <c:pt idx="392">
                  <c:v>24-Dec-13</c:v>
                </c:pt>
                <c:pt idx="393">
                  <c:v>31-Dec-13</c:v>
                </c:pt>
                <c:pt idx="394">
                  <c:v>7-Jan-14</c:v>
                </c:pt>
                <c:pt idx="395">
                  <c:v>14-Jan-14</c:v>
                </c:pt>
                <c:pt idx="396">
                  <c:v>21-Jan-14</c:v>
                </c:pt>
                <c:pt idx="397">
                  <c:v>28-Jan-14</c:v>
                </c:pt>
                <c:pt idx="398">
                  <c:v>4-Feb-14</c:v>
                </c:pt>
                <c:pt idx="399">
                  <c:v>11-Feb-14</c:v>
                </c:pt>
                <c:pt idx="400">
                  <c:v>18-Feb-14</c:v>
                </c:pt>
                <c:pt idx="401">
                  <c:v>25-Feb-14</c:v>
                </c:pt>
                <c:pt idx="402">
                  <c:v>4-Mar-14</c:v>
                </c:pt>
                <c:pt idx="403">
                  <c:v>11-Mar-14</c:v>
                </c:pt>
                <c:pt idx="404">
                  <c:v>18-Mar-14</c:v>
                </c:pt>
                <c:pt idx="405">
                  <c:v>25-Mar-14</c:v>
                </c:pt>
                <c:pt idx="406">
                  <c:v>1-Apr-14</c:v>
                </c:pt>
                <c:pt idx="407">
                  <c:v>8-Apr-14</c:v>
                </c:pt>
                <c:pt idx="408">
                  <c:v>15-Apr-14</c:v>
                </c:pt>
                <c:pt idx="409">
                  <c:v>22-Apr-14</c:v>
                </c:pt>
                <c:pt idx="410">
                  <c:v>29-Apr-14</c:v>
                </c:pt>
                <c:pt idx="411">
                  <c:v>6-May-14</c:v>
                </c:pt>
                <c:pt idx="412">
                  <c:v>13-May-14</c:v>
                </c:pt>
                <c:pt idx="413">
                  <c:v>20-May-14</c:v>
                </c:pt>
                <c:pt idx="414">
                  <c:v>27-May-14</c:v>
                </c:pt>
                <c:pt idx="415">
                  <c:v>3-Jun-14</c:v>
                </c:pt>
                <c:pt idx="416">
                  <c:v>10-Jun-14</c:v>
                </c:pt>
                <c:pt idx="417">
                  <c:v>17-Jun-14</c:v>
                </c:pt>
                <c:pt idx="418">
                  <c:v>24-Jun-14</c:v>
                </c:pt>
                <c:pt idx="419">
                  <c:v>1-Jul-14</c:v>
                </c:pt>
                <c:pt idx="420">
                  <c:v>8-Jul-14</c:v>
                </c:pt>
                <c:pt idx="421">
                  <c:v>15-Jul-14</c:v>
                </c:pt>
                <c:pt idx="422">
                  <c:v>22-Jul-14</c:v>
                </c:pt>
                <c:pt idx="423">
                  <c:v>29-Jul-14</c:v>
                </c:pt>
                <c:pt idx="424">
                  <c:v>5-Aug-14</c:v>
                </c:pt>
                <c:pt idx="425">
                  <c:v>12-Aug-14</c:v>
                </c:pt>
                <c:pt idx="426">
                  <c:v>19-Aug-14</c:v>
                </c:pt>
                <c:pt idx="427">
                  <c:v>26-Aug-14</c:v>
                </c:pt>
                <c:pt idx="428">
                  <c:v>2-Sep-14</c:v>
                </c:pt>
                <c:pt idx="429">
                  <c:v>9-Sep-14</c:v>
                </c:pt>
                <c:pt idx="430">
                  <c:v>16-Sep-14</c:v>
                </c:pt>
                <c:pt idx="431">
                  <c:v>23-Sep-14</c:v>
                </c:pt>
                <c:pt idx="432">
                  <c:v>30-Sep-14</c:v>
                </c:pt>
                <c:pt idx="433">
                  <c:v>7-Oct-14</c:v>
                </c:pt>
                <c:pt idx="434">
                  <c:v>14-Oct-14</c:v>
                </c:pt>
                <c:pt idx="435">
                  <c:v>21-Oct-14</c:v>
                </c:pt>
                <c:pt idx="436">
                  <c:v>28-Oct-14</c:v>
                </c:pt>
                <c:pt idx="437">
                  <c:v>4-Nov-14</c:v>
                </c:pt>
                <c:pt idx="438">
                  <c:v>11-Nov-14</c:v>
                </c:pt>
                <c:pt idx="439">
                  <c:v>18-Nov-14</c:v>
                </c:pt>
                <c:pt idx="440">
                  <c:v>25-Nov-14</c:v>
                </c:pt>
                <c:pt idx="441">
                  <c:v>2-Dec-14</c:v>
                </c:pt>
                <c:pt idx="442">
                  <c:v>9-Dec-14</c:v>
                </c:pt>
                <c:pt idx="443">
                  <c:v>16-Dec-14</c:v>
                </c:pt>
                <c:pt idx="444">
                  <c:v>23-Dec-14</c:v>
                </c:pt>
                <c:pt idx="445">
                  <c:v>30-Dec-14</c:v>
                </c:pt>
                <c:pt idx="446">
                  <c:v>6-Jan-15</c:v>
                </c:pt>
                <c:pt idx="447">
                  <c:v>13-Jan-15</c:v>
                </c:pt>
                <c:pt idx="448">
                  <c:v>20-Jan-15</c:v>
                </c:pt>
                <c:pt idx="449">
                  <c:v>27-Jan-15</c:v>
                </c:pt>
                <c:pt idx="450">
                  <c:v>3-Feb-15</c:v>
                </c:pt>
                <c:pt idx="451">
                  <c:v>10-Feb-15</c:v>
                </c:pt>
                <c:pt idx="452">
                  <c:v>17-Feb-15</c:v>
                </c:pt>
                <c:pt idx="453">
                  <c:v>24-Feb-15</c:v>
                </c:pt>
                <c:pt idx="454">
                  <c:v>3-Mar-15</c:v>
                </c:pt>
                <c:pt idx="455">
                  <c:v>10-Mar-15</c:v>
                </c:pt>
                <c:pt idx="456">
                  <c:v>17-Mar-15</c:v>
                </c:pt>
                <c:pt idx="457">
                  <c:v>24-Mar-15</c:v>
                </c:pt>
                <c:pt idx="458">
                  <c:v>31-Mar-15</c:v>
                </c:pt>
                <c:pt idx="459">
                  <c:v>7-Apr-15</c:v>
                </c:pt>
                <c:pt idx="460">
                  <c:v>14-Apr-15</c:v>
                </c:pt>
                <c:pt idx="461">
                  <c:v>21-Apr-15</c:v>
                </c:pt>
                <c:pt idx="462">
                  <c:v>28-Apr-15</c:v>
                </c:pt>
                <c:pt idx="463">
                  <c:v>5-May-15</c:v>
                </c:pt>
                <c:pt idx="464">
                  <c:v>12-May-15</c:v>
                </c:pt>
                <c:pt idx="465">
                  <c:v>19-May-15</c:v>
                </c:pt>
                <c:pt idx="466">
                  <c:v>26-May-15</c:v>
                </c:pt>
                <c:pt idx="467">
                  <c:v>2-Jun-15</c:v>
                </c:pt>
                <c:pt idx="468">
                  <c:v>9-Jun-15</c:v>
                </c:pt>
                <c:pt idx="469">
                  <c:v>16-Jun-15</c:v>
                </c:pt>
                <c:pt idx="470">
                  <c:v>23-Jun-15</c:v>
                </c:pt>
                <c:pt idx="471">
                  <c:v>30-Jun-15</c:v>
                </c:pt>
                <c:pt idx="472">
                  <c:v>7-Jul-15</c:v>
                </c:pt>
                <c:pt idx="473">
                  <c:v>14-Jul-15</c:v>
                </c:pt>
                <c:pt idx="474">
                  <c:v>21-Jul-15</c:v>
                </c:pt>
                <c:pt idx="475">
                  <c:v>28-Jul-15</c:v>
                </c:pt>
                <c:pt idx="476">
                  <c:v>4-Aug-15</c:v>
                </c:pt>
                <c:pt idx="477">
                  <c:v>11-Aug-15</c:v>
                </c:pt>
                <c:pt idx="478">
                  <c:v>18-Aug-15</c:v>
                </c:pt>
                <c:pt idx="479">
                  <c:v>25-Aug-15</c:v>
                </c:pt>
                <c:pt idx="480">
                  <c:v>1-Sep-15</c:v>
                </c:pt>
                <c:pt idx="481">
                  <c:v>8-Sep-15</c:v>
                </c:pt>
                <c:pt idx="482">
                  <c:v>15-Sep-15</c:v>
                </c:pt>
                <c:pt idx="483">
                  <c:v>22-Sep-15</c:v>
                </c:pt>
                <c:pt idx="484">
                  <c:v>29-Sep-15</c:v>
                </c:pt>
                <c:pt idx="485">
                  <c:v>6-Oct-15</c:v>
                </c:pt>
                <c:pt idx="486">
                  <c:v>13-Oct-15</c:v>
                </c:pt>
                <c:pt idx="487">
                  <c:v>20-Oct-15</c:v>
                </c:pt>
                <c:pt idx="488">
                  <c:v>27-Oct-15</c:v>
                </c:pt>
                <c:pt idx="489">
                  <c:v>3-Nov-15</c:v>
                </c:pt>
                <c:pt idx="490">
                  <c:v>10-Nov-15</c:v>
                </c:pt>
                <c:pt idx="491">
                  <c:v>17-Nov-15</c:v>
                </c:pt>
                <c:pt idx="492">
                  <c:v>24-Nov-15</c:v>
                </c:pt>
                <c:pt idx="493">
                  <c:v>1-Dec-15</c:v>
                </c:pt>
                <c:pt idx="494">
                  <c:v>8-Dec-15</c:v>
                </c:pt>
                <c:pt idx="495">
                  <c:v>15-Dec-15</c:v>
                </c:pt>
                <c:pt idx="496">
                  <c:v>22-Dec-15</c:v>
                </c:pt>
                <c:pt idx="497">
                  <c:v>29-Dec-15</c:v>
                </c:pt>
                <c:pt idx="498">
                  <c:v>5-Jan-16</c:v>
                </c:pt>
                <c:pt idx="499">
                  <c:v>12-Jan-16</c:v>
                </c:pt>
                <c:pt idx="500">
                  <c:v>19-Jan-16</c:v>
                </c:pt>
                <c:pt idx="501">
                  <c:v>26-Jan-16</c:v>
                </c:pt>
                <c:pt idx="502">
                  <c:v>2-Feb-16</c:v>
                </c:pt>
                <c:pt idx="503">
                  <c:v>9-Feb-16</c:v>
                </c:pt>
                <c:pt idx="504">
                  <c:v>16-Feb-16</c:v>
                </c:pt>
                <c:pt idx="505">
                  <c:v>23-Feb-16</c:v>
                </c:pt>
                <c:pt idx="506">
                  <c:v>1-Mar-16</c:v>
                </c:pt>
                <c:pt idx="507">
                  <c:v>8-Mar-16</c:v>
                </c:pt>
                <c:pt idx="508">
                  <c:v>15-Mar-16</c:v>
                </c:pt>
                <c:pt idx="509">
                  <c:v>22-Mar-16</c:v>
                </c:pt>
                <c:pt idx="510">
                  <c:v>29-Mar-16</c:v>
                </c:pt>
                <c:pt idx="511">
                  <c:v>5-Apr-16</c:v>
                </c:pt>
                <c:pt idx="512">
                  <c:v>12-Apr-16</c:v>
                </c:pt>
                <c:pt idx="513">
                  <c:v>19-Apr-16</c:v>
                </c:pt>
                <c:pt idx="514">
                  <c:v>26-Apr-16</c:v>
                </c:pt>
                <c:pt idx="515">
                  <c:v>3-May-16</c:v>
                </c:pt>
                <c:pt idx="516">
                  <c:v>10-May-16</c:v>
                </c:pt>
                <c:pt idx="517">
                  <c:v>17-May-16</c:v>
                </c:pt>
                <c:pt idx="518">
                  <c:v>24-May-16</c:v>
                </c:pt>
                <c:pt idx="519">
                  <c:v>31-May-16</c:v>
                </c:pt>
                <c:pt idx="520">
                  <c:v>7-Jun-16</c:v>
                </c:pt>
                <c:pt idx="521">
                  <c:v>14-Jun-16</c:v>
                </c:pt>
                <c:pt idx="522">
                  <c:v>21-Jun-16</c:v>
                </c:pt>
                <c:pt idx="523">
                  <c:v>28-Jun-16</c:v>
                </c:pt>
                <c:pt idx="524">
                  <c:v>5-Jul-16</c:v>
                </c:pt>
                <c:pt idx="525">
                  <c:v>12-Jul-16</c:v>
                </c:pt>
                <c:pt idx="526">
                  <c:v>19-Jul-16</c:v>
                </c:pt>
                <c:pt idx="527">
                  <c:v>26-Jul-16</c:v>
                </c:pt>
                <c:pt idx="528">
                  <c:v>2-Aug-16</c:v>
                </c:pt>
                <c:pt idx="529">
                  <c:v>9-Aug-16</c:v>
                </c:pt>
                <c:pt idx="530">
                  <c:v>16-Aug-16</c:v>
                </c:pt>
                <c:pt idx="531">
                  <c:v>23-Aug-16</c:v>
                </c:pt>
                <c:pt idx="532">
                  <c:v>30-Aug-16</c:v>
                </c:pt>
                <c:pt idx="533">
                  <c:v>6-Sep-16</c:v>
                </c:pt>
                <c:pt idx="534">
                  <c:v>13-Sep-16</c:v>
                </c:pt>
                <c:pt idx="535">
                  <c:v>20-Sep-16</c:v>
                </c:pt>
                <c:pt idx="536">
                  <c:v>27-Sep-16</c:v>
                </c:pt>
                <c:pt idx="537">
                  <c:v>4-Oct-16</c:v>
                </c:pt>
                <c:pt idx="538">
                  <c:v>11-Oct-16</c:v>
                </c:pt>
                <c:pt idx="539">
                  <c:v>18-Oct-16</c:v>
                </c:pt>
                <c:pt idx="540">
                  <c:v>25-Oct-16</c:v>
                </c:pt>
                <c:pt idx="541">
                  <c:v>1-Nov-16</c:v>
                </c:pt>
                <c:pt idx="542">
                  <c:v>8-Nov-16</c:v>
                </c:pt>
                <c:pt idx="543">
                  <c:v>15-Nov-16</c:v>
                </c:pt>
                <c:pt idx="544">
                  <c:v>22-Nov-16</c:v>
                </c:pt>
                <c:pt idx="545">
                  <c:v>29-Nov-16</c:v>
                </c:pt>
                <c:pt idx="546">
                  <c:v>6-Dec-16</c:v>
                </c:pt>
                <c:pt idx="547">
                  <c:v>13-Dec-16</c:v>
                </c:pt>
                <c:pt idx="548">
                  <c:v>20-Dec-16</c:v>
                </c:pt>
                <c:pt idx="549">
                  <c:v>27-Dec-16</c:v>
                </c:pt>
                <c:pt idx="550">
                  <c:v>3-Jan-17</c:v>
                </c:pt>
                <c:pt idx="551">
                  <c:v>10-Jan-17</c:v>
                </c:pt>
                <c:pt idx="552">
                  <c:v>17-Jan-17</c:v>
                </c:pt>
                <c:pt idx="553">
                  <c:v>24-Jan-17</c:v>
                </c:pt>
                <c:pt idx="554">
                  <c:v>31-Jan-17</c:v>
                </c:pt>
                <c:pt idx="555">
                  <c:v>7-Feb-17</c:v>
                </c:pt>
                <c:pt idx="556">
                  <c:v>14-Feb-17</c:v>
                </c:pt>
                <c:pt idx="557">
                  <c:v>21-Feb-17</c:v>
                </c:pt>
                <c:pt idx="558">
                  <c:v>28-Feb-17</c:v>
                </c:pt>
                <c:pt idx="559">
                  <c:v>7-Mar-17</c:v>
                </c:pt>
                <c:pt idx="560">
                  <c:v>14-Mar-17</c:v>
                </c:pt>
                <c:pt idx="561">
                  <c:v>21-Mar-17</c:v>
                </c:pt>
                <c:pt idx="562">
                  <c:v>28-Mar-17</c:v>
                </c:pt>
                <c:pt idx="563">
                  <c:v>4-Apr-17</c:v>
                </c:pt>
                <c:pt idx="564">
                  <c:v>11-Apr-17</c:v>
                </c:pt>
                <c:pt idx="565">
                  <c:v>18-Apr-17</c:v>
                </c:pt>
                <c:pt idx="566">
                  <c:v>25-Apr-17</c:v>
                </c:pt>
                <c:pt idx="567">
                  <c:v>2-May-17</c:v>
                </c:pt>
                <c:pt idx="568">
                  <c:v>9-May-17</c:v>
                </c:pt>
                <c:pt idx="569">
                  <c:v>16-May-17</c:v>
                </c:pt>
                <c:pt idx="570">
                  <c:v>23-May-17</c:v>
                </c:pt>
                <c:pt idx="571">
                  <c:v>30-May-17</c:v>
                </c:pt>
                <c:pt idx="572">
                  <c:v>6-Jun-17</c:v>
                </c:pt>
                <c:pt idx="573">
                  <c:v>13-Jun-17</c:v>
                </c:pt>
                <c:pt idx="574">
                  <c:v>20-Jun-17</c:v>
                </c:pt>
                <c:pt idx="575">
                  <c:v>27-Jun-17</c:v>
                </c:pt>
                <c:pt idx="576">
                  <c:v>4-Jul-17</c:v>
                </c:pt>
                <c:pt idx="577">
                  <c:v>11-Jul-17</c:v>
                </c:pt>
                <c:pt idx="578">
                  <c:v>18-Jul-17</c:v>
                </c:pt>
                <c:pt idx="579">
                  <c:v>25-Jul-17</c:v>
                </c:pt>
                <c:pt idx="580">
                  <c:v>1-Aug-17</c:v>
                </c:pt>
                <c:pt idx="581">
                  <c:v>8-Aug-17</c:v>
                </c:pt>
                <c:pt idx="582">
                  <c:v>15-Aug-17</c:v>
                </c:pt>
                <c:pt idx="583">
                  <c:v>22-Aug-17</c:v>
                </c:pt>
                <c:pt idx="584">
                  <c:v>29-Aug-17</c:v>
                </c:pt>
                <c:pt idx="585">
                  <c:v>5-Sep-17</c:v>
                </c:pt>
                <c:pt idx="586">
                  <c:v>12-Sep-17</c:v>
                </c:pt>
                <c:pt idx="587">
                  <c:v>19-Sep-17</c:v>
                </c:pt>
                <c:pt idx="588">
                  <c:v>26-Sep-17</c:v>
                </c:pt>
                <c:pt idx="589">
                  <c:v>3-Oct-17</c:v>
                </c:pt>
                <c:pt idx="590">
                  <c:v>10-Oct-17</c:v>
                </c:pt>
                <c:pt idx="591">
                  <c:v>17-Oct-17</c:v>
                </c:pt>
                <c:pt idx="592">
                  <c:v>24-Oct-17</c:v>
                </c:pt>
                <c:pt idx="593">
                  <c:v>31-Oct-17</c:v>
                </c:pt>
                <c:pt idx="594">
                  <c:v>7-Nov-17</c:v>
                </c:pt>
                <c:pt idx="595">
                  <c:v>14-Nov-17</c:v>
                </c:pt>
                <c:pt idx="596">
                  <c:v>21-Nov-17</c:v>
                </c:pt>
                <c:pt idx="597">
                  <c:v>28-Nov-17</c:v>
                </c:pt>
                <c:pt idx="598">
                  <c:v>5-Dec-17</c:v>
                </c:pt>
                <c:pt idx="599">
                  <c:v>12-Dec-17</c:v>
                </c:pt>
                <c:pt idx="600">
                  <c:v>19-Dec-17</c:v>
                </c:pt>
                <c:pt idx="601">
                  <c:v>26-Dec-17</c:v>
                </c:pt>
                <c:pt idx="602">
                  <c:v>2-Jan-18</c:v>
                </c:pt>
                <c:pt idx="603">
                  <c:v>9-Jan-18</c:v>
                </c:pt>
                <c:pt idx="604">
                  <c:v>16-Jan-18</c:v>
                </c:pt>
                <c:pt idx="605">
                  <c:v>23-Jan-18</c:v>
                </c:pt>
                <c:pt idx="606">
                  <c:v>30-Jan-18</c:v>
                </c:pt>
                <c:pt idx="607">
                  <c:v>6-Feb-18</c:v>
                </c:pt>
                <c:pt idx="608">
                  <c:v>13-Feb-18</c:v>
                </c:pt>
                <c:pt idx="609">
                  <c:v>20-Feb-18</c:v>
                </c:pt>
                <c:pt idx="610">
                  <c:v>27-Feb-18</c:v>
                </c:pt>
                <c:pt idx="611">
                  <c:v>6-Mar-18</c:v>
                </c:pt>
                <c:pt idx="612">
                  <c:v>13-Mar-18</c:v>
                </c:pt>
                <c:pt idx="613">
                  <c:v>20-Mar-18</c:v>
                </c:pt>
                <c:pt idx="614">
                  <c:v>27-Mar-18</c:v>
                </c:pt>
                <c:pt idx="615">
                  <c:v>3-Apr-18</c:v>
                </c:pt>
                <c:pt idx="616">
                  <c:v>10-Apr-18</c:v>
                </c:pt>
                <c:pt idx="617">
                  <c:v>17-Apr-18</c:v>
                </c:pt>
                <c:pt idx="618">
                  <c:v>24-Apr-18</c:v>
                </c:pt>
                <c:pt idx="619">
                  <c:v>1-May-18</c:v>
                </c:pt>
                <c:pt idx="620">
                  <c:v>8-May-18</c:v>
                </c:pt>
                <c:pt idx="621">
                  <c:v>15-May-18</c:v>
                </c:pt>
                <c:pt idx="622">
                  <c:v>22-May-18</c:v>
                </c:pt>
                <c:pt idx="623">
                  <c:v>29-May-18</c:v>
                </c:pt>
                <c:pt idx="624">
                  <c:v>5-Jun-18</c:v>
                </c:pt>
                <c:pt idx="625">
                  <c:v>12-Jun-18</c:v>
                </c:pt>
                <c:pt idx="626">
                  <c:v>19-Jun-18</c:v>
                </c:pt>
                <c:pt idx="627">
                  <c:v>26-Jun-18</c:v>
                </c:pt>
                <c:pt idx="628">
                  <c:v>3-Jul-18</c:v>
                </c:pt>
                <c:pt idx="629">
                  <c:v>10-Jul-18</c:v>
                </c:pt>
                <c:pt idx="630">
                  <c:v>17-Jul-18</c:v>
                </c:pt>
                <c:pt idx="631">
                  <c:v>24-Jul-18</c:v>
                </c:pt>
                <c:pt idx="632">
                  <c:v>31-Jul-18</c:v>
                </c:pt>
                <c:pt idx="633">
                  <c:v>7-Aug-18</c:v>
                </c:pt>
                <c:pt idx="634">
                  <c:v>14-Aug-18</c:v>
                </c:pt>
                <c:pt idx="635">
                  <c:v>21-Aug-18</c:v>
                </c:pt>
                <c:pt idx="636">
                  <c:v>28-Aug-18</c:v>
                </c:pt>
                <c:pt idx="637">
                  <c:v>4-Sep-18</c:v>
                </c:pt>
                <c:pt idx="638">
                  <c:v>11-Sep-18</c:v>
                </c:pt>
                <c:pt idx="639">
                  <c:v>18-Sep-18</c:v>
                </c:pt>
                <c:pt idx="640">
                  <c:v>25-Sep-18</c:v>
                </c:pt>
                <c:pt idx="641">
                  <c:v>2-Oct-18</c:v>
                </c:pt>
                <c:pt idx="642">
                  <c:v>9-Oct-18</c:v>
                </c:pt>
                <c:pt idx="643">
                  <c:v>16-Oct-18</c:v>
                </c:pt>
                <c:pt idx="644">
                  <c:v>23-Oct-18</c:v>
                </c:pt>
                <c:pt idx="645">
                  <c:v>30-Oct-18</c:v>
                </c:pt>
                <c:pt idx="646">
                  <c:v>6-Nov-18</c:v>
                </c:pt>
                <c:pt idx="647">
                  <c:v>13-Nov-18</c:v>
                </c:pt>
                <c:pt idx="648">
                  <c:v>20-Nov-18</c:v>
                </c:pt>
                <c:pt idx="649">
                  <c:v>27-Nov-18</c:v>
                </c:pt>
                <c:pt idx="650">
                  <c:v>4-Dec-18</c:v>
                </c:pt>
                <c:pt idx="651">
                  <c:v>11-Dec-18</c:v>
                </c:pt>
                <c:pt idx="652">
                  <c:v>18-Dec-18</c:v>
                </c:pt>
                <c:pt idx="653">
                  <c:v>25-Dec-18</c:v>
                </c:pt>
                <c:pt idx="654">
                  <c:v>1-Jan-19</c:v>
                </c:pt>
                <c:pt idx="655">
                  <c:v>8-Jan-19</c:v>
                </c:pt>
                <c:pt idx="656">
                  <c:v>15-Jan-19</c:v>
                </c:pt>
                <c:pt idx="657">
                  <c:v>22-Jan-19</c:v>
                </c:pt>
                <c:pt idx="658">
                  <c:v>29-Jan-19</c:v>
                </c:pt>
                <c:pt idx="659">
                  <c:v>5-Feb-19</c:v>
                </c:pt>
                <c:pt idx="660">
                  <c:v>12-Feb-19</c:v>
                </c:pt>
                <c:pt idx="661">
                  <c:v>19-Feb-19</c:v>
                </c:pt>
                <c:pt idx="662">
                  <c:v>26-Feb-19</c:v>
                </c:pt>
                <c:pt idx="663">
                  <c:v>5-Mar-19</c:v>
                </c:pt>
                <c:pt idx="664">
                  <c:v>12-Mar-19</c:v>
                </c:pt>
                <c:pt idx="665">
                  <c:v>19-Mar-19</c:v>
                </c:pt>
                <c:pt idx="666">
                  <c:v>26-Mar-19</c:v>
                </c:pt>
                <c:pt idx="667">
                  <c:v>2-Apr-19</c:v>
                </c:pt>
                <c:pt idx="668">
                  <c:v>9-Apr-19</c:v>
                </c:pt>
                <c:pt idx="669">
                  <c:v>16-Apr-19</c:v>
                </c:pt>
                <c:pt idx="670">
                  <c:v>23-Apr-19</c:v>
                </c:pt>
                <c:pt idx="671">
                  <c:v>30-Apr-19</c:v>
                </c:pt>
                <c:pt idx="672">
                  <c:v>7-May-19</c:v>
                </c:pt>
                <c:pt idx="673">
                  <c:v>14-May-19</c:v>
                </c:pt>
                <c:pt idx="674">
                  <c:v>21-May-19</c:v>
                </c:pt>
                <c:pt idx="675">
                  <c:v>28-May-19</c:v>
                </c:pt>
                <c:pt idx="676">
                  <c:v>4-Jun-19</c:v>
                </c:pt>
                <c:pt idx="677">
                  <c:v>11-Jun-19</c:v>
                </c:pt>
                <c:pt idx="678">
                  <c:v>18-Jun-19</c:v>
                </c:pt>
                <c:pt idx="679">
                  <c:v>25-Jun-19</c:v>
                </c:pt>
                <c:pt idx="680">
                  <c:v>2-Jul-19</c:v>
                </c:pt>
                <c:pt idx="681">
                  <c:v>9-Jul-19</c:v>
                </c:pt>
                <c:pt idx="682">
                  <c:v>16-Jul-19</c:v>
                </c:pt>
                <c:pt idx="683">
                  <c:v>23-Jul-19</c:v>
                </c:pt>
                <c:pt idx="684">
                  <c:v>30-Jul-19</c:v>
                </c:pt>
                <c:pt idx="685">
                  <c:v>6-Aug-19</c:v>
                </c:pt>
                <c:pt idx="686">
                  <c:v>13-Aug-19</c:v>
                </c:pt>
                <c:pt idx="687">
                  <c:v>20-Aug-19</c:v>
                </c:pt>
                <c:pt idx="688">
                  <c:v>27-Aug-19</c:v>
                </c:pt>
                <c:pt idx="689">
                  <c:v>3-Sep-19</c:v>
                </c:pt>
                <c:pt idx="690">
                  <c:v>10-Sep-19</c:v>
                </c:pt>
                <c:pt idx="691">
                  <c:v>17-Sep-19</c:v>
                </c:pt>
                <c:pt idx="692">
                  <c:v>24-Sep-19</c:v>
                </c:pt>
                <c:pt idx="693">
                  <c:v>1-Oct-19</c:v>
                </c:pt>
                <c:pt idx="694">
                  <c:v>8-Oct-19</c:v>
                </c:pt>
                <c:pt idx="695">
                  <c:v>15-Oct-19</c:v>
                </c:pt>
                <c:pt idx="696">
                  <c:v>22-Oct-19</c:v>
                </c:pt>
                <c:pt idx="697">
                  <c:v>29-Oct-19</c:v>
                </c:pt>
                <c:pt idx="698">
                  <c:v>5-Nov-19</c:v>
                </c:pt>
                <c:pt idx="699">
                  <c:v>12-Nov-19</c:v>
                </c:pt>
                <c:pt idx="700">
                  <c:v>19-Nov-19</c:v>
                </c:pt>
                <c:pt idx="701">
                  <c:v>26-Nov-19</c:v>
                </c:pt>
                <c:pt idx="702">
                  <c:v>3-Dec-19</c:v>
                </c:pt>
                <c:pt idx="703">
                  <c:v>10-Dec-19</c:v>
                </c:pt>
                <c:pt idx="704">
                  <c:v>17-Dec-19</c:v>
                </c:pt>
                <c:pt idx="705">
                  <c:v>24-Dec-19</c:v>
                </c:pt>
                <c:pt idx="706">
                  <c:v>31-Dec-19</c:v>
                </c:pt>
                <c:pt idx="707">
                  <c:v>7-Jan-20</c:v>
                </c:pt>
                <c:pt idx="708">
                  <c:v>14-Jan-20</c:v>
                </c:pt>
                <c:pt idx="709">
                  <c:v>21-Jan-20</c:v>
                </c:pt>
                <c:pt idx="710">
                  <c:v>28-Jan-20</c:v>
                </c:pt>
                <c:pt idx="711">
                  <c:v>4-Feb-20</c:v>
                </c:pt>
                <c:pt idx="712">
                  <c:v>11-Feb-20</c:v>
                </c:pt>
                <c:pt idx="713">
                  <c:v>18-Feb-20</c:v>
                </c:pt>
                <c:pt idx="714">
                  <c:v>25-Feb-20</c:v>
                </c:pt>
                <c:pt idx="715">
                  <c:v>3-Mar-20</c:v>
                </c:pt>
                <c:pt idx="716">
                  <c:v>10-Mar-20</c:v>
                </c:pt>
                <c:pt idx="717">
                  <c:v>17-Mar-20</c:v>
                </c:pt>
                <c:pt idx="718">
                  <c:v>24-Mar-20</c:v>
                </c:pt>
                <c:pt idx="719">
                  <c:v>31-Mar-20</c:v>
                </c:pt>
                <c:pt idx="720">
                  <c:v>7-Apr-20</c:v>
                </c:pt>
                <c:pt idx="721">
                  <c:v>14-Apr-20</c:v>
                </c:pt>
                <c:pt idx="722">
                  <c:v>21-Apr-20</c:v>
                </c:pt>
                <c:pt idx="723">
                  <c:v>28-Apr-20</c:v>
                </c:pt>
                <c:pt idx="724">
                  <c:v>5-May-20</c:v>
                </c:pt>
                <c:pt idx="725">
                  <c:v>12-May-20</c:v>
                </c:pt>
                <c:pt idx="726">
                  <c:v>19-May-20</c:v>
                </c:pt>
                <c:pt idx="727">
                  <c:v>26-May-20</c:v>
                </c:pt>
                <c:pt idx="728">
                  <c:v>2-Jun-20</c:v>
                </c:pt>
                <c:pt idx="729">
                  <c:v>9-Jun-20</c:v>
                </c:pt>
                <c:pt idx="730">
                  <c:v>16-Jun-20</c:v>
                </c:pt>
                <c:pt idx="731">
                  <c:v>23-Jun-20</c:v>
                </c:pt>
                <c:pt idx="732">
                  <c:v>30-Jun-20</c:v>
                </c:pt>
                <c:pt idx="733">
                  <c:v>7-Jul-20</c:v>
                </c:pt>
                <c:pt idx="734">
                  <c:v>14-Jul-20</c:v>
                </c:pt>
                <c:pt idx="735">
                  <c:v>21-Jul-20</c:v>
                </c:pt>
                <c:pt idx="736">
                  <c:v>28-Jul-20</c:v>
                </c:pt>
                <c:pt idx="737">
                  <c:v>4-Aug-20</c:v>
                </c:pt>
                <c:pt idx="738">
                  <c:v>11-Aug-20</c:v>
                </c:pt>
                <c:pt idx="739">
                  <c:v>18-Aug-20</c:v>
                </c:pt>
                <c:pt idx="740">
                  <c:v>25-Aug-20</c:v>
                </c:pt>
                <c:pt idx="741">
                  <c:v>1-Sep-20</c:v>
                </c:pt>
                <c:pt idx="742">
                  <c:v>8-Sep-20</c:v>
                </c:pt>
                <c:pt idx="743">
                  <c:v>15-Sep-20</c:v>
                </c:pt>
                <c:pt idx="744">
                  <c:v>22-Sep-20</c:v>
                </c:pt>
                <c:pt idx="745">
                  <c:v>29-Sep-20</c:v>
                </c:pt>
                <c:pt idx="746">
                  <c:v>6-Oct-20</c:v>
                </c:pt>
                <c:pt idx="747">
                  <c:v>13-Oct-20</c:v>
                </c:pt>
                <c:pt idx="748">
                  <c:v>20-Oct-20</c:v>
                </c:pt>
                <c:pt idx="749">
                  <c:v>27-Oct-20</c:v>
                </c:pt>
                <c:pt idx="750">
                  <c:v>3-Nov-20</c:v>
                </c:pt>
                <c:pt idx="751">
                  <c:v>10-Nov-20</c:v>
                </c:pt>
                <c:pt idx="752">
                  <c:v>17-Nov-20</c:v>
                </c:pt>
                <c:pt idx="753">
                  <c:v>24-Nov-20</c:v>
                </c:pt>
                <c:pt idx="754">
                  <c:v>1-Dec-20</c:v>
                </c:pt>
                <c:pt idx="755">
                  <c:v>8-Dec-20</c:v>
                </c:pt>
                <c:pt idx="756">
                  <c:v>15-Dec-20</c:v>
                </c:pt>
                <c:pt idx="757">
                  <c:v>22-Dec-20</c:v>
                </c:pt>
                <c:pt idx="758">
                  <c:v>29-Dec-20</c:v>
                </c:pt>
                <c:pt idx="759">
                  <c:v>5-Jan-21</c:v>
                </c:pt>
                <c:pt idx="760">
                  <c:v>12-Jan-21</c:v>
                </c:pt>
                <c:pt idx="761">
                  <c:v>19-Jan-21</c:v>
                </c:pt>
                <c:pt idx="762">
                  <c:v>26-Jan-21</c:v>
                </c:pt>
                <c:pt idx="763">
                  <c:v>2-Feb-21</c:v>
                </c:pt>
                <c:pt idx="764">
                  <c:v>9-Feb-21</c:v>
                </c:pt>
                <c:pt idx="765">
                  <c:v>16-Feb-21</c:v>
                </c:pt>
                <c:pt idx="766">
                  <c:v>23-Feb-21</c:v>
                </c:pt>
                <c:pt idx="767">
                  <c:v>2-Mar-21</c:v>
                </c:pt>
                <c:pt idx="768">
                  <c:v>9-Mar-21</c:v>
                </c:pt>
                <c:pt idx="769">
                  <c:v>16-Mar-21</c:v>
                </c:pt>
                <c:pt idx="770">
                  <c:v>23-Mar-21</c:v>
                </c:pt>
                <c:pt idx="771">
                  <c:v>30-Mar-21</c:v>
                </c:pt>
                <c:pt idx="772">
                  <c:v>6-Apr-21</c:v>
                </c:pt>
                <c:pt idx="773">
                  <c:v>13-Apr-21</c:v>
                </c:pt>
                <c:pt idx="774">
                  <c:v>20-Apr-21</c:v>
                </c:pt>
                <c:pt idx="775">
                  <c:v>27-Apr-21</c:v>
                </c:pt>
                <c:pt idx="776">
                  <c:v>4-May-21</c:v>
                </c:pt>
                <c:pt idx="777">
                  <c:v>11-May-21</c:v>
                </c:pt>
                <c:pt idx="778">
                  <c:v>18-May-21</c:v>
                </c:pt>
                <c:pt idx="779">
                  <c:v>25-May-21</c:v>
                </c:pt>
                <c:pt idx="780">
                  <c:v>1-Jun-21</c:v>
                </c:pt>
                <c:pt idx="781">
                  <c:v>8-Jun-21</c:v>
                </c:pt>
                <c:pt idx="782">
                  <c:v>15-Jun-21</c:v>
                </c:pt>
                <c:pt idx="783">
                  <c:v>22-Jun-21</c:v>
                </c:pt>
                <c:pt idx="784">
                  <c:v>29-Jun-21</c:v>
                </c:pt>
                <c:pt idx="785">
                  <c:v>6-Jul-21</c:v>
                </c:pt>
                <c:pt idx="786">
                  <c:v>13-Jul-21</c:v>
                </c:pt>
                <c:pt idx="787">
                  <c:v>20-Jul-21</c:v>
                </c:pt>
                <c:pt idx="788">
                  <c:v>27-Jul-21</c:v>
                </c:pt>
                <c:pt idx="789">
                  <c:v>3-Aug-21</c:v>
                </c:pt>
                <c:pt idx="790">
                  <c:v>10-Aug-21</c:v>
                </c:pt>
                <c:pt idx="791">
                  <c:v>17-Aug-21</c:v>
                </c:pt>
                <c:pt idx="792">
                  <c:v>24-Aug-21</c:v>
                </c:pt>
                <c:pt idx="793">
                  <c:v>31-Aug-21</c:v>
                </c:pt>
                <c:pt idx="794">
                  <c:v>7-Sep-21</c:v>
                </c:pt>
                <c:pt idx="795">
                  <c:v>14-Sep-21</c:v>
                </c:pt>
                <c:pt idx="796">
                  <c:v>21-Sep-21</c:v>
                </c:pt>
                <c:pt idx="797">
                  <c:v>28-Sep-21</c:v>
                </c:pt>
                <c:pt idx="798">
                  <c:v>5-Oct-21</c:v>
                </c:pt>
                <c:pt idx="799">
                  <c:v>12-Oct-21</c:v>
                </c:pt>
                <c:pt idx="800">
                  <c:v>19-Oct-21</c:v>
                </c:pt>
                <c:pt idx="801">
                  <c:v>26-Oct-21</c:v>
                </c:pt>
                <c:pt idx="802">
                  <c:v>2-Nov-21</c:v>
                </c:pt>
                <c:pt idx="803">
                  <c:v>9-Nov-21</c:v>
                </c:pt>
                <c:pt idx="804">
                  <c:v>16-Nov-21</c:v>
                </c:pt>
                <c:pt idx="805">
                  <c:v>23-Nov-21</c:v>
                </c:pt>
                <c:pt idx="806">
                  <c:v>30-Nov-21</c:v>
                </c:pt>
                <c:pt idx="807">
                  <c:v>7-Dec-21</c:v>
                </c:pt>
                <c:pt idx="808">
                  <c:v>14-Dec-21</c:v>
                </c:pt>
                <c:pt idx="809">
                  <c:v>21-Dec-21</c:v>
                </c:pt>
                <c:pt idx="810">
                  <c:v>28-Dec-21</c:v>
                </c:pt>
                <c:pt idx="811">
                  <c:v>4-Jan-22</c:v>
                </c:pt>
                <c:pt idx="812">
                  <c:v>11-Jan-22</c:v>
                </c:pt>
                <c:pt idx="813">
                  <c:v>18-Jan-22</c:v>
                </c:pt>
                <c:pt idx="814">
                  <c:v>25-Jan-22</c:v>
                </c:pt>
                <c:pt idx="815">
                  <c:v>1-Feb-22</c:v>
                </c:pt>
                <c:pt idx="816">
                  <c:v>8-Feb-22</c:v>
                </c:pt>
                <c:pt idx="817">
                  <c:v>15-Feb-22</c:v>
                </c:pt>
                <c:pt idx="818">
                  <c:v>22-Feb-22</c:v>
                </c:pt>
                <c:pt idx="819">
                  <c:v>1-Mar-22</c:v>
                </c:pt>
                <c:pt idx="820">
                  <c:v>8-Mar-22</c:v>
                </c:pt>
                <c:pt idx="821">
                  <c:v>15-Mar-22</c:v>
                </c:pt>
                <c:pt idx="822">
                  <c:v>22-Mar-22</c:v>
                </c:pt>
                <c:pt idx="823">
                  <c:v>29-Mar-22</c:v>
                </c:pt>
                <c:pt idx="824">
                  <c:v>5-Apr-22</c:v>
                </c:pt>
                <c:pt idx="825">
                  <c:v>12-Apr-22</c:v>
                </c:pt>
                <c:pt idx="826">
                  <c:v>19-Apr-22</c:v>
                </c:pt>
                <c:pt idx="827">
                  <c:v>26-Apr-22</c:v>
                </c:pt>
                <c:pt idx="828">
                  <c:v>3-May-22</c:v>
                </c:pt>
                <c:pt idx="829">
                  <c:v>10-May-22</c:v>
                </c:pt>
                <c:pt idx="830">
                  <c:v>17-May-22</c:v>
                </c:pt>
                <c:pt idx="831">
                  <c:v>24-May-22</c:v>
                </c:pt>
                <c:pt idx="832">
                  <c:v>31-May-22</c:v>
                </c:pt>
                <c:pt idx="833">
                  <c:v>7-Jun-22</c:v>
                </c:pt>
                <c:pt idx="834">
                  <c:v>14-Jun-22</c:v>
                </c:pt>
                <c:pt idx="835">
                  <c:v>21-Jun-22</c:v>
                </c:pt>
                <c:pt idx="836">
                  <c:v>28-Jun-22</c:v>
                </c:pt>
                <c:pt idx="837">
                  <c:v>5-Jul-22</c:v>
                </c:pt>
                <c:pt idx="838">
                  <c:v>12-Jul-22</c:v>
                </c:pt>
                <c:pt idx="839">
                  <c:v>19-Jul-22</c:v>
                </c:pt>
                <c:pt idx="840">
                  <c:v>26-Jul-22</c:v>
                </c:pt>
                <c:pt idx="841">
                  <c:v>2-Aug-22</c:v>
                </c:pt>
                <c:pt idx="842">
                  <c:v>9-Aug-22</c:v>
                </c:pt>
                <c:pt idx="843">
                  <c:v>16-Aug-22</c:v>
                </c:pt>
                <c:pt idx="844">
                  <c:v>23-Aug-22</c:v>
                </c:pt>
                <c:pt idx="845">
                  <c:v>30-Aug-22</c:v>
                </c:pt>
                <c:pt idx="846">
                  <c:v>6-Sep-22</c:v>
                </c:pt>
                <c:pt idx="847">
                  <c:v>13-Sep-22</c:v>
                </c:pt>
                <c:pt idx="848">
                  <c:v>20-Sep-22</c:v>
                </c:pt>
                <c:pt idx="849">
                  <c:v>27-Sep-22</c:v>
                </c:pt>
                <c:pt idx="850">
                  <c:v>4-Oct-22</c:v>
                </c:pt>
                <c:pt idx="851">
                  <c:v>11-Oct-22</c:v>
                </c:pt>
                <c:pt idx="852">
                  <c:v>18-Oct-22</c:v>
                </c:pt>
                <c:pt idx="853">
                  <c:v>25-Oct-22</c:v>
                </c:pt>
                <c:pt idx="854">
                  <c:v>1-Nov-22</c:v>
                </c:pt>
                <c:pt idx="855">
                  <c:v>8-Nov-22</c:v>
                </c:pt>
                <c:pt idx="856">
                  <c:v>15-Nov-22</c:v>
                </c:pt>
                <c:pt idx="857">
                  <c:v>22-Nov-22</c:v>
                </c:pt>
                <c:pt idx="858">
                  <c:v>29-Nov-22</c:v>
                </c:pt>
                <c:pt idx="859">
                  <c:v>6-Dec-22</c:v>
                </c:pt>
                <c:pt idx="860">
                  <c:v>13-Dec-22</c:v>
                </c:pt>
                <c:pt idx="861">
                  <c:v>20-Dec-22</c:v>
                </c:pt>
                <c:pt idx="862">
                  <c:v>27-Dec-22</c:v>
                </c:pt>
                <c:pt idx="863">
                  <c:v>3-Jan-23</c:v>
                </c:pt>
                <c:pt idx="864">
                  <c:v>10-Jan-23</c:v>
                </c:pt>
                <c:pt idx="865">
                  <c:v>17-Jan-23</c:v>
                </c:pt>
                <c:pt idx="866">
                  <c:v>24-Jan-23</c:v>
                </c:pt>
                <c:pt idx="867">
                  <c:v>31-Jan-23</c:v>
                </c:pt>
                <c:pt idx="868">
                  <c:v>7-Feb-23</c:v>
                </c:pt>
                <c:pt idx="869">
                  <c:v>14-Feb-23</c:v>
                </c:pt>
                <c:pt idx="870">
                  <c:v>21-Feb-23</c:v>
                </c:pt>
                <c:pt idx="871">
                  <c:v>28-Feb-23</c:v>
                </c:pt>
                <c:pt idx="872">
                  <c:v>7-Mar-23</c:v>
                </c:pt>
                <c:pt idx="873">
                  <c:v>14-Mar-23</c:v>
                </c:pt>
                <c:pt idx="874">
                  <c:v>21-Mar-23</c:v>
                </c:pt>
                <c:pt idx="875">
                  <c:v>28-Mar-23</c:v>
                </c:pt>
                <c:pt idx="876">
                  <c:v>4-Apr-23</c:v>
                </c:pt>
                <c:pt idx="877">
                  <c:v>11-Apr-23</c:v>
                </c:pt>
                <c:pt idx="878">
                  <c:v>18-Apr-23</c:v>
                </c:pt>
                <c:pt idx="879">
                  <c:v>25-Apr-23</c:v>
                </c:pt>
                <c:pt idx="880">
                  <c:v>2-May-23</c:v>
                </c:pt>
                <c:pt idx="881">
                  <c:v>9-May-23</c:v>
                </c:pt>
                <c:pt idx="882">
                  <c:v>16-May-23</c:v>
                </c:pt>
                <c:pt idx="883">
                  <c:v>23-May-23</c:v>
                </c:pt>
                <c:pt idx="884">
                  <c:v>30-May-23</c:v>
                </c:pt>
                <c:pt idx="885">
                  <c:v>6-Jun-23</c:v>
                </c:pt>
                <c:pt idx="886">
                  <c:v>13-Jun-23</c:v>
                </c:pt>
                <c:pt idx="887">
                  <c:v>20-Jun-23</c:v>
                </c:pt>
                <c:pt idx="888">
                  <c:v>27-Jun-23</c:v>
                </c:pt>
                <c:pt idx="889">
                  <c:v>4-Jul-23</c:v>
                </c:pt>
                <c:pt idx="890">
                  <c:v>11-Jul-23</c:v>
                </c:pt>
                <c:pt idx="891">
                  <c:v>18-Jul-23</c:v>
                </c:pt>
                <c:pt idx="892">
                  <c:v>25-Jul-23</c:v>
                </c:pt>
                <c:pt idx="893">
                  <c:v>1-Aug-23</c:v>
                </c:pt>
                <c:pt idx="894">
                  <c:v>8-Aug-23</c:v>
                </c:pt>
                <c:pt idx="895">
                  <c:v>15-Aug-23</c:v>
                </c:pt>
                <c:pt idx="896">
                  <c:v>22-Aug-23</c:v>
                </c:pt>
                <c:pt idx="897">
                  <c:v>29-Aug-23</c:v>
                </c:pt>
                <c:pt idx="898">
                  <c:v>5-Sep-23</c:v>
                </c:pt>
                <c:pt idx="899">
                  <c:v>12-Sep-23</c:v>
                </c:pt>
                <c:pt idx="900">
                  <c:v>19-Sep-23</c:v>
                </c:pt>
                <c:pt idx="901">
                  <c:v>26-Sep-23</c:v>
                </c:pt>
                <c:pt idx="902">
                  <c:v>3-Oct-23</c:v>
                </c:pt>
                <c:pt idx="903">
                  <c:v>10-Oct-23</c:v>
                </c:pt>
                <c:pt idx="904">
                  <c:v>17-Oct-23</c:v>
                </c:pt>
                <c:pt idx="905">
                  <c:v>24-Oct-23</c:v>
                </c:pt>
                <c:pt idx="906">
                  <c:v>31-Oct-23</c:v>
                </c:pt>
                <c:pt idx="907">
                  <c:v>7-Nov-23</c:v>
                </c:pt>
                <c:pt idx="908">
                  <c:v>14-Nov-23</c:v>
                </c:pt>
                <c:pt idx="909">
                  <c:v>21-Nov-23</c:v>
                </c:pt>
                <c:pt idx="910">
                  <c:v>28-Nov-23</c:v>
                </c:pt>
                <c:pt idx="911">
                  <c:v>5-Dec-23</c:v>
                </c:pt>
                <c:pt idx="912">
                  <c:v>12-Dec-23</c:v>
                </c:pt>
                <c:pt idx="913">
                  <c:v>19-Dec-23</c:v>
                </c:pt>
                <c:pt idx="914">
                  <c:v>26-Dec-23</c:v>
                </c:pt>
                <c:pt idx="915">
                  <c:v>2-Jan-24</c:v>
                </c:pt>
                <c:pt idx="916">
                  <c:v>9-Jan-24</c:v>
                </c:pt>
                <c:pt idx="917">
                  <c:v>16-Jan-24</c:v>
                </c:pt>
                <c:pt idx="918">
                  <c:v>23-Jan-24</c:v>
                </c:pt>
                <c:pt idx="919">
                  <c:v>30-Jan-24</c:v>
                </c:pt>
                <c:pt idx="920">
                  <c:v>6-Feb-24</c:v>
                </c:pt>
                <c:pt idx="921">
                  <c:v>13-Feb-24</c:v>
                </c:pt>
                <c:pt idx="922">
                  <c:v>20-Feb-24</c:v>
                </c:pt>
                <c:pt idx="923">
                  <c:v>27-Feb-24</c:v>
                </c:pt>
                <c:pt idx="924">
                  <c:v>5-Mar-24</c:v>
                </c:pt>
                <c:pt idx="925">
                  <c:v>12-Mar-24</c:v>
                </c:pt>
                <c:pt idx="926">
                  <c:v>19-Mar-24</c:v>
                </c:pt>
                <c:pt idx="927">
                  <c:v>26-Mar-24</c:v>
                </c:pt>
                <c:pt idx="928">
                  <c:v>2-Apr-24</c:v>
                </c:pt>
                <c:pt idx="929">
                  <c:v>9-Apr-24</c:v>
                </c:pt>
                <c:pt idx="930">
                  <c:v>16-Apr-24</c:v>
                </c:pt>
                <c:pt idx="931">
                  <c:v>23-Apr-24</c:v>
                </c:pt>
                <c:pt idx="932">
                  <c:v>30-Apr-24</c:v>
                </c:pt>
                <c:pt idx="933">
                  <c:v>7-May-24</c:v>
                </c:pt>
                <c:pt idx="934">
                  <c:v>14-May-24</c:v>
                </c:pt>
                <c:pt idx="935">
                  <c:v>21-May-24</c:v>
                </c:pt>
                <c:pt idx="936">
                  <c:v>28-May-24</c:v>
                </c:pt>
                <c:pt idx="937">
                  <c:v>4-Jun-24</c:v>
                </c:pt>
                <c:pt idx="938">
                  <c:v>11-Jun-24</c:v>
                </c:pt>
                <c:pt idx="939">
                  <c:v>18-Jun-24</c:v>
                </c:pt>
                <c:pt idx="940">
                  <c:v>25-Jun-24</c:v>
                </c:pt>
                <c:pt idx="941">
                  <c:v>2-Jul-24</c:v>
                </c:pt>
                <c:pt idx="942">
                  <c:v>9-Jul-24</c:v>
                </c:pt>
                <c:pt idx="943">
                  <c:v>16-Jul-24</c:v>
                </c:pt>
                <c:pt idx="944">
                  <c:v>23-Jul-24</c:v>
                </c:pt>
                <c:pt idx="945">
                  <c:v>30-Jul-24</c:v>
                </c:pt>
                <c:pt idx="946">
                  <c:v>6-Aug-24</c:v>
                </c:pt>
                <c:pt idx="947">
                  <c:v>13-Aug-24</c:v>
                </c:pt>
                <c:pt idx="948">
                  <c:v>20-Aug-24</c:v>
                </c:pt>
                <c:pt idx="949">
                  <c:v>27-Aug-24</c:v>
                </c:pt>
                <c:pt idx="950">
                  <c:v>3-Sep-24</c:v>
                </c:pt>
                <c:pt idx="951">
                  <c:v>10-Sep-24</c:v>
                </c:pt>
                <c:pt idx="952">
                  <c:v>17-Sep-24</c:v>
                </c:pt>
                <c:pt idx="953">
                  <c:v>24-Sep-24</c:v>
                </c:pt>
                <c:pt idx="954">
                  <c:v>1-Oct-24</c:v>
                </c:pt>
                <c:pt idx="955">
                  <c:v>8-Oct-24</c:v>
                </c:pt>
                <c:pt idx="956">
                  <c:v>15-Oct-24</c:v>
                </c:pt>
                <c:pt idx="957">
                  <c:v>22-Oct-24</c:v>
                </c:pt>
                <c:pt idx="958">
                  <c:v>29-Oct-24</c:v>
                </c:pt>
                <c:pt idx="959">
                  <c:v>5-Nov-24</c:v>
                </c:pt>
                <c:pt idx="960">
                  <c:v>12-Nov-24</c:v>
                </c:pt>
                <c:pt idx="961">
                  <c:v>19-Nov-24</c:v>
                </c:pt>
                <c:pt idx="962">
                  <c:v>26-Nov-24</c:v>
                </c:pt>
                <c:pt idx="963">
                  <c:v>3-Dec-24</c:v>
                </c:pt>
                <c:pt idx="964">
                  <c:v>10-Dec-24</c:v>
                </c:pt>
                <c:pt idx="997">
                  <c:v>USE THE CONTINUOUS NEARBY CONTRACT FOR THE CHART DATA. </c:v>
                </c:pt>
              </c:strCache>
            </c:strRef>
          </c:cat>
          <c:val>
            <c:numRef>
              <c:f>Data!$N$3:$N$1000</c:f>
              <c:numCache>
                <c:formatCode>#,##0_);[Red]\(#,##0\)</c:formatCode>
                <c:ptCount val="998"/>
                <c:pt idx="0">
                  <c:v>-58466</c:v>
                </c:pt>
                <c:pt idx="1">
                  <c:v>-28592</c:v>
                </c:pt>
                <c:pt idx="2">
                  <c:v>-36618</c:v>
                </c:pt>
                <c:pt idx="3">
                  <c:v>-59388</c:v>
                </c:pt>
                <c:pt idx="4">
                  <c:v>-85063</c:v>
                </c:pt>
                <c:pt idx="5">
                  <c:v>-85322</c:v>
                </c:pt>
                <c:pt idx="6">
                  <c:v>-80517</c:v>
                </c:pt>
                <c:pt idx="7">
                  <c:v>-81160</c:v>
                </c:pt>
                <c:pt idx="8">
                  <c:v>-78552</c:v>
                </c:pt>
                <c:pt idx="9">
                  <c:v>-49720</c:v>
                </c:pt>
                <c:pt idx="10">
                  <c:v>-39520</c:v>
                </c:pt>
                <c:pt idx="11">
                  <c:v>-25814</c:v>
                </c:pt>
                <c:pt idx="12">
                  <c:v>-22488</c:v>
                </c:pt>
                <c:pt idx="13">
                  <c:v>-8730</c:v>
                </c:pt>
                <c:pt idx="14">
                  <c:v>-4955</c:v>
                </c:pt>
                <c:pt idx="15">
                  <c:v>8923</c:v>
                </c:pt>
                <c:pt idx="16">
                  <c:v>13948</c:v>
                </c:pt>
                <c:pt idx="17">
                  <c:v>6902</c:v>
                </c:pt>
                <c:pt idx="18">
                  <c:v>-12345</c:v>
                </c:pt>
                <c:pt idx="19">
                  <c:v>-46067</c:v>
                </c:pt>
                <c:pt idx="20">
                  <c:v>-49774</c:v>
                </c:pt>
                <c:pt idx="21">
                  <c:v>-63777</c:v>
                </c:pt>
                <c:pt idx="22">
                  <c:v>-81230</c:v>
                </c:pt>
                <c:pt idx="23">
                  <c:v>-84263</c:v>
                </c:pt>
                <c:pt idx="24">
                  <c:v>-81710</c:v>
                </c:pt>
                <c:pt idx="25">
                  <c:v>-77864</c:v>
                </c:pt>
                <c:pt idx="26">
                  <c:v>-75437</c:v>
                </c:pt>
                <c:pt idx="27">
                  <c:v>-61303</c:v>
                </c:pt>
                <c:pt idx="28">
                  <c:v>-58623</c:v>
                </c:pt>
                <c:pt idx="29">
                  <c:v>-50367</c:v>
                </c:pt>
                <c:pt idx="30">
                  <c:v>-50617</c:v>
                </c:pt>
                <c:pt idx="31">
                  <c:v>-69390</c:v>
                </c:pt>
                <c:pt idx="32">
                  <c:v>-73391</c:v>
                </c:pt>
                <c:pt idx="33">
                  <c:v>-85232</c:v>
                </c:pt>
                <c:pt idx="34">
                  <c:v>-85058</c:v>
                </c:pt>
                <c:pt idx="35">
                  <c:v>-87125</c:v>
                </c:pt>
                <c:pt idx="36">
                  <c:v>-84869</c:v>
                </c:pt>
                <c:pt idx="37">
                  <c:v>-63808</c:v>
                </c:pt>
                <c:pt idx="38">
                  <c:v>-76460</c:v>
                </c:pt>
                <c:pt idx="39">
                  <c:v>-79705</c:v>
                </c:pt>
                <c:pt idx="40">
                  <c:v>-93590</c:v>
                </c:pt>
                <c:pt idx="41">
                  <c:v>-96102</c:v>
                </c:pt>
                <c:pt idx="42">
                  <c:v>-99810</c:v>
                </c:pt>
                <c:pt idx="43">
                  <c:v>-89939</c:v>
                </c:pt>
                <c:pt idx="44">
                  <c:v>-77632</c:v>
                </c:pt>
                <c:pt idx="45">
                  <c:v>-89510</c:v>
                </c:pt>
                <c:pt idx="46">
                  <c:v>-85421</c:v>
                </c:pt>
                <c:pt idx="47">
                  <c:v>-93333</c:v>
                </c:pt>
                <c:pt idx="48">
                  <c:v>-88397</c:v>
                </c:pt>
                <c:pt idx="49">
                  <c:v>-89102</c:v>
                </c:pt>
                <c:pt idx="50">
                  <c:v>-96581</c:v>
                </c:pt>
                <c:pt idx="51">
                  <c:v>-90735</c:v>
                </c:pt>
                <c:pt idx="52">
                  <c:v>-88528</c:v>
                </c:pt>
                <c:pt idx="53">
                  <c:v>-69424</c:v>
                </c:pt>
                <c:pt idx="54">
                  <c:v>-77622</c:v>
                </c:pt>
                <c:pt idx="55">
                  <c:v>-81444</c:v>
                </c:pt>
                <c:pt idx="56">
                  <c:v>-77239</c:v>
                </c:pt>
                <c:pt idx="57">
                  <c:v>-72562</c:v>
                </c:pt>
                <c:pt idx="58">
                  <c:v>-72387</c:v>
                </c:pt>
                <c:pt idx="59">
                  <c:v>-64683</c:v>
                </c:pt>
                <c:pt idx="60">
                  <c:v>-55024</c:v>
                </c:pt>
                <c:pt idx="61">
                  <c:v>-30973</c:v>
                </c:pt>
                <c:pt idx="62">
                  <c:v>-31596</c:v>
                </c:pt>
                <c:pt idx="63">
                  <c:v>-46908</c:v>
                </c:pt>
                <c:pt idx="64">
                  <c:v>-61628</c:v>
                </c:pt>
                <c:pt idx="65">
                  <c:v>-70465</c:v>
                </c:pt>
                <c:pt idx="66">
                  <c:v>-70951</c:v>
                </c:pt>
                <c:pt idx="67">
                  <c:v>-60550</c:v>
                </c:pt>
                <c:pt idx="68">
                  <c:v>-64031</c:v>
                </c:pt>
                <c:pt idx="69">
                  <c:v>-68743</c:v>
                </c:pt>
                <c:pt idx="70">
                  <c:v>-68088</c:v>
                </c:pt>
                <c:pt idx="71">
                  <c:v>-72810</c:v>
                </c:pt>
                <c:pt idx="72">
                  <c:v>-76561</c:v>
                </c:pt>
                <c:pt idx="73">
                  <c:v>-71797</c:v>
                </c:pt>
                <c:pt idx="74">
                  <c:v>-68976</c:v>
                </c:pt>
                <c:pt idx="75">
                  <c:v>-70161</c:v>
                </c:pt>
                <c:pt idx="76">
                  <c:v>-68568</c:v>
                </c:pt>
                <c:pt idx="77">
                  <c:v>-62620</c:v>
                </c:pt>
                <c:pt idx="78">
                  <c:v>-61873</c:v>
                </c:pt>
                <c:pt idx="79">
                  <c:v>-71818</c:v>
                </c:pt>
                <c:pt idx="80">
                  <c:v>-64474</c:v>
                </c:pt>
                <c:pt idx="81">
                  <c:v>-70182</c:v>
                </c:pt>
                <c:pt idx="82">
                  <c:v>-65236</c:v>
                </c:pt>
                <c:pt idx="83">
                  <c:v>-57969</c:v>
                </c:pt>
                <c:pt idx="84">
                  <c:v>-48467</c:v>
                </c:pt>
                <c:pt idx="85">
                  <c:v>-50672</c:v>
                </c:pt>
                <c:pt idx="86">
                  <c:v>-49717</c:v>
                </c:pt>
                <c:pt idx="87">
                  <c:v>-52268</c:v>
                </c:pt>
                <c:pt idx="88">
                  <c:v>-58035</c:v>
                </c:pt>
                <c:pt idx="89">
                  <c:v>-54240</c:v>
                </c:pt>
                <c:pt idx="90">
                  <c:v>-42718</c:v>
                </c:pt>
                <c:pt idx="91">
                  <c:v>-28782</c:v>
                </c:pt>
                <c:pt idx="92">
                  <c:v>-20733</c:v>
                </c:pt>
                <c:pt idx="93">
                  <c:v>-22441</c:v>
                </c:pt>
                <c:pt idx="94">
                  <c:v>-16793</c:v>
                </c:pt>
                <c:pt idx="95">
                  <c:v>-31107</c:v>
                </c:pt>
                <c:pt idx="96">
                  <c:v>-35616</c:v>
                </c:pt>
                <c:pt idx="97">
                  <c:v>-26886</c:v>
                </c:pt>
                <c:pt idx="98">
                  <c:v>-27522</c:v>
                </c:pt>
                <c:pt idx="99">
                  <c:v>-40340</c:v>
                </c:pt>
                <c:pt idx="100">
                  <c:v>-34396</c:v>
                </c:pt>
                <c:pt idx="101">
                  <c:v>-34995</c:v>
                </c:pt>
                <c:pt idx="102">
                  <c:v>-33319</c:v>
                </c:pt>
                <c:pt idx="103">
                  <c:v>-35021</c:v>
                </c:pt>
                <c:pt idx="104">
                  <c:v>-42831</c:v>
                </c:pt>
                <c:pt idx="105">
                  <c:v>-43300</c:v>
                </c:pt>
                <c:pt idx="106">
                  <c:v>-46339</c:v>
                </c:pt>
                <c:pt idx="107">
                  <c:v>-37266</c:v>
                </c:pt>
                <c:pt idx="108">
                  <c:v>-35286</c:v>
                </c:pt>
                <c:pt idx="109">
                  <c:v>-21791</c:v>
                </c:pt>
                <c:pt idx="110">
                  <c:v>-19554</c:v>
                </c:pt>
                <c:pt idx="111">
                  <c:v>-4499</c:v>
                </c:pt>
                <c:pt idx="112">
                  <c:v>3665</c:v>
                </c:pt>
                <c:pt idx="113">
                  <c:v>2409</c:v>
                </c:pt>
                <c:pt idx="114">
                  <c:v>2035</c:v>
                </c:pt>
                <c:pt idx="115">
                  <c:v>5715</c:v>
                </c:pt>
                <c:pt idx="116">
                  <c:v>18493</c:v>
                </c:pt>
                <c:pt idx="117">
                  <c:v>22237</c:v>
                </c:pt>
                <c:pt idx="118">
                  <c:v>11092</c:v>
                </c:pt>
                <c:pt idx="119">
                  <c:v>9908</c:v>
                </c:pt>
                <c:pt idx="120">
                  <c:v>9597</c:v>
                </c:pt>
                <c:pt idx="121">
                  <c:v>12963</c:v>
                </c:pt>
                <c:pt idx="122">
                  <c:v>23461</c:v>
                </c:pt>
                <c:pt idx="123">
                  <c:v>25714</c:v>
                </c:pt>
                <c:pt idx="124">
                  <c:v>13301</c:v>
                </c:pt>
                <c:pt idx="125">
                  <c:v>16033</c:v>
                </c:pt>
                <c:pt idx="126">
                  <c:v>18419</c:v>
                </c:pt>
                <c:pt idx="127">
                  <c:v>18071</c:v>
                </c:pt>
                <c:pt idx="128">
                  <c:v>23940</c:v>
                </c:pt>
                <c:pt idx="129">
                  <c:v>26777</c:v>
                </c:pt>
                <c:pt idx="130">
                  <c:v>20447</c:v>
                </c:pt>
                <c:pt idx="131">
                  <c:v>18056</c:v>
                </c:pt>
                <c:pt idx="132">
                  <c:v>13717</c:v>
                </c:pt>
                <c:pt idx="133">
                  <c:v>5902</c:v>
                </c:pt>
                <c:pt idx="134">
                  <c:v>3910</c:v>
                </c:pt>
                <c:pt idx="135">
                  <c:v>6606</c:v>
                </c:pt>
                <c:pt idx="136">
                  <c:v>8351</c:v>
                </c:pt>
                <c:pt idx="137">
                  <c:v>14987</c:v>
                </c:pt>
                <c:pt idx="138">
                  <c:v>2825</c:v>
                </c:pt>
                <c:pt idx="139">
                  <c:v>13375</c:v>
                </c:pt>
                <c:pt idx="140">
                  <c:v>18133</c:v>
                </c:pt>
                <c:pt idx="141">
                  <c:v>20891</c:v>
                </c:pt>
                <c:pt idx="142">
                  <c:v>19507</c:v>
                </c:pt>
                <c:pt idx="143">
                  <c:v>24393</c:v>
                </c:pt>
                <c:pt idx="144">
                  <c:v>15857</c:v>
                </c:pt>
                <c:pt idx="145">
                  <c:v>7385</c:v>
                </c:pt>
                <c:pt idx="146">
                  <c:v>-5264</c:v>
                </c:pt>
                <c:pt idx="147">
                  <c:v>-14860</c:v>
                </c:pt>
                <c:pt idx="148">
                  <c:v>-14542</c:v>
                </c:pt>
                <c:pt idx="149">
                  <c:v>-12214</c:v>
                </c:pt>
                <c:pt idx="150">
                  <c:v>-26018</c:v>
                </c:pt>
                <c:pt idx="151">
                  <c:v>-36661</c:v>
                </c:pt>
                <c:pt idx="152">
                  <c:v>-27556</c:v>
                </c:pt>
                <c:pt idx="153">
                  <c:v>-21803</c:v>
                </c:pt>
                <c:pt idx="154">
                  <c:v>-33801</c:v>
                </c:pt>
                <c:pt idx="155">
                  <c:v>-28167</c:v>
                </c:pt>
                <c:pt idx="156">
                  <c:v>-2209</c:v>
                </c:pt>
                <c:pt idx="157">
                  <c:v>4209</c:v>
                </c:pt>
                <c:pt idx="158">
                  <c:v>17615</c:v>
                </c:pt>
                <c:pt idx="159">
                  <c:v>34533</c:v>
                </c:pt>
                <c:pt idx="160">
                  <c:v>36515</c:v>
                </c:pt>
                <c:pt idx="161">
                  <c:v>34619</c:v>
                </c:pt>
                <c:pt idx="162">
                  <c:v>28980</c:v>
                </c:pt>
                <c:pt idx="163">
                  <c:v>1009</c:v>
                </c:pt>
                <c:pt idx="164">
                  <c:v>-7073</c:v>
                </c:pt>
                <c:pt idx="165">
                  <c:v>-6927</c:v>
                </c:pt>
                <c:pt idx="166">
                  <c:v>-12645</c:v>
                </c:pt>
                <c:pt idx="167">
                  <c:v>14349</c:v>
                </c:pt>
                <c:pt idx="168">
                  <c:v>21935</c:v>
                </c:pt>
                <c:pt idx="169">
                  <c:v>19070</c:v>
                </c:pt>
                <c:pt idx="170">
                  <c:v>20452</c:v>
                </c:pt>
                <c:pt idx="171">
                  <c:v>28894</c:v>
                </c:pt>
                <c:pt idx="172">
                  <c:v>23590</c:v>
                </c:pt>
                <c:pt idx="173">
                  <c:v>-517</c:v>
                </c:pt>
                <c:pt idx="174">
                  <c:v>-17984</c:v>
                </c:pt>
                <c:pt idx="175">
                  <c:v>-31876</c:v>
                </c:pt>
                <c:pt idx="176">
                  <c:v>-25796</c:v>
                </c:pt>
                <c:pt idx="177">
                  <c:v>-25486</c:v>
                </c:pt>
                <c:pt idx="178">
                  <c:v>-50007</c:v>
                </c:pt>
                <c:pt idx="179">
                  <c:v>-54007</c:v>
                </c:pt>
                <c:pt idx="180">
                  <c:v>-56529</c:v>
                </c:pt>
                <c:pt idx="181">
                  <c:v>-56431</c:v>
                </c:pt>
                <c:pt idx="182">
                  <c:v>-50374</c:v>
                </c:pt>
                <c:pt idx="183">
                  <c:v>-27718</c:v>
                </c:pt>
                <c:pt idx="184">
                  <c:v>-33333</c:v>
                </c:pt>
                <c:pt idx="185">
                  <c:v>-46897</c:v>
                </c:pt>
                <c:pt idx="186">
                  <c:v>-34829</c:v>
                </c:pt>
                <c:pt idx="187">
                  <c:v>-13318</c:v>
                </c:pt>
                <c:pt idx="188">
                  <c:v>-1198</c:v>
                </c:pt>
                <c:pt idx="189">
                  <c:v>-1275</c:v>
                </c:pt>
                <c:pt idx="190">
                  <c:v>-12692</c:v>
                </c:pt>
                <c:pt idx="191">
                  <c:v>-23476</c:v>
                </c:pt>
                <c:pt idx="192">
                  <c:v>-25888</c:v>
                </c:pt>
                <c:pt idx="193">
                  <c:v>-36026</c:v>
                </c:pt>
                <c:pt idx="194">
                  <c:v>-36726</c:v>
                </c:pt>
                <c:pt idx="195">
                  <c:v>-32827</c:v>
                </c:pt>
                <c:pt idx="196">
                  <c:v>-34737</c:v>
                </c:pt>
                <c:pt idx="197">
                  <c:v>-17045</c:v>
                </c:pt>
                <c:pt idx="198">
                  <c:v>-29868</c:v>
                </c:pt>
                <c:pt idx="199">
                  <c:v>-43734</c:v>
                </c:pt>
                <c:pt idx="200">
                  <c:v>-25862</c:v>
                </c:pt>
                <c:pt idx="201">
                  <c:v>-29108</c:v>
                </c:pt>
                <c:pt idx="202">
                  <c:v>-222</c:v>
                </c:pt>
                <c:pt idx="203">
                  <c:v>3727</c:v>
                </c:pt>
                <c:pt idx="204">
                  <c:v>19052</c:v>
                </c:pt>
                <c:pt idx="205">
                  <c:v>26673</c:v>
                </c:pt>
                <c:pt idx="206">
                  <c:v>15615</c:v>
                </c:pt>
                <c:pt idx="207">
                  <c:v>30051</c:v>
                </c:pt>
                <c:pt idx="208">
                  <c:v>19954</c:v>
                </c:pt>
                <c:pt idx="209">
                  <c:v>13645</c:v>
                </c:pt>
                <c:pt idx="210">
                  <c:v>34760</c:v>
                </c:pt>
                <c:pt idx="211">
                  <c:v>43387</c:v>
                </c:pt>
                <c:pt idx="212">
                  <c:v>17845</c:v>
                </c:pt>
                <c:pt idx="213">
                  <c:v>6633</c:v>
                </c:pt>
                <c:pt idx="214">
                  <c:v>-7514</c:v>
                </c:pt>
                <c:pt idx="215">
                  <c:v>-34194</c:v>
                </c:pt>
                <c:pt idx="216">
                  <c:v>-49370</c:v>
                </c:pt>
                <c:pt idx="217">
                  <c:v>-63493</c:v>
                </c:pt>
                <c:pt idx="218">
                  <c:v>-43835</c:v>
                </c:pt>
                <c:pt idx="219">
                  <c:v>-31375</c:v>
                </c:pt>
                <c:pt idx="220">
                  <c:v>-38328</c:v>
                </c:pt>
                <c:pt idx="221">
                  <c:v>-53965</c:v>
                </c:pt>
                <c:pt idx="222">
                  <c:v>-53965</c:v>
                </c:pt>
                <c:pt idx="223">
                  <c:v>-94099</c:v>
                </c:pt>
                <c:pt idx="224">
                  <c:v>-105837</c:v>
                </c:pt>
                <c:pt idx="225">
                  <c:v>-101001</c:v>
                </c:pt>
                <c:pt idx="226">
                  <c:v>-98481</c:v>
                </c:pt>
                <c:pt idx="227">
                  <c:v>-101231</c:v>
                </c:pt>
                <c:pt idx="228">
                  <c:v>-94266</c:v>
                </c:pt>
                <c:pt idx="229">
                  <c:v>-87929</c:v>
                </c:pt>
                <c:pt idx="230">
                  <c:v>-66449</c:v>
                </c:pt>
                <c:pt idx="231">
                  <c:v>-55153</c:v>
                </c:pt>
                <c:pt idx="232">
                  <c:v>-56635</c:v>
                </c:pt>
                <c:pt idx="233">
                  <c:v>-68124</c:v>
                </c:pt>
                <c:pt idx="234">
                  <c:v>-73603</c:v>
                </c:pt>
                <c:pt idx="235">
                  <c:v>-79303</c:v>
                </c:pt>
                <c:pt idx="236">
                  <c:v>-79718</c:v>
                </c:pt>
                <c:pt idx="237">
                  <c:v>-81214</c:v>
                </c:pt>
                <c:pt idx="238">
                  <c:v>-79073</c:v>
                </c:pt>
                <c:pt idx="239">
                  <c:v>-80049</c:v>
                </c:pt>
                <c:pt idx="240">
                  <c:v>-65250</c:v>
                </c:pt>
                <c:pt idx="241">
                  <c:v>-95923</c:v>
                </c:pt>
                <c:pt idx="242">
                  <c:v>-108505</c:v>
                </c:pt>
                <c:pt idx="243">
                  <c:v>-77331</c:v>
                </c:pt>
                <c:pt idx="244">
                  <c:v>-59347</c:v>
                </c:pt>
                <c:pt idx="245">
                  <c:v>-75494</c:v>
                </c:pt>
                <c:pt idx="246">
                  <c:v>-84733</c:v>
                </c:pt>
                <c:pt idx="247">
                  <c:v>-51781</c:v>
                </c:pt>
                <c:pt idx="248">
                  <c:v>-57380</c:v>
                </c:pt>
                <c:pt idx="249">
                  <c:v>-65374</c:v>
                </c:pt>
                <c:pt idx="250">
                  <c:v>-79454</c:v>
                </c:pt>
                <c:pt idx="251">
                  <c:v>-73430</c:v>
                </c:pt>
                <c:pt idx="252">
                  <c:v>-80065</c:v>
                </c:pt>
                <c:pt idx="253">
                  <c:v>-74838</c:v>
                </c:pt>
                <c:pt idx="254">
                  <c:v>-64803</c:v>
                </c:pt>
                <c:pt idx="255">
                  <c:v>-41619</c:v>
                </c:pt>
                <c:pt idx="256">
                  <c:v>-32866</c:v>
                </c:pt>
                <c:pt idx="257">
                  <c:v>-55227</c:v>
                </c:pt>
                <c:pt idx="258">
                  <c:v>-71891</c:v>
                </c:pt>
                <c:pt idx="259">
                  <c:v>-84550</c:v>
                </c:pt>
                <c:pt idx="260">
                  <c:v>-61369</c:v>
                </c:pt>
                <c:pt idx="261">
                  <c:v>-45995</c:v>
                </c:pt>
                <c:pt idx="262">
                  <c:v>-20848</c:v>
                </c:pt>
                <c:pt idx="263">
                  <c:v>-12807</c:v>
                </c:pt>
                <c:pt idx="264">
                  <c:v>-31119</c:v>
                </c:pt>
                <c:pt idx="265">
                  <c:v>-44705</c:v>
                </c:pt>
                <c:pt idx="266">
                  <c:v>-31352</c:v>
                </c:pt>
                <c:pt idx="267">
                  <c:v>-34854</c:v>
                </c:pt>
                <c:pt idx="268">
                  <c:v>7509</c:v>
                </c:pt>
                <c:pt idx="269">
                  <c:v>3461</c:v>
                </c:pt>
                <c:pt idx="270">
                  <c:v>-9548</c:v>
                </c:pt>
                <c:pt idx="271">
                  <c:v>-52323</c:v>
                </c:pt>
                <c:pt idx="272">
                  <c:v>-54139</c:v>
                </c:pt>
                <c:pt idx="273">
                  <c:v>-52841</c:v>
                </c:pt>
                <c:pt idx="274">
                  <c:v>-34017</c:v>
                </c:pt>
                <c:pt idx="275">
                  <c:v>4551</c:v>
                </c:pt>
                <c:pt idx="276">
                  <c:v>13875</c:v>
                </c:pt>
                <c:pt idx="277">
                  <c:v>17512</c:v>
                </c:pt>
                <c:pt idx="278">
                  <c:v>14319</c:v>
                </c:pt>
                <c:pt idx="279">
                  <c:v>22518</c:v>
                </c:pt>
                <c:pt idx="280">
                  <c:v>20615</c:v>
                </c:pt>
                <c:pt idx="281">
                  <c:v>20615</c:v>
                </c:pt>
                <c:pt idx="282">
                  <c:v>9088</c:v>
                </c:pt>
                <c:pt idx="283">
                  <c:v>27248</c:v>
                </c:pt>
                <c:pt idx="284">
                  <c:v>26513</c:v>
                </c:pt>
                <c:pt idx="285">
                  <c:v>22410</c:v>
                </c:pt>
                <c:pt idx="286">
                  <c:v>19908</c:v>
                </c:pt>
                <c:pt idx="287">
                  <c:v>17214</c:v>
                </c:pt>
                <c:pt idx="288">
                  <c:v>5995</c:v>
                </c:pt>
                <c:pt idx="289">
                  <c:v>-6478</c:v>
                </c:pt>
                <c:pt idx="290">
                  <c:v>-12590</c:v>
                </c:pt>
                <c:pt idx="291">
                  <c:v>12653</c:v>
                </c:pt>
                <c:pt idx="292">
                  <c:v>10096</c:v>
                </c:pt>
                <c:pt idx="293">
                  <c:v>16669</c:v>
                </c:pt>
                <c:pt idx="294">
                  <c:v>-3912</c:v>
                </c:pt>
                <c:pt idx="295">
                  <c:v>-15699</c:v>
                </c:pt>
                <c:pt idx="296">
                  <c:v>-31011</c:v>
                </c:pt>
                <c:pt idx="297">
                  <c:v>-44134</c:v>
                </c:pt>
                <c:pt idx="298">
                  <c:v>-25596</c:v>
                </c:pt>
                <c:pt idx="299">
                  <c:v>-38559</c:v>
                </c:pt>
                <c:pt idx="300">
                  <c:v>-43985</c:v>
                </c:pt>
                <c:pt idx="301">
                  <c:v>-48075</c:v>
                </c:pt>
                <c:pt idx="302">
                  <c:v>-59993</c:v>
                </c:pt>
                <c:pt idx="303">
                  <c:v>-72448</c:v>
                </c:pt>
                <c:pt idx="304">
                  <c:v>-72498</c:v>
                </c:pt>
                <c:pt idx="305">
                  <c:v>-66072</c:v>
                </c:pt>
                <c:pt idx="306">
                  <c:v>-42835</c:v>
                </c:pt>
                <c:pt idx="307">
                  <c:v>-20545</c:v>
                </c:pt>
                <c:pt idx="308">
                  <c:v>7835</c:v>
                </c:pt>
                <c:pt idx="309">
                  <c:v>19871</c:v>
                </c:pt>
                <c:pt idx="310">
                  <c:v>32511</c:v>
                </c:pt>
                <c:pt idx="311">
                  <c:v>43025</c:v>
                </c:pt>
                <c:pt idx="312">
                  <c:v>44393</c:v>
                </c:pt>
                <c:pt idx="313">
                  <c:v>36503</c:v>
                </c:pt>
                <c:pt idx="314">
                  <c:v>40584</c:v>
                </c:pt>
                <c:pt idx="315">
                  <c:v>4769</c:v>
                </c:pt>
                <c:pt idx="316">
                  <c:v>8656</c:v>
                </c:pt>
                <c:pt idx="317">
                  <c:v>4769</c:v>
                </c:pt>
                <c:pt idx="318">
                  <c:v>8782</c:v>
                </c:pt>
                <c:pt idx="319">
                  <c:v>-10401</c:v>
                </c:pt>
                <c:pt idx="320">
                  <c:v>4491</c:v>
                </c:pt>
                <c:pt idx="321">
                  <c:v>-11495</c:v>
                </c:pt>
                <c:pt idx="322">
                  <c:v>-34383</c:v>
                </c:pt>
                <c:pt idx="323">
                  <c:v>-51055</c:v>
                </c:pt>
                <c:pt idx="324">
                  <c:v>-72403</c:v>
                </c:pt>
                <c:pt idx="325">
                  <c:v>-64959</c:v>
                </c:pt>
                <c:pt idx="326">
                  <c:v>-53357</c:v>
                </c:pt>
                <c:pt idx="327">
                  <c:v>-30839</c:v>
                </c:pt>
                <c:pt idx="328">
                  <c:v>-2756</c:v>
                </c:pt>
                <c:pt idx="329">
                  <c:v>6189</c:v>
                </c:pt>
                <c:pt idx="330">
                  <c:v>20353</c:v>
                </c:pt>
                <c:pt idx="331">
                  <c:v>22972</c:v>
                </c:pt>
                <c:pt idx="332">
                  <c:v>29132</c:v>
                </c:pt>
                <c:pt idx="333">
                  <c:v>47114</c:v>
                </c:pt>
                <c:pt idx="334">
                  <c:v>57784</c:v>
                </c:pt>
                <c:pt idx="335">
                  <c:v>60190</c:v>
                </c:pt>
                <c:pt idx="336">
                  <c:v>55808</c:v>
                </c:pt>
                <c:pt idx="337">
                  <c:v>50300</c:v>
                </c:pt>
                <c:pt idx="338">
                  <c:v>35044</c:v>
                </c:pt>
                <c:pt idx="339">
                  <c:v>35966</c:v>
                </c:pt>
                <c:pt idx="340">
                  <c:v>40877</c:v>
                </c:pt>
                <c:pt idx="341">
                  <c:v>37486</c:v>
                </c:pt>
                <c:pt idx="342">
                  <c:v>31981</c:v>
                </c:pt>
                <c:pt idx="343">
                  <c:v>24413</c:v>
                </c:pt>
                <c:pt idx="344">
                  <c:v>6801</c:v>
                </c:pt>
                <c:pt idx="345">
                  <c:v>1010</c:v>
                </c:pt>
                <c:pt idx="346">
                  <c:v>-10176</c:v>
                </c:pt>
                <c:pt idx="347">
                  <c:v>9601</c:v>
                </c:pt>
                <c:pt idx="348">
                  <c:v>1809</c:v>
                </c:pt>
                <c:pt idx="349">
                  <c:v>35575</c:v>
                </c:pt>
                <c:pt idx="350">
                  <c:v>52211</c:v>
                </c:pt>
                <c:pt idx="351">
                  <c:v>50128</c:v>
                </c:pt>
                <c:pt idx="352">
                  <c:v>53881</c:v>
                </c:pt>
                <c:pt idx="353">
                  <c:v>32484</c:v>
                </c:pt>
                <c:pt idx="354">
                  <c:v>43800</c:v>
                </c:pt>
                <c:pt idx="355">
                  <c:v>56593</c:v>
                </c:pt>
                <c:pt idx="356">
                  <c:v>62772</c:v>
                </c:pt>
                <c:pt idx="357">
                  <c:v>71195</c:v>
                </c:pt>
                <c:pt idx="358">
                  <c:v>55900</c:v>
                </c:pt>
                <c:pt idx="359">
                  <c:v>54231</c:v>
                </c:pt>
                <c:pt idx="360">
                  <c:v>40044</c:v>
                </c:pt>
                <c:pt idx="361">
                  <c:v>34757</c:v>
                </c:pt>
                <c:pt idx="362">
                  <c:v>27056</c:v>
                </c:pt>
                <c:pt idx="363">
                  <c:v>44621</c:v>
                </c:pt>
                <c:pt idx="364">
                  <c:v>46402</c:v>
                </c:pt>
                <c:pt idx="365">
                  <c:v>36233</c:v>
                </c:pt>
                <c:pt idx="366">
                  <c:v>39359</c:v>
                </c:pt>
                <c:pt idx="367">
                  <c:v>48320</c:v>
                </c:pt>
                <c:pt idx="368">
                  <c:v>48697</c:v>
                </c:pt>
                <c:pt idx="369">
                  <c:v>46708</c:v>
                </c:pt>
                <c:pt idx="370">
                  <c:v>56957</c:v>
                </c:pt>
                <c:pt idx="371">
                  <c:v>54976</c:v>
                </c:pt>
                <c:pt idx="372">
                  <c:v>65230</c:v>
                </c:pt>
                <c:pt idx="373">
                  <c:v>54196</c:v>
                </c:pt>
                <c:pt idx="374">
                  <c:v>41678</c:v>
                </c:pt>
                <c:pt idx="375">
                  <c:v>14762</c:v>
                </c:pt>
                <c:pt idx="376">
                  <c:v>14252</c:v>
                </c:pt>
                <c:pt idx="377">
                  <c:v>18661</c:v>
                </c:pt>
                <c:pt idx="378">
                  <c:v>29411</c:v>
                </c:pt>
                <c:pt idx="379">
                  <c:v>33261</c:v>
                </c:pt>
                <c:pt idx="380">
                  <c:v>35433</c:v>
                </c:pt>
                <c:pt idx="381">
                  <c:v>37002</c:v>
                </c:pt>
                <c:pt idx="382">
                  <c:v>35798</c:v>
                </c:pt>
                <c:pt idx="383">
                  <c:v>20868</c:v>
                </c:pt>
                <c:pt idx="384">
                  <c:v>20605</c:v>
                </c:pt>
                <c:pt idx="385">
                  <c:v>11751</c:v>
                </c:pt>
                <c:pt idx="386">
                  <c:v>16524</c:v>
                </c:pt>
                <c:pt idx="387">
                  <c:v>31377</c:v>
                </c:pt>
                <c:pt idx="388">
                  <c:v>19962</c:v>
                </c:pt>
                <c:pt idx="389">
                  <c:v>32172</c:v>
                </c:pt>
                <c:pt idx="390">
                  <c:v>36614</c:v>
                </c:pt>
                <c:pt idx="391">
                  <c:v>39911</c:v>
                </c:pt>
                <c:pt idx="392">
                  <c:v>38461</c:v>
                </c:pt>
                <c:pt idx="393">
                  <c:v>40224</c:v>
                </c:pt>
                <c:pt idx="394">
                  <c:v>48594</c:v>
                </c:pt>
                <c:pt idx="395">
                  <c:v>62957</c:v>
                </c:pt>
                <c:pt idx="396">
                  <c:v>62660</c:v>
                </c:pt>
                <c:pt idx="397">
                  <c:v>59639</c:v>
                </c:pt>
                <c:pt idx="398">
                  <c:v>50776</c:v>
                </c:pt>
                <c:pt idx="399">
                  <c:v>37171</c:v>
                </c:pt>
                <c:pt idx="400">
                  <c:v>15521</c:v>
                </c:pt>
                <c:pt idx="401">
                  <c:v>-2405</c:v>
                </c:pt>
                <c:pt idx="402">
                  <c:v>-18390</c:v>
                </c:pt>
                <c:pt idx="403">
                  <c:v>-53624</c:v>
                </c:pt>
                <c:pt idx="404">
                  <c:v>-53758</c:v>
                </c:pt>
                <c:pt idx="405">
                  <c:v>-33360</c:v>
                </c:pt>
                <c:pt idx="406">
                  <c:v>-30123</c:v>
                </c:pt>
                <c:pt idx="407">
                  <c:v>-34265</c:v>
                </c:pt>
                <c:pt idx="408">
                  <c:v>-48259</c:v>
                </c:pt>
                <c:pt idx="409">
                  <c:v>-47900</c:v>
                </c:pt>
                <c:pt idx="410">
                  <c:v>-45447</c:v>
                </c:pt>
                <c:pt idx="411">
                  <c:v>-27517</c:v>
                </c:pt>
                <c:pt idx="412">
                  <c:v>-23386</c:v>
                </c:pt>
                <c:pt idx="413">
                  <c:v>-4270</c:v>
                </c:pt>
                <c:pt idx="414">
                  <c:v>-5054</c:v>
                </c:pt>
                <c:pt idx="415">
                  <c:v>16931</c:v>
                </c:pt>
                <c:pt idx="416">
                  <c:v>20167</c:v>
                </c:pt>
                <c:pt idx="417">
                  <c:v>14936</c:v>
                </c:pt>
                <c:pt idx="418">
                  <c:v>-11861</c:v>
                </c:pt>
                <c:pt idx="419">
                  <c:v>-15711</c:v>
                </c:pt>
                <c:pt idx="420">
                  <c:v>-2086</c:v>
                </c:pt>
                <c:pt idx="421">
                  <c:v>3572</c:v>
                </c:pt>
                <c:pt idx="422">
                  <c:v>5480</c:v>
                </c:pt>
                <c:pt idx="423">
                  <c:v>-2488</c:v>
                </c:pt>
                <c:pt idx="424">
                  <c:v>-4495</c:v>
                </c:pt>
                <c:pt idx="425">
                  <c:v>-568</c:v>
                </c:pt>
                <c:pt idx="426">
                  <c:v>-2043</c:v>
                </c:pt>
                <c:pt idx="427">
                  <c:v>-6826</c:v>
                </c:pt>
                <c:pt idx="428">
                  <c:v>-7078</c:v>
                </c:pt>
                <c:pt idx="429">
                  <c:v>-7698</c:v>
                </c:pt>
                <c:pt idx="430">
                  <c:v>-13069</c:v>
                </c:pt>
                <c:pt idx="431">
                  <c:v>-26887</c:v>
                </c:pt>
                <c:pt idx="432">
                  <c:v>-35100</c:v>
                </c:pt>
                <c:pt idx="433">
                  <c:v>-45657</c:v>
                </c:pt>
                <c:pt idx="434">
                  <c:v>-42739</c:v>
                </c:pt>
                <c:pt idx="435">
                  <c:v>-33987</c:v>
                </c:pt>
                <c:pt idx="436">
                  <c:v>-52826</c:v>
                </c:pt>
                <c:pt idx="437">
                  <c:v>-71695</c:v>
                </c:pt>
                <c:pt idx="438">
                  <c:v>-57891</c:v>
                </c:pt>
                <c:pt idx="439">
                  <c:v>-51894</c:v>
                </c:pt>
                <c:pt idx="440">
                  <c:v>-65541</c:v>
                </c:pt>
                <c:pt idx="441">
                  <c:v>-36047</c:v>
                </c:pt>
                <c:pt idx="442">
                  <c:v>-38026</c:v>
                </c:pt>
                <c:pt idx="443">
                  <c:v>-39529</c:v>
                </c:pt>
                <c:pt idx="444">
                  <c:v>-46084</c:v>
                </c:pt>
                <c:pt idx="445">
                  <c:v>-63055</c:v>
                </c:pt>
                <c:pt idx="446">
                  <c:v>-65330</c:v>
                </c:pt>
                <c:pt idx="447">
                  <c:v>-82164</c:v>
                </c:pt>
                <c:pt idx="448">
                  <c:v>-86109</c:v>
                </c:pt>
                <c:pt idx="449">
                  <c:v>-48388</c:v>
                </c:pt>
                <c:pt idx="450">
                  <c:v>-10040</c:v>
                </c:pt>
                <c:pt idx="451">
                  <c:v>-16602</c:v>
                </c:pt>
                <c:pt idx="452">
                  <c:v>-37717</c:v>
                </c:pt>
                <c:pt idx="453">
                  <c:v>-38099</c:v>
                </c:pt>
                <c:pt idx="454">
                  <c:v>-72044</c:v>
                </c:pt>
                <c:pt idx="455">
                  <c:v>-37815</c:v>
                </c:pt>
                <c:pt idx="456">
                  <c:v>-17262</c:v>
                </c:pt>
                <c:pt idx="457">
                  <c:v>-22436</c:v>
                </c:pt>
                <c:pt idx="458">
                  <c:v>-13235</c:v>
                </c:pt>
                <c:pt idx="459">
                  <c:v>-25179</c:v>
                </c:pt>
                <c:pt idx="460">
                  <c:v>-39830</c:v>
                </c:pt>
                <c:pt idx="461">
                  <c:v>-54444</c:v>
                </c:pt>
                <c:pt idx="462">
                  <c:v>-46104</c:v>
                </c:pt>
                <c:pt idx="463">
                  <c:v>-77569</c:v>
                </c:pt>
                <c:pt idx="464">
                  <c:v>-85006</c:v>
                </c:pt>
                <c:pt idx="465">
                  <c:v>-80243</c:v>
                </c:pt>
                <c:pt idx="466">
                  <c:v>-64688</c:v>
                </c:pt>
                <c:pt idx="467">
                  <c:v>-104893</c:v>
                </c:pt>
                <c:pt idx="468">
                  <c:v>-120063</c:v>
                </c:pt>
                <c:pt idx="469">
                  <c:v>-84939</c:v>
                </c:pt>
                <c:pt idx="470">
                  <c:v>-63808</c:v>
                </c:pt>
                <c:pt idx="471">
                  <c:v>-77378</c:v>
                </c:pt>
                <c:pt idx="472">
                  <c:v>-49011</c:v>
                </c:pt>
                <c:pt idx="473">
                  <c:v>-60730</c:v>
                </c:pt>
                <c:pt idx="474">
                  <c:v>-49868</c:v>
                </c:pt>
                <c:pt idx="475">
                  <c:v>-23954</c:v>
                </c:pt>
                <c:pt idx="476">
                  <c:v>-10715</c:v>
                </c:pt>
                <c:pt idx="477">
                  <c:v>-11669</c:v>
                </c:pt>
                <c:pt idx="478">
                  <c:v>-1581</c:v>
                </c:pt>
                <c:pt idx="479">
                  <c:v>-1583</c:v>
                </c:pt>
                <c:pt idx="480">
                  <c:v>2091</c:v>
                </c:pt>
                <c:pt idx="481">
                  <c:v>-3686</c:v>
                </c:pt>
                <c:pt idx="482">
                  <c:v>4952</c:v>
                </c:pt>
                <c:pt idx="483">
                  <c:v>6230</c:v>
                </c:pt>
                <c:pt idx="484">
                  <c:v>-13254</c:v>
                </c:pt>
                <c:pt idx="485">
                  <c:v>-33205</c:v>
                </c:pt>
                <c:pt idx="486">
                  <c:v>-40485</c:v>
                </c:pt>
                <c:pt idx="487">
                  <c:v>-42473</c:v>
                </c:pt>
                <c:pt idx="488">
                  <c:v>-38526</c:v>
                </c:pt>
                <c:pt idx="489">
                  <c:v>-32343</c:v>
                </c:pt>
                <c:pt idx="490">
                  <c:v>-15146</c:v>
                </c:pt>
                <c:pt idx="491">
                  <c:v>-15268</c:v>
                </c:pt>
                <c:pt idx="492">
                  <c:v>-40145</c:v>
                </c:pt>
                <c:pt idx="493">
                  <c:v>-64120</c:v>
                </c:pt>
                <c:pt idx="494">
                  <c:v>-99253</c:v>
                </c:pt>
                <c:pt idx="495">
                  <c:v>-104088</c:v>
                </c:pt>
                <c:pt idx="496">
                  <c:v>-91742</c:v>
                </c:pt>
                <c:pt idx="497">
                  <c:v>-94858</c:v>
                </c:pt>
                <c:pt idx="498">
                  <c:v>-76012</c:v>
                </c:pt>
                <c:pt idx="499">
                  <c:v>-54213</c:v>
                </c:pt>
                <c:pt idx="500">
                  <c:v>-62143</c:v>
                </c:pt>
                <c:pt idx="501">
                  <c:v>-78689</c:v>
                </c:pt>
                <c:pt idx="502">
                  <c:v>-80850</c:v>
                </c:pt>
                <c:pt idx="503">
                  <c:v>-75451</c:v>
                </c:pt>
                <c:pt idx="504">
                  <c:v>-91127</c:v>
                </c:pt>
                <c:pt idx="505">
                  <c:v>-74827</c:v>
                </c:pt>
                <c:pt idx="506">
                  <c:v>-57935</c:v>
                </c:pt>
                <c:pt idx="507">
                  <c:v>-57971</c:v>
                </c:pt>
                <c:pt idx="508">
                  <c:v>-108809</c:v>
                </c:pt>
                <c:pt idx="509">
                  <c:v>-137623</c:v>
                </c:pt>
                <c:pt idx="510">
                  <c:v>-145416</c:v>
                </c:pt>
                <c:pt idx="511">
                  <c:v>-152205</c:v>
                </c:pt>
                <c:pt idx="512">
                  <c:v>-139237</c:v>
                </c:pt>
                <c:pt idx="513">
                  <c:v>-147195</c:v>
                </c:pt>
                <c:pt idx="514">
                  <c:v>-147608</c:v>
                </c:pt>
                <c:pt idx="515">
                  <c:v>-105510</c:v>
                </c:pt>
                <c:pt idx="516">
                  <c:v>-111739</c:v>
                </c:pt>
                <c:pt idx="517">
                  <c:v>-106755</c:v>
                </c:pt>
                <c:pt idx="518">
                  <c:v>-62245</c:v>
                </c:pt>
                <c:pt idx="519">
                  <c:v>-54742</c:v>
                </c:pt>
                <c:pt idx="520">
                  <c:v>-52918</c:v>
                </c:pt>
                <c:pt idx="521">
                  <c:v>-75827</c:v>
                </c:pt>
                <c:pt idx="522">
                  <c:v>-49657</c:v>
                </c:pt>
                <c:pt idx="523">
                  <c:v>-32632</c:v>
                </c:pt>
                <c:pt idx="524">
                  <c:v>-11158</c:v>
                </c:pt>
                <c:pt idx="525">
                  <c:v>-10006</c:v>
                </c:pt>
                <c:pt idx="526">
                  <c:v>-9025</c:v>
                </c:pt>
                <c:pt idx="527">
                  <c:v>-4091</c:v>
                </c:pt>
                <c:pt idx="528">
                  <c:v>-6447</c:v>
                </c:pt>
                <c:pt idx="529">
                  <c:v>-31675</c:v>
                </c:pt>
                <c:pt idx="530">
                  <c:v>-64782</c:v>
                </c:pt>
                <c:pt idx="531">
                  <c:v>-109858</c:v>
                </c:pt>
                <c:pt idx="532">
                  <c:v>-118339</c:v>
                </c:pt>
                <c:pt idx="533">
                  <c:v>-121801</c:v>
                </c:pt>
                <c:pt idx="534">
                  <c:v>-108894</c:v>
                </c:pt>
                <c:pt idx="535">
                  <c:v>-128663</c:v>
                </c:pt>
                <c:pt idx="536">
                  <c:v>-142676</c:v>
                </c:pt>
                <c:pt idx="537">
                  <c:v>-139438</c:v>
                </c:pt>
                <c:pt idx="538">
                  <c:v>-129441</c:v>
                </c:pt>
                <c:pt idx="539">
                  <c:v>-147856</c:v>
                </c:pt>
                <c:pt idx="540">
                  <c:v>-167057</c:v>
                </c:pt>
                <c:pt idx="541">
                  <c:v>-178489</c:v>
                </c:pt>
                <c:pt idx="542">
                  <c:v>-170936</c:v>
                </c:pt>
                <c:pt idx="543">
                  <c:v>-143047</c:v>
                </c:pt>
                <c:pt idx="544">
                  <c:v>-146073</c:v>
                </c:pt>
                <c:pt idx="545">
                  <c:v>-161425</c:v>
                </c:pt>
                <c:pt idx="546">
                  <c:v>-166334</c:v>
                </c:pt>
                <c:pt idx="547">
                  <c:v>-150030</c:v>
                </c:pt>
                <c:pt idx="548">
                  <c:v>-144682</c:v>
                </c:pt>
                <c:pt idx="549">
                  <c:v>-123288</c:v>
                </c:pt>
                <c:pt idx="550">
                  <c:v>-104367</c:v>
                </c:pt>
                <c:pt idx="551">
                  <c:v>-116362</c:v>
                </c:pt>
                <c:pt idx="552">
                  <c:v>-128632</c:v>
                </c:pt>
                <c:pt idx="553">
                  <c:v>-134447</c:v>
                </c:pt>
                <c:pt idx="554">
                  <c:v>-91381</c:v>
                </c:pt>
                <c:pt idx="555">
                  <c:v>-85005</c:v>
                </c:pt>
                <c:pt idx="556">
                  <c:v>-86837</c:v>
                </c:pt>
                <c:pt idx="557">
                  <c:v>-60621</c:v>
                </c:pt>
                <c:pt idx="558">
                  <c:v>-48531</c:v>
                </c:pt>
                <c:pt idx="559">
                  <c:v>-46244</c:v>
                </c:pt>
                <c:pt idx="560">
                  <c:v>-15504</c:v>
                </c:pt>
                <c:pt idx="561">
                  <c:v>13818</c:v>
                </c:pt>
                <c:pt idx="562">
                  <c:v>11606</c:v>
                </c:pt>
                <c:pt idx="563">
                  <c:v>27902</c:v>
                </c:pt>
                <c:pt idx="564">
                  <c:v>36960</c:v>
                </c:pt>
                <c:pt idx="565">
                  <c:v>37643</c:v>
                </c:pt>
                <c:pt idx="566">
                  <c:v>27707</c:v>
                </c:pt>
                <c:pt idx="567">
                  <c:v>12748</c:v>
                </c:pt>
                <c:pt idx="568">
                  <c:v>-4248</c:v>
                </c:pt>
                <c:pt idx="569">
                  <c:v>-10061</c:v>
                </c:pt>
                <c:pt idx="570">
                  <c:v>-5035</c:v>
                </c:pt>
                <c:pt idx="571">
                  <c:v>10607</c:v>
                </c:pt>
                <c:pt idx="572">
                  <c:v>22440</c:v>
                </c:pt>
                <c:pt idx="573">
                  <c:v>6236</c:v>
                </c:pt>
                <c:pt idx="574">
                  <c:v>-15955</c:v>
                </c:pt>
                <c:pt idx="575">
                  <c:v>-22649</c:v>
                </c:pt>
                <c:pt idx="576">
                  <c:v>-40904</c:v>
                </c:pt>
                <c:pt idx="577">
                  <c:v>-60124</c:v>
                </c:pt>
                <c:pt idx="578">
                  <c:v>-64394</c:v>
                </c:pt>
                <c:pt idx="579">
                  <c:v>-78057</c:v>
                </c:pt>
                <c:pt idx="580">
                  <c:v>-87562</c:v>
                </c:pt>
                <c:pt idx="581">
                  <c:v>-82711</c:v>
                </c:pt>
                <c:pt idx="582">
                  <c:v>-62562</c:v>
                </c:pt>
                <c:pt idx="583">
                  <c:v>-63313</c:v>
                </c:pt>
                <c:pt idx="584">
                  <c:v>-86813</c:v>
                </c:pt>
                <c:pt idx="585">
                  <c:v>-115015</c:v>
                </c:pt>
                <c:pt idx="586">
                  <c:v>-123333</c:v>
                </c:pt>
                <c:pt idx="587">
                  <c:v>-118081</c:v>
                </c:pt>
                <c:pt idx="588">
                  <c:v>-106339</c:v>
                </c:pt>
                <c:pt idx="589">
                  <c:v>-60362</c:v>
                </c:pt>
                <c:pt idx="590">
                  <c:v>-55342</c:v>
                </c:pt>
                <c:pt idx="591">
                  <c:v>-60104</c:v>
                </c:pt>
                <c:pt idx="592">
                  <c:v>-70393</c:v>
                </c:pt>
                <c:pt idx="593">
                  <c:v>-75672</c:v>
                </c:pt>
                <c:pt idx="594">
                  <c:v>-76209</c:v>
                </c:pt>
                <c:pt idx="595">
                  <c:v>-79182</c:v>
                </c:pt>
                <c:pt idx="596">
                  <c:v>-72048</c:v>
                </c:pt>
                <c:pt idx="597">
                  <c:v>-50743</c:v>
                </c:pt>
                <c:pt idx="598">
                  <c:v>-45897</c:v>
                </c:pt>
                <c:pt idx="599">
                  <c:v>-42745</c:v>
                </c:pt>
                <c:pt idx="600">
                  <c:v>-36152</c:v>
                </c:pt>
                <c:pt idx="601">
                  <c:v>-27547</c:v>
                </c:pt>
                <c:pt idx="602">
                  <c:v>-27222</c:v>
                </c:pt>
                <c:pt idx="603">
                  <c:v>-35637</c:v>
                </c:pt>
                <c:pt idx="604">
                  <c:v>-22201</c:v>
                </c:pt>
                <c:pt idx="605">
                  <c:v>-12073</c:v>
                </c:pt>
                <c:pt idx="606">
                  <c:v>-24240</c:v>
                </c:pt>
                <c:pt idx="607">
                  <c:v>-39337</c:v>
                </c:pt>
                <c:pt idx="608">
                  <c:v>-33156</c:v>
                </c:pt>
                <c:pt idx="609">
                  <c:v>-24387</c:v>
                </c:pt>
                <c:pt idx="610">
                  <c:v>-48660</c:v>
                </c:pt>
                <c:pt idx="611">
                  <c:v>-49542</c:v>
                </c:pt>
                <c:pt idx="612">
                  <c:v>-35796</c:v>
                </c:pt>
                <c:pt idx="613">
                  <c:v>-32774</c:v>
                </c:pt>
                <c:pt idx="614">
                  <c:v>-25605</c:v>
                </c:pt>
                <c:pt idx="615">
                  <c:v>-36607</c:v>
                </c:pt>
                <c:pt idx="616">
                  <c:v>-26480</c:v>
                </c:pt>
                <c:pt idx="617">
                  <c:v>-12680</c:v>
                </c:pt>
                <c:pt idx="618">
                  <c:v>-3002</c:v>
                </c:pt>
                <c:pt idx="619">
                  <c:v>18939</c:v>
                </c:pt>
                <c:pt idx="620">
                  <c:v>16611</c:v>
                </c:pt>
                <c:pt idx="621">
                  <c:v>5550</c:v>
                </c:pt>
                <c:pt idx="622">
                  <c:v>-7447</c:v>
                </c:pt>
                <c:pt idx="623">
                  <c:v>-5657</c:v>
                </c:pt>
                <c:pt idx="624">
                  <c:v>45</c:v>
                </c:pt>
                <c:pt idx="625">
                  <c:v>14928</c:v>
                </c:pt>
                <c:pt idx="626">
                  <c:v>42255</c:v>
                </c:pt>
                <c:pt idx="627">
                  <c:v>37415</c:v>
                </c:pt>
                <c:pt idx="628">
                  <c:v>45643</c:v>
                </c:pt>
                <c:pt idx="629">
                  <c:v>40812</c:v>
                </c:pt>
                <c:pt idx="630">
                  <c:v>54318</c:v>
                </c:pt>
                <c:pt idx="631">
                  <c:v>52845</c:v>
                </c:pt>
                <c:pt idx="632">
                  <c:v>52497</c:v>
                </c:pt>
                <c:pt idx="633">
                  <c:v>50423</c:v>
                </c:pt>
                <c:pt idx="634">
                  <c:v>57651</c:v>
                </c:pt>
                <c:pt idx="635">
                  <c:v>57242</c:v>
                </c:pt>
                <c:pt idx="636">
                  <c:v>49834</c:v>
                </c:pt>
                <c:pt idx="637">
                  <c:v>49968</c:v>
                </c:pt>
                <c:pt idx="638">
                  <c:v>62335</c:v>
                </c:pt>
                <c:pt idx="639">
                  <c:v>72519</c:v>
                </c:pt>
                <c:pt idx="640">
                  <c:v>44053</c:v>
                </c:pt>
                <c:pt idx="641">
                  <c:v>9209</c:v>
                </c:pt>
                <c:pt idx="642">
                  <c:v>374</c:v>
                </c:pt>
                <c:pt idx="643">
                  <c:v>-4849</c:v>
                </c:pt>
                <c:pt idx="644">
                  <c:v>-2936</c:v>
                </c:pt>
                <c:pt idx="645">
                  <c:v>14356</c:v>
                </c:pt>
                <c:pt idx="646">
                  <c:v>15181</c:v>
                </c:pt>
                <c:pt idx="647">
                  <c:v>29035</c:v>
                </c:pt>
                <c:pt idx="648">
                  <c:v>37409</c:v>
                </c:pt>
                <c:pt idx="649">
                  <c:v>36678</c:v>
                </c:pt>
                <c:pt idx="650">
                  <c:v>14401</c:v>
                </c:pt>
                <c:pt idx="651">
                  <c:v>-903</c:v>
                </c:pt>
                <c:pt idx="652">
                  <c:v>2024</c:v>
                </c:pt>
                <c:pt idx="653">
                  <c:v>5673</c:v>
                </c:pt>
                <c:pt idx="654">
                  <c:v>8614</c:v>
                </c:pt>
                <c:pt idx="655">
                  <c:v>-3983</c:v>
                </c:pt>
                <c:pt idx="656">
                  <c:v>-4768</c:v>
                </c:pt>
                <c:pt idx="657">
                  <c:v>-24415</c:v>
                </c:pt>
                <c:pt idx="658">
                  <c:v>-56339</c:v>
                </c:pt>
                <c:pt idx="659">
                  <c:v>-76225</c:v>
                </c:pt>
                <c:pt idx="660">
                  <c:v>-73961</c:v>
                </c:pt>
                <c:pt idx="661">
                  <c:v>-65024</c:v>
                </c:pt>
                <c:pt idx="662">
                  <c:v>-57375</c:v>
                </c:pt>
                <c:pt idx="663">
                  <c:v>-52606</c:v>
                </c:pt>
                <c:pt idx="664">
                  <c:v>-53905</c:v>
                </c:pt>
                <c:pt idx="665">
                  <c:v>-31956</c:v>
                </c:pt>
                <c:pt idx="666">
                  <c:v>-15073</c:v>
                </c:pt>
                <c:pt idx="667">
                  <c:v>3670</c:v>
                </c:pt>
                <c:pt idx="668">
                  <c:v>3210</c:v>
                </c:pt>
                <c:pt idx="669">
                  <c:v>10148</c:v>
                </c:pt>
                <c:pt idx="670">
                  <c:v>22752</c:v>
                </c:pt>
                <c:pt idx="671">
                  <c:v>31823</c:v>
                </c:pt>
                <c:pt idx="672">
                  <c:v>41477</c:v>
                </c:pt>
                <c:pt idx="673">
                  <c:v>44083</c:v>
                </c:pt>
                <c:pt idx="674">
                  <c:v>30602</c:v>
                </c:pt>
                <c:pt idx="675">
                  <c:v>18360</c:v>
                </c:pt>
                <c:pt idx="676">
                  <c:v>10536</c:v>
                </c:pt>
                <c:pt idx="677">
                  <c:v>10649</c:v>
                </c:pt>
                <c:pt idx="678">
                  <c:v>-820</c:v>
                </c:pt>
                <c:pt idx="679">
                  <c:v>476</c:v>
                </c:pt>
                <c:pt idx="680">
                  <c:v>5327</c:v>
                </c:pt>
                <c:pt idx="681">
                  <c:v>-866</c:v>
                </c:pt>
                <c:pt idx="682">
                  <c:v>635</c:v>
                </c:pt>
                <c:pt idx="683">
                  <c:v>9091</c:v>
                </c:pt>
                <c:pt idx="684">
                  <c:v>-1517</c:v>
                </c:pt>
                <c:pt idx="685">
                  <c:v>6619</c:v>
                </c:pt>
                <c:pt idx="686">
                  <c:v>-48063</c:v>
                </c:pt>
                <c:pt idx="687">
                  <c:v>-42893</c:v>
                </c:pt>
                <c:pt idx="688">
                  <c:v>-27256</c:v>
                </c:pt>
                <c:pt idx="689">
                  <c:v>-29821</c:v>
                </c:pt>
                <c:pt idx="690">
                  <c:v>-23349</c:v>
                </c:pt>
                <c:pt idx="691">
                  <c:v>-61735</c:v>
                </c:pt>
                <c:pt idx="692">
                  <c:v>-58163</c:v>
                </c:pt>
                <c:pt idx="693">
                  <c:v>-48921</c:v>
                </c:pt>
                <c:pt idx="694">
                  <c:v>-54017</c:v>
                </c:pt>
                <c:pt idx="695">
                  <c:v>-36589</c:v>
                </c:pt>
                <c:pt idx="696">
                  <c:v>-99369</c:v>
                </c:pt>
                <c:pt idx="697">
                  <c:v>-111870</c:v>
                </c:pt>
                <c:pt idx="698">
                  <c:v>-117457</c:v>
                </c:pt>
                <c:pt idx="699">
                  <c:v>-119707</c:v>
                </c:pt>
                <c:pt idx="700">
                  <c:v>-113197</c:v>
                </c:pt>
                <c:pt idx="701">
                  <c:v>-101438</c:v>
                </c:pt>
                <c:pt idx="702">
                  <c:v>-90227</c:v>
                </c:pt>
                <c:pt idx="703">
                  <c:v>-110898</c:v>
                </c:pt>
                <c:pt idx="704">
                  <c:v>-139659</c:v>
                </c:pt>
                <c:pt idx="705">
                  <c:v>-150870</c:v>
                </c:pt>
                <c:pt idx="706">
                  <c:v>-145374</c:v>
                </c:pt>
                <c:pt idx="707">
                  <c:v>-139358</c:v>
                </c:pt>
                <c:pt idx="708">
                  <c:v>-144045</c:v>
                </c:pt>
                <c:pt idx="709">
                  <c:v>-122841</c:v>
                </c:pt>
                <c:pt idx="710">
                  <c:v>-112839</c:v>
                </c:pt>
                <c:pt idx="711">
                  <c:v>-81639</c:v>
                </c:pt>
                <c:pt idx="712">
                  <c:v>-72123</c:v>
                </c:pt>
                <c:pt idx="713">
                  <c:v>-56325</c:v>
                </c:pt>
                <c:pt idx="714">
                  <c:v>-39354</c:v>
                </c:pt>
                <c:pt idx="715">
                  <c:v>-31126</c:v>
                </c:pt>
                <c:pt idx="716">
                  <c:v>-21101</c:v>
                </c:pt>
                <c:pt idx="717">
                  <c:v>-17257</c:v>
                </c:pt>
                <c:pt idx="718">
                  <c:v>-14653</c:v>
                </c:pt>
                <c:pt idx="719">
                  <c:v>-7418</c:v>
                </c:pt>
                <c:pt idx="720">
                  <c:v>-17489</c:v>
                </c:pt>
                <c:pt idx="721">
                  <c:v>-11459</c:v>
                </c:pt>
                <c:pt idx="722">
                  <c:v>81</c:v>
                </c:pt>
                <c:pt idx="723">
                  <c:v>-4366</c:v>
                </c:pt>
                <c:pt idx="724">
                  <c:v>-7958</c:v>
                </c:pt>
                <c:pt idx="725">
                  <c:v>-6078</c:v>
                </c:pt>
                <c:pt idx="726">
                  <c:v>-17252</c:v>
                </c:pt>
                <c:pt idx="727">
                  <c:v>-20898</c:v>
                </c:pt>
                <c:pt idx="728">
                  <c:v>-29267</c:v>
                </c:pt>
                <c:pt idx="729">
                  <c:v>-19243</c:v>
                </c:pt>
                <c:pt idx="730">
                  <c:v>-13614</c:v>
                </c:pt>
                <c:pt idx="731">
                  <c:v>-16184</c:v>
                </c:pt>
                <c:pt idx="732">
                  <c:v>-20734</c:v>
                </c:pt>
                <c:pt idx="733">
                  <c:v>-38200</c:v>
                </c:pt>
                <c:pt idx="734">
                  <c:v>-22707</c:v>
                </c:pt>
                <c:pt idx="735">
                  <c:v>-57468</c:v>
                </c:pt>
                <c:pt idx="736">
                  <c:v>-54109</c:v>
                </c:pt>
                <c:pt idx="737">
                  <c:v>-68336</c:v>
                </c:pt>
                <c:pt idx="738">
                  <c:v>-69071</c:v>
                </c:pt>
                <c:pt idx="739">
                  <c:v>-77733</c:v>
                </c:pt>
                <c:pt idx="740">
                  <c:v>-91100</c:v>
                </c:pt>
                <c:pt idx="741">
                  <c:v>-115667</c:v>
                </c:pt>
                <c:pt idx="742">
                  <c:v>-120218</c:v>
                </c:pt>
                <c:pt idx="743">
                  <c:v>-132428</c:v>
                </c:pt>
                <c:pt idx="744">
                  <c:v>-142678</c:v>
                </c:pt>
                <c:pt idx="745">
                  <c:v>-131090</c:v>
                </c:pt>
                <c:pt idx="746">
                  <c:v>-114809</c:v>
                </c:pt>
                <c:pt idx="747">
                  <c:v>-119253</c:v>
                </c:pt>
                <c:pt idx="748">
                  <c:v>-117078</c:v>
                </c:pt>
                <c:pt idx="749">
                  <c:v>-135451</c:v>
                </c:pt>
                <c:pt idx="750">
                  <c:v>-133418</c:v>
                </c:pt>
                <c:pt idx="751">
                  <c:v>-137320</c:v>
                </c:pt>
                <c:pt idx="752">
                  <c:v>-147295</c:v>
                </c:pt>
                <c:pt idx="753">
                  <c:v>-148467</c:v>
                </c:pt>
                <c:pt idx="754">
                  <c:v>-142627</c:v>
                </c:pt>
                <c:pt idx="755">
                  <c:v>-131018</c:v>
                </c:pt>
                <c:pt idx="756">
                  <c:v>-141174</c:v>
                </c:pt>
                <c:pt idx="757">
                  <c:v>-144808</c:v>
                </c:pt>
                <c:pt idx="758">
                  <c:v>-154154</c:v>
                </c:pt>
                <c:pt idx="759">
                  <c:v>-156908</c:v>
                </c:pt>
                <c:pt idx="760">
                  <c:v>-135327</c:v>
                </c:pt>
                <c:pt idx="761">
                  <c:v>-127883</c:v>
                </c:pt>
                <c:pt idx="762">
                  <c:v>-144404</c:v>
                </c:pt>
                <c:pt idx="763">
                  <c:v>-140954</c:v>
                </c:pt>
                <c:pt idx="764">
                  <c:v>-145916</c:v>
                </c:pt>
                <c:pt idx="765">
                  <c:v>-148362</c:v>
                </c:pt>
                <c:pt idx="766">
                  <c:v>-149901</c:v>
                </c:pt>
                <c:pt idx="767">
                  <c:v>-146524</c:v>
                </c:pt>
                <c:pt idx="768">
                  <c:v>-139988</c:v>
                </c:pt>
                <c:pt idx="769">
                  <c:v>-141011</c:v>
                </c:pt>
                <c:pt idx="770">
                  <c:v>-127092</c:v>
                </c:pt>
                <c:pt idx="771">
                  <c:v>-107585</c:v>
                </c:pt>
                <c:pt idx="772">
                  <c:v>-106813</c:v>
                </c:pt>
                <c:pt idx="773">
                  <c:v>-108689</c:v>
                </c:pt>
                <c:pt idx="774">
                  <c:v>-115680</c:v>
                </c:pt>
                <c:pt idx="775">
                  <c:v>-113075</c:v>
                </c:pt>
                <c:pt idx="776">
                  <c:v>-104126</c:v>
                </c:pt>
                <c:pt idx="777">
                  <c:v>-101976</c:v>
                </c:pt>
                <c:pt idx="778">
                  <c:v>-102202</c:v>
                </c:pt>
                <c:pt idx="779">
                  <c:v>-104234</c:v>
                </c:pt>
                <c:pt idx="780">
                  <c:v>-109231</c:v>
                </c:pt>
                <c:pt idx="781">
                  <c:v>-102039</c:v>
                </c:pt>
                <c:pt idx="782">
                  <c:v>-82938</c:v>
                </c:pt>
                <c:pt idx="783">
                  <c:v>-59856</c:v>
                </c:pt>
                <c:pt idx="784">
                  <c:v>-56784</c:v>
                </c:pt>
                <c:pt idx="785">
                  <c:v>-53711</c:v>
                </c:pt>
                <c:pt idx="786">
                  <c:v>-56819</c:v>
                </c:pt>
                <c:pt idx="787">
                  <c:v>-64883</c:v>
                </c:pt>
                <c:pt idx="788">
                  <c:v>-63474</c:v>
                </c:pt>
                <c:pt idx="789">
                  <c:v>-63364</c:v>
                </c:pt>
                <c:pt idx="790">
                  <c:v>-64215</c:v>
                </c:pt>
                <c:pt idx="791">
                  <c:v>-68341</c:v>
                </c:pt>
                <c:pt idx="792">
                  <c:v>-67142</c:v>
                </c:pt>
                <c:pt idx="793">
                  <c:v>-57043</c:v>
                </c:pt>
                <c:pt idx="794">
                  <c:v>-54554</c:v>
                </c:pt>
                <c:pt idx="795">
                  <c:v>-48409</c:v>
                </c:pt>
                <c:pt idx="796">
                  <c:v>-38112</c:v>
                </c:pt>
                <c:pt idx="797">
                  <c:v>-55209</c:v>
                </c:pt>
                <c:pt idx="798">
                  <c:v>-87056</c:v>
                </c:pt>
                <c:pt idx="799">
                  <c:v>-82113</c:v>
                </c:pt>
                <c:pt idx="800">
                  <c:v>-93831</c:v>
                </c:pt>
                <c:pt idx="801">
                  <c:v>-95284</c:v>
                </c:pt>
                <c:pt idx="802">
                  <c:v>-95503</c:v>
                </c:pt>
                <c:pt idx="803">
                  <c:v>-74279</c:v>
                </c:pt>
                <c:pt idx="804">
                  <c:v>-74589</c:v>
                </c:pt>
                <c:pt idx="805">
                  <c:v>-82955</c:v>
                </c:pt>
                <c:pt idx="806">
                  <c:v>-57491</c:v>
                </c:pt>
                <c:pt idx="807">
                  <c:v>-55146</c:v>
                </c:pt>
                <c:pt idx="808">
                  <c:v>-33110</c:v>
                </c:pt>
                <c:pt idx="809">
                  <c:v>-26933</c:v>
                </c:pt>
                <c:pt idx="810">
                  <c:v>-38315</c:v>
                </c:pt>
                <c:pt idx="811">
                  <c:v>-50734</c:v>
                </c:pt>
                <c:pt idx="812">
                  <c:v>-56569</c:v>
                </c:pt>
                <c:pt idx="813">
                  <c:v>-58361</c:v>
                </c:pt>
                <c:pt idx="814">
                  <c:v>-79345</c:v>
                </c:pt>
                <c:pt idx="815">
                  <c:v>-91077</c:v>
                </c:pt>
                <c:pt idx="816">
                  <c:v>-81669</c:v>
                </c:pt>
                <c:pt idx="817">
                  <c:v>-81676</c:v>
                </c:pt>
                <c:pt idx="818">
                  <c:v>-91943</c:v>
                </c:pt>
                <c:pt idx="819">
                  <c:v>-98741</c:v>
                </c:pt>
                <c:pt idx="820">
                  <c:v>-107235</c:v>
                </c:pt>
                <c:pt idx="821">
                  <c:v>-109281</c:v>
                </c:pt>
                <c:pt idx="822">
                  <c:v>-106279</c:v>
                </c:pt>
                <c:pt idx="823">
                  <c:v>-97326</c:v>
                </c:pt>
                <c:pt idx="824">
                  <c:v>-99965</c:v>
                </c:pt>
                <c:pt idx="825">
                  <c:v>-113084</c:v>
                </c:pt>
                <c:pt idx="826">
                  <c:v>-123968</c:v>
                </c:pt>
                <c:pt idx="827">
                  <c:v>-122366</c:v>
                </c:pt>
                <c:pt idx="828">
                  <c:v>-109558</c:v>
                </c:pt>
                <c:pt idx="829">
                  <c:v>-116248</c:v>
                </c:pt>
                <c:pt idx="830">
                  <c:v>-117182</c:v>
                </c:pt>
                <c:pt idx="831">
                  <c:v>-98428</c:v>
                </c:pt>
                <c:pt idx="832">
                  <c:v>-91580</c:v>
                </c:pt>
                <c:pt idx="833">
                  <c:v>-94135</c:v>
                </c:pt>
                <c:pt idx="834">
                  <c:v>-85383</c:v>
                </c:pt>
                <c:pt idx="835">
                  <c:v>-74285</c:v>
                </c:pt>
                <c:pt idx="836">
                  <c:v>-50490</c:v>
                </c:pt>
                <c:pt idx="837">
                  <c:v>-36632</c:v>
                </c:pt>
                <c:pt idx="838">
                  <c:v>-28625</c:v>
                </c:pt>
                <c:pt idx="839">
                  <c:v>-25932</c:v>
                </c:pt>
                <c:pt idx="840">
                  <c:v>-20301</c:v>
                </c:pt>
                <c:pt idx="841">
                  <c:v>-26359</c:v>
                </c:pt>
                <c:pt idx="842">
                  <c:v>-31216</c:v>
                </c:pt>
                <c:pt idx="843">
                  <c:v>-44076</c:v>
                </c:pt>
                <c:pt idx="844">
                  <c:v>-53550</c:v>
                </c:pt>
                <c:pt idx="845">
                  <c:v>-60563</c:v>
                </c:pt>
                <c:pt idx="846">
                  <c:v>-52130</c:v>
                </c:pt>
                <c:pt idx="847">
                  <c:v>-62943</c:v>
                </c:pt>
                <c:pt idx="848">
                  <c:v>-65045</c:v>
                </c:pt>
                <c:pt idx="849">
                  <c:v>-58868</c:v>
                </c:pt>
                <c:pt idx="850">
                  <c:v>-66024</c:v>
                </c:pt>
                <c:pt idx="851">
                  <c:v>-67130</c:v>
                </c:pt>
                <c:pt idx="852">
                  <c:v>-91550</c:v>
                </c:pt>
                <c:pt idx="853">
                  <c:v>-106377</c:v>
                </c:pt>
                <c:pt idx="854">
                  <c:v>-112174</c:v>
                </c:pt>
                <c:pt idx="855">
                  <c:v>-115793</c:v>
                </c:pt>
                <c:pt idx="856">
                  <c:v>-125029</c:v>
                </c:pt>
                <c:pt idx="857">
                  <c:v>-113411</c:v>
                </c:pt>
                <c:pt idx="858">
                  <c:v>-119050</c:v>
                </c:pt>
                <c:pt idx="859">
                  <c:v>-80577</c:v>
                </c:pt>
                <c:pt idx="860">
                  <c:v>-66294</c:v>
                </c:pt>
                <c:pt idx="861">
                  <c:v>-73864</c:v>
                </c:pt>
                <c:pt idx="862">
                  <c:v>-82483</c:v>
                </c:pt>
                <c:pt idx="863">
                  <c:v>-79147</c:v>
                </c:pt>
                <c:pt idx="864">
                  <c:v>-67877</c:v>
                </c:pt>
                <c:pt idx="865">
                  <c:v>-68083</c:v>
                </c:pt>
                <c:pt idx="866">
                  <c:v>-40005</c:v>
                </c:pt>
                <c:pt idx="867">
                  <c:v>-36772</c:v>
                </c:pt>
                <c:pt idx="868">
                  <c:v>-28453</c:v>
                </c:pt>
                <c:pt idx="869">
                  <c:v>-29668</c:v>
                </c:pt>
                <c:pt idx="870">
                  <c:v>-44978</c:v>
                </c:pt>
                <c:pt idx="871">
                  <c:v>-34541</c:v>
                </c:pt>
                <c:pt idx="872">
                  <c:v>-21196</c:v>
                </c:pt>
                <c:pt idx="873">
                  <c:v>1966</c:v>
                </c:pt>
                <c:pt idx="874">
                  <c:v>4698</c:v>
                </c:pt>
                <c:pt idx="875">
                  <c:v>9707</c:v>
                </c:pt>
                <c:pt idx="876">
                  <c:v>12018</c:v>
                </c:pt>
                <c:pt idx="877">
                  <c:v>11080</c:v>
                </c:pt>
                <c:pt idx="878">
                  <c:v>10973</c:v>
                </c:pt>
                <c:pt idx="879">
                  <c:v>23864</c:v>
                </c:pt>
                <c:pt idx="880">
                  <c:v>26650</c:v>
                </c:pt>
                <c:pt idx="881">
                  <c:v>12534</c:v>
                </c:pt>
                <c:pt idx="882">
                  <c:v>40513</c:v>
                </c:pt>
                <c:pt idx="883">
                  <c:v>41495</c:v>
                </c:pt>
                <c:pt idx="884">
                  <c:v>42493</c:v>
                </c:pt>
                <c:pt idx="885">
                  <c:v>16837</c:v>
                </c:pt>
                <c:pt idx="886">
                  <c:v>-12023</c:v>
                </c:pt>
                <c:pt idx="887">
                  <c:v>-31778</c:v>
                </c:pt>
                <c:pt idx="888">
                  <c:v>-37591</c:v>
                </c:pt>
                <c:pt idx="889">
                  <c:v>-49396</c:v>
                </c:pt>
                <c:pt idx="890">
                  <c:v>-58667</c:v>
                </c:pt>
                <c:pt idx="891">
                  <c:v>-52838</c:v>
                </c:pt>
                <c:pt idx="892">
                  <c:v>-64054</c:v>
                </c:pt>
                <c:pt idx="893">
                  <c:v>-58562</c:v>
                </c:pt>
                <c:pt idx="894">
                  <c:v>-56272</c:v>
                </c:pt>
                <c:pt idx="895">
                  <c:v>-59023</c:v>
                </c:pt>
                <c:pt idx="896">
                  <c:v>-62591</c:v>
                </c:pt>
                <c:pt idx="897">
                  <c:v>-67203</c:v>
                </c:pt>
                <c:pt idx="898">
                  <c:v>-65481</c:v>
                </c:pt>
                <c:pt idx="899">
                  <c:v>-55572</c:v>
                </c:pt>
                <c:pt idx="900">
                  <c:v>-61503</c:v>
                </c:pt>
                <c:pt idx="901">
                  <c:v>-47224</c:v>
                </c:pt>
                <c:pt idx="902">
                  <c:v>-53667</c:v>
                </c:pt>
                <c:pt idx="903">
                  <c:v>-38898</c:v>
                </c:pt>
                <c:pt idx="904">
                  <c:v>-35284</c:v>
                </c:pt>
                <c:pt idx="905">
                  <c:v>-22156</c:v>
                </c:pt>
                <c:pt idx="906">
                  <c:v>-21084</c:v>
                </c:pt>
                <c:pt idx="907">
                  <c:v>-9663</c:v>
                </c:pt>
                <c:pt idx="908">
                  <c:v>-17565</c:v>
                </c:pt>
                <c:pt idx="909">
                  <c:v>-22114</c:v>
                </c:pt>
                <c:pt idx="910">
                  <c:v>-17942</c:v>
                </c:pt>
                <c:pt idx="911">
                  <c:v>-3016</c:v>
                </c:pt>
                <c:pt idx="912">
                  <c:v>2633</c:v>
                </c:pt>
                <c:pt idx="913">
                  <c:v>11036</c:v>
                </c:pt>
                <c:pt idx="914">
                  <c:v>30261</c:v>
                </c:pt>
                <c:pt idx="915">
                  <c:v>31786</c:v>
                </c:pt>
                <c:pt idx="916">
                  <c:v>30030</c:v>
                </c:pt>
                <c:pt idx="917">
                  <c:v>28936</c:v>
                </c:pt>
                <c:pt idx="918">
                  <c:v>23930</c:v>
                </c:pt>
                <c:pt idx="919">
                  <c:v>36897</c:v>
                </c:pt>
                <c:pt idx="920">
                  <c:v>33605</c:v>
                </c:pt>
                <c:pt idx="921">
                  <c:v>27853</c:v>
                </c:pt>
                <c:pt idx="922">
                  <c:v>37658</c:v>
                </c:pt>
                <c:pt idx="923">
                  <c:v>39653</c:v>
                </c:pt>
                <c:pt idx="924">
                  <c:v>52700</c:v>
                </c:pt>
                <c:pt idx="925">
                  <c:v>32278</c:v>
                </c:pt>
                <c:pt idx="926">
                  <c:v>17551</c:v>
                </c:pt>
                <c:pt idx="927">
                  <c:v>6404</c:v>
                </c:pt>
                <c:pt idx="928">
                  <c:v>1673</c:v>
                </c:pt>
                <c:pt idx="929">
                  <c:v>13373</c:v>
                </c:pt>
                <c:pt idx="930">
                  <c:v>43325</c:v>
                </c:pt>
                <c:pt idx="931">
                  <c:v>41951</c:v>
                </c:pt>
                <c:pt idx="932">
                  <c:v>60091</c:v>
                </c:pt>
                <c:pt idx="933">
                  <c:v>54123</c:v>
                </c:pt>
                <c:pt idx="934">
                  <c:v>49757</c:v>
                </c:pt>
                <c:pt idx="935">
                  <c:v>33386</c:v>
                </c:pt>
                <c:pt idx="936">
                  <c:v>24821</c:v>
                </c:pt>
                <c:pt idx="937">
                  <c:v>39263</c:v>
                </c:pt>
                <c:pt idx="938">
                  <c:v>53859</c:v>
                </c:pt>
                <c:pt idx="939">
                  <c:v>54619</c:v>
                </c:pt>
                <c:pt idx="940">
                  <c:v>83273</c:v>
                </c:pt>
                <c:pt idx="941">
                  <c:v>35736</c:v>
                </c:pt>
                <c:pt idx="942">
                  <c:v>-5195</c:v>
                </c:pt>
                <c:pt idx="943">
                  <c:v>18</c:v>
                </c:pt>
                <c:pt idx="944">
                  <c:v>7353</c:v>
                </c:pt>
                <c:pt idx="945">
                  <c:v>39461</c:v>
                </c:pt>
                <c:pt idx="946">
                  <c:v>54934</c:v>
                </c:pt>
                <c:pt idx="947">
                  <c:v>57385</c:v>
                </c:pt>
                <c:pt idx="948">
                  <c:v>49203</c:v>
                </c:pt>
                <c:pt idx="949">
                  <c:v>32800</c:v>
                </c:pt>
                <c:pt idx="950">
                  <c:v>13517</c:v>
                </c:pt>
                <c:pt idx="951">
                  <c:v>11291</c:v>
                </c:pt>
                <c:pt idx="952">
                  <c:v>14584</c:v>
                </c:pt>
                <c:pt idx="953">
                  <c:v>-18379</c:v>
                </c:pt>
                <c:pt idx="954">
                  <c:v>-50589</c:v>
                </c:pt>
                <c:pt idx="955">
                  <c:v>-59203</c:v>
                </c:pt>
                <c:pt idx="956">
                  <c:v>-53875</c:v>
                </c:pt>
                <c:pt idx="957">
                  <c:v>-77025</c:v>
                </c:pt>
                <c:pt idx="958">
                  <c:v>-66000</c:v>
                </c:pt>
                <c:pt idx="959">
                  <c:v>-86630</c:v>
                </c:pt>
                <c:pt idx="960">
                  <c:v>-108651</c:v>
                </c:pt>
                <c:pt idx="961">
                  <c:v>-80451</c:v>
                </c:pt>
                <c:pt idx="962">
                  <c:v>-37214</c:v>
                </c:pt>
                <c:pt idx="963">
                  <c:v>-30403</c:v>
                </c:pt>
                <c:pt idx="964">
                  <c:v>-49143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0-4F9E-983B-14D9E0093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598664"/>
        <c:axId val="815598992"/>
      </c:lineChart>
      <c:catAx>
        <c:axId val="815598664"/>
        <c:scaling>
          <c:orientation val="minMax"/>
          <c:min val="41073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815598992"/>
        <c:crosses val="autoZero"/>
        <c:auto val="1"/>
        <c:lblAlgn val="ctr"/>
        <c:lblOffset val="100"/>
        <c:noMultiLvlLbl val="1"/>
      </c:catAx>
      <c:valAx>
        <c:axId val="815598992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Helvetica" panose="020B060402020203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Helvetica" panose="020B0604020202030204" pitchFamily="34" charset="0"/>
                  </a:rPr>
                  <a:t>contracts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Helvetica" panose="020B0604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5598664"/>
        <c:crosses val="autoZero"/>
        <c:crossBetween val="between"/>
      </c:valAx>
      <c:spPr>
        <a:noFill/>
        <a:ln w="9525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  <a:latin typeface="Helvetica" panose="020B0604020202030204" pitchFamily="34" charset="0"/>
              </a:rPr>
              <a:t>Soybean Meal Managed Money Net Futures and Options</a:t>
            </a:r>
            <a:r>
              <a:rPr lang="en-US" sz="1800" b="1" baseline="0">
                <a:solidFill>
                  <a:sysClr val="windowText" lastClr="000000"/>
                </a:solidFill>
                <a:latin typeface="Helvetica" panose="020B0604020202030204" pitchFamily="34" charset="0"/>
              </a:rPr>
              <a:t> </a:t>
            </a:r>
            <a:r>
              <a:rPr lang="en-US" sz="1800" b="1">
                <a:solidFill>
                  <a:sysClr val="windowText" lastClr="000000"/>
                </a:solidFill>
                <a:latin typeface="Helvetica" panose="020B0604020202030204" pitchFamily="34" charset="0"/>
              </a:rPr>
              <a:t>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Helvetica" panose="020B0604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727331601102527E-2"/>
          <c:y val="9.463108261909739E-2"/>
          <c:w val="0.88465343537173202"/>
          <c:h val="0.79781348570366761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335163"/>
              </a:solidFill>
              <a:round/>
            </a:ln>
            <a:effectLst/>
          </c:spPr>
          <c:marker>
            <c:symbol val="none"/>
          </c:marker>
          <c:cat>
            <c:strRef>
              <c:f>Data!$A$3:$A$1000</c:f>
              <c:strCache>
                <c:ptCount val="998"/>
                <c:pt idx="0">
                  <c:v>13-Jun-06</c:v>
                </c:pt>
                <c:pt idx="1">
                  <c:v>20-Jun-06</c:v>
                </c:pt>
                <c:pt idx="2">
                  <c:v>27-Jun-06</c:v>
                </c:pt>
                <c:pt idx="3">
                  <c:v>4-Jul-06</c:v>
                </c:pt>
                <c:pt idx="4">
                  <c:v>11-Jul-06</c:v>
                </c:pt>
                <c:pt idx="5">
                  <c:v>18-Jul-06</c:v>
                </c:pt>
                <c:pt idx="6">
                  <c:v>25-Jul-06</c:v>
                </c:pt>
                <c:pt idx="7">
                  <c:v>1-Aug-06</c:v>
                </c:pt>
                <c:pt idx="8">
                  <c:v>8-Aug-06</c:v>
                </c:pt>
                <c:pt idx="9">
                  <c:v>15-Aug-06</c:v>
                </c:pt>
                <c:pt idx="10">
                  <c:v>22-Aug-06</c:v>
                </c:pt>
                <c:pt idx="11">
                  <c:v>29-Aug-06</c:v>
                </c:pt>
                <c:pt idx="12">
                  <c:v>5-Sep-06</c:v>
                </c:pt>
                <c:pt idx="13">
                  <c:v>12-Sep-06</c:v>
                </c:pt>
                <c:pt idx="14">
                  <c:v>19-Sep-06</c:v>
                </c:pt>
                <c:pt idx="15">
                  <c:v>26-Sep-06</c:v>
                </c:pt>
                <c:pt idx="16">
                  <c:v>3-Oct-06</c:v>
                </c:pt>
                <c:pt idx="17">
                  <c:v>10-Oct-06</c:v>
                </c:pt>
                <c:pt idx="18">
                  <c:v>17-Oct-06</c:v>
                </c:pt>
                <c:pt idx="19">
                  <c:v>24-Oct-06</c:v>
                </c:pt>
                <c:pt idx="20">
                  <c:v>31-Oct-06</c:v>
                </c:pt>
                <c:pt idx="21">
                  <c:v>7-Nov-06</c:v>
                </c:pt>
                <c:pt idx="22">
                  <c:v>14-Nov-06</c:v>
                </c:pt>
                <c:pt idx="23">
                  <c:v>21-Nov-06</c:v>
                </c:pt>
                <c:pt idx="24">
                  <c:v>28-Nov-06</c:v>
                </c:pt>
                <c:pt idx="25">
                  <c:v>5-Dec-06</c:v>
                </c:pt>
                <c:pt idx="26">
                  <c:v>12-Dec-06</c:v>
                </c:pt>
                <c:pt idx="27">
                  <c:v>19-Dec-06</c:v>
                </c:pt>
                <c:pt idx="28">
                  <c:v>26-Dec-06</c:v>
                </c:pt>
                <c:pt idx="29">
                  <c:v>9-Jan-07</c:v>
                </c:pt>
                <c:pt idx="30">
                  <c:v>16-Jan-07</c:v>
                </c:pt>
                <c:pt idx="31">
                  <c:v>23-Jan-07</c:v>
                </c:pt>
                <c:pt idx="32">
                  <c:v>30-Jan-07</c:v>
                </c:pt>
                <c:pt idx="33">
                  <c:v>6-Feb-07</c:v>
                </c:pt>
                <c:pt idx="34">
                  <c:v>13-Feb-07</c:v>
                </c:pt>
                <c:pt idx="35">
                  <c:v>20-Feb-07</c:v>
                </c:pt>
                <c:pt idx="36">
                  <c:v>27-Feb-07</c:v>
                </c:pt>
                <c:pt idx="37">
                  <c:v>6-Mar-07</c:v>
                </c:pt>
                <c:pt idx="38">
                  <c:v>13-Mar-07</c:v>
                </c:pt>
                <c:pt idx="39">
                  <c:v>20-Mar-07</c:v>
                </c:pt>
                <c:pt idx="40">
                  <c:v>27-Mar-07</c:v>
                </c:pt>
                <c:pt idx="41">
                  <c:v>3-Apr-07</c:v>
                </c:pt>
                <c:pt idx="42">
                  <c:v>10-Apr-07</c:v>
                </c:pt>
                <c:pt idx="43">
                  <c:v>17-Apr-07</c:v>
                </c:pt>
                <c:pt idx="44">
                  <c:v>24-Apr-07</c:v>
                </c:pt>
                <c:pt idx="45">
                  <c:v>1-May-07</c:v>
                </c:pt>
                <c:pt idx="46">
                  <c:v>8-May-07</c:v>
                </c:pt>
                <c:pt idx="47">
                  <c:v>15-May-07</c:v>
                </c:pt>
                <c:pt idx="48">
                  <c:v>22-May-07</c:v>
                </c:pt>
                <c:pt idx="49">
                  <c:v>29-May-07</c:v>
                </c:pt>
                <c:pt idx="50">
                  <c:v>5-Jun-07</c:v>
                </c:pt>
                <c:pt idx="51">
                  <c:v>12-Jun-07</c:v>
                </c:pt>
                <c:pt idx="52">
                  <c:v>19-Jun-07</c:v>
                </c:pt>
                <c:pt idx="53">
                  <c:v>26-Jun-07</c:v>
                </c:pt>
                <c:pt idx="54">
                  <c:v>3-Jul-07</c:v>
                </c:pt>
                <c:pt idx="55">
                  <c:v>10-Jul-07</c:v>
                </c:pt>
                <c:pt idx="56">
                  <c:v>17-Jul-07</c:v>
                </c:pt>
                <c:pt idx="57">
                  <c:v>24-Jul-07</c:v>
                </c:pt>
                <c:pt idx="58">
                  <c:v>31-Jul-07</c:v>
                </c:pt>
                <c:pt idx="59">
                  <c:v>7-Aug-07</c:v>
                </c:pt>
                <c:pt idx="60">
                  <c:v>14-Aug-07</c:v>
                </c:pt>
                <c:pt idx="61">
                  <c:v>21-Aug-07</c:v>
                </c:pt>
                <c:pt idx="62">
                  <c:v>28-Aug-07</c:v>
                </c:pt>
                <c:pt idx="63">
                  <c:v>4-Sep-07</c:v>
                </c:pt>
                <c:pt idx="64">
                  <c:v>11-Sep-07</c:v>
                </c:pt>
                <c:pt idx="65">
                  <c:v>18-Sep-07</c:v>
                </c:pt>
                <c:pt idx="66">
                  <c:v>25-Sep-07</c:v>
                </c:pt>
                <c:pt idx="67">
                  <c:v>2-Oct-07</c:v>
                </c:pt>
                <c:pt idx="68">
                  <c:v>9-Oct-07</c:v>
                </c:pt>
                <c:pt idx="69">
                  <c:v>16-Oct-07</c:v>
                </c:pt>
                <c:pt idx="70">
                  <c:v>23-Oct-07</c:v>
                </c:pt>
                <c:pt idx="71">
                  <c:v>30-Oct-07</c:v>
                </c:pt>
                <c:pt idx="72">
                  <c:v>6-Nov-07</c:v>
                </c:pt>
                <c:pt idx="73">
                  <c:v>13-Nov-07</c:v>
                </c:pt>
                <c:pt idx="74">
                  <c:v>20-Nov-07</c:v>
                </c:pt>
                <c:pt idx="75">
                  <c:v>27-Nov-07</c:v>
                </c:pt>
                <c:pt idx="76">
                  <c:v>4-Dec-07</c:v>
                </c:pt>
                <c:pt idx="77">
                  <c:v>11-Dec-07</c:v>
                </c:pt>
                <c:pt idx="78">
                  <c:v>18-Dec-07</c:v>
                </c:pt>
                <c:pt idx="79">
                  <c:v>25-Dec-07</c:v>
                </c:pt>
                <c:pt idx="80">
                  <c:v>1-Jan-08</c:v>
                </c:pt>
                <c:pt idx="81">
                  <c:v>8-Jan-08</c:v>
                </c:pt>
                <c:pt idx="82">
                  <c:v>15-Jan-08</c:v>
                </c:pt>
                <c:pt idx="83">
                  <c:v>22-Jan-08</c:v>
                </c:pt>
                <c:pt idx="84">
                  <c:v>29-Jan-08</c:v>
                </c:pt>
                <c:pt idx="85">
                  <c:v>5-Feb-08</c:v>
                </c:pt>
                <c:pt idx="86">
                  <c:v>12-Feb-08</c:v>
                </c:pt>
                <c:pt idx="87">
                  <c:v>19-Feb-08</c:v>
                </c:pt>
                <c:pt idx="88">
                  <c:v>26-Feb-08</c:v>
                </c:pt>
                <c:pt idx="89">
                  <c:v>4-Mar-08</c:v>
                </c:pt>
                <c:pt idx="90">
                  <c:v>11-Mar-08</c:v>
                </c:pt>
                <c:pt idx="91">
                  <c:v>18-Mar-08</c:v>
                </c:pt>
                <c:pt idx="92">
                  <c:v>25-Mar-08</c:v>
                </c:pt>
                <c:pt idx="93">
                  <c:v>1-Apr-08</c:v>
                </c:pt>
                <c:pt idx="94">
                  <c:v>8-Apr-08</c:v>
                </c:pt>
                <c:pt idx="95">
                  <c:v>15-Apr-08</c:v>
                </c:pt>
                <c:pt idx="96">
                  <c:v>22-Apr-08</c:v>
                </c:pt>
                <c:pt idx="97">
                  <c:v>29-Apr-08</c:v>
                </c:pt>
                <c:pt idx="98">
                  <c:v>6-May-08</c:v>
                </c:pt>
                <c:pt idx="99">
                  <c:v>13-May-08</c:v>
                </c:pt>
                <c:pt idx="100">
                  <c:v>20-May-08</c:v>
                </c:pt>
                <c:pt idx="101">
                  <c:v>27-May-08</c:v>
                </c:pt>
                <c:pt idx="102">
                  <c:v>3-Jun-08</c:v>
                </c:pt>
                <c:pt idx="103">
                  <c:v>10-Jun-08</c:v>
                </c:pt>
                <c:pt idx="104">
                  <c:v>17-Jun-08</c:v>
                </c:pt>
                <c:pt idx="105">
                  <c:v>24-Jun-08</c:v>
                </c:pt>
                <c:pt idx="106">
                  <c:v>1-Jul-08</c:v>
                </c:pt>
                <c:pt idx="107">
                  <c:v>8-Jul-08</c:v>
                </c:pt>
                <c:pt idx="108">
                  <c:v>15-Jul-08</c:v>
                </c:pt>
                <c:pt idx="109">
                  <c:v>22-Jul-08</c:v>
                </c:pt>
                <c:pt idx="110">
                  <c:v>29-Jul-08</c:v>
                </c:pt>
                <c:pt idx="111">
                  <c:v>5-Aug-08</c:v>
                </c:pt>
                <c:pt idx="112">
                  <c:v>12-Aug-08</c:v>
                </c:pt>
                <c:pt idx="113">
                  <c:v>19-Aug-08</c:v>
                </c:pt>
                <c:pt idx="114">
                  <c:v>26-Aug-08</c:v>
                </c:pt>
                <c:pt idx="115">
                  <c:v>2-Sep-08</c:v>
                </c:pt>
                <c:pt idx="116">
                  <c:v>9-Sep-08</c:v>
                </c:pt>
                <c:pt idx="117">
                  <c:v>16-Sep-08</c:v>
                </c:pt>
                <c:pt idx="118">
                  <c:v>23-Sep-08</c:v>
                </c:pt>
                <c:pt idx="119">
                  <c:v>30-Sep-08</c:v>
                </c:pt>
                <c:pt idx="120">
                  <c:v>7-Oct-08</c:v>
                </c:pt>
                <c:pt idx="121">
                  <c:v>14-Oct-08</c:v>
                </c:pt>
                <c:pt idx="122">
                  <c:v>21-Oct-08</c:v>
                </c:pt>
                <c:pt idx="123">
                  <c:v>28-Oct-08</c:v>
                </c:pt>
                <c:pt idx="124">
                  <c:v>4-Nov-08</c:v>
                </c:pt>
                <c:pt idx="125">
                  <c:v>11-Nov-08</c:v>
                </c:pt>
                <c:pt idx="126">
                  <c:v>18-Nov-08</c:v>
                </c:pt>
                <c:pt idx="127">
                  <c:v>25-Nov-08</c:v>
                </c:pt>
                <c:pt idx="128">
                  <c:v>2-Dec-08</c:v>
                </c:pt>
                <c:pt idx="129">
                  <c:v>9-Dec-08</c:v>
                </c:pt>
                <c:pt idx="130">
                  <c:v>16-Dec-08</c:v>
                </c:pt>
                <c:pt idx="131">
                  <c:v>23-Dec-08</c:v>
                </c:pt>
                <c:pt idx="132">
                  <c:v>30-Dec-08</c:v>
                </c:pt>
                <c:pt idx="133">
                  <c:v>6-Jan-09</c:v>
                </c:pt>
                <c:pt idx="134">
                  <c:v>13-Jan-09</c:v>
                </c:pt>
                <c:pt idx="135">
                  <c:v>20-Jan-09</c:v>
                </c:pt>
                <c:pt idx="136">
                  <c:v>27-Jan-09</c:v>
                </c:pt>
                <c:pt idx="137">
                  <c:v>3-Feb-09</c:v>
                </c:pt>
                <c:pt idx="138">
                  <c:v>10-Feb-09</c:v>
                </c:pt>
                <c:pt idx="139">
                  <c:v>17-Feb-09</c:v>
                </c:pt>
                <c:pt idx="140">
                  <c:v>24-Feb-09</c:v>
                </c:pt>
                <c:pt idx="141">
                  <c:v>3-Mar-09</c:v>
                </c:pt>
                <c:pt idx="142">
                  <c:v>10-Mar-09</c:v>
                </c:pt>
                <c:pt idx="143">
                  <c:v>17-Mar-09</c:v>
                </c:pt>
                <c:pt idx="144">
                  <c:v>24-Mar-09</c:v>
                </c:pt>
                <c:pt idx="145">
                  <c:v>31-Mar-09</c:v>
                </c:pt>
                <c:pt idx="146">
                  <c:v>7-Apr-09</c:v>
                </c:pt>
                <c:pt idx="147">
                  <c:v>14-Apr-09</c:v>
                </c:pt>
                <c:pt idx="148">
                  <c:v>21-Apr-09</c:v>
                </c:pt>
                <c:pt idx="149">
                  <c:v>28-Apr-09</c:v>
                </c:pt>
                <c:pt idx="150">
                  <c:v>5-May-09</c:v>
                </c:pt>
                <c:pt idx="151">
                  <c:v>12-May-09</c:v>
                </c:pt>
                <c:pt idx="152">
                  <c:v>19-May-09</c:v>
                </c:pt>
                <c:pt idx="153">
                  <c:v>26-May-09</c:v>
                </c:pt>
                <c:pt idx="154">
                  <c:v>2-Jun-09</c:v>
                </c:pt>
                <c:pt idx="155">
                  <c:v>9-Jun-09</c:v>
                </c:pt>
                <c:pt idx="156">
                  <c:v>16-Jun-09</c:v>
                </c:pt>
                <c:pt idx="157">
                  <c:v>23-Jun-09</c:v>
                </c:pt>
                <c:pt idx="158">
                  <c:v>30-Jun-09</c:v>
                </c:pt>
                <c:pt idx="159">
                  <c:v>7-Jul-09</c:v>
                </c:pt>
                <c:pt idx="160">
                  <c:v>14-Jul-09</c:v>
                </c:pt>
                <c:pt idx="161">
                  <c:v>21-Jul-09</c:v>
                </c:pt>
                <c:pt idx="162">
                  <c:v>28-Jul-09</c:v>
                </c:pt>
                <c:pt idx="163">
                  <c:v>4-Aug-09</c:v>
                </c:pt>
                <c:pt idx="164">
                  <c:v>11-Aug-09</c:v>
                </c:pt>
                <c:pt idx="165">
                  <c:v>18-Aug-09</c:v>
                </c:pt>
                <c:pt idx="166">
                  <c:v>25-Aug-09</c:v>
                </c:pt>
                <c:pt idx="167">
                  <c:v>1-Sep-09</c:v>
                </c:pt>
                <c:pt idx="168">
                  <c:v>8-Sep-09</c:v>
                </c:pt>
                <c:pt idx="169">
                  <c:v>15-Sep-09</c:v>
                </c:pt>
                <c:pt idx="170">
                  <c:v>22-Sep-09</c:v>
                </c:pt>
                <c:pt idx="171">
                  <c:v>29-Sep-09</c:v>
                </c:pt>
                <c:pt idx="172">
                  <c:v>6-Oct-09</c:v>
                </c:pt>
                <c:pt idx="173">
                  <c:v>13-Oct-09</c:v>
                </c:pt>
                <c:pt idx="174">
                  <c:v>20-Oct-09</c:v>
                </c:pt>
                <c:pt idx="175">
                  <c:v>27-Oct-09</c:v>
                </c:pt>
                <c:pt idx="176">
                  <c:v>3-Nov-09</c:v>
                </c:pt>
                <c:pt idx="177">
                  <c:v>10-Nov-09</c:v>
                </c:pt>
                <c:pt idx="178">
                  <c:v>17-Nov-09</c:v>
                </c:pt>
                <c:pt idx="179">
                  <c:v>24-Nov-09</c:v>
                </c:pt>
                <c:pt idx="180">
                  <c:v>1-Dec-09</c:v>
                </c:pt>
                <c:pt idx="181">
                  <c:v>8-Dec-09</c:v>
                </c:pt>
                <c:pt idx="182">
                  <c:v>15-Dec-09</c:v>
                </c:pt>
                <c:pt idx="183">
                  <c:v>22-Dec-09</c:v>
                </c:pt>
                <c:pt idx="184">
                  <c:v>29-Dec-09</c:v>
                </c:pt>
                <c:pt idx="185">
                  <c:v>5-Jan-10</c:v>
                </c:pt>
                <c:pt idx="186">
                  <c:v>12-Jan-10</c:v>
                </c:pt>
                <c:pt idx="187">
                  <c:v>19-Jan-10</c:v>
                </c:pt>
                <c:pt idx="188">
                  <c:v>26-Jan-10</c:v>
                </c:pt>
                <c:pt idx="189">
                  <c:v>2-Feb-10</c:v>
                </c:pt>
                <c:pt idx="190">
                  <c:v>9-Feb-10</c:v>
                </c:pt>
                <c:pt idx="191">
                  <c:v>16-Feb-10</c:v>
                </c:pt>
                <c:pt idx="192">
                  <c:v>23-Feb-10</c:v>
                </c:pt>
                <c:pt idx="193">
                  <c:v>2-Mar-10</c:v>
                </c:pt>
                <c:pt idx="194">
                  <c:v>9-Mar-10</c:v>
                </c:pt>
                <c:pt idx="195">
                  <c:v>16-Mar-10</c:v>
                </c:pt>
                <c:pt idx="196">
                  <c:v>23-Mar-10</c:v>
                </c:pt>
                <c:pt idx="197">
                  <c:v>30-Mar-10</c:v>
                </c:pt>
                <c:pt idx="198">
                  <c:v>6-Apr-10</c:v>
                </c:pt>
                <c:pt idx="199">
                  <c:v>13-Apr-10</c:v>
                </c:pt>
                <c:pt idx="200">
                  <c:v>20-Apr-10</c:v>
                </c:pt>
                <c:pt idx="201">
                  <c:v>27-Apr-10</c:v>
                </c:pt>
                <c:pt idx="202">
                  <c:v>4-May-10</c:v>
                </c:pt>
                <c:pt idx="203">
                  <c:v>11-May-10</c:v>
                </c:pt>
                <c:pt idx="204">
                  <c:v>18-May-10</c:v>
                </c:pt>
                <c:pt idx="205">
                  <c:v>25-May-10</c:v>
                </c:pt>
                <c:pt idx="206">
                  <c:v>1-Jun-10</c:v>
                </c:pt>
                <c:pt idx="207">
                  <c:v>8-Jun-10</c:v>
                </c:pt>
                <c:pt idx="208">
                  <c:v>15-Jun-10</c:v>
                </c:pt>
                <c:pt idx="209">
                  <c:v>22-Jun-10</c:v>
                </c:pt>
                <c:pt idx="210">
                  <c:v>29-Jun-10</c:v>
                </c:pt>
                <c:pt idx="211">
                  <c:v>6-Jul-10</c:v>
                </c:pt>
                <c:pt idx="212">
                  <c:v>13-Jul-10</c:v>
                </c:pt>
                <c:pt idx="213">
                  <c:v>20-Jul-10</c:v>
                </c:pt>
                <c:pt idx="214">
                  <c:v>27-Jul-10</c:v>
                </c:pt>
                <c:pt idx="215">
                  <c:v>3-Aug-10</c:v>
                </c:pt>
                <c:pt idx="216">
                  <c:v>10-Aug-10</c:v>
                </c:pt>
                <c:pt idx="217">
                  <c:v>17-Aug-10</c:v>
                </c:pt>
                <c:pt idx="218">
                  <c:v>24-Aug-10</c:v>
                </c:pt>
                <c:pt idx="219">
                  <c:v>31-Aug-10</c:v>
                </c:pt>
                <c:pt idx="220">
                  <c:v>7-Sep-10</c:v>
                </c:pt>
                <c:pt idx="221">
                  <c:v>14-Sep-10</c:v>
                </c:pt>
                <c:pt idx="222">
                  <c:v>21-Sep-10</c:v>
                </c:pt>
                <c:pt idx="223">
                  <c:v>28-Sep-10</c:v>
                </c:pt>
                <c:pt idx="224">
                  <c:v>5-Oct-10</c:v>
                </c:pt>
                <c:pt idx="225">
                  <c:v>12-Oct-10</c:v>
                </c:pt>
                <c:pt idx="226">
                  <c:v>19-Oct-10</c:v>
                </c:pt>
                <c:pt idx="227">
                  <c:v>26-Oct-10</c:v>
                </c:pt>
                <c:pt idx="228">
                  <c:v>2-Nov-10</c:v>
                </c:pt>
                <c:pt idx="229">
                  <c:v>9-Nov-10</c:v>
                </c:pt>
                <c:pt idx="230">
                  <c:v>16-Nov-10</c:v>
                </c:pt>
                <c:pt idx="231">
                  <c:v>23-Nov-10</c:v>
                </c:pt>
                <c:pt idx="232">
                  <c:v>30-Nov-10</c:v>
                </c:pt>
                <c:pt idx="233">
                  <c:v>7-Dec-10</c:v>
                </c:pt>
                <c:pt idx="234">
                  <c:v>14-Dec-10</c:v>
                </c:pt>
                <c:pt idx="235">
                  <c:v>21-Dec-10</c:v>
                </c:pt>
                <c:pt idx="236">
                  <c:v>28-Dec-10</c:v>
                </c:pt>
                <c:pt idx="237">
                  <c:v>4-Jan-11</c:v>
                </c:pt>
                <c:pt idx="238">
                  <c:v>11-Jan-11</c:v>
                </c:pt>
                <c:pt idx="239">
                  <c:v>18-Jan-11</c:v>
                </c:pt>
                <c:pt idx="240">
                  <c:v>25-Jan-11</c:v>
                </c:pt>
                <c:pt idx="241">
                  <c:v>1-Feb-11</c:v>
                </c:pt>
                <c:pt idx="242">
                  <c:v>8-Feb-11</c:v>
                </c:pt>
                <c:pt idx="243">
                  <c:v>15-Feb-11</c:v>
                </c:pt>
                <c:pt idx="244">
                  <c:v>22-Feb-11</c:v>
                </c:pt>
                <c:pt idx="245">
                  <c:v>1-Mar-11</c:v>
                </c:pt>
                <c:pt idx="246">
                  <c:v>8-Mar-11</c:v>
                </c:pt>
                <c:pt idx="247">
                  <c:v>15-Mar-11</c:v>
                </c:pt>
                <c:pt idx="248">
                  <c:v>22-Mar-11</c:v>
                </c:pt>
                <c:pt idx="249">
                  <c:v>29-Mar-11</c:v>
                </c:pt>
                <c:pt idx="250">
                  <c:v>5-Apr-11</c:v>
                </c:pt>
                <c:pt idx="251">
                  <c:v>12-Apr-11</c:v>
                </c:pt>
                <c:pt idx="252">
                  <c:v>19-Apr-11</c:v>
                </c:pt>
                <c:pt idx="253">
                  <c:v>26-Apr-11</c:v>
                </c:pt>
                <c:pt idx="254">
                  <c:v>3-May-11</c:v>
                </c:pt>
                <c:pt idx="255">
                  <c:v>10-May-11</c:v>
                </c:pt>
                <c:pt idx="256">
                  <c:v>17-May-11</c:v>
                </c:pt>
                <c:pt idx="257">
                  <c:v>24-May-11</c:v>
                </c:pt>
                <c:pt idx="258">
                  <c:v>31-May-11</c:v>
                </c:pt>
                <c:pt idx="259">
                  <c:v>7-Jun-11</c:v>
                </c:pt>
                <c:pt idx="260">
                  <c:v>14-Jun-11</c:v>
                </c:pt>
                <c:pt idx="261">
                  <c:v>21-Jun-11</c:v>
                </c:pt>
                <c:pt idx="262">
                  <c:v>28-Jun-11</c:v>
                </c:pt>
                <c:pt idx="263">
                  <c:v>5-Jul-11</c:v>
                </c:pt>
                <c:pt idx="264">
                  <c:v>12-Jul-11</c:v>
                </c:pt>
                <c:pt idx="265">
                  <c:v>19-Jul-11</c:v>
                </c:pt>
                <c:pt idx="266">
                  <c:v>26-Jul-11</c:v>
                </c:pt>
                <c:pt idx="267">
                  <c:v>2-Aug-11</c:v>
                </c:pt>
                <c:pt idx="268">
                  <c:v>9-Aug-11</c:v>
                </c:pt>
                <c:pt idx="269">
                  <c:v>16-Aug-11</c:v>
                </c:pt>
                <c:pt idx="270">
                  <c:v>23-Aug-11</c:v>
                </c:pt>
                <c:pt idx="271">
                  <c:v>30-Aug-11</c:v>
                </c:pt>
                <c:pt idx="272">
                  <c:v>6-Sep-11</c:v>
                </c:pt>
                <c:pt idx="273">
                  <c:v>13-Sep-11</c:v>
                </c:pt>
                <c:pt idx="274">
                  <c:v>20-Sep-11</c:v>
                </c:pt>
                <c:pt idx="275">
                  <c:v>27-Sep-11</c:v>
                </c:pt>
                <c:pt idx="276">
                  <c:v>4-Oct-11</c:v>
                </c:pt>
                <c:pt idx="277">
                  <c:v>11-Oct-11</c:v>
                </c:pt>
                <c:pt idx="278">
                  <c:v>18-Oct-11</c:v>
                </c:pt>
                <c:pt idx="279">
                  <c:v>25-Oct-11</c:v>
                </c:pt>
                <c:pt idx="280">
                  <c:v>1-Nov-11</c:v>
                </c:pt>
                <c:pt idx="281">
                  <c:v>8-Nov-11</c:v>
                </c:pt>
                <c:pt idx="282">
                  <c:v>15-Nov-11</c:v>
                </c:pt>
                <c:pt idx="283">
                  <c:v>22-Nov-11</c:v>
                </c:pt>
                <c:pt idx="284">
                  <c:v>29-Nov-11</c:v>
                </c:pt>
                <c:pt idx="285">
                  <c:v>6-Dec-11</c:v>
                </c:pt>
                <c:pt idx="286">
                  <c:v>13-Dec-11</c:v>
                </c:pt>
                <c:pt idx="287">
                  <c:v>20-Dec-11</c:v>
                </c:pt>
                <c:pt idx="288">
                  <c:v>27-Dec-11</c:v>
                </c:pt>
                <c:pt idx="289">
                  <c:v>3-Jan-12</c:v>
                </c:pt>
                <c:pt idx="290">
                  <c:v>10-Jan-12</c:v>
                </c:pt>
                <c:pt idx="291">
                  <c:v>17-Jan-12</c:v>
                </c:pt>
                <c:pt idx="292">
                  <c:v>24-Jan-12</c:v>
                </c:pt>
                <c:pt idx="293">
                  <c:v>31-Jan-12</c:v>
                </c:pt>
                <c:pt idx="294">
                  <c:v>7-Feb-12</c:v>
                </c:pt>
                <c:pt idx="295">
                  <c:v>14-Feb-12</c:v>
                </c:pt>
                <c:pt idx="296">
                  <c:v>21-Feb-12</c:v>
                </c:pt>
                <c:pt idx="297">
                  <c:v>28-Feb-12</c:v>
                </c:pt>
                <c:pt idx="298">
                  <c:v>6-Mar-12</c:v>
                </c:pt>
                <c:pt idx="299">
                  <c:v>13-Mar-12</c:v>
                </c:pt>
                <c:pt idx="300">
                  <c:v>20-Mar-12</c:v>
                </c:pt>
                <c:pt idx="301">
                  <c:v>27-Mar-12</c:v>
                </c:pt>
                <c:pt idx="302">
                  <c:v>3-Apr-12</c:v>
                </c:pt>
                <c:pt idx="303">
                  <c:v>10-Apr-12</c:v>
                </c:pt>
                <c:pt idx="304">
                  <c:v>17-Apr-12</c:v>
                </c:pt>
                <c:pt idx="305">
                  <c:v>24-Apr-12</c:v>
                </c:pt>
                <c:pt idx="306">
                  <c:v>1-May-12</c:v>
                </c:pt>
                <c:pt idx="307">
                  <c:v>8-May-12</c:v>
                </c:pt>
                <c:pt idx="308">
                  <c:v>15-May-12</c:v>
                </c:pt>
                <c:pt idx="309">
                  <c:v>22-May-12</c:v>
                </c:pt>
                <c:pt idx="310">
                  <c:v>29-May-12</c:v>
                </c:pt>
                <c:pt idx="311">
                  <c:v>5-Jun-12</c:v>
                </c:pt>
                <c:pt idx="312">
                  <c:v>12-Jun-12</c:v>
                </c:pt>
                <c:pt idx="313">
                  <c:v>19-Jun-12</c:v>
                </c:pt>
                <c:pt idx="314">
                  <c:v>26-Jun-12</c:v>
                </c:pt>
                <c:pt idx="315">
                  <c:v>3-Jul-12</c:v>
                </c:pt>
                <c:pt idx="316">
                  <c:v>10-Jul-12</c:v>
                </c:pt>
                <c:pt idx="317">
                  <c:v>17-Jul-12</c:v>
                </c:pt>
                <c:pt idx="318">
                  <c:v>24-Jul-12</c:v>
                </c:pt>
                <c:pt idx="319">
                  <c:v>31-Jul-12</c:v>
                </c:pt>
                <c:pt idx="320">
                  <c:v>7-Aug-12</c:v>
                </c:pt>
                <c:pt idx="321">
                  <c:v>14-Aug-12</c:v>
                </c:pt>
                <c:pt idx="322">
                  <c:v>21-Aug-12</c:v>
                </c:pt>
                <c:pt idx="323">
                  <c:v>28-Aug-12</c:v>
                </c:pt>
                <c:pt idx="324">
                  <c:v>4-Sep-12</c:v>
                </c:pt>
                <c:pt idx="325">
                  <c:v>11-Sep-12</c:v>
                </c:pt>
                <c:pt idx="326">
                  <c:v>18-Sep-12</c:v>
                </c:pt>
                <c:pt idx="327">
                  <c:v>25-Sep-12</c:v>
                </c:pt>
                <c:pt idx="328">
                  <c:v>2-Oct-12</c:v>
                </c:pt>
                <c:pt idx="329">
                  <c:v>9-Oct-12</c:v>
                </c:pt>
                <c:pt idx="330">
                  <c:v>16-Oct-12</c:v>
                </c:pt>
                <c:pt idx="331">
                  <c:v>23-Oct-12</c:v>
                </c:pt>
                <c:pt idx="332">
                  <c:v>30-Oct-12</c:v>
                </c:pt>
                <c:pt idx="333">
                  <c:v>6-Nov-12</c:v>
                </c:pt>
                <c:pt idx="334">
                  <c:v>13-Nov-12</c:v>
                </c:pt>
                <c:pt idx="335">
                  <c:v>20-Nov-12</c:v>
                </c:pt>
                <c:pt idx="336">
                  <c:v>27-Nov-12</c:v>
                </c:pt>
                <c:pt idx="337">
                  <c:v>4-Dec-12</c:v>
                </c:pt>
                <c:pt idx="338">
                  <c:v>11-Dec-12</c:v>
                </c:pt>
                <c:pt idx="339">
                  <c:v>18-Dec-12</c:v>
                </c:pt>
                <c:pt idx="340">
                  <c:v>25-Dec-12</c:v>
                </c:pt>
                <c:pt idx="341">
                  <c:v>1-Jan-13</c:v>
                </c:pt>
                <c:pt idx="342">
                  <c:v>8-Jan-13</c:v>
                </c:pt>
                <c:pt idx="343">
                  <c:v>15-Jan-13</c:v>
                </c:pt>
                <c:pt idx="344">
                  <c:v>22-Jan-13</c:v>
                </c:pt>
                <c:pt idx="345">
                  <c:v>29-Jan-13</c:v>
                </c:pt>
                <c:pt idx="346">
                  <c:v>5-Feb-13</c:v>
                </c:pt>
                <c:pt idx="347">
                  <c:v>12-Feb-13</c:v>
                </c:pt>
                <c:pt idx="348">
                  <c:v>19-Feb-13</c:v>
                </c:pt>
                <c:pt idx="349">
                  <c:v>26-Feb-13</c:v>
                </c:pt>
                <c:pt idx="350">
                  <c:v>5-Mar-13</c:v>
                </c:pt>
                <c:pt idx="351">
                  <c:v>12-Mar-13</c:v>
                </c:pt>
                <c:pt idx="352">
                  <c:v>19-Mar-13</c:v>
                </c:pt>
                <c:pt idx="353">
                  <c:v>26-Mar-13</c:v>
                </c:pt>
                <c:pt idx="354">
                  <c:v>2-Apr-13</c:v>
                </c:pt>
                <c:pt idx="355">
                  <c:v>9-Apr-13</c:v>
                </c:pt>
                <c:pt idx="356">
                  <c:v>16-Apr-13</c:v>
                </c:pt>
                <c:pt idx="357">
                  <c:v>23-Apr-13</c:v>
                </c:pt>
                <c:pt idx="358">
                  <c:v>30-Apr-13</c:v>
                </c:pt>
                <c:pt idx="359">
                  <c:v>7-May-13</c:v>
                </c:pt>
                <c:pt idx="360">
                  <c:v>14-May-13</c:v>
                </c:pt>
                <c:pt idx="361">
                  <c:v>21-May-13</c:v>
                </c:pt>
                <c:pt idx="362">
                  <c:v>28-May-13</c:v>
                </c:pt>
                <c:pt idx="363">
                  <c:v>4-Jun-13</c:v>
                </c:pt>
                <c:pt idx="364">
                  <c:v>11-Jun-13</c:v>
                </c:pt>
                <c:pt idx="365">
                  <c:v>18-Jun-13</c:v>
                </c:pt>
                <c:pt idx="366">
                  <c:v>25-Jun-13</c:v>
                </c:pt>
                <c:pt idx="367">
                  <c:v>2-Jul-13</c:v>
                </c:pt>
                <c:pt idx="368">
                  <c:v>9-Jul-13</c:v>
                </c:pt>
                <c:pt idx="369">
                  <c:v>16-Jul-13</c:v>
                </c:pt>
                <c:pt idx="370">
                  <c:v>23-Jul-13</c:v>
                </c:pt>
                <c:pt idx="371">
                  <c:v>30-Jul-13</c:v>
                </c:pt>
                <c:pt idx="372">
                  <c:v>6-Aug-13</c:v>
                </c:pt>
                <c:pt idx="373">
                  <c:v>13-Aug-13</c:v>
                </c:pt>
                <c:pt idx="374">
                  <c:v>20-Aug-13</c:v>
                </c:pt>
                <c:pt idx="375">
                  <c:v>27-Aug-13</c:v>
                </c:pt>
                <c:pt idx="376">
                  <c:v>3-Sep-13</c:v>
                </c:pt>
                <c:pt idx="377">
                  <c:v>10-Sep-13</c:v>
                </c:pt>
                <c:pt idx="378">
                  <c:v>17-Sep-13</c:v>
                </c:pt>
                <c:pt idx="379">
                  <c:v>24-Sep-13</c:v>
                </c:pt>
                <c:pt idx="380">
                  <c:v>1-Oct-13</c:v>
                </c:pt>
                <c:pt idx="381">
                  <c:v>8-Oct-13</c:v>
                </c:pt>
                <c:pt idx="382">
                  <c:v>15-Oct-13</c:v>
                </c:pt>
                <c:pt idx="383">
                  <c:v>22-Oct-13</c:v>
                </c:pt>
                <c:pt idx="384">
                  <c:v>29-Oct-13</c:v>
                </c:pt>
                <c:pt idx="385">
                  <c:v>5-Nov-13</c:v>
                </c:pt>
                <c:pt idx="386">
                  <c:v>12-Nov-13</c:v>
                </c:pt>
                <c:pt idx="387">
                  <c:v>19-Nov-13</c:v>
                </c:pt>
                <c:pt idx="388">
                  <c:v>26-Nov-13</c:v>
                </c:pt>
                <c:pt idx="389">
                  <c:v>3-Dec-13</c:v>
                </c:pt>
                <c:pt idx="390">
                  <c:v>10-Dec-13</c:v>
                </c:pt>
                <c:pt idx="391">
                  <c:v>17-Dec-13</c:v>
                </c:pt>
                <c:pt idx="392">
                  <c:v>24-Dec-13</c:v>
                </c:pt>
                <c:pt idx="393">
                  <c:v>31-Dec-13</c:v>
                </c:pt>
                <c:pt idx="394">
                  <c:v>7-Jan-14</c:v>
                </c:pt>
                <c:pt idx="395">
                  <c:v>14-Jan-14</c:v>
                </c:pt>
                <c:pt idx="396">
                  <c:v>21-Jan-14</c:v>
                </c:pt>
                <c:pt idx="397">
                  <c:v>28-Jan-14</c:v>
                </c:pt>
                <c:pt idx="398">
                  <c:v>4-Feb-14</c:v>
                </c:pt>
                <c:pt idx="399">
                  <c:v>11-Feb-14</c:v>
                </c:pt>
                <c:pt idx="400">
                  <c:v>18-Feb-14</c:v>
                </c:pt>
                <c:pt idx="401">
                  <c:v>25-Feb-14</c:v>
                </c:pt>
                <c:pt idx="402">
                  <c:v>4-Mar-14</c:v>
                </c:pt>
                <c:pt idx="403">
                  <c:v>11-Mar-14</c:v>
                </c:pt>
                <c:pt idx="404">
                  <c:v>18-Mar-14</c:v>
                </c:pt>
                <c:pt idx="405">
                  <c:v>25-Mar-14</c:v>
                </c:pt>
                <c:pt idx="406">
                  <c:v>1-Apr-14</c:v>
                </c:pt>
                <c:pt idx="407">
                  <c:v>8-Apr-14</c:v>
                </c:pt>
                <c:pt idx="408">
                  <c:v>15-Apr-14</c:v>
                </c:pt>
                <c:pt idx="409">
                  <c:v>22-Apr-14</c:v>
                </c:pt>
                <c:pt idx="410">
                  <c:v>29-Apr-14</c:v>
                </c:pt>
                <c:pt idx="411">
                  <c:v>6-May-14</c:v>
                </c:pt>
                <c:pt idx="412">
                  <c:v>13-May-14</c:v>
                </c:pt>
                <c:pt idx="413">
                  <c:v>20-May-14</c:v>
                </c:pt>
                <c:pt idx="414">
                  <c:v>27-May-14</c:v>
                </c:pt>
                <c:pt idx="415">
                  <c:v>3-Jun-14</c:v>
                </c:pt>
                <c:pt idx="416">
                  <c:v>10-Jun-14</c:v>
                </c:pt>
                <c:pt idx="417">
                  <c:v>17-Jun-14</c:v>
                </c:pt>
                <c:pt idx="418">
                  <c:v>24-Jun-14</c:v>
                </c:pt>
                <c:pt idx="419">
                  <c:v>1-Jul-14</c:v>
                </c:pt>
                <c:pt idx="420">
                  <c:v>8-Jul-14</c:v>
                </c:pt>
                <c:pt idx="421">
                  <c:v>15-Jul-14</c:v>
                </c:pt>
                <c:pt idx="422">
                  <c:v>22-Jul-14</c:v>
                </c:pt>
                <c:pt idx="423">
                  <c:v>29-Jul-14</c:v>
                </c:pt>
                <c:pt idx="424">
                  <c:v>5-Aug-14</c:v>
                </c:pt>
                <c:pt idx="425">
                  <c:v>12-Aug-14</c:v>
                </c:pt>
                <c:pt idx="426">
                  <c:v>19-Aug-14</c:v>
                </c:pt>
                <c:pt idx="427">
                  <c:v>26-Aug-14</c:v>
                </c:pt>
                <c:pt idx="428">
                  <c:v>2-Sep-14</c:v>
                </c:pt>
                <c:pt idx="429">
                  <c:v>9-Sep-14</c:v>
                </c:pt>
                <c:pt idx="430">
                  <c:v>16-Sep-14</c:v>
                </c:pt>
                <c:pt idx="431">
                  <c:v>23-Sep-14</c:v>
                </c:pt>
                <c:pt idx="432">
                  <c:v>30-Sep-14</c:v>
                </c:pt>
                <c:pt idx="433">
                  <c:v>7-Oct-14</c:v>
                </c:pt>
                <c:pt idx="434">
                  <c:v>14-Oct-14</c:v>
                </c:pt>
                <c:pt idx="435">
                  <c:v>21-Oct-14</c:v>
                </c:pt>
                <c:pt idx="436">
                  <c:v>28-Oct-14</c:v>
                </c:pt>
                <c:pt idx="437">
                  <c:v>4-Nov-14</c:v>
                </c:pt>
                <c:pt idx="438">
                  <c:v>11-Nov-14</c:v>
                </c:pt>
                <c:pt idx="439">
                  <c:v>18-Nov-14</c:v>
                </c:pt>
                <c:pt idx="440">
                  <c:v>25-Nov-14</c:v>
                </c:pt>
                <c:pt idx="441">
                  <c:v>2-Dec-14</c:v>
                </c:pt>
                <c:pt idx="442">
                  <c:v>9-Dec-14</c:v>
                </c:pt>
                <c:pt idx="443">
                  <c:v>16-Dec-14</c:v>
                </c:pt>
                <c:pt idx="444">
                  <c:v>23-Dec-14</c:v>
                </c:pt>
                <c:pt idx="445">
                  <c:v>30-Dec-14</c:v>
                </c:pt>
                <c:pt idx="446">
                  <c:v>6-Jan-15</c:v>
                </c:pt>
                <c:pt idx="447">
                  <c:v>13-Jan-15</c:v>
                </c:pt>
                <c:pt idx="448">
                  <c:v>20-Jan-15</c:v>
                </c:pt>
                <c:pt idx="449">
                  <c:v>27-Jan-15</c:v>
                </c:pt>
                <c:pt idx="450">
                  <c:v>3-Feb-15</c:v>
                </c:pt>
                <c:pt idx="451">
                  <c:v>10-Feb-15</c:v>
                </c:pt>
                <c:pt idx="452">
                  <c:v>17-Feb-15</c:v>
                </c:pt>
                <c:pt idx="453">
                  <c:v>24-Feb-15</c:v>
                </c:pt>
                <c:pt idx="454">
                  <c:v>3-Mar-15</c:v>
                </c:pt>
                <c:pt idx="455">
                  <c:v>10-Mar-15</c:v>
                </c:pt>
                <c:pt idx="456">
                  <c:v>17-Mar-15</c:v>
                </c:pt>
                <c:pt idx="457">
                  <c:v>24-Mar-15</c:v>
                </c:pt>
                <c:pt idx="458">
                  <c:v>31-Mar-15</c:v>
                </c:pt>
                <c:pt idx="459">
                  <c:v>7-Apr-15</c:v>
                </c:pt>
                <c:pt idx="460">
                  <c:v>14-Apr-15</c:v>
                </c:pt>
                <c:pt idx="461">
                  <c:v>21-Apr-15</c:v>
                </c:pt>
                <c:pt idx="462">
                  <c:v>28-Apr-15</c:v>
                </c:pt>
                <c:pt idx="463">
                  <c:v>5-May-15</c:v>
                </c:pt>
                <c:pt idx="464">
                  <c:v>12-May-15</c:v>
                </c:pt>
                <c:pt idx="465">
                  <c:v>19-May-15</c:v>
                </c:pt>
                <c:pt idx="466">
                  <c:v>26-May-15</c:v>
                </c:pt>
                <c:pt idx="467">
                  <c:v>2-Jun-15</c:v>
                </c:pt>
                <c:pt idx="468">
                  <c:v>9-Jun-15</c:v>
                </c:pt>
                <c:pt idx="469">
                  <c:v>16-Jun-15</c:v>
                </c:pt>
                <c:pt idx="470">
                  <c:v>23-Jun-15</c:v>
                </c:pt>
                <c:pt idx="471">
                  <c:v>30-Jun-15</c:v>
                </c:pt>
                <c:pt idx="472">
                  <c:v>7-Jul-15</c:v>
                </c:pt>
                <c:pt idx="473">
                  <c:v>14-Jul-15</c:v>
                </c:pt>
                <c:pt idx="474">
                  <c:v>21-Jul-15</c:v>
                </c:pt>
                <c:pt idx="475">
                  <c:v>28-Jul-15</c:v>
                </c:pt>
                <c:pt idx="476">
                  <c:v>4-Aug-15</c:v>
                </c:pt>
                <c:pt idx="477">
                  <c:v>11-Aug-15</c:v>
                </c:pt>
                <c:pt idx="478">
                  <c:v>18-Aug-15</c:v>
                </c:pt>
                <c:pt idx="479">
                  <c:v>25-Aug-15</c:v>
                </c:pt>
                <c:pt idx="480">
                  <c:v>1-Sep-15</c:v>
                </c:pt>
                <c:pt idx="481">
                  <c:v>8-Sep-15</c:v>
                </c:pt>
                <c:pt idx="482">
                  <c:v>15-Sep-15</c:v>
                </c:pt>
                <c:pt idx="483">
                  <c:v>22-Sep-15</c:v>
                </c:pt>
                <c:pt idx="484">
                  <c:v>29-Sep-15</c:v>
                </c:pt>
                <c:pt idx="485">
                  <c:v>6-Oct-15</c:v>
                </c:pt>
                <c:pt idx="486">
                  <c:v>13-Oct-15</c:v>
                </c:pt>
                <c:pt idx="487">
                  <c:v>20-Oct-15</c:v>
                </c:pt>
                <c:pt idx="488">
                  <c:v>27-Oct-15</c:v>
                </c:pt>
                <c:pt idx="489">
                  <c:v>3-Nov-15</c:v>
                </c:pt>
                <c:pt idx="490">
                  <c:v>10-Nov-15</c:v>
                </c:pt>
                <c:pt idx="491">
                  <c:v>17-Nov-15</c:v>
                </c:pt>
                <c:pt idx="492">
                  <c:v>24-Nov-15</c:v>
                </c:pt>
                <c:pt idx="493">
                  <c:v>1-Dec-15</c:v>
                </c:pt>
                <c:pt idx="494">
                  <c:v>8-Dec-15</c:v>
                </c:pt>
                <c:pt idx="495">
                  <c:v>15-Dec-15</c:v>
                </c:pt>
                <c:pt idx="496">
                  <c:v>22-Dec-15</c:v>
                </c:pt>
                <c:pt idx="497">
                  <c:v>29-Dec-15</c:v>
                </c:pt>
                <c:pt idx="498">
                  <c:v>5-Jan-16</c:v>
                </c:pt>
                <c:pt idx="499">
                  <c:v>12-Jan-16</c:v>
                </c:pt>
                <c:pt idx="500">
                  <c:v>19-Jan-16</c:v>
                </c:pt>
                <c:pt idx="501">
                  <c:v>26-Jan-16</c:v>
                </c:pt>
                <c:pt idx="502">
                  <c:v>2-Feb-16</c:v>
                </c:pt>
                <c:pt idx="503">
                  <c:v>9-Feb-16</c:v>
                </c:pt>
                <c:pt idx="504">
                  <c:v>16-Feb-16</c:v>
                </c:pt>
                <c:pt idx="505">
                  <c:v>23-Feb-16</c:v>
                </c:pt>
                <c:pt idx="506">
                  <c:v>1-Mar-16</c:v>
                </c:pt>
                <c:pt idx="507">
                  <c:v>8-Mar-16</c:v>
                </c:pt>
                <c:pt idx="508">
                  <c:v>15-Mar-16</c:v>
                </c:pt>
                <c:pt idx="509">
                  <c:v>22-Mar-16</c:v>
                </c:pt>
                <c:pt idx="510">
                  <c:v>29-Mar-16</c:v>
                </c:pt>
                <c:pt idx="511">
                  <c:v>5-Apr-16</c:v>
                </c:pt>
                <c:pt idx="512">
                  <c:v>12-Apr-16</c:v>
                </c:pt>
                <c:pt idx="513">
                  <c:v>19-Apr-16</c:v>
                </c:pt>
                <c:pt idx="514">
                  <c:v>26-Apr-16</c:v>
                </c:pt>
                <c:pt idx="515">
                  <c:v>3-May-16</c:v>
                </c:pt>
                <c:pt idx="516">
                  <c:v>10-May-16</c:v>
                </c:pt>
                <c:pt idx="517">
                  <c:v>17-May-16</c:v>
                </c:pt>
                <c:pt idx="518">
                  <c:v>24-May-16</c:v>
                </c:pt>
                <c:pt idx="519">
                  <c:v>31-May-16</c:v>
                </c:pt>
                <c:pt idx="520">
                  <c:v>7-Jun-16</c:v>
                </c:pt>
                <c:pt idx="521">
                  <c:v>14-Jun-16</c:v>
                </c:pt>
                <c:pt idx="522">
                  <c:v>21-Jun-16</c:v>
                </c:pt>
                <c:pt idx="523">
                  <c:v>28-Jun-16</c:v>
                </c:pt>
                <c:pt idx="524">
                  <c:v>5-Jul-16</c:v>
                </c:pt>
                <c:pt idx="525">
                  <c:v>12-Jul-16</c:v>
                </c:pt>
                <c:pt idx="526">
                  <c:v>19-Jul-16</c:v>
                </c:pt>
                <c:pt idx="527">
                  <c:v>26-Jul-16</c:v>
                </c:pt>
                <c:pt idx="528">
                  <c:v>2-Aug-16</c:v>
                </c:pt>
                <c:pt idx="529">
                  <c:v>9-Aug-16</c:v>
                </c:pt>
                <c:pt idx="530">
                  <c:v>16-Aug-16</c:v>
                </c:pt>
                <c:pt idx="531">
                  <c:v>23-Aug-16</c:v>
                </c:pt>
                <c:pt idx="532">
                  <c:v>30-Aug-16</c:v>
                </c:pt>
                <c:pt idx="533">
                  <c:v>6-Sep-16</c:v>
                </c:pt>
                <c:pt idx="534">
                  <c:v>13-Sep-16</c:v>
                </c:pt>
                <c:pt idx="535">
                  <c:v>20-Sep-16</c:v>
                </c:pt>
                <c:pt idx="536">
                  <c:v>27-Sep-16</c:v>
                </c:pt>
                <c:pt idx="537">
                  <c:v>4-Oct-16</c:v>
                </c:pt>
                <c:pt idx="538">
                  <c:v>11-Oct-16</c:v>
                </c:pt>
                <c:pt idx="539">
                  <c:v>18-Oct-16</c:v>
                </c:pt>
                <c:pt idx="540">
                  <c:v>25-Oct-16</c:v>
                </c:pt>
                <c:pt idx="541">
                  <c:v>1-Nov-16</c:v>
                </c:pt>
                <c:pt idx="542">
                  <c:v>8-Nov-16</c:v>
                </c:pt>
                <c:pt idx="543">
                  <c:v>15-Nov-16</c:v>
                </c:pt>
                <c:pt idx="544">
                  <c:v>22-Nov-16</c:v>
                </c:pt>
                <c:pt idx="545">
                  <c:v>29-Nov-16</c:v>
                </c:pt>
                <c:pt idx="546">
                  <c:v>6-Dec-16</c:v>
                </c:pt>
                <c:pt idx="547">
                  <c:v>13-Dec-16</c:v>
                </c:pt>
                <c:pt idx="548">
                  <c:v>20-Dec-16</c:v>
                </c:pt>
                <c:pt idx="549">
                  <c:v>27-Dec-16</c:v>
                </c:pt>
                <c:pt idx="550">
                  <c:v>3-Jan-17</c:v>
                </c:pt>
                <c:pt idx="551">
                  <c:v>10-Jan-17</c:v>
                </c:pt>
                <c:pt idx="552">
                  <c:v>17-Jan-17</c:v>
                </c:pt>
                <c:pt idx="553">
                  <c:v>24-Jan-17</c:v>
                </c:pt>
                <c:pt idx="554">
                  <c:v>31-Jan-17</c:v>
                </c:pt>
                <c:pt idx="555">
                  <c:v>7-Feb-17</c:v>
                </c:pt>
                <c:pt idx="556">
                  <c:v>14-Feb-17</c:v>
                </c:pt>
                <c:pt idx="557">
                  <c:v>21-Feb-17</c:v>
                </c:pt>
                <c:pt idx="558">
                  <c:v>28-Feb-17</c:v>
                </c:pt>
                <c:pt idx="559">
                  <c:v>7-Mar-17</c:v>
                </c:pt>
                <c:pt idx="560">
                  <c:v>14-Mar-17</c:v>
                </c:pt>
                <c:pt idx="561">
                  <c:v>21-Mar-17</c:v>
                </c:pt>
                <c:pt idx="562">
                  <c:v>28-Mar-17</c:v>
                </c:pt>
                <c:pt idx="563">
                  <c:v>4-Apr-17</c:v>
                </c:pt>
                <c:pt idx="564">
                  <c:v>11-Apr-17</c:v>
                </c:pt>
                <c:pt idx="565">
                  <c:v>18-Apr-17</c:v>
                </c:pt>
                <c:pt idx="566">
                  <c:v>25-Apr-17</c:v>
                </c:pt>
                <c:pt idx="567">
                  <c:v>2-May-17</c:v>
                </c:pt>
                <c:pt idx="568">
                  <c:v>9-May-17</c:v>
                </c:pt>
                <c:pt idx="569">
                  <c:v>16-May-17</c:v>
                </c:pt>
                <c:pt idx="570">
                  <c:v>23-May-17</c:v>
                </c:pt>
                <c:pt idx="571">
                  <c:v>30-May-17</c:v>
                </c:pt>
                <c:pt idx="572">
                  <c:v>6-Jun-17</c:v>
                </c:pt>
                <c:pt idx="573">
                  <c:v>13-Jun-17</c:v>
                </c:pt>
                <c:pt idx="574">
                  <c:v>20-Jun-17</c:v>
                </c:pt>
                <c:pt idx="575">
                  <c:v>27-Jun-17</c:v>
                </c:pt>
                <c:pt idx="576">
                  <c:v>4-Jul-17</c:v>
                </c:pt>
                <c:pt idx="577">
                  <c:v>11-Jul-17</c:v>
                </c:pt>
                <c:pt idx="578">
                  <c:v>18-Jul-17</c:v>
                </c:pt>
                <c:pt idx="579">
                  <c:v>25-Jul-17</c:v>
                </c:pt>
                <c:pt idx="580">
                  <c:v>1-Aug-17</c:v>
                </c:pt>
                <c:pt idx="581">
                  <c:v>8-Aug-17</c:v>
                </c:pt>
                <c:pt idx="582">
                  <c:v>15-Aug-17</c:v>
                </c:pt>
                <c:pt idx="583">
                  <c:v>22-Aug-17</c:v>
                </c:pt>
                <c:pt idx="584">
                  <c:v>29-Aug-17</c:v>
                </c:pt>
                <c:pt idx="585">
                  <c:v>5-Sep-17</c:v>
                </c:pt>
                <c:pt idx="586">
                  <c:v>12-Sep-17</c:v>
                </c:pt>
                <c:pt idx="587">
                  <c:v>19-Sep-17</c:v>
                </c:pt>
                <c:pt idx="588">
                  <c:v>26-Sep-17</c:v>
                </c:pt>
                <c:pt idx="589">
                  <c:v>3-Oct-17</c:v>
                </c:pt>
                <c:pt idx="590">
                  <c:v>10-Oct-17</c:v>
                </c:pt>
                <c:pt idx="591">
                  <c:v>17-Oct-17</c:v>
                </c:pt>
                <c:pt idx="592">
                  <c:v>24-Oct-17</c:v>
                </c:pt>
                <c:pt idx="593">
                  <c:v>31-Oct-17</c:v>
                </c:pt>
                <c:pt idx="594">
                  <c:v>7-Nov-17</c:v>
                </c:pt>
                <c:pt idx="595">
                  <c:v>14-Nov-17</c:v>
                </c:pt>
                <c:pt idx="596">
                  <c:v>21-Nov-17</c:v>
                </c:pt>
                <c:pt idx="597">
                  <c:v>28-Nov-17</c:v>
                </c:pt>
                <c:pt idx="598">
                  <c:v>5-Dec-17</c:v>
                </c:pt>
                <c:pt idx="599">
                  <c:v>12-Dec-17</c:v>
                </c:pt>
                <c:pt idx="600">
                  <c:v>19-Dec-17</c:v>
                </c:pt>
                <c:pt idx="601">
                  <c:v>26-Dec-17</c:v>
                </c:pt>
                <c:pt idx="602">
                  <c:v>2-Jan-18</c:v>
                </c:pt>
                <c:pt idx="603">
                  <c:v>9-Jan-18</c:v>
                </c:pt>
                <c:pt idx="604">
                  <c:v>16-Jan-18</c:v>
                </c:pt>
                <c:pt idx="605">
                  <c:v>23-Jan-18</c:v>
                </c:pt>
                <c:pt idx="606">
                  <c:v>30-Jan-18</c:v>
                </c:pt>
                <c:pt idx="607">
                  <c:v>6-Feb-18</c:v>
                </c:pt>
                <c:pt idx="608">
                  <c:v>13-Feb-18</c:v>
                </c:pt>
                <c:pt idx="609">
                  <c:v>20-Feb-18</c:v>
                </c:pt>
                <c:pt idx="610">
                  <c:v>27-Feb-18</c:v>
                </c:pt>
                <c:pt idx="611">
                  <c:v>6-Mar-18</c:v>
                </c:pt>
                <c:pt idx="612">
                  <c:v>13-Mar-18</c:v>
                </c:pt>
                <c:pt idx="613">
                  <c:v>20-Mar-18</c:v>
                </c:pt>
                <c:pt idx="614">
                  <c:v>27-Mar-18</c:v>
                </c:pt>
                <c:pt idx="615">
                  <c:v>3-Apr-18</c:v>
                </c:pt>
                <c:pt idx="616">
                  <c:v>10-Apr-18</c:v>
                </c:pt>
                <c:pt idx="617">
                  <c:v>17-Apr-18</c:v>
                </c:pt>
                <c:pt idx="618">
                  <c:v>24-Apr-18</c:v>
                </c:pt>
                <c:pt idx="619">
                  <c:v>1-May-18</c:v>
                </c:pt>
                <c:pt idx="620">
                  <c:v>8-May-18</c:v>
                </c:pt>
                <c:pt idx="621">
                  <c:v>15-May-18</c:v>
                </c:pt>
                <c:pt idx="622">
                  <c:v>22-May-18</c:v>
                </c:pt>
                <c:pt idx="623">
                  <c:v>29-May-18</c:v>
                </c:pt>
                <c:pt idx="624">
                  <c:v>5-Jun-18</c:v>
                </c:pt>
                <c:pt idx="625">
                  <c:v>12-Jun-18</c:v>
                </c:pt>
                <c:pt idx="626">
                  <c:v>19-Jun-18</c:v>
                </c:pt>
                <c:pt idx="627">
                  <c:v>26-Jun-18</c:v>
                </c:pt>
                <c:pt idx="628">
                  <c:v>3-Jul-18</c:v>
                </c:pt>
                <c:pt idx="629">
                  <c:v>10-Jul-18</c:v>
                </c:pt>
                <c:pt idx="630">
                  <c:v>17-Jul-18</c:v>
                </c:pt>
                <c:pt idx="631">
                  <c:v>24-Jul-18</c:v>
                </c:pt>
                <c:pt idx="632">
                  <c:v>31-Jul-18</c:v>
                </c:pt>
                <c:pt idx="633">
                  <c:v>7-Aug-18</c:v>
                </c:pt>
                <c:pt idx="634">
                  <c:v>14-Aug-18</c:v>
                </c:pt>
                <c:pt idx="635">
                  <c:v>21-Aug-18</c:v>
                </c:pt>
                <c:pt idx="636">
                  <c:v>28-Aug-18</c:v>
                </c:pt>
                <c:pt idx="637">
                  <c:v>4-Sep-18</c:v>
                </c:pt>
                <c:pt idx="638">
                  <c:v>11-Sep-18</c:v>
                </c:pt>
                <c:pt idx="639">
                  <c:v>18-Sep-18</c:v>
                </c:pt>
                <c:pt idx="640">
                  <c:v>25-Sep-18</c:v>
                </c:pt>
                <c:pt idx="641">
                  <c:v>2-Oct-18</c:v>
                </c:pt>
                <c:pt idx="642">
                  <c:v>9-Oct-18</c:v>
                </c:pt>
                <c:pt idx="643">
                  <c:v>16-Oct-18</c:v>
                </c:pt>
                <c:pt idx="644">
                  <c:v>23-Oct-18</c:v>
                </c:pt>
                <c:pt idx="645">
                  <c:v>30-Oct-18</c:v>
                </c:pt>
                <c:pt idx="646">
                  <c:v>6-Nov-18</c:v>
                </c:pt>
                <c:pt idx="647">
                  <c:v>13-Nov-18</c:v>
                </c:pt>
                <c:pt idx="648">
                  <c:v>20-Nov-18</c:v>
                </c:pt>
                <c:pt idx="649">
                  <c:v>27-Nov-18</c:v>
                </c:pt>
                <c:pt idx="650">
                  <c:v>4-Dec-18</c:v>
                </c:pt>
                <c:pt idx="651">
                  <c:v>11-Dec-18</c:v>
                </c:pt>
                <c:pt idx="652">
                  <c:v>18-Dec-18</c:v>
                </c:pt>
                <c:pt idx="653">
                  <c:v>25-Dec-18</c:v>
                </c:pt>
                <c:pt idx="654">
                  <c:v>1-Jan-19</c:v>
                </c:pt>
                <c:pt idx="655">
                  <c:v>8-Jan-19</c:v>
                </c:pt>
                <c:pt idx="656">
                  <c:v>15-Jan-19</c:v>
                </c:pt>
                <c:pt idx="657">
                  <c:v>22-Jan-19</c:v>
                </c:pt>
                <c:pt idx="658">
                  <c:v>29-Jan-19</c:v>
                </c:pt>
                <c:pt idx="659">
                  <c:v>5-Feb-19</c:v>
                </c:pt>
                <c:pt idx="660">
                  <c:v>12-Feb-19</c:v>
                </c:pt>
                <c:pt idx="661">
                  <c:v>19-Feb-19</c:v>
                </c:pt>
                <c:pt idx="662">
                  <c:v>26-Feb-19</c:v>
                </c:pt>
                <c:pt idx="663">
                  <c:v>5-Mar-19</c:v>
                </c:pt>
                <c:pt idx="664">
                  <c:v>12-Mar-19</c:v>
                </c:pt>
                <c:pt idx="665">
                  <c:v>19-Mar-19</c:v>
                </c:pt>
                <c:pt idx="666">
                  <c:v>26-Mar-19</c:v>
                </c:pt>
                <c:pt idx="667">
                  <c:v>2-Apr-19</c:v>
                </c:pt>
                <c:pt idx="668">
                  <c:v>9-Apr-19</c:v>
                </c:pt>
                <c:pt idx="669">
                  <c:v>16-Apr-19</c:v>
                </c:pt>
                <c:pt idx="670">
                  <c:v>23-Apr-19</c:v>
                </c:pt>
                <c:pt idx="671">
                  <c:v>30-Apr-19</c:v>
                </c:pt>
                <c:pt idx="672">
                  <c:v>7-May-19</c:v>
                </c:pt>
                <c:pt idx="673">
                  <c:v>14-May-19</c:v>
                </c:pt>
                <c:pt idx="674">
                  <c:v>21-May-19</c:v>
                </c:pt>
                <c:pt idx="675">
                  <c:v>28-May-19</c:v>
                </c:pt>
                <c:pt idx="676">
                  <c:v>4-Jun-19</c:v>
                </c:pt>
                <c:pt idx="677">
                  <c:v>11-Jun-19</c:v>
                </c:pt>
                <c:pt idx="678">
                  <c:v>18-Jun-19</c:v>
                </c:pt>
                <c:pt idx="679">
                  <c:v>25-Jun-19</c:v>
                </c:pt>
                <c:pt idx="680">
                  <c:v>2-Jul-19</c:v>
                </c:pt>
                <c:pt idx="681">
                  <c:v>9-Jul-19</c:v>
                </c:pt>
                <c:pt idx="682">
                  <c:v>16-Jul-19</c:v>
                </c:pt>
                <c:pt idx="683">
                  <c:v>23-Jul-19</c:v>
                </c:pt>
                <c:pt idx="684">
                  <c:v>30-Jul-19</c:v>
                </c:pt>
                <c:pt idx="685">
                  <c:v>6-Aug-19</c:v>
                </c:pt>
                <c:pt idx="686">
                  <c:v>13-Aug-19</c:v>
                </c:pt>
                <c:pt idx="687">
                  <c:v>20-Aug-19</c:v>
                </c:pt>
                <c:pt idx="688">
                  <c:v>27-Aug-19</c:v>
                </c:pt>
                <c:pt idx="689">
                  <c:v>3-Sep-19</c:v>
                </c:pt>
                <c:pt idx="690">
                  <c:v>10-Sep-19</c:v>
                </c:pt>
                <c:pt idx="691">
                  <c:v>17-Sep-19</c:v>
                </c:pt>
                <c:pt idx="692">
                  <c:v>24-Sep-19</c:v>
                </c:pt>
                <c:pt idx="693">
                  <c:v>1-Oct-19</c:v>
                </c:pt>
                <c:pt idx="694">
                  <c:v>8-Oct-19</c:v>
                </c:pt>
                <c:pt idx="695">
                  <c:v>15-Oct-19</c:v>
                </c:pt>
                <c:pt idx="696">
                  <c:v>22-Oct-19</c:v>
                </c:pt>
                <c:pt idx="697">
                  <c:v>29-Oct-19</c:v>
                </c:pt>
                <c:pt idx="698">
                  <c:v>5-Nov-19</c:v>
                </c:pt>
                <c:pt idx="699">
                  <c:v>12-Nov-19</c:v>
                </c:pt>
                <c:pt idx="700">
                  <c:v>19-Nov-19</c:v>
                </c:pt>
                <c:pt idx="701">
                  <c:v>26-Nov-19</c:v>
                </c:pt>
                <c:pt idx="702">
                  <c:v>3-Dec-19</c:v>
                </c:pt>
                <c:pt idx="703">
                  <c:v>10-Dec-19</c:v>
                </c:pt>
                <c:pt idx="704">
                  <c:v>17-Dec-19</c:v>
                </c:pt>
                <c:pt idx="705">
                  <c:v>24-Dec-19</c:v>
                </c:pt>
                <c:pt idx="706">
                  <c:v>31-Dec-19</c:v>
                </c:pt>
                <c:pt idx="707">
                  <c:v>7-Jan-20</c:v>
                </c:pt>
                <c:pt idx="708">
                  <c:v>14-Jan-20</c:v>
                </c:pt>
                <c:pt idx="709">
                  <c:v>21-Jan-20</c:v>
                </c:pt>
                <c:pt idx="710">
                  <c:v>28-Jan-20</c:v>
                </c:pt>
                <c:pt idx="711">
                  <c:v>4-Feb-20</c:v>
                </c:pt>
                <c:pt idx="712">
                  <c:v>11-Feb-20</c:v>
                </c:pt>
                <c:pt idx="713">
                  <c:v>18-Feb-20</c:v>
                </c:pt>
                <c:pt idx="714">
                  <c:v>25-Feb-20</c:v>
                </c:pt>
                <c:pt idx="715">
                  <c:v>3-Mar-20</c:v>
                </c:pt>
                <c:pt idx="716">
                  <c:v>10-Mar-20</c:v>
                </c:pt>
                <c:pt idx="717">
                  <c:v>17-Mar-20</c:v>
                </c:pt>
                <c:pt idx="718">
                  <c:v>24-Mar-20</c:v>
                </c:pt>
                <c:pt idx="719">
                  <c:v>31-Mar-20</c:v>
                </c:pt>
                <c:pt idx="720">
                  <c:v>7-Apr-20</c:v>
                </c:pt>
                <c:pt idx="721">
                  <c:v>14-Apr-20</c:v>
                </c:pt>
                <c:pt idx="722">
                  <c:v>21-Apr-20</c:v>
                </c:pt>
                <c:pt idx="723">
                  <c:v>28-Apr-20</c:v>
                </c:pt>
                <c:pt idx="724">
                  <c:v>5-May-20</c:v>
                </c:pt>
                <c:pt idx="725">
                  <c:v>12-May-20</c:v>
                </c:pt>
                <c:pt idx="726">
                  <c:v>19-May-20</c:v>
                </c:pt>
                <c:pt idx="727">
                  <c:v>26-May-20</c:v>
                </c:pt>
                <c:pt idx="728">
                  <c:v>2-Jun-20</c:v>
                </c:pt>
                <c:pt idx="729">
                  <c:v>9-Jun-20</c:v>
                </c:pt>
                <c:pt idx="730">
                  <c:v>16-Jun-20</c:v>
                </c:pt>
                <c:pt idx="731">
                  <c:v>23-Jun-20</c:v>
                </c:pt>
                <c:pt idx="732">
                  <c:v>30-Jun-20</c:v>
                </c:pt>
                <c:pt idx="733">
                  <c:v>7-Jul-20</c:v>
                </c:pt>
                <c:pt idx="734">
                  <c:v>14-Jul-20</c:v>
                </c:pt>
                <c:pt idx="735">
                  <c:v>21-Jul-20</c:v>
                </c:pt>
                <c:pt idx="736">
                  <c:v>28-Jul-20</c:v>
                </c:pt>
                <c:pt idx="737">
                  <c:v>4-Aug-20</c:v>
                </c:pt>
                <c:pt idx="738">
                  <c:v>11-Aug-20</c:v>
                </c:pt>
                <c:pt idx="739">
                  <c:v>18-Aug-20</c:v>
                </c:pt>
                <c:pt idx="740">
                  <c:v>25-Aug-20</c:v>
                </c:pt>
                <c:pt idx="741">
                  <c:v>1-Sep-20</c:v>
                </c:pt>
                <c:pt idx="742">
                  <c:v>8-Sep-20</c:v>
                </c:pt>
                <c:pt idx="743">
                  <c:v>15-Sep-20</c:v>
                </c:pt>
                <c:pt idx="744">
                  <c:v>22-Sep-20</c:v>
                </c:pt>
                <c:pt idx="745">
                  <c:v>29-Sep-20</c:v>
                </c:pt>
                <c:pt idx="746">
                  <c:v>6-Oct-20</c:v>
                </c:pt>
                <c:pt idx="747">
                  <c:v>13-Oct-20</c:v>
                </c:pt>
                <c:pt idx="748">
                  <c:v>20-Oct-20</c:v>
                </c:pt>
                <c:pt idx="749">
                  <c:v>27-Oct-20</c:v>
                </c:pt>
                <c:pt idx="750">
                  <c:v>3-Nov-20</c:v>
                </c:pt>
                <c:pt idx="751">
                  <c:v>10-Nov-20</c:v>
                </c:pt>
                <c:pt idx="752">
                  <c:v>17-Nov-20</c:v>
                </c:pt>
                <c:pt idx="753">
                  <c:v>24-Nov-20</c:v>
                </c:pt>
                <c:pt idx="754">
                  <c:v>1-Dec-20</c:v>
                </c:pt>
                <c:pt idx="755">
                  <c:v>8-Dec-20</c:v>
                </c:pt>
                <c:pt idx="756">
                  <c:v>15-Dec-20</c:v>
                </c:pt>
                <c:pt idx="757">
                  <c:v>22-Dec-20</c:v>
                </c:pt>
                <c:pt idx="758">
                  <c:v>29-Dec-20</c:v>
                </c:pt>
                <c:pt idx="759">
                  <c:v>5-Jan-21</c:v>
                </c:pt>
                <c:pt idx="760">
                  <c:v>12-Jan-21</c:v>
                </c:pt>
                <c:pt idx="761">
                  <c:v>19-Jan-21</c:v>
                </c:pt>
                <c:pt idx="762">
                  <c:v>26-Jan-21</c:v>
                </c:pt>
                <c:pt idx="763">
                  <c:v>2-Feb-21</c:v>
                </c:pt>
                <c:pt idx="764">
                  <c:v>9-Feb-21</c:v>
                </c:pt>
                <c:pt idx="765">
                  <c:v>16-Feb-21</c:v>
                </c:pt>
                <c:pt idx="766">
                  <c:v>23-Feb-21</c:v>
                </c:pt>
                <c:pt idx="767">
                  <c:v>2-Mar-21</c:v>
                </c:pt>
                <c:pt idx="768">
                  <c:v>9-Mar-21</c:v>
                </c:pt>
                <c:pt idx="769">
                  <c:v>16-Mar-21</c:v>
                </c:pt>
                <c:pt idx="770">
                  <c:v>23-Mar-21</c:v>
                </c:pt>
                <c:pt idx="771">
                  <c:v>30-Mar-21</c:v>
                </c:pt>
                <c:pt idx="772">
                  <c:v>6-Apr-21</c:v>
                </c:pt>
                <c:pt idx="773">
                  <c:v>13-Apr-21</c:v>
                </c:pt>
                <c:pt idx="774">
                  <c:v>20-Apr-21</c:v>
                </c:pt>
                <c:pt idx="775">
                  <c:v>27-Apr-21</c:v>
                </c:pt>
                <c:pt idx="776">
                  <c:v>4-May-21</c:v>
                </c:pt>
                <c:pt idx="777">
                  <c:v>11-May-21</c:v>
                </c:pt>
                <c:pt idx="778">
                  <c:v>18-May-21</c:v>
                </c:pt>
                <c:pt idx="779">
                  <c:v>25-May-21</c:v>
                </c:pt>
                <c:pt idx="780">
                  <c:v>1-Jun-21</c:v>
                </c:pt>
                <c:pt idx="781">
                  <c:v>8-Jun-21</c:v>
                </c:pt>
                <c:pt idx="782">
                  <c:v>15-Jun-21</c:v>
                </c:pt>
                <c:pt idx="783">
                  <c:v>22-Jun-21</c:v>
                </c:pt>
                <c:pt idx="784">
                  <c:v>29-Jun-21</c:v>
                </c:pt>
                <c:pt idx="785">
                  <c:v>6-Jul-21</c:v>
                </c:pt>
                <c:pt idx="786">
                  <c:v>13-Jul-21</c:v>
                </c:pt>
                <c:pt idx="787">
                  <c:v>20-Jul-21</c:v>
                </c:pt>
                <c:pt idx="788">
                  <c:v>27-Jul-21</c:v>
                </c:pt>
                <c:pt idx="789">
                  <c:v>3-Aug-21</c:v>
                </c:pt>
                <c:pt idx="790">
                  <c:v>10-Aug-21</c:v>
                </c:pt>
                <c:pt idx="791">
                  <c:v>17-Aug-21</c:v>
                </c:pt>
                <c:pt idx="792">
                  <c:v>24-Aug-21</c:v>
                </c:pt>
                <c:pt idx="793">
                  <c:v>31-Aug-21</c:v>
                </c:pt>
                <c:pt idx="794">
                  <c:v>7-Sep-21</c:v>
                </c:pt>
                <c:pt idx="795">
                  <c:v>14-Sep-21</c:v>
                </c:pt>
                <c:pt idx="796">
                  <c:v>21-Sep-21</c:v>
                </c:pt>
                <c:pt idx="797">
                  <c:v>28-Sep-21</c:v>
                </c:pt>
                <c:pt idx="798">
                  <c:v>5-Oct-21</c:v>
                </c:pt>
                <c:pt idx="799">
                  <c:v>12-Oct-21</c:v>
                </c:pt>
                <c:pt idx="800">
                  <c:v>19-Oct-21</c:v>
                </c:pt>
                <c:pt idx="801">
                  <c:v>26-Oct-21</c:v>
                </c:pt>
                <c:pt idx="802">
                  <c:v>2-Nov-21</c:v>
                </c:pt>
                <c:pt idx="803">
                  <c:v>9-Nov-21</c:v>
                </c:pt>
                <c:pt idx="804">
                  <c:v>16-Nov-21</c:v>
                </c:pt>
                <c:pt idx="805">
                  <c:v>23-Nov-21</c:v>
                </c:pt>
                <c:pt idx="806">
                  <c:v>30-Nov-21</c:v>
                </c:pt>
                <c:pt idx="807">
                  <c:v>7-Dec-21</c:v>
                </c:pt>
                <c:pt idx="808">
                  <c:v>14-Dec-21</c:v>
                </c:pt>
                <c:pt idx="809">
                  <c:v>21-Dec-21</c:v>
                </c:pt>
                <c:pt idx="810">
                  <c:v>28-Dec-21</c:v>
                </c:pt>
                <c:pt idx="811">
                  <c:v>4-Jan-22</c:v>
                </c:pt>
                <c:pt idx="812">
                  <c:v>11-Jan-22</c:v>
                </c:pt>
                <c:pt idx="813">
                  <c:v>18-Jan-22</c:v>
                </c:pt>
                <c:pt idx="814">
                  <c:v>25-Jan-22</c:v>
                </c:pt>
                <c:pt idx="815">
                  <c:v>1-Feb-22</c:v>
                </c:pt>
                <c:pt idx="816">
                  <c:v>8-Feb-22</c:v>
                </c:pt>
                <c:pt idx="817">
                  <c:v>15-Feb-22</c:v>
                </c:pt>
                <c:pt idx="818">
                  <c:v>22-Feb-22</c:v>
                </c:pt>
                <c:pt idx="819">
                  <c:v>1-Mar-22</c:v>
                </c:pt>
                <c:pt idx="820">
                  <c:v>8-Mar-22</c:v>
                </c:pt>
                <c:pt idx="821">
                  <c:v>15-Mar-22</c:v>
                </c:pt>
                <c:pt idx="822">
                  <c:v>22-Mar-22</c:v>
                </c:pt>
                <c:pt idx="823">
                  <c:v>29-Mar-22</c:v>
                </c:pt>
                <c:pt idx="824">
                  <c:v>5-Apr-22</c:v>
                </c:pt>
                <c:pt idx="825">
                  <c:v>12-Apr-22</c:v>
                </c:pt>
                <c:pt idx="826">
                  <c:v>19-Apr-22</c:v>
                </c:pt>
                <c:pt idx="827">
                  <c:v>26-Apr-22</c:v>
                </c:pt>
                <c:pt idx="828">
                  <c:v>3-May-22</c:v>
                </c:pt>
                <c:pt idx="829">
                  <c:v>10-May-22</c:v>
                </c:pt>
                <c:pt idx="830">
                  <c:v>17-May-22</c:v>
                </c:pt>
                <c:pt idx="831">
                  <c:v>24-May-22</c:v>
                </c:pt>
                <c:pt idx="832">
                  <c:v>31-May-22</c:v>
                </c:pt>
                <c:pt idx="833">
                  <c:v>7-Jun-22</c:v>
                </c:pt>
                <c:pt idx="834">
                  <c:v>14-Jun-22</c:v>
                </c:pt>
                <c:pt idx="835">
                  <c:v>21-Jun-22</c:v>
                </c:pt>
                <c:pt idx="836">
                  <c:v>28-Jun-22</c:v>
                </c:pt>
                <c:pt idx="837">
                  <c:v>5-Jul-22</c:v>
                </c:pt>
                <c:pt idx="838">
                  <c:v>12-Jul-22</c:v>
                </c:pt>
                <c:pt idx="839">
                  <c:v>19-Jul-22</c:v>
                </c:pt>
                <c:pt idx="840">
                  <c:v>26-Jul-22</c:v>
                </c:pt>
                <c:pt idx="841">
                  <c:v>2-Aug-22</c:v>
                </c:pt>
                <c:pt idx="842">
                  <c:v>9-Aug-22</c:v>
                </c:pt>
                <c:pt idx="843">
                  <c:v>16-Aug-22</c:v>
                </c:pt>
                <c:pt idx="844">
                  <c:v>23-Aug-22</c:v>
                </c:pt>
                <c:pt idx="845">
                  <c:v>30-Aug-22</c:v>
                </c:pt>
                <c:pt idx="846">
                  <c:v>6-Sep-22</c:v>
                </c:pt>
                <c:pt idx="847">
                  <c:v>13-Sep-22</c:v>
                </c:pt>
                <c:pt idx="848">
                  <c:v>20-Sep-22</c:v>
                </c:pt>
                <c:pt idx="849">
                  <c:v>27-Sep-22</c:v>
                </c:pt>
                <c:pt idx="850">
                  <c:v>4-Oct-22</c:v>
                </c:pt>
                <c:pt idx="851">
                  <c:v>11-Oct-22</c:v>
                </c:pt>
                <c:pt idx="852">
                  <c:v>18-Oct-22</c:v>
                </c:pt>
                <c:pt idx="853">
                  <c:v>25-Oct-22</c:v>
                </c:pt>
                <c:pt idx="854">
                  <c:v>1-Nov-22</c:v>
                </c:pt>
                <c:pt idx="855">
                  <c:v>8-Nov-22</c:v>
                </c:pt>
                <c:pt idx="856">
                  <c:v>15-Nov-22</c:v>
                </c:pt>
                <c:pt idx="857">
                  <c:v>22-Nov-22</c:v>
                </c:pt>
                <c:pt idx="858">
                  <c:v>29-Nov-22</c:v>
                </c:pt>
                <c:pt idx="859">
                  <c:v>6-Dec-22</c:v>
                </c:pt>
                <c:pt idx="860">
                  <c:v>13-Dec-22</c:v>
                </c:pt>
                <c:pt idx="861">
                  <c:v>20-Dec-22</c:v>
                </c:pt>
                <c:pt idx="862">
                  <c:v>27-Dec-22</c:v>
                </c:pt>
                <c:pt idx="863">
                  <c:v>3-Jan-23</c:v>
                </c:pt>
                <c:pt idx="864">
                  <c:v>10-Jan-23</c:v>
                </c:pt>
                <c:pt idx="865">
                  <c:v>17-Jan-23</c:v>
                </c:pt>
                <c:pt idx="866">
                  <c:v>24-Jan-23</c:v>
                </c:pt>
                <c:pt idx="867">
                  <c:v>31-Jan-23</c:v>
                </c:pt>
                <c:pt idx="868">
                  <c:v>7-Feb-23</c:v>
                </c:pt>
                <c:pt idx="869">
                  <c:v>14-Feb-23</c:v>
                </c:pt>
                <c:pt idx="870">
                  <c:v>21-Feb-23</c:v>
                </c:pt>
                <c:pt idx="871">
                  <c:v>28-Feb-23</c:v>
                </c:pt>
                <c:pt idx="872">
                  <c:v>7-Mar-23</c:v>
                </c:pt>
                <c:pt idx="873">
                  <c:v>14-Mar-23</c:v>
                </c:pt>
                <c:pt idx="874">
                  <c:v>21-Mar-23</c:v>
                </c:pt>
                <c:pt idx="875">
                  <c:v>28-Mar-23</c:v>
                </c:pt>
                <c:pt idx="876">
                  <c:v>4-Apr-23</c:v>
                </c:pt>
                <c:pt idx="877">
                  <c:v>11-Apr-23</c:v>
                </c:pt>
                <c:pt idx="878">
                  <c:v>18-Apr-23</c:v>
                </c:pt>
                <c:pt idx="879">
                  <c:v>25-Apr-23</c:v>
                </c:pt>
                <c:pt idx="880">
                  <c:v>2-May-23</c:v>
                </c:pt>
                <c:pt idx="881">
                  <c:v>9-May-23</c:v>
                </c:pt>
                <c:pt idx="882">
                  <c:v>16-May-23</c:v>
                </c:pt>
                <c:pt idx="883">
                  <c:v>23-May-23</c:v>
                </c:pt>
                <c:pt idx="884">
                  <c:v>30-May-23</c:v>
                </c:pt>
                <c:pt idx="885">
                  <c:v>6-Jun-23</c:v>
                </c:pt>
                <c:pt idx="886">
                  <c:v>13-Jun-23</c:v>
                </c:pt>
                <c:pt idx="887">
                  <c:v>20-Jun-23</c:v>
                </c:pt>
                <c:pt idx="888">
                  <c:v>27-Jun-23</c:v>
                </c:pt>
                <c:pt idx="889">
                  <c:v>4-Jul-23</c:v>
                </c:pt>
                <c:pt idx="890">
                  <c:v>11-Jul-23</c:v>
                </c:pt>
                <c:pt idx="891">
                  <c:v>18-Jul-23</c:v>
                </c:pt>
                <c:pt idx="892">
                  <c:v>25-Jul-23</c:v>
                </c:pt>
                <c:pt idx="893">
                  <c:v>1-Aug-23</c:v>
                </c:pt>
                <c:pt idx="894">
                  <c:v>8-Aug-23</c:v>
                </c:pt>
                <c:pt idx="895">
                  <c:v>15-Aug-23</c:v>
                </c:pt>
                <c:pt idx="896">
                  <c:v>22-Aug-23</c:v>
                </c:pt>
                <c:pt idx="897">
                  <c:v>29-Aug-23</c:v>
                </c:pt>
                <c:pt idx="898">
                  <c:v>5-Sep-23</c:v>
                </c:pt>
                <c:pt idx="899">
                  <c:v>12-Sep-23</c:v>
                </c:pt>
                <c:pt idx="900">
                  <c:v>19-Sep-23</c:v>
                </c:pt>
                <c:pt idx="901">
                  <c:v>26-Sep-23</c:v>
                </c:pt>
                <c:pt idx="902">
                  <c:v>3-Oct-23</c:v>
                </c:pt>
                <c:pt idx="903">
                  <c:v>10-Oct-23</c:v>
                </c:pt>
                <c:pt idx="904">
                  <c:v>17-Oct-23</c:v>
                </c:pt>
                <c:pt idx="905">
                  <c:v>24-Oct-23</c:v>
                </c:pt>
                <c:pt idx="906">
                  <c:v>31-Oct-23</c:v>
                </c:pt>
                <c:pt idx="907">
                  <c:v>7-Nov-23</c:v>
                </c:pt>
                <c:pt idx="908">
                  <c:v>14-Nov-23</c:v>
                </c:pt>
                <c:pt idx="909">
                  <c:v>21-Nov-23</c:v>
                </c:pt>
                <c:pt idx="910">
                  <c:v>28-Nov-23</c:v>
                </c:pt>
                <c:pt idx="911">
                  <c:v>5-Dec-23</c:v>
                </c:pt>
                <c:pt idx="912">
                  <c:v>12-Dec-23</c:v>
                </c:pt>
                <c:pt idx="913">
                  <c:v>19-Dec-23</c:v>
                </c:pt>
                <c:pt idx="914">
                  <c:v>26-Dec-23</c:v>
                </c:pt>
                <c:pt idx="915">
                  <c:v>2-Jan-24</c:v>
                </c:pt>
                <c:pt idx="916">
                  <c:v>9-Jan-24</c:v>
                </c:pt>
                <c:pt idx="917">
                  <c:v>16-Jan-24</c:v>
                </c:pt>
                <c:pt idx="918">
                  <c:v>23-Jan-24</c:v>
                </c:pt>
                <c:pt idx="919">
                  <c:v>30-Jan-24</c:v>
                </c:pt>
                <c:pt idx="920">
                  <c:v>6-Feb-24</c:v>
                </c:pt>
                <c:pt idx="921">
                  <c:v>13-Feb-24</c:v>
                </c:pt>
                <c:pt idx="922">
                  <c:v>20-Feb-24</c:v>
                </c:pt>
                <c:pt idx="923">
                  <c:v>27-Feb-24</c:v>
                </c:pt>
                <c:pt idx="924">
                  <c:v>5-Mar-24</c:v>
                </c:pt>
                <c:pt idx="925">
                  <c:v>12-Mar-24</c:v>
                </c:pt>
                <c:pt idx="926">
                  <c:v>19-Mar-24</c:v>
                </c:pt>
                <c:pt idx="927">
                  <c:v>26-Mar-24</c:v>
                </c:pt>
                <c:pt idx="928">
                  <c:v>2-Apr-24</c:v>
                </c:pt>
                <c:pt idx="929">
                  <c:v>9-Apr-24</c:v>
                </c:pt>
                <c:pt idx="930">
                  <c:v>16-Apr-24</c:v>
                </c:pt>
                <c:pt idx="931">
                  <c:v>23-Apr-24</c:v>
                </c:pt>
                <c:pt idx="932">
                  <c:v>30-Apr-24</c:v>
                </c:pt>
                <c:pt idx="933">
                  <c:v>7-May-24</c:v>
                </c:pt>
                <c:pt idx="934">
                  <c:v>14-May-24</c:v>
                </c:pt>
                <c:pt idx="935">
                  <c:v>21-May-24</c:v>
                </c:pt>
                <c:pt idx="936">
                  <c:v>28-May-24</c:v>
                </c:pt>
                <c:pt idx="937">
                  <c:v>4-Jun-24</c:v>
                </c:pt>
                <c:pt idx="938">
                  <c:v>11-Jun-24</c:v>
                </c:pt>
                <c:pt idx="939">
                  <c:v>18-Jun-24</c:v>
                </c:pt>
                <c:pt idx="940">
                  <c:v>25-Jun-24</c:v>
                </c:pt>
                <c:pt idx="941">
                  <c:v>2-Jul-24</c:v>
                </c:pt>
                <c:pt idx="942">
                  <c:v>9-Jul-24</c:v>
                </c:pt>
                <c:pt idx="943">
                  <c:v>16-Jul-24</c:v>
                </c:pt>
                <c:pt idx="944">
                  <c:v>23-Jul-24</c:v>
                </c:pt>
                <c:pt idx="945">
                  <c:v>30-Jul-24</c:v>
                </c:pt>
                <c:pt idx="946">
                  <c:v>6-Aug-24</c:v>
                </c:pt>
                <c:pt idx="947">
                  <c:v>13-Aug-24</c:v>
                </c:pt>
                <c:pt idx="948">
                  <c:v>20-Aug-24</c:v>
                </c:pt>
                <c:pt idx="949">
                  <c:v>27-Aug-24</c:v>
                </c:pt>
                <c:pt idx="950">
                  <c:v>3-Sep-24</c:v>
                </c:pt>
                <c:pt idx="951">
                  <c:v>10-Sep-24</c:v>
                </c:pt>
                <c:pt idx="952">
                  <c:v>17-Sep-24</c:v>
                </c:pt>
                <c:pt idx="953">
                  <c:v>24-Sep-24</c:v>
                </c:pt>
                <c:pt idx="954">
                  <c:v>1-Oct-24</c:v>
                </c:pt>
                <c:pt idx="955">
                  <c:v>8-Oct-24</c:v>
                </c:pt>
                <c:pt idx="956">
                  <c:v>15-Oct-24</c:v>
                </c:pt>
                <c:pt idx="957">
                  <c:v>22-Oct-24</c:v>
                </c:pt>
                <c:pt idx="958">
                  <c:v>29-Oct-24</c:v>
                </c:pt>
                <c:pt idx="959">
                  <c:v>5-Nov-24</c:v>
                </c:pt>
                <c:pt idx="960">
                  <c:v>12-Nov-24</c:v>
                </c:pt>
                <c:pt idx="961">
                  <c:v>19-Nov-24</c:v>
                </c:pt>
                <c:pt idx="962">
                  <c:v>26-Nov-24</c:v>
                </c:pt>
                <c:pt idx="963">
                  <c:v>3-Dec-24</c:v>
                </c:pt>
                <c:pt idx="964">
                  <c:v>10-Dec-24</c:v>
                </c:pt>
                <c:pt idx="997">
                  <c:v>USE THE CONTINUOUS NEARBY CONTRACT FOR THE CHART DATA. </c:v>
                </c:pt>
              </c:strCache>
            </c:strRef>
          </c:cat>
          <c:val>
            <c:numRef>
              <c:f>Data!$AC$3:$AC$1000</c:f>
              <c:numCache>
                <c:formatCode>#,##0_);[Red]\(#,##0\)</c:formatCode>
                <c:ptCount val="998"/>
                <c:pt idx="0">
                  <c:v>-6029</c:v>
                </c:pt>
                <c:pt idx="1">
                  <c:v>-7432</c:v>
                </c:pt>
                <c:pt idx="2">
                  <c:v>-19352</c:v>
                </c:pt>
                <c:pt idx="3">
                  <c:v>#N/A</c:v>
                </c:pt>
                <c:pt idx="4">
                  <c:v>-16894</c:v>
                </c:pt>
                <c:pt idx="5">
                  <c:v>-31070</c:v>
                </c:pt>
                <c:pt idx="6">
                  <c:v>-32986</c:v>
                </c:pt>
                <c:pt idx="7">
                  <c:v>-41714</c:v>
                </c:pt>
                <c:pt idx="8">
                  <c:v>-45135</c:v>
                </c:pt>
                <c:pt idx="9">
                  <c:v>-46325</c:v>
                </c:pt>
                <c:pt idx="10">
                  <c:v>-50721</c:v>
                </c:pt>
                <c:pt idx="11">
                  <c:v>-49003</c:v>
                </c:pt>
                <c:pt idx="12">
                  <c:v>-44291</c:v>
                </c:pt>
                <c:pt idx="13">
                  <c:v>-55215</c:v>
                </c:pt>
                <c:pt idx="14">
                  <c:v>-43369</c:v>
                </c:pt>
                <c:pt idx="15">
                  <c:v>-36663</c:v>
                </c:pt>
                <c:pt idx="16">
                  <c:v>-37981</c:v>
                </c:pt>
                <c:pt idx="17">
                  <c:v>-30043</c:v>
                </c:pt>
                <c:pt idx="18">
                  <c:v>-10759</c:v>
                </c:pt>
                <c:pt idx="19">
                  <c:v>-4040</c:v>
                </c:pt>
                <c:pt idx="20">
                  <c:v>12385</c:v>
                </c:pt>
                <c:pt idx="21">
                  <c:v>22327</c:v>
                </c:pt>
                <c:pt idx="22">
                  <c:v>23461</c:v>
                </c:pt>
                <c:pt idx="23">
                  <c:v>21273</c:v>
                </c:pt>
                <c:pt idx="24">
                  <c:v>21694</c:v>
                </c:pt>
                <c:pt idx="25">
                  <c:v>10735</c:v>
                </c:pt>
                <c:pt idx="26">
                  <c:v>11740</c:v>
                </c:pt>
                <c:pt idx="27">
                  <c:v>6044</c:v>
                </c:pt>
                <c:pt idx="28">
                  <c:v>7436</c:v>
                </c:pt>
                <c:pt idx="29">
                  <c:v>4951</c:v>
                </c:pt>
                <c:pt idx="30">
                  <c:v>15740</c:v>
                </c:pt>
                <c:pt idx="31">
                  <c:v>27031</c:v>
                </c:pt>
                <c:pt idx="32">
                  <c:v>27382</c:v>
                </c:pt>
                <c:pt idx="33">
                  <c:v>34172</c:v>
                </c:pt>
                <c:pt idx="34">
                  <c:v>50380</c:v>
                </c:pt>
                <c:pt idx="35">
                  <c:v>56348</c:v>
                </c:pt>
                <c:pt idx="36">
                  <c:v>52014</c:v>
                </c:pt>
                <c:pt idx="37">
                  <c:v>38073</c:v>
                </c:pt>
                <c:pt idx="38">
                  <c:v>32622</c:v>
                </c:pt>
                <c:pt idx="39">
                  <c:v>29616</c:v>
                </c:pt>
                <c:pt idx="40">
                  <c:v>22826</c:v>
                </c:pt>
                <c:pt idx="41">
                  <c:v>18981</c:v>
                </c:pt>
                <c:pt idx="42">
                  <c:v>14855</c:v>
                </c:pt>
                <c:pt idx="43">
                  <c:v>10637</c:v>
                </c:pt>
                <c:pt idx="44">
                  <c:v>9374</c:v>
                </c:pt>
                <c:pt idx="45">
                  <c:v>13854</c:v>
                </c:pt>
                <c:pt idx="46">
                  <c:v>9646</c:v>
                </c:pt>
                <c:pt idx="47">
                  <c:v>10213</c:v>
                </c:pt>
                <c:pt idx="48">
                  <c:v>16900</c:v>
                </c:pt>
                <c:pt idx="49">
                  <c:v>20417</c:v>
                </c:pt>
                <c:pt idx="50">
                  <c:v>30947</c:v>
                </c:pt>
                <c:pt idx="51">
                  <c:v>36821</c:v>
                </c:pt>
                <c:pt idx="52">
                  <c:v>40063</c:v>
                </c:pt>
                <c:pt idx="53">
                  <c:v>35696</c:v>
                </c:pt>
                <c:pt idx="54">
                  <c:v>41979</c:v>
                </c:pt>
                <c:pt idx="55">
                  <c:v>48942</c:v>
                </c:pt>
                <c:pt idx="56">
                  <c:v>49842</c:v>
                </c:pt>
                <c:pt idx="57">
                  <c:v>38003</c:v>
                </c:pt>
                <c:pt idx="58">
                  <c:v>28997</c:v>
                </c:pt>
                <c:pt idx="59">
                  <c:v>34569</c:v>
                </c:pt>
                <c:pt idx="60">
                  <c:v>38957</c:v>
                </c:pt>
                <c:pt idx="61">
                  <c:v>32828</c:v>
                </c:pt>
                <c:pt idx="62">
                  <c:v>41554</c:v>
                </c:pt>
                <c:pt idx="63">
                  <c:v>48294</c:v>
                </c:pt>
                <c:pt idx="64">
                  <c:v>51086</c:v>
                </c:pt>
                <c:pt idx="65">
                  <c:v>56850</c:v>
                </c:pt>
                <c:pt idx="66">
                  <c:v>57284</c:v>
                </c:pt>
                <c:pt idx="67">
                  <c:v>52659</c:v>
                </c:pt>
                <c:pt idx="68">
                  <c:v>51794</c:v>
                </c:pt>
                <c:pt idx="69">
                  <c:v>56103</c:v>
                </c:pt>
                <c:pt idx="70">
                  <c:v>58735</c:v>
                </c:pt>
                <c:pt idx="71">
                  <c:v>60272</c:v>
                </c:pt>
                <c:pt idx="72">
                  <c:v>66356</c:v>
                </c:pt>
                <c:pt idx="73">
                  <c:v>65026</c:v>
                </c:pt>
                <c:pt idx="74">
                  <c:v>63633</c:v>
                </c:pt>
                <c:pt idx="75">
                  <c:v>62262</c:v>
                </c:pt>
                <c:pt idx="76">
                  <c:v>68242</c:v>
                </c:pt>
                <c:pt idx="77">
                  <c:v>75437</c:v>
                </c:pt>
                <c:pt idx="78">
                  <c:v>70280</c:v>
                </c:pt>
                <c:pt idx="79">
                  <c:v>#N/A</c:v>
                </c:pt>
                <c:pt idx="80">
                  <c:v>#N/A</c:v>
                </c:pt>
                <c:pt idx="81">
                  <c:v>62749</c:v>
                </c:pt>
                <c:pt idx="82">
                  <c:v>54356</c:v>
                </c:pt>
                <c:pt idx="83">
                  <c:v>44723</c:v>
                </c:pt>
                <c:pt idx="84">
                  <c:v>37701</c:v>
                </c:pt>
                <c:pt idx="85">
                  <c:v>39102</c:v>
                </c:pt>
                <c:pt idx="86">
                  <c:v>38790</c:v>
                </c:pt>
                <c:pt idx="87">
                  <c:v>41082</c:v>
                </c:pt>
                <c:pt idx="88">
                  <c:v>44213</c:v>
                </c:pt>
                <c:pt idx="89">
                  <c:v>46907</c:v>
                </c:pt>
                <c:pt idx="90">
                  <c:v>31330</c:v>
                </c:pt>
                <c:pt idx="91">
                  <c:v>21057</c:v>
                </c:pt>
                <c:pt idx="92">
                  <c:v>15748</c:v>
                </c:pt>
                <c:pt idx="93">
                  <c:v>25012</c:v>
                </c:pt>
                <c:pt idx="94">
                  <c:v>24675</c:v>
                </c:pt>
                <c:pt idx="95">
                  <c:v>27599</c:v>
                </c:pt>
                <c:pt idx="96">
                  <c:v>28536</c:v>
                </c:pt>
                <c:pt idx="97">
                  <c:v>23205</c:v>
                </c:pt>
                <c:pt idx="98">
                  <c:v>26158</c:v>
                </c:pt>
                <c:pt idx="99">
                  <c:v>29176</c:v>
                </c:pt>
                <c:pt idx="100">
                  <c:v>27242</c:v>
                </c:pt>
                <c:pt idx="101">
                  <c:v>28926</c:v>
                </c:pt>
                <c:pt idx="102">
                  <c:v>32073</c:v>
                </c:pt>
                <c:pt idx="103">
                  <c:v>38338</c:v>
                </c:pt>
                <c:pt idx="104">
                  <c:v>49533</c:v>
                </c:pt>
                <c:pt idx="105">
                  <c:v>53175</c:v>
                </c:pt>
                <c:pt idx="106">
                  <c:v>52632</c:v>
                </c:pt>
                <c:pt idx="107">
                  <c:v>45993</c:v>
                </c:pt>
                <c:pt idx="108">
                  <c:v>45333</c:v>
                </c:pt>
                <c:pt idx="109">
                  <c:v>31149</c:v>
                </c:pt>
                <c:pt idx="110">
                  <c:v>29671</c:v>
                </c:pt>
                <c:pt idx="111">
                  <c:v>27667</c:v>
                </c:pt>
                <c:pt idx="112">
                  <c:v>23235</c:v>
                </c:pt>
                <c:pt idx="113">
                  <c:v>22344</c:v>
                </c:pt>
                <c:pt idx="114">
                  <c:v>27021</c:v>
                </c:pt>
                <c:pt idx="115">
                  <c:v>26969</c:v>
                </c:pt>
                <c:pt idx="116">
                  <c:v>20332</c:v>
                </c:pt>
                <c:pt idx="117">
                  <c:v>15684</c:v>
                </c:pt>
                <c:pt idx="118">
                  <c:v>16586</c:v>
                </c:pt>
                <c:pt idx="119">
                  <c:v>11386</c:v>
                </c:pt>
                <c:pt idx="120">
                  <c:v>6183</c:v>
                </c:pt>
                <c:pt idx="121">
                  <c:v>2210</c:v>
                </c:pt>
                <c:pt idx="122">
                  <c:v>2742</c:v>
                </c:pt>
                <c:pt idx="123">
                  <c:v>5788</c:v>
                </c:pt>
                <c:pt idx="124">
                  <c:v>3560</c:v>
                </c:pt>
                <c:pt idx="125">
                  <c:v>3642</c:v>
                </c:pt>
                <c:pt idx="126">
                  <c:v>3162</c:v>
                </c:pt>
                <c:pt idx="127">
                  <c:v>3875</c:v>
                </c:pt>
                <c:pt idx="128">
                  <c:v>385</c:v>
                </c:pt>
                <c:pt idx="129">
                  <c:v>-1004</c:v>
                </c:pt>
                <c:pt idx="130">
                  <c:v>714</c:v>
                </c:pt>
                <c:pt idx="131">
                  <c:v>#N/A</c:v>
                </c:pt>
                <c:pt idx="132">
                  <c:v>7668</c:v>
                </c:pt>
                <c:pt idx="133">
                  <c:v>8566</c:v>
                </c:pt>
                <c:pt idx="134">
                  <c:v>10166</c:v>
                </c:pt>
                <c:pt idx="135">
                  <c:v>11832</c:v>
                </c:pt>
                <c:pt idx="136">
                  <c:v>17383</c:v>
                </c:pt>
                <c:pt idx="137">
                  <c:v>17706</c:v>
                </c:pt>
                <c:pt idx="138">
                  <c:v>18223</c:v>
                </c:pt>
                <c:pt idx="139">
                  <c:v>11808</c:v>
                </c:pt>
                <c:pt idx="140">
                  <c:v>5374</c:v>
                </c:pt>
                <c:pt idx="141">
                  <c:v>3812</c:v>
                </c:pt>
                <c:pt idx="142">
                  <c:v>4740</c:v>
                </c:pt>
                <c:pt idx="143">
                  <c:v>10476</c:v>
                </c:pt>
                <c:pt idx="144">
                  <c:v>17045</c:v>
                </c:pt>
                <c:pt idx="145">
                  <c:v>18413</c:v>
                </c:pt>
                <c:pt idx="146">
                  <c:v>16861</c:v>
                </c:pt>
                <c:pt idx="147">
                  <c:v>24367</c:v>
                </c:pt>
                <c:pt idx="148">
                  <c:v>34373</c:v>
                </c:pt>
                <c:pt idx="149">
                  <c:v>32393</c:v>
                </c:pt>
                <c:pt idx="150">
                  <c:v>42563</c:v>
                </c:pt>
                <c:pt idx="151">
                  <c:v>40699</c:v>
                </c:pt>
                <c:pt idx="152">
                  <c:v>48296</c:v>
                </c:pt>
                <c:pt idx="153">
                  <c:v>53800</c:v>
                </c:pt>
                <c:pt idx="154">
                  <c:v>56537</c:v>
                </c:pt>
                <c:pt idx="155">
                  <c:v>56752</c:v>
                </c:pt>
                <c:pt idx="156">
                  <c:v>56076</c:v>
                </c:pt>
                <c:pt idx="157">
                  <c:v>47863</c:v>
                </c:pt>
                <c:pt idx="158">
                  <c:v>47649</c:v>
                </c:pt>
                <c:pt idx="159">
                  <c:v>35933</c:v>
                </c:pt>
                <c:pt idx="160">
                  <c:v>27809</c:v>
                </c:pt>
                <c:pt idx="161">
                  <c:v>27680</c:v>
                </c:pt>
                <c:pt idx="162">
                  <c:v>32710</c:v>
                </c:pt>
                <c:pt idx="163">
                  <c:v>39958</c:v>
                </c:pt>
                <c:pt idx="164">
                  <c:v>42814</c:v>
                </c:pt>
                <c:pt idx="165">
                  <c:v>36433</c:v>
                </c:pt>
                <c:pt idx="166">
                  <c:v>37806</c:v>
                </c:pt>
                <c:pt idx="167">
                  <c:v>37499</c:v>
                </c:pt>
                <c:pt idx="168">
                  <c:v>32053</c:v>
                </c:pt>
                <c:pt idx="169">
                  <c:v>35085</c:v>
                </c:pt>
                <c:pt idx="170">
                  <c:v>29941</c:v>
                </c:pt>
                <c:pt idx="171">
                  <c:v>31167</c:v>
                </c:pt>
                <c:pt idx="172">
                  <c:v>28091</c:v>
                </c:pt>
                <c:pt idx="173">
                  <c:v>34426</c:v>
                </c:pt>
                <c:pt idx="174">
                  <c:v>32970</c:v>
                </c:pt>
                <c:pt idx="175">
                  <c:v>28356</c:v>
                </c:pt>
                <c:pt idx="176">
                  <c:v>37216</c:v>
                </c:pt>
                <c:pt idx="177">
                  <c:v>31913</c:v>
                </c:pt>
                <c:pt idx="178">
                  <c:v>33722</c:v>
                </c:pt>
                <c:pt idx="179">
                  <c:v>42845</c:v>
                </c:pt>
                <c:pt idx="180">
                  <c:v>45579</c:v>
                </c:pt>
                <c:pt idx="181">
                  <c:v>42256</c:v>
                </c:pt>
                <c:pt idx="182">
                  <c:v>44301</c:v>
                </c:pt>
                <c:pt idx="183">
                  <c:v>35586</c:v>
                </c:pt>
                <c:pt idx="184">
                  <c:v>44301</c:v>
                </c:pt>
                <c:pt idx="185">
                  <c:v>41107</c:v>
                </c:pt>
                <c:pt idx="186">
                  <c:v>36604</c:v>
                </c:pt>
                <c:pt idx="187">
                  <c:v>35795</c:v>
                </c:pt>
                <c:pt idx="188">
                  <c:v>34339</c:v>
                </c:pt>
                <c:pt idx="189">
                  <c:v>25222</c:v>
                </c:pt>
                <c:pt idx="190">
                  <c:v>19610</c:v>
                </c:pt>
                <c:pt idx="191">
                  <c:v>22864</c:v>
                </c:pt>
                <c:pt idx="192">
                  <c:v>28821</c:v>
                </c:pt>
                <c:pt idx="193">
                  <c:v>23376</c:v>
                </c:pt>
                <c:pt idx="194">
                  <c:v>11032</c:v>
                </c:pt>
                <c:pt idx="195">
                  <c:v>12625</c:v>
                </c:pt>
                <c:pt idx="196">
                  <c:v>21520</c:v>
                </c:pt>
                <c:pt idx="197">
                  <c:v>31349</c:v>
                </c:pt>
                <c:pt idx="198">
                  <c:v>25764</c:v>
                </c:pt>
                <c:pt idx="199">
                  <c:v>25277</c:v>
                </c:pt>
                <c:pt idx="200">
                  <c:v>34348</c:v>
                </c:pt>
                <c:pt idx="201">
                  <c:v>49905</c:v>
                </c:pt>
                <c:pt idx="202">
                  <c:v>51052</c:v>
                </c:pt>
                <c:pt idx="203">
                  <c:v>43259</c:v>
                </c:pt>
                <c:pt idx="204">
                  <c:v>38564</c:v>
                </c:pt>
                <c:pt idx="205">
                  <c:v>33603</c:v>
                </c:pt>
                <c:pt idx="206">
                  <c:v>32262</c:v>
                </c:pt>
                <c:pt idx="207">
                  <c:v>38677</c:v>
                </c:pt>
                <c:pt idx="208">
                  <c:v>48558</c:v>
                </c:pt>
                <c:pt idx="209">
                  <c:v>51052</c:v>
                </c:pt>
                <c:pt idx="210">
                  <c:v>55321</c:v>
                </c:pt>
                <c:pt idx="211">
                  <c:v>48154</c:v>
                </c:pt>
                <c:pt idx="212">
                  <c:v>61726</c:v>
                </c:pt>
                <c:pt idx="213">
                  <c:v>62159</c:v>
                </c:pt>
                <c:pt idx="214">
                  <c:v>62623</c:v>
                </c:pt>
                <c:pt idx="215">
                  <c:v>65580</c:v>
                </c:pt>
                <c:pt idx="216">
                  <c:v>67198</c:v>
                </c:pt>
                <c:pt idx="217">
                  <c:v>71289</c:v>
                </c:pt>
                <c:pt idx="218">
                  <c:v>67177</c:v>
                </c:pt>
                <c:pt idx="219">
                  <c:v>72409</c:v>
                </c:pt>
                <c:pt idx="220">
                  <c:v>73315</c:v>
                </c:pt>
                <c:pt idx="221">
                  <c:v>66157</c:v>
                </c:pt>
                <c:pt idx="222">
                  <c:v>71308</c:v>
                </c:pt>
                <c:pt idx="223">
                  <c:v>66139</c:v>
                </c:pt>
                <c:pt idx="224">
                  <c:v>45731</c:v>
                </c:pt>
                <c:pt idx="225">
                  <c:v>46616</c:v>
                </c:pt>
                <c:pt idx="226">
                  <c:v>46503</c:v>
                </c:pt>
                <c:pt idx="227">
                  <c:v>43601</c:v>
                </c:pt>
                <c:pt idx="228">
                  <c:v>42284</c:v>
                </c:pt>
                <c:pt idx="229">
                  <c:v>46798</c:v>
                </c:pt>
                <c:pt idx="230">
                  <c:v>34045</c:v>
                </c:pt>
                <c:pt idx="231">
                  <c:v>34797</c:v>
                </c:pt>
                <c:pt idx="232">
                  <c:v>33554</c:v>
                </c:pt>
                <c:pt idx="233">
                  <c:v>32899</c:v>
                </c:pt>
                <c:pt idx="234">
                  <c:v>31924</c:v>
                </c:pt>
                <c:pt idx="235">
                  <c:v>38654</c:v>
                </c:pt>
                <c:pt idx="236">
                  <c:v>40129</c:v>
                </c:pt>
                <c:pt idx="237">
                  <c:v>41005</c:v>
                </c:pt>
                <c:pt idx="238">
                  <c:v>41001</c:v>
                </c:pt>
                <c:pt idx="239">
                  <c:v>43245</c:v>
                </c:pt>
                <c:pt idx="240">
                  <c:v>40110</c:v>
                </c:pt>
                <c:pt idx="241">
                  <c:v>45439</c:v>
                </c:pt>
                <c:pt idx="242">
                  <c:v>44059</c:v>
                </c:pt>
                <c:pt idx="243">
                  <c:v>34660</c:v>
                </c:pt>
                <c:pt idx="244">
                  <c:v>24878</c:v>
                </c:pt>
                <c:pt idx="245">
                  <c:v>21944</c:v>
                </c:pt>
                <c:pt idx="246">
                  <c:v>19446</c:v>
                </c:pt>
                <c:pt idx="247">
                  <c:v>16643</c:v>
                </c:pt>
                <c:pt idx="248">
                  <c:v>26817</c:v>
                </c:pt>
                <c:pt idx="249">
                  <c:v>24682</c:v>
                </c:pt>
                <c:pt idx="250">
                  <c:v>21663</c:v>
                </c:pt>
                <c:pt idx="251">
                  <c:v>12719</c:v>
                </c:pt>
                <c:pt idx="252">
                  <c:v>8785</c:v>
                </c:pt>
                <c:pt idx="253">
                  <c:v>19660</c:v>
                </c:pt>
                <c:pt idx="254">
                  <c:v>19291</c:v>
                </c:pt>
                <c:pt idx="255">
                  <c:v>17680</c:v>
                </c:pt>
                <c:pt idx="256">
                  <c:v>16208</c:v>
                </c:pt>
                <c:pt idx="257">
                  <c:v>26812</c:v>
                </c:pt>
                <c:pt idx="258">
                  <c:v>23244</c:v>
                </c:pt>
                <c:pt idx="259">
                  <c:v>37066</c:v>
                </c:pt>
                <c:pt idx="260">
                  <c:v>34172</c:v>
                </c:pt>
                <c:pt idx="261">
                  <c:v>24010</c:v>
                </c:pt>
                <c:pt idx="262">
                  <c:v>7955</c:v>
                </c:pt>
                <c:pt idx="263">
                  <c:v>5341</c:v>
                </c:pt>
                <c:pt idx="264">
                  <c:v>12428</c:v>
                </c:pt>
                <c:pt idx="265">
                  <c:v>29142</c:v>
                </c:pt>
                <c:pt idx="266">
                  <c:v>39289</c:v>
                </c:pt>
                <c:pt idx="267">
                  <c:v>36438</c:v>
                </c:pt>
                <c:pt idx="268">
                  <c:v>27917</c:v>
                </c:pt>
                <c:pt idx="269">
                  <c:v>23967</c:v>
                </c:pt>
                <c:pt idx="270">
                  <c:v>38704</c:v>
                </c:pt>
                <c:pt idx="271">
                  <c:v>52272</c:v>
                </c:pt>
                <c:pt idx="272">
                  <c:v>59554</c:v>
                </c:pt>
                <c:pt idx="273">
                  <c:v>49642</c:v>
                </c:pt>
                <c:pt idx="274">
                  <c:v>25745</c:v>
                </c:pt>
                <c:pt idx="275">
                  <c:v>10347</c:v>
                </c:pt>
                <c:pt idx="276">
                  <c:v>-598</c:v>
                </c:pt>
                <c:pt idx="277">
                  <c:v>-10228</c:v>
                </c:pt>
                <c:pt idx="278">
                  <c:v>-12366</c:v>
                </c:pt>
                <c:pt idx="279">
                  <c:v>-7894</c:v>
                </c:pt>
                <c:pt idx="280">
                  <c:v>-15400</c:v>
                </c:pt>
                <c:pt idx="281">
                  <c:v>-14840</c:v>
                </c:pt>
                <c:pt idx="282">
                  <c:v>-24190</c:v>
                </c:pt>
                <c:pt idx="283">
                  <c:v>-28150</c:v>
                </c:pt>
                <c:pt idx="284">
                  <c:v>-22635</c:v>
                </c:pt>
                <c:pt idx="285">
                  <c:v>-27141</c:v>
                </c:pt>
                <c:pt idx="286">
                  <c:v>-27468</c:v>
                </c:pt>
                <c:pt idx="287">
                  <c:v>-22696</c:v>
                </c:pt>
                <c:pt idx="288">
                  <c:v>-15232</c:v>
                </c:pt>
                <c:pt idx="289">
                  <c:v>-13451</c:v>
                </c:pt>
                <c:pt idx="290">
                  <c:v>-7572</c:v>
                </c:pt>
                <c:pt idx="291">
                  <c:v>-13923</c:v>
                </c:pt>
                <c:pt idx="292">
                  <c:v>-8977</c:v>
                </c:pt>
                <c:pt idx="293">
                  <c:v>-5715</c:v>
                </c:pt>
                <c:pt idx="294">
                  <c:v>2561</c:v>
                </c:pt>
                <c:pt idx="295">
                  <c:v>3517</c:v>
                </c:pt>
                <c:pt idx="296">
                  <c:v>14827</c:v>
                </c:pt>
                <c:pt idx="297">
                  <c:v>28609</c:v>
                </c:pt>
                <c:pt idx="298">
                  <c:v>51544</c:v>
                </c:pt>
                <c:pt idx="299">
                  <c:v>62218</c:v>
                </c:pt>
                <c:pt idx="300">
                  <c:v>72259</c:v>
                </c:pt>
                <c:pt idx="301">
                  <c:v>76411</c:v>
                </c:pt>
                <c:pt idx="302">
                  <c:v>84750</c:v>
                </c:pt>
                <c:pt idx="303">
                  <c:v>88506</c:v>
                </c:pt>
                <c:pt idx="304">
                  <c:v>94514</c:v>
                </c:pt>
                <c:pt idx="305">
                  <c:v>101618</c:v>
                </c:pt>
                <c:pt idx="306">
                  <c:v>98750</c:v>
                </c:pt>
                <c:pt idx="307">
                  <c:v>97381</c:v>
                </c:pt>
                <c:pt idx="308">
                  <c:v>90035</c:v>
                </c:pt>
                <c:pt idx="309">
                  <c:v>84244</c:v>
                </c:pt>
                <c:pt idx="310">
                  <c:v>79149</c:v>
                </c:pt>
                <c:pt idx="311">
                  <c:v>67109</c:v>
                </c:pt>
                <c:pt idx="312">
                  <c:v>75383</c:v>
                </c:pt>
                <c:pt idx="313">
                  <c:v>80943</c:v>
                </c:pt>
                <c:pt idx="314">
                  <c:v>84371</c:v>
                </c:pt>
                <c:pt idx="315">
                  <c:v>81426</c:v>
                </c:pt>
                <c:pt idx="316">
                  <c:v>81635</c:v>
                </c:pt>
                <c:pt idx="317">
                  <c:v>80084</c:v>
                </c:pt>
                <c:pt idx="318">
                  <c:v>69903</c:v>
                </c:pt>
                <c:pt idx="319">
                  <c:v>66818</c:v>
                </c:pt>
                <c:pt idx="320">
                  <c:v>64086</c:v>
                </c:pt>
                <c:pt idx="321">
                  <c:v>71046</c:v>
                </c:pt>
                <c:pt idx="322">
                  <c:v>76322</c:v>
                </c:pt>
                <c:pt idx="323">
                  <c:v>73627</c:v>
                </c:pt>
                <c:pt idx="324">
                  <c:v>73712</c:v>
                </c:pt>
                <c:pt idx="325">
                  <c:v>68161</c:v>
                </c:pt>
                <c:pt idx="326">
                  <c:v>59559</c:v>
                </c:pt>
                <c:pt idx="327">
                  <c:v>48247</c:v>
                </c:pt>
                <c:pt idx="328">
                  <c:v>43855</c:v>
                </c:pt>
                <c:pt idx="329">
                  <c:v>43288</c:v>
                </c:pt>
                <c:pt idx="330">
                  <c:v>43418</c:v>
                </c:pt>
                <c:pt idx="331">
                  <c:v>41939</c:v>
                </c:pt>
                <c:pt idx="332">
                  <c:v>49051</c:v>
                </c:pt>
                <c:pt idx="333">
                  <c:v>46346</c:v>
                </c:pt>
                <c:pt idx="334">
                  <c:v>29379</c:v>
                </c:pt>
                <c:pt idx="335">
                  <c:v>27526</c:v>
                </c:pt>
                <c:pt idx="336">
                  <c:v>23715</c:v>
                </c:pt>
                <c:pt idx="337">
                  <c:v>27602</c:v>
                </c:pt>
                <c:pt idx="338">
                  <c:v>37957</c:v>
                </c:pt>
                <c:pt idx="339">
                  <c:v>45578</c:v>
                </c:pt>
                <c:pt idx="340">
                  <c:v>41489</c:v>
                </c:pt>
                <c:pt idx="341">
                  <c:v>38335</c:v>
                </c:pt>
                <c:pt idx="342">
                  <c:v>36188</c:v>
                </c:pt>
                <c:pt idx="343">
                  <c:v>26574</c:v>
                </c:pt>
                <c:pt idx="344">
                  <c:v>36358</c:v>
                </c:pt>
                <c:pt idx="345">
                  <c:v>35952</c:v>
                </c:pt>
                <c:pt idx="346">
                  <c:v>45511</c:v>
                </c:pt>
                <c:pt idx="347">
                  <c:v>47320</c:v>
                </c:pt>
                <c:pt idx="348">
                  <c:v>40979</c:v>
                </c:pt>
                <c:pt idx="349">
                  <c:v>47840</c:v>
                </c:pt>
                <c:pt idx="350">
                  <c:v>56427</c:v>
                </c:pt>
                <c:pt idx="351">
                  <c:v>63202</c:v>
                </c:pt>
                <c:pt idx="352">
                  <c:v>50508</c:v>
                </c:pt>
                <c:pt idx="353">
                  <c:v>41997</c:v>
                </c:pt>
                <c:pt idx="354">
                  <c:v>27253</c:v>
                </c:pt>
                <c:pt idx="355">
                  <c:v>16421</c:v>
                </c:pt>
                <c:pt idx="356">
                  <c:v>23930</c:v>
                </c:pt>
                <c:pt idx="357">
                  <c:v>25409</c:v>
                </c:pt>
                <c:pt idx="358">
                  <c:v>30046</c:v>
                </c:pt>
                <c:pt idx="359">
                  <c:v>28706</c:v>
                </c:pt>
                <c:pt idx="360">
                  <c:v>36494</c:v>
                </c:pt>
                <c:pt idx="361">
                  <c:v>46252</c:v>
                </c:pt>
                <c:pt idx="362">
                  <c:v>54315</c:v>
                </c:pt>
                <c:pt idx="363">
                  <c:v>60597</c:v>
                </c:pt>
                <c:pt idx="364">
                  <c:v>69890</c:v>
                </c:pt>
                <c:pt idx="365">
                  <c:v>64871</c:v>
                </c:pt>
                <c:pt idx="366">
                  <c:v>61612</c:v>
                </c:pt>
                <c:pt idx="367">
                  <c:v>53134</c:v>
                </c:pt>
                <c:pt idx="368">
                  <c:v>48308</c:v>
                </c:pt>
                <c:pt idx="369">
                  <c:v>51359</c:v>
                </c:pt>
                <c:pt idx="370">
                  <c:v>46748</c:v>
                </c:pt>
                <c:pt idx="371">
                  <c:v>32666</c:v>
                </c:pt>
                <c:pt idx="372">
                  <c:v>23373</c:v>
                </c:pt>
                <c:pt idx="373">
                  <c:v>25795</c:v>
                </c:pt>
                <c:pt idx="374">
                  <c:v>44583</c:v>
                </c:pt>
                <c:pt idx="375">
                  <c:v>56962</c:v>
                </c:pt>
                <c:pt idx="376">
                  <c:v>64732</c:v>
                </c:pt>
                <c:pt idx="377">
                  <c:v>68784</c:v>
                </c:pt>
                <c:pt idx="378">
                  <c:v>63390</c:v>
                </c:pt>
                <c:pt idx="379">
                  <c:v>61298</c:v>
                </c:pt>
                <c:pt idx="380">
                  <c:v>55874</c:v>
                </c:pt>
                <c:pt idx="381">
                  <c:v>51154</c:v>
                </c:pt>
                <c:pt idx="382">
                  <c:v>48488</c:v>
                </c:pt>
                <c:pt idx="383">
                  <c:v>53039</c:v>
                </c:pt>
                <c:pt idx="384">
                  <c:v>57420</c:v>
                </c:pt>
                <c:pt idx="385">
                  <c:v>41859</c:v>
                </c:pt>
                <c:pt idx="386">
                  <c:v>51360</c:v>
                </c:pt>
                <c:pt idx="387">
                  <c:v>49345</c:v>
                </c:pt>
                <c:pt idx="388">
                  <c:v>54009</c:v>
                </c:pt>
                <c:pt idx="389">
                  <c:v>58531</c:v>
                </c:pt>
                <c:pt idx="390">
                  <c:v>63458</c:v>
                </c:pt>
                <c:pt idx="391">
                  <c:v>63362</c:v>
                </c:pt>
                <c:pt idx="392">
                  <c:v>60313</c:v>
                </c:pt>
                <c:pt idx="393">
                  <c:v>57931</c:v>
                </c:pt>
                <c:pt idx="394">
                  <c:v>52624</c:v>
                </c:pt>
                <c:pt idx="395">
                  <c:v>58757</c:v>
                </c:pt>
                <c:pt idx="396">
                  <c:v>59524</c:v>
                </c:pt>
                <c:pt idx="397">
                  <c:v>58826</c:v>
                </c:pt>
                <c:pt idx="398">
                  <c:v>66274</c:v>
                </c:pt>
                <c:pt idx="399">
                  <c:v>70577</c:v>
                </c:pt>
                <c:pt idx="400">
                  <c:v>74953</c:v>
                </c:pt>
                <c:pt idx="401">
                  <c:v>73588</c:v>
                </c:pt>
                <c:pt idx="402">
                  <c:v>70132</c:v>
                </c:pt>
                <c:pt idx="403">
                  <c:v>69929</c:v>
                </c:pt>
                <c:pt idx="404">
                  <c:v>70033</c:v>
                </c:pt>
                <c:pt idx="405">
                  <c:v>70573</c:v>
                </c:pt>
                <c:pt idx="406">
                  <c:v>72679</c:v>
                </c:pt>
                <c:pt idx="407">
                  <c:v>72289</c:v>
                </c:pt>
                <c:pt idx="408">
                  <c:v>76684</c:v>
                </c:pt>
                <c:pt idx="409">
                  <c:v>73293</c:v>
                </c:pt>
                <c:pt idx="410">
                  <c:v>75203</c:v>
                </c:pt>
                <c:pt idx="411">
                  <c:v>65628</c:v>
                </c:pt>
                <c:pt idx="412">
                  <c:v>72061</c:v>
                </c:pt>
                <c:pt idx="413">
                  <c:v>71129</c:v>
                </c:pt>
                <c:pt idx="414">
                  <c:v>72042</c:v>
                </c:pt>
                <c:pt idx="415">
                  <c:v>70629</c:v>
                </c:pt>
                <c:pt idx="416">
                  <c:v>68261</c:v>
                </c:pt>
                <c:pt idx="417">
                  <c:v>60094</c:v>
                </c:pt>
                <c:pt idx="418">
                  <c:v>49224</c:v>
                </c:pt>
                <c:pt idx="419">
                  <c:v>39372</c:v>
                </c:pt>
                <c:pt idx="420">
                  <c:v>31116</c:v>
                </c:pt>
                <c:pt idx="421">
                  <c:v>28202</c:v>
                </c:pt>
                <c:pt idx="422">
                  <c:v>27985</c:v>
                </c:pt>
                <c:pt idx="423">
                  <c:v>30842</c:v>
                </c:pt>
                <c:pt idx="424">
                  <c:v>28450</c:v>
                </c:pt>
                <c:pt idx="425">
                  <c:v>36301</c:v>
                </c:pt>
                <c:pt idx="426">
                  <c:v>42643</c:v>
                </c:pt>
                <c:pt idx="427">
                  <c:v>33289</c:v>
                </c:pt>
                <c:pt idx="428">
                  <c:v>47915</c:v>
                </c:pt>
                <c:pt idx="429">
                  <c:v>34543</c:v>
                </c:pt>
                <c:pt idx="430">
                  <c:v>26866</c:v>
                </c:pt>
                <c:pt idx="431">
                  <c:v>25445</c:v>
                </c:pt>
                <c:pt idx="432">
                  <c:v>22548</c:v>
                </c:pt>
                <c:pt idx="433">
                  <c:v>19308</c:v>
                </c:pt>
                <c:pt idx="434">
                  <c:v>27287</c:v>
                </c:pt>
                <c:pt idx="435">
                  <c:v>37573</c:v>
                </c:pt>
                <c:pt idx="436">
                  <c:v>45642</c:v>
                </c:pt>
                <c:pt idx="437">
                  <c:v>60037</c:v>
                </c:pt>
                <c:pt idx="438">
                  <c:v>67103</c:v>
                </c:pt>
                <c:pt idx="439">
                  <c:v>58897</c:v>
                </c:pt>
                <c:pt idx="440">
                  <c:v>57973</c:v>
                </c:pt>
                <c:pt idx="441">
                  <c:v>52210</c:v>
                </c:pt>
                <c:pt idx="442">
                  <c:v>49176</c:v>
                </c:pt>
                <c:pt idx="443">
                  <c:v>42616</c:v>
                </c:pt>
                <c:pt idx="444">
                  <c:v>50348</c:v>
                </c:pt>
                <c:pt idx="445">
                  <c:v>54132</c:v>
                </c:pt>
                <c:pt idx="446">
                  <c:v>47445</c:v>
                </c:pt>
                <c:pt idx="447">
                  <c:v>31450</c:v>
                </c:pt>
                <c:pt idx="448">
                  <c:v>28583</c:v>
                </c:pt>
                <c:pt idx="449">
                  <c:v>33972</c:v>
                </c:pt>
                <c:pt idx="450">
                  <c:v>27755</c:v>
                </c:pt>
                <c:pt idx="451">
                  <c:v>13972</c:v>
                </c:pt>
                <c:pt idx="452">
                  <c:v>24157</c:v>
                </c:pt>
                <c:pt idx="453">
                  <c:v>32536</c:v>
                </c:pt>
                <c:pt idx="454">
                  <c:v>24265</c:v>
                </c:pt>
                <c:pt idx="455">
                  <c:v>25849</c:v>
                </c:pt>
                <c:pt idx="456">
                  <c:v>11125</c:v>
                </c:pt>
                <c:pt idx="457">
                  <c:v>6097</c:v>
                </c:pt>
                <c:pt idx="458">
                  <c:v>14303</c:v>
                </c:pt>
                <c:pt idx="459">
                  <c:v>-646</c:v>
                </c:pt>
                <c:pt idx="460">
                  <c:v>-19717</c:v>
                </c:pt>
                <c:pt idx="461">
                  <c:v>-11990</c:v>
                </c:pt>
                <c:pt idx="462">
                  <c:v>1770</c:v>
                </c:pt>
                <c:pt idx="463">
                  <c:v>-1449</c:v>
                </c:pt>
                <c:pt idx="464">
                  <c:v>-11507</c:v>
                </c:pt>
                <c:pt idx="465">
                  <c:v>-9275</c:v>
                </c:pt>
                <c:pt idx="466">
                  <c:v>-9319</c:v>
                </c:pt>
                <c:pt idx="467">
                  <c:v>-8328</c:v>
                </c:pt>
                <c:pt idx="468">
                  <c:v>-246</c:v>
                </c:pt>
                <c:pt idx="469">
                  <c:v>10113</c:v>
                </c:pt>
                <c:pt idx="470">
                  <c:v>26405</c:v>
                </c:pt>
                <c:pt idx="471">
                  <c:v>39585</c:v>
                </c:pt>
                <c:pt idx="472">
                  <c:v>47777</c:v>
                </c:pt>
                <c:pt idx="473">
                  <c:v>53805</c:v>
                </c:pt>
                <c:pt idx="474">
                  <c:v>61217</c:v>
                </c:pt>
                <c:pt idx="475">
                  <c:v>57862</c:v>
                </c:pt>
                <c:pt idx="476">
                  <c:v>58152</c:v>
                </c:pt>
                <c:pt idx="477">
                  <c:v>55528</c:v>
                </c:pt>
                <c:pt idx="478">
                  <c:v>41026</c:v>
                </c:pt>
                <c:pt idx="479">
                  <c:v>45128</c:v>
                </c:pt>
                <c:pt idx="480">
                  <c:v>34391</c:v>
                </c:pt>
                <c:pt idx="481">
                  <c:v>29562</c:v>
                </c:pt>
                <c:pt idx="482">
                  <c:v>35968</c:v>
                </c:pt>
                <c:pt idx="483">
                  <c:v>18200</c:v>
                </c:pt>
                <c:pt idx="484">
                  <c:v>19843</c:v>
                </c:pt>
                <c:pt idx="485">
                  <c:v>19661</c:v>
                </c:pt>
                <c:pt idx="486">
                  <c:v>30690</c:v>
                </c:pt>
                <c:pt idx="487">
                  <c:v>27255</c:v>
                </c:pt>
                <c:pt idx="488">
                  <c:v>8388</c:v>
                </c:pt>
                <c:pt idx="489">
                  <c:v>1045</c:v>
                </c:pt>
                <c:pt idx="490">
                  <c:v>-5359</c:v>
                </c:pt>
                <c:pt idx="491">
                  <c:v>-14681</c:v>
                </c:pt>
                <c:pt idx="492">
                  <c:v>-24266</c:v>
                </c:pt>
                <c:pt idx="493">
                  <c:v>-22313</c:v>
                </c:pt>
                <c:pt idx="494">
                  <c:v>-21773</c:v>
                </c:pt>
                <c:pt idx="495">
                  <c:v>-31190</c:v>
                </c:pt>
                <c:pt idx="496">
                  <c:v>-34185</c:v>
                </c:pt>
                <c:pt idx="497">
                  <c:v>-40843</c:v>
                </c:pt>
                <c:pt idx="498">
                  <c:v>-49388</c:v>
                </c:pt>
                <c:pt idx="499">
                  <c:v>-46076</c:v>
                </c:pt>
                <c:pt idx="500">
                  <c:v>-47266</c:v>
                </c:pt>
                <c:pt idx="501">
                  <c:v>-38322</c:v>
                </c:pt>
                <c:pt idx="502">
                  <c:v>-33199</c:v>
                </c:pt>
                <c:pt idx="503">
                  <c:v>-48858</c:v>
                </c:pt>
                <c:pt idx="504">
                  <c:v>-45051</c:v>
                </c:pt>
                <c:pt idx="505">
                  <c:v>-46742</c:v>
                </c:pt>
                <c:pt idx="506">
                  <c:v>-48719</c:v>
                </c:pt>
                <c:pt idx="507">
                  <c:v>-24239</c:v>
                </c:pt>
                <c:pt idx="508">
                  <c:v>-22991</c:v>
                </c:pt>
                <c:pt idx="509">
                  <c:v>-22110</c:v>
                </c:pt>
                <c:pt idx="510">
                  <c:v>-13178</c:v>
                </c:pt>
                <c:pt idx="511">
                  <c:v>-20217</c:v>
                </c:pt>
                <c:pt idx="512">
                  <c:v>-6691</c:v>
                </c:pt>
                <c:pt idx="513">
                  <c:v>13136</c:v>
                </c:pt>
                <c:pt idx="514">
                  <c:v>31174</c:v>
                </c:pt>
                <c:pt idx="515">
                  <c:v>42785</c:v>
                </c:pt>
                <c:pt idx="516">
                  <c:v>60191</c:v>
                </c:pt>
                <c:pt idx="517">
                  <c:v>65788</c:v>
                </c:pt>
                <c:pt idx="518">
                  <c:v>70657</c:v>
                </c:pt>
                <c:pt idx="519">
                  <c:v>75252</c:v>
                </c:pt>
                <c:pt idx="520">
                  <c:v>73773</c:v>
                </c:pt>
                <c:pt idx="521">
                  <c:v>69522</c:v>
                </c:pt>
                <c:pt idx="522">
                  <c:v>65870</c:v>
                </c:pt>
                <c:pt idx="523">
                  <c:v>62467</c:v>
                </c:pt>
                <c:pt idx="524">
                  <c:v>61405</c:v>
                </c:pt>
                <c:pt idx="525">
                  <c:v>61935</c:v>
                </c:pt>
                <c:pt idx="526">
                  <c:v>56491</c:v>
                </c:pt>
                <c:pt idx="527">
                  <c:v>56436</c:v>
                </c:pt>
                <c:pt idx="528">
                  <c:v>56761</c:v>
                </c:pt>
                <c:pt idx="529">
                  <c:v>52247</c:v>
                </c:pt>
                <c:pt idx="530">
                  <c:v>47504</c:v>
                </c:pt>
                <c:pt idx="531">
                  <c:v>49883</c:v>
                </c:pt>
                <c:pt idx="532">
                  <c:v>45439</c:v>
                </c:pt>
                <c:pt idx="533">
                  <c:v>34273</c:v>
                </c:pt>
                <c:pt idx="534">
                  <c:v>34187</c:v>
                </c:pt>
                <c:pt idx="535">
                  <c:v>31148</c:v>
                </c:pt>
                <c:pt idx="536">
                  <c:v>11700</c:v>
                </c:pt>
                <c:pt idx="537">
                  <c:v>14830</c:v>
                </c:pt>
                <c:pt idx="538">
                  <c:v>12518</c:v>
                </c:pt>
                <c:pt idx="539">
                  <c:v>13712</c:v>
                </c:pt>
                <c:pt idx="540">
                  <c:v>14488</c:v>
                </c:pt>
                <c:pt idx="541">
                  <c:v>21021</c:v>
                </c:pt>
                <c:pt idx="542">
                  <c:v>16232</c:v>
                </c:pt>
                <c:pt idx="543">
                  <c:v>14004</c:v>
                </c:pt>
                <c:pt idx="544">
                  <c:v>19377</c:v>
                </c:pt>
                <c:pt idx="545">
                  <c:v>19359</c:v>
                </c:pt>
                <c:pt idx="546">
                  <c:v>23267</c:v>
                </c:pt>
                <c:pt idx="547">
                  <c:v>18565</c:v>
                </c:pt>
                <c:pt idx="548">
                  <c:v>15982</c:v>
                </c:pt>
                <c:pt idx="549">
                  <c:v>19537</c:v>
                </c:pt>
                <c:pt idx="550">
                  <c:v>18857</c:v>
                </c:pt>
                <c:pt idx="551">
                  <c:v>23010</c:v>
                </c:pt>
                <c:pt idx="552">
                  <c:v>49496</c:v>
                </c:pt>
                <c:pt idx="553">
                  <c:v>68385</c:v>
                </c:pt>
                <c:pt idx="554">
                  <c:v>66014</c:v>
                </c:pt>
                <c:pt idx="555">
                  <c:v>60825</c:v>
                </c:pt>
                <c:pt idx="556">
                  <c:v>66587</c:v>
                </c:pt>
                <c:pt idx="557">
                  <c:v>73465</c:v>
                </c:pt>
                <c:pt idx="558">
                  <c:v>70482</c:v>
                </c:pt>
                <c:pt idx="559">
                  <c:v>61533</c:v>
                </c:pt>
                <c:pt idx="560">
                  <c:v>59944</c:v>
                </c:pt>
                <c:pt idx="561">
                  <c:v>59334</c:v>
                </c:pt>
                <c:pt idx="562">
                  <c:v>29533</c:v>
                </c:pt>
                <c:pt idx="563">
                  <c:v>13942</c:v>
                </c:pt>
                <c:pt idx="564">
                  <c:v>7536</c:v>
                </c:pt>
                <c:pt idx="565">
                  <c:v>2639</c:v>
                </c:pt>
                <c:pt idx="566">
                  <c:v>-1806</c:v>
                </c:pt>
                <c:pt idx="567">
                  <c:v>-4943</c:v>
                </c:pt>
                <c:pt idx="568">
                  <c:v>-37</c:v>
                </c:pt>
                <c:pt idx="569">
                  <c:v>-11688</c:v>
                </c:pt>
                <c:pt idx="570">
                  <c:v>-35461</c:v>
                </c:pt>
                <c:pt idx="571">
                  <c:v>-44500</c:v>
                </c:pt>
                <c:pt idx="572">
                  <c:v>-50941</c:v>
                </c:pt>
                <c:pt idx="573">
                  <c:v>-44746</c:v>
                </c:pt>
                <c:pt idx="574">
                  <c:v>-45110</c:v>
                </c:pt>
                <c:pt idx="575">
                  <c:v>-54430</c:v>
                </c:pt>
                <c:pt idx="576">
                  <c:v>-42967</c:v>
                </c:pt>
                <c:pt idx="577">
                  <c:v>-7210</c:v>
                </c:pt>
                <c:pt idx="578">
                  <c:v>-636</c:v>
                </c:pt>
                <c:pt idx="579">
                  <c:v>-4381</c:v>
                </c:pt>
                <c:pt idx="580">
                  <c:v>-7414</c:v>
                </c:pt>
                <c:pt idx="581">
                  <c:v>-14357</c:v>
                </c:pt>
                <c:pt idx="582">
                  <c:v>-25575</c:v>
                </c:pt>
                <c:pt idx="583">
                  <c:v>-34555</c:v>
                </c:pt>
                <c:pt idx="584">
                  <c:v>-36152</c:v>
                </c:pt>
                <c:pt idx="585">
                  <c:v>-36344</c:v>
                </c:pt>
                <c:pt idx="586">
                  <c:v>-31817</c:v>
                </c:pt>
                <c:pt idx="587">
                  <c:v>-16919</c:v>
                </c:pt>
                <c:pt idx="588">
                  <c:v>-5492</c:v>
                </c:pt>
                <c:pt idx="589">
                  <c:v>1155</c:v>
                </c:pt>
                <c:pt idx="590">
                  <c:v>13055</c:v>
                </c:pt>
                <c:pt idx="591">
                  <c:v>21127</c:v>
                </c:pt>
                <c:pt idx="592">
                  <c:v>17679</c:v>
                </c:pt>
                <c:pt idx="593">
                  <c:v>8613</c:v>
                </c:pt>
                <c:pt idx="594">
                  <c:v>8435</c:v>
                </c:pt>
                <c:pt idx="595">
                  <c:v>6306</c:v>
                </c:pt>
                <c:pt idx="596">
                  <c:v>15909</c:v>
                </c:pt>
                <c:pt idx="597">
                  <c:v>38700</c:v>
                </c:pt>
                <c:pt idx="598">
                  <c:v>63907</c:v>
                </c:pt>
                <c:pt idx="599">
                  <c:v>67716</c:v>
                </c:pt>
                <c:pt idx="600">
                  <c:v>48469</c:v>
                </c:pt>
                <c:pt idx="601">
                  <c:v>31257</c:v>
                </c:pt>
                <c:pt idx="602">
                  <c:v>18685</c:v>
                </c:pt>
                <c:pt idx="603">
                  <c:v>15734</c:v>
                </c:pt>
                <c:pt idx="604">
                  <c:v>8074</c:v>
                </c:pt>
                <c:pt idx="605">
                  <c:v>33221</c:v>
                </c:pt>
                <c:pt idx="606">
                  <c:v>55235</c:v>
                </c:pt>
                <c:pt idx="607">
                  <c:v>52003</c:v>
                </c:pt>
                <c:pt idx="608">
                  <c:v>70991</c:v>
                </c:pt>
                <c:pt idx="609">
                  <c:v>85089</c:v>
                </c:pt>
                <c:pt idx="610">
                  <c:v>106280</c:v>
                </c:pt>
                <c:pt idx="611">
                  <c:v>115500</c:v>
                </c:pt>
                <c:pt idx="612">
                  <c:v>111449</c:v>
                </c:pt>
                <c:pt idx="613">
                  <c:v>99478</c:v>
                </c:pt>
                <c:pt idx="614">
                  <c:v>102073</c:v>
                </c:pt>
                <c:pt idx="615">
                  <c:v>98227</c:v>
                </c:pt>
                <c:pt idx="616">
                  <c:v>109370</c:v>
                </c:pt>
                <c:pt idx="617">
                  <c:v>109152</c:v>
                </c:pt>
                <c:pt idx="618">
                  <c:v>105421</c:v>
                </c:pt>
                <c:pt idx="619">
                  <c:v>133549</c:v>
                </c:pt>
                <c:pt idx="620">
                  <c:v>130385</c:v>
                </c:pt>
                <c:pt idx="621">
                  <c:v>121532</c:v>
                </c:pt>
                <c:pt idx="622">
                  <c:v>115296</c:v>
                </c:pt>
                <c:pt idx="623">
                  <c:v>112788</c:v>
                </c:pt>
                <c:pt idx="624">
                  <c:v>100846</c:v>
                </c:pt>
                <c:pt idx="625">
                  <c:v>89517</c:v>
                </c:pt>
                <c:pt idx="626">
                  <c:v>83574</c:v>
                </c:pt>
                <c:pt idx="627">
                  <c:v>63136</c:v>
                </c:pt>
                <c:pt idx="628">
                  <c:v>56010</c:v>
                </c:pt>
                <c:pt idx="629">
                  <c:v>51326</c:v>
                </c:pt>
                <c:pt idx="630">
                  <c:v>53378</c:v>
                </c:pt>
                <c:pt idx="631">
                  <c:v>49940</c:v>
                </c:pt>
                <c:pt idx="632">
                  <c:v>52607</c:v>
                </c:pt>
                <c:pt idx="633">
                  <c:v>46800</c:v>
                </c:pt>
                <c:pt idx="634">
                  <c:v>56893</c:v>
                </c:pt>
                <c:pt idx="635">
                  <c:v>52733</c:v>
                </c:pt>
                <c:pt idx="636">
                  <c:v>27449</c:v>
                </c:pt>
                <c:pt idx="637">
                  <c:v>21401</c:v>
                </c:pt>
                <c:pt idx="638">
                  <c:v>30134</c:v>
                </c:pt>
                <c:pt idx="639">
                  <c:v>21889</c:v>
                </c:pt>
                <c:pt idx="640">
                  <c:v>21205</c:v>
                </c:pt>
                <c:pt idx="641">
                  <c:v>26343</c:v>
                </c:pt>
                <c:pt idx="642">
                  <c:v>38763</c:v>
                </c:pt>
                <c:pt idx="643">
                  <c:v>41990</c:v>
                </c:pt>
                <c:pt idx="644">
                  <c:v>36555</c:v>
                </c:pt>
                <c:pt idx="645">
                  <c:v>23899</c:v>
                </c:pt>
                <c:pt idx="646">
                  <c:v>19521</c:v>
                </c:pt>
                <c:pt idx="647">
                  <c:v>2035</c:v>
                </c:pt>
                <c:pt idx="648">
                  <c:v>874</c:v>
                </c:pt>
                <c:pt idx="649">
                  <c:v>-7804</c:v>
                </c:pt>
                <c:pt idx="650">
                  <c:v>-2962</c:v>
                </c:pt>
                <c:pt idx="651">
                  <c:v>-7840</c:v>
                </c:pt>
                <c:pt idx="652">
                  <c:v>-4416</c:v>
                </c:pt>
                <c:pt idx="653">
                  <c:v>-614</c:v>
                </c:pt>
                <c:pt idx="654">
                  <c:v>5503</c:v>
                </c:pt>
                <c:pt idx="655">
                  <c:v>26010</c:v>
                </c:pt>
                <c:pt idx="656">
                  <c:v>10758</c:v>
                </c:pt>
                <c:pt idx="657">
                  <c:v>6892</c:v>
                </c:pt>
                <c:pt idx="658">
                  <c:v>1107</c:v>
                </c:pt>
                <c:pt idx="659">
                  <c:v>-14750</c:v>
                </c:pt>
                <c:pt idx="660">
                  <c:v>-29629</c:v>
                </c:pt>
                <c:pt idx="661">
                  <c:v>-39959</c:v>
                </c:pt>
                <c:pt idx="662">
                  <c:v>-48616</c:v>
                </c:pt>
                <c:pt idx="663">
                  <c:v>-42200</c:v>
                </c:pt>
                <c:pt idx="664">
                  <c:v>-44543</c:v>
                </c:pt>
                <c:pt idx="665">
                  <c:v>-29845</c:v>
                </c:pt>
                <c:pt idx="666">
                  <c:v>-12063</c:v>
                </c:pt>
                <c:pt idx="667">
                  <c:v>-12417</c:v>
                </c:pt>
                <c:pt idx="668">
                  <c:v>-8615</c:v>
                </c:pt>
                <c:pt idx="669">
                  <c:v>-11534</c:v>
                </c:pt>
                <c:pt idx="670">
                  <c:v>-19429</c:v>
                </c:pt>
                <c:pt idx="671">
                  <c:v>-15599</c:v>
                </c:pt>
                <c:pt idx="672">
                  <c:v>-33135</c:v>
                </c:pt>
                <c:pt idx="673">
                  <c:v>-39633</c:v>
                </c:pt>
                <c:pt idx="674">
                  <c:v>-35014</c:v>
                </c:pt>
                <c:pt idx="675">
                  <c:v>-20361</c:v>
                </c:pt>
                <c:pt idx="676">
                  <c:v>2163</c:v>
                </c:pt>
                <c:pt idx="677">
                  <c:v>4665</c:v>
                </c:pt>
                <c:pt idx="678">
                  <c:v>18</c:v>
                </c:pt>
                <c:pt idx="679">
                  <c:v>-910</c:v>
                </c:pt>
                <c:pt idx="680">
                  <c:v>-14650</c:v>
                </c:pt>
                <c:pt idx="681">
                  <c:v>-20447</c:v>
                </c:pt>
                <c:pt idx="682">
                  <c:v>-21014</c:v>
                </c:pt>
                <c:pt idx="683">
                  <c:v>-25679</c:v>
                </c:pt>
                <c:pt idx="684">
                  <c:v>-32294</c:v>
                </c:pt>
                <c:pt idx="685">
                  <c:v>-39063</c:v>
                </c:pt>
                <c:pt idx="686">
                  <c:v>-36424</c:v>
                </c:pt>
                <c:pt idx="687">
                  <c:v>-36162</c:v>
                </c:pt>
                <c:pt idx="688">
                  <c:v>-35017</c:v>
                </c:pt>
                <c:pt idx="689">
                  <c:v>-43528</c:v>
                </c:pt>
                <c:pt idx="690">
                  <c:v>-47606</c:v>
                </c:pt>
                <c:pt idx="691">
                  <c:v>-54751</c:v>
                </c:pt>
                <c:pt idx="692">
                  <c:v>-47983</c:v>
                </c:pt>
                <c:pt idx="693">
                  <c:v>-39557</c:v>
                </c:pt>
                <c:pt idx="694">
                  <c:v>-32740</c:v>
                </c:pt>
                <c:pt idx="695">
                  <c:v>-25070</c:v>
                </c:pt>
                <c:pt idx="696">
                  <c:v>-21209</c:v>
                </c:pt>
                <c:pt idx="697">
                  <c:v>-29050</c:v>
                </c:pt>
                <c:pt idx="698">
                  <c:v>-37554</c:v>
                </c:pt>
                <c:pt idx="699">
                  <c:v>-23483</c:v>
                </c:pt>
                <c:pt idx="700">
                  <c:v>-19560</c:v>
                </c:pt>
                <c:pt idx="701">
                  <c:v>-32308</c:v>
                </c:pt>
                <c:pt idx="702">
                  <c:v>-43910</c:v>
                </c:pt>
                <c:pt idx="703">
                  <c:v>-32701</c:v>
                </c:pt>
                <c:pt idx="704">
                  <c:v>-31345</c:v>
                </c:pt>
                <c:pt idx="705">
                  <c:v>-24346</c:v>
                </c:pt>
                <c:pt idx="706">
                  <c:v>-25410</c:v>
                </c:pt>
                <c:pt idx="707">
                  <c:v>-27914</c:v>
                </c:pt>
                <c:pt idx="708">
                  <c:v>-31720</c:v>
                </c:pt>
                <c:pt idx="709">
                  <c:v>-36696</c:v>
                </c:pt>
                <c:pt idx="710">
                  <c:v>-39719</c:v>
                </c:pt>
                <c:pt idx="711">
                  <c:v>-64377</c:v>
                </c:pt>
                <c:pt idx="712">
                  <c:v>-68150</c:v>
                </c:pt>
                <c:pt idx="713">
                  <c:v>-72468</c:v>
                </c:pt>
                <c:pt idx="714">
                  <c:v>-77112</c:v>
                </c:pt>
                <c:pt idx="715">
                  <c:v>-18324</c:v>
                </c:pt>
                <c:pt idx="716">
                  <c:v>-2135</c:v>
                </c:pt>
                <c:pt idx="717">
                  <c:v>16100</c:v>
                </c:pt>
                <c:pt idx="718">
                  <c:v>39099</c:v>
                </c:pt>
                <c:pt idx="719">
                  <c:v>49619</c:v>
                </c:pt>
                <c:pt idx="720">
                  <c:v>31547</c:v>
                </c:pt>
                <c:pt idx="721">
                  <c:v>5752</c:v>
                </c:pt>
                <c:pt idx="722">
                  <c:v>-146</c:v>
                </c:pt>
                <c:pt idx="723">
                  <c:v>-7964</c:v>
                </c:pt>
                <c:pt idx="724">
                  <c:v>-11700</c:v>
                </c:pt>
                <c:pt idx="725">
                  <c:v>-11127</c:v>
                </c:pt>
                <c:pt idx="726">
                  <c:v>-29404</c:v>
                </c:pt>
                <c:pt idx="727">
                  <c:v>-41775</c:v>
                </c:pt>
                <c:pt idx="728">
                  <c:v>-50981</c:v>
                </c:pt>
                <c:pt idx="729">
                  <c:v>-52986</c:v>
                </c:pt>
                <c:pt idx="730">
                  <c:v>-48208</c:v>
                </c:pt>
                <c:pt idx="731">
                  <c:v>-46012</c:v>
                </c:pt>
                <c:pt idx="732">
                  <c:v>-52497</c:v>
                </c:pt>
                <c:pt idx="733">
                  <c:v>-21910</c:v>
                </c:pt>
                <c:pt idx="734">
                  <c:v>-30451</c:v>
                </c:pt>
                <c:pt idx="735">
                  <c:v>-29178</c:v>
                </c:pt>
                <c:pt idx="736">
                  <c:v>-19464</c:v>
                </c:pt>
                <c:pt idx="737">
                  <c:v>-20985</c:v>
                </c:pt>
                <c:pt idx="738">
                  <c:v>-29291</c:v>
                </c:pt>
                <c:pt idx="739">
                  <c:v>10979</c:v>
                </c:pt>
                <c:pt idx="740">
                  <c:v>3560</c:v>
                </c:pt>
                <c:pt idx="741">
                  <c:v>15871</c:v>
                </c:pt>
                <c:pt idx="742">
                  <c:v>32119</c:v>
                </c:pt>
                <c:pt idx="743">
                  <c:v>43697</c:v>
                </c:pt>
                <c:pt idx="744">
                  <c:v>65248</c:v>
                </c:pt>
                <c:pt idx="745">
                  <c:v>72999</c:v>
                </c:pt>
                <c:pt idx="746">
                  <c:v>77067</c:v>
                </c:pt>
                <c:pt idx="747">
                  <c:v>77068</c:v>
                </c:pt>
                <c:pt idx="748">
                  <c:v>81624</c:v>
                </c:pt>
                <c:pt idx="749">
                  <c:v>84279</c:v>
                </c:pt>
                <c:pt idx="750">
                  <c:v>85130</c:v>
                </c:pt>
                <c:pt idx="751">
                  <c:v>83798</c:v>
                </c:pt>
                <c:pt idx="752">
                  <c:v>78486</c:v>
                </c:pt>
                <c:pt idx="753">
                  <c:v>71135</c:v>
                </c:pt>
                <c:pt idx="754">
                  <c:v>70386</c:v>
                </c:pt>
                <c:pt idx="755">
                  <c:v>62642</c:v>
                </c:pt>
                <c:pt idx="756">
                  <c:v>77207</c:v>
                </c:pt>
                <c:pt idx="757">
                  <c:v>83385</c:v>
                </c:pt>
                <c:pt idx="758">
                  <c:v>89487</c:v>
                </c:pt>
                <c:pt idx="759">
                  <c:v>84594</c:v>
                </c:pt>
                <c:pt idx="760">
                  <c:v>84408</c:v>
                </c:pt>
                <c:pt idx="761">
                  <c:v>77631</c:v>
                </c:pt>
                <c:pt idx="762">
                  <c:v>74590</c:v>
                </c:pt>
                <c:pt idx="763">
                  <c:v>67511</c:v>
                </c:pt>
                <c:pt idx="764">
                  <c:v>69625</c:v>
                </c:pt>
                <c:pt idx="765">
                  <c:v>69422</c:v>
                </c:pt>
                <c:pt idx="766">
                  <c:v>69487</c:v>
                </c:pt>
                <c:pt idx="767">
                  <c:v>65424</c:v>
                </c:pt>
                <c:pt idx="768">
                  <c:v>64244</c:v>
                </c:pt>
                <c:pt idx="769">
                  <c:v>61236</c:v>
                </c:pt>
                <c:pt idx="770">
                  <c:v>57620</c:v>
                </c:pt>
                <c:pt idx="771">
                  <c:v>58235</c:v>
                </c:pt>
                <c:pt idx="772">
                  <c:v>61345</c:v>
                </c:pt>
                <c:pt idx="773">
                  <c:v>43830</c:v>
                </c:pt>
                <c:pt idx="774">
                  <c:v>48047</c:v>
                </c:pt>
                <c:pt idx="775">
                  <c:v>54086</c:v>
                </c:pt>
                <c:pt idx="776">
                  <c:v>54150</c:v>
                </c:pt>
                <c:pt idx="777">
                  <c:v>69616</c:v>
                </c:pt>
                <c:pt idx="778">
                  <c:v>50845</c:v>
                </c:pt>
                <c:pt idx="779">
                  <c:v>25232</c:v>
                </c:pt>
                <c:pt idx="780">
                  <c:v>20885</c:v>
                </c:pt>
                <c:pt idx="781">
                  <c:v>26720</c:v>
                </c:pt>
                <c:pt idx="782">
                  <c:v>19092</c:v>
                </c:pt>
                <c:pt idx="783">
                  <c:v>20132</c:v>
                </c:pt>
                <c:pt idx="784">
                  <c:v>15813</c:v>
                </c:pt>
                <c:pt idx="785">
                  <c:v>20964</c:v>
                </c:pt>
                <c:pt idx="786">
                  <c:v>16704</c:v>
                </c:pt>
                <c:pt idx="787">
                  <c:v>21497</c:v>
                </c:pt>
                <c:pt idx="788">
                  <c:v>22193</c:v>
                </c:pt>
                <c:pt idx="789">
                  <c:v>17929</c:v>
                </c:pt>
                <c:pt idx="790">
                  <c:v>25226</c:v>
                </c:pt>
                <c:pt idx="791">
                  <c:v>27740</c:v>
                </c:pt>
                <c:pt idx="792">
                  <c:v>20728</c:v>
                </c:pt>
                <c:pt idx="793">
                  <c:v>11856</c:v>
                </c:pt>
                <c:pt idx="794">
                  <c:v>-7762</c:v>
                </c:pt>
                <c:pt idx="795">
                  <c:v>-16332</c:v>
                </c:pt>
                <c:pt idx="796">
                  <c:v>-18553</c:v>
                </c:pt>
                <c:pt idx="797">
                  <c:v>-14964</c:v>
                </c:pt>
                <c:pt idx="798">
                  <c:v>-32064</c:v>
                </c:pt>
                <c:pt idx="799">
                  <c:v>-40324</c:v>
                </c:pt>
                <c:pt idx="800">
                  <c:v>-32159</c:v>
                </c:pt>
                <c:pt idx="801">
                  <c:v>-15141</c:v>
                </c:pt>
                <c:pt idx="802">
                  <c:v>-6334</c:v>
                </c:pt>
                <c:pt idx="803">
                  <c:v>9299</c:v>
                </c:pt>
                <c:pt idx="804">
                  <c:v>37488</c:v>
                </c:pt>
                <c:pt idx="805">
                  <c:v>53559</c:v>
                </c:pt>
                <c:pt idx="806">
                  <c:v>37681</c:v>
                </c:pt>
                <c:pt idx="807">
                  <c:v>27898</c:v>
                </c:pt>
                <c:pt idx="808">
                  <c:v>40534</c:v>
                </c:pt>
                <c:pt idx="809">
                  <c:v>50551</c:v>
                </c:pt>
                <c:pt idx="810">
                  <c:v>61162</c:v>
                </c:pt>
                <c:pt idx="811">
                  <c:v>70768</c:v>
                </c:pt>
                <c:pt idx="812">
                  <c:v>72920</c:v>
                </c:pt>
                <c:pt idx="813">
                  <c:v>64743</c:v>
                </c:pt>
                <c:pt idx="814">
                  <c:v>64334</c:v>
                </c:pt>
                <c:pt idx="815">
                  <c:v>76743</c:v>
                </c:pt>
                <c:pt idx="816">
                  <c:v>88138</c:v>
                </c:pt>
                <c:pt idx="817">
                  <c:v>89170</c:v>
                </c:pt>
                <c:pt idx="818">
                  <c:v>90417</c:v>
                </c:pt>
                <c:pt idx="819">
                  <c:v>94829</c:v>
                </c:pt>
                <c:pt idx="820">
                  <c:v>96627</c:v>
                </c:pt>
                <c:pt idx="821">
                  <c:v>103159</c:v>
                </c:pt>
                <c:pt idx="822">
                  <c:v>101164</c:v>
                </c:pt>
                <c:pt idx="823">
                  <c:v>99948</c:v>
                </c:pt>
                <c:pt idx="824">
                  <c:v>100544</c:v>
                </c:pt>
                <c:pt idx="825">
                  <c:v>93411</c:v>
                </c:pt>
                <c:pt idx="826">
                  <c:v>99542</c:v>
                </c:pt>
                <c:pt idx="827">
                  <c:v>91291</c:v>
                </c:pt>
                <c:pt idx="828">
                  <c:v>73751</c:v>
                </c:pt>
                <c:pt idx="829">
                  <c:v>52314</c:v>
                </c:pt>
                <c:pt idx="830">
                  <c:v>35923</c:v>
                </c:pt>
                <c:pt idx="831">
                  <c:v>49154</c:v>
                </c:pt>
                <c:pt idx="832">
                  <c:v>47362</c:v>
                </c:pt>
                <c:pt idx="833">
                  <c:v>53169</c:v>
                </c:pt>
                <c:pt idx="834">
                  <c:v>52457</c:v>
                </c:pt>
                <c:pt idx="835">
                  <c:v>60381</c:v>
                </c:pt>
                <c:pt idx="836">
                  <c:v>62457</c:v>
                </c:pt>
                <c:pt idx="837">
                  <c:v>65777</c:v>
                </c:pt>
                <c:pt idx="838">
                  <c:v>68290</c:v>
                </c:pt>
                <c:pt idx="839">
                  <c:v>66588</c:v>
                </c:pt>
                <c:pt idx="840">
                  <c:v>73380</c:v>
                </c:pt>
                <c:pt idx="841">
                  <c:v>80018</c:v>
                </c:pt>
                <c:pt idx="842">
                  <c:v>84382</c:v>
                </c:pt>
                <c:pt idx="843">
                  <c:v>86264</c:v>
                </c:pt>
                <c:pt idx="844">
                  <c:v>95718</c:v>
                </c:pt>
                <c:pt idx="845">
                  <c:v>93626</c:v>
                </c:pt>
                <c:pt idx="846">
                  <c:v>81621</c:v>
                </c:pt>
                <c:pt idx="847">
                  <c:v>87714</c:v>
                </c:pt>
                <c:pt idx="848">
                  <c:v>102168</c:v>
                </c:pt>
                <c:pt idx="849">
                  <c:v>93545</c:v>
                </c:pt>
                <c:pt idx="850">
                  <c:v>79700</c:v>
                </c:pt>
                <c:pt idx="851">
                  <c:v>70389</c:v>
                </c:pt>
                <c:pt idx="852">
                  <c:v>70797</c:v>
                </c:pt>
                <c:pt idx="853">
                  <c:v>86030</c:v>
                </c:pt>
                <c:pt idx="854">
                  <c:v>93417</c:v>
                </c:pt>
                <c:pt idx="855">
                  <c:v>95420</c:v>
                </c:pt>
                <c:pt idx="856">
                  <c:v>75710</c:v>
                </c:pt>
                <c:pt idx="857">
                  <c:v>71815</c:v>
                </c:pt>
                <c:pt idx="858">
                  <c:v>74861</c:v>
                </c:pt>
                <c:pt idx="859">
                  <c:v>98509</c:v>
                </c:pt>
                <c:pt idx="860">
                  <c:v>114486</c:v>
                </c:pt>
                <c:pt idx="861">
                  <c:v>121263</c:v>
                </c:pt>
                <c:pt idx="862">
                  <c:v>129989</c:v>
                </c:pt>
                <c:pt idx="863">
                  <c:v>141877</c:v>
                </c:pt>
                <c:pt idx="864">
                  <c:v>142711</c:v>
                </c:pt>
                <c:pt idx="865">
                  <c:v>150939</c:v>
                </c:pt>
                <c:pt idx="866">
                  <c:v>135503</c:v>
                </c:pt>
                <c:pt idx="867">
                  <c:v>140943</c:v>
                </c:pt>
                <c:pt idx="868">
                  <c:v>142710</c:v>
                </c:pt>
                <c:pt idx="869">
                  <c:v>152399</c:v>
                </c:pt>
                <c:pt idx="870">
                  <c:v>154141</c:v>
                </c:pt>
                <c:pt idx="871">
                  <c:v>139971</c:v>
                </c:pt>
                <c:pt idx="872">
                  <c:v>155063</c:v>
                </c:pt>
                <c:pt idx="873">
                  <c:v>133970</c:v>
                </c:pt>
                <c:pt idx="874">
                  <c:v>115214</c:v>
                </c:pt>
                <c:pt idx="875">
                  <c:v>96129</c:v>
                </c:pt>
                <c:pt idx="876">
                  <c:v>95735</c:v>
                </c:pt>
                <c:pt idx="877">
                  <c:v>95680</c:v>
                </c:pt>
                <c:pt idx="878">
                  <c:v>105682</c:v>
                </c:pt>
                <c:pt idx="879">
                  <c:v>86373</c:v>
                </c:pt>
                <c:pt idx="880">
                  <c:v>60557</c:v>
                </c:pt>
                <c:pt idx="881">
                  <c:v>62262</c:v>
                </c:pt>
                <c:pt idx="882">
                  <c:v>80287</c:v>
                </c:pt>
                <c:pt idx="883">
                  <c:v>73789</c:v>
                </c:pt>
                <c:pt idx="884">
                  <c:v>59676</c:v>
                </c:pt>
                <c:pt idx="885">
                  <c:v>65816</c:v>
                </c:pt>
                <c:pt idx="886">
                  <c:v>60608</c:v>
                </c:pt>
                <c:pt idx="887">
                  <c:v>63924</c:v>
                </c:pt>
                <c:pt idx="888">
                  <c:v>58980</c:v>
                </c:pt>
                <c:pt idx="889">
                  <c:v>52821</c:v>
                </c:pt>
                <c:pt idx="890">
                  <c:v>54199</c:v>
                </c:pt>
                <c:pt idx="891">
                  <c:v>58949</c:v>
                </c:pt>
                <c:pt idx="892">
                  <c:v>70174</c:v>
                </c:pt>
                <c:pt idx="893">
                  <c:v>70351</c:v>
                </c:pt>
                <c:pt idx="894">
                  <c:v>69143</c:v>
                </c:pt>
                <c:pt idx="895">
                  <c:v>56860</c:v>
                </c:pt>
                <c:pt idx="896">
                  <c:v>52820</c:v>
                </c:pt>
                <c:pt idx="897">
                  <c:v>73753</c:v>
                </c:pt>
                <c:pt idx="898">
                  <c:v>65122</c:v>
                </c:pt>
                <c:pt idx="899">
                  <c:v>62202</c:v>
                </c:pt>
                <c:pt idx="900">
                  <c:v>55873</c:v>
                </c:pt>
                <c:pt idx="901">
                  <c:v>59196</c:v>
                </c:pt>
                <c:pt idx="902">
                  <c:v>40985</c:v>
                </c:pt>
                <c:pt idx="903">
                  <c:v>32059</c:v>
                </c:pt>
                <c:pt idx="904">
                  <c:v>50698</c:v>
                </c:pt>
                <c:pt idx="905">
                  <c:v>92027</c:v>
                </c:pt>
                <c:pt idx="906">
                  <c:v>106583</c:v>
                </c:pt>
                <c:pt idx="907">
                  <c:v>111987</c:v>
                </c:pt>
                <c:pt idx="908">
                  <c:v>131404</c:v>
                </c:pt>
                <c:pt idx="909">
                  <c:v>137803</c:v>
                </c:pt>
                <c:pt idx="910">
                  <c:v>135798</c:v>
                </c:pt>
                <c:pt idx="911">
                  <c:v>118182</c:v>
                </c:pt>
                <c:pt idx="912">
                  <c:v>92720</c:v>
                </c:pt>
                <c:pt idx="913">
                  <c:v>74856</c:v>
                </c:pt>
                <c:pt idx="914">
                  <c:v>59233</c:v>
                </c:pt>
                <c:pt idx="915">
                  <c:v>43039</c:v>
                </c:pt>
                <c:pt idx="916">
                  <c:v>10461</c:v>
                </c:pt>
                <c:pt idx="917">
                  <c:v>-4079</c:v>
                </c:pt>
                <c:pt idx="918">
                  <c:v>-19016</c:v>
                </c:pt>
                <c:pt idx="919">
                  <c:v>-22068</c:v>
                </c:pt>
                <c:pt idx="920">
                  <c:v>-14590</c:v>
                </c:pt>
                <c:pt idx="921">
                  <c:v>-27592</c:v>
                </c:pt>
                <c:pt idx="922">
                  <c:v>-30684</c:v>
                </c:pt>
                <c:pt idx="923">
                  <c:v>-47650</c:v>
                </c:pt>
                <c:pt idx="924">
                  <c:v>-49526</c:v>
                </c:pt>
                <c:pt idx="925">
                  <c:v>-50935</c:v>
                </c:pt>
                <c:pt idx="926">
                  <c:v>-46874</c:v>
                </c:pt>
                <c:pt idx="927">
                  <c:v>-29789</c:v>
                </c:pt>
                <c:pt idx="928">
                  <c:v>-42892</c:v>
                </c:pt>
                <c:pt idx="929">
                  <c:v>-24072</c:v>
                </c:pt>
                <c:pt idx="930">
                  <c:v>-10543</c:v>
                </c:pt>
                <c:pt idx="931">
                  <c:v>19681</c:v>
                </c:pt>
                <c:pt idx="932">
                  <c:v>43596</c:v>
                </c:pt>
                <c:pt idx="933">
                  <c:v>87991</c:v>
                </c:pt>
                <c:pt idx="934">
                  <c:v>99210</c:v>
                </c:pt>
                <c:pt idx="935">
                  <c:v>100944</c:v>
                </c:pt>
                <c:pt idx="936">
                  <c:v>118282</c:v>
                </c:pt>
                <c:pt idx="937">
                  <c:v>100699</c:v>
                </c:pt>
                <c:pt idx="938">
                  <c:v>92907</c:v>
                </c:pt>
                <c:pt idx="939">
                  <c:v>99279</c:v>
                </c:pt>
                <c:pt idx="940">
                  <c:v>87367</c:v>
                </c:pt>
                <c:pt idx="941">
                  <c:v>73459</c:v>
                </c:pt>
                <c:pt idx="942">
                  <c:v>60693</c:v>
                </c:pt>
                <c:pt idx="943">
                  <c:v>26926</c:v>
                </c:pt>
                <c:pt idx="944">
                  <c:v>15341</c:v>
                </c:pt>
                <c:pt idx="945">
                  <c:v>31730</c:v>
                </c:pt>
                <c:pt idx="946">
                  <c:v>42009</c:v>
                </c:pt>
                <c:pt idx="947">
                  <c:v>779</c:v>
                </c:pt>
                <c:pt idx="948">
                  <c:v>3592</c:v>
                </c:pt>
                <c:pt idx="949">
                  <c:v>5129</c:v>
                </c:pt>
                <c:pt idx="950">
                  <c:v>23171</c:v>
                </c:pt>
                <c:pt idx="951">
                  <c:v>37048</c:v>
                </c:pt>
                <c:pt idx="952">
                  <c:v>39758</c:v>
                </c:pt>
                <c:pt idx="953">
                  <c:v>58259</c:v>
                </c:pt>
                <c:pt idx="954">
                  <c:v>103209</c:v>
                </c:pt>
                <c:pt idx="955">
                  <c:v>96588</c:v>
                </c:pt>
                <c:pt idx="956">
                  <c:v>55711</c:v>
                </c:pt>
                <c:pt idx="957">
                  <c:v>56448</c:v>
                </c:pt>
                <c:pt idx="958">
                  <c:v>12898</c:v>
                </c:pt>
                <c:pt idx="959">
                  <c:v>-8131</c:v>
                </c:pt>
                <c:pt idx="960">
                  <c:v>-27631</c:v>
                </c:pt>
                <c:pt idx="961">
                  <c:v>-63700</c:v>
                </c:pt>
                <c:pt idx="962">
                  <c:v>-75416</c:v>
                </c:pt>
                <c:pt idx="963">
                  <c:v>-73299</c:v>
                </c:pt>
                <c:pt idx="964">
                  <c:v>-72427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50-46C0-AE89-1F7CEBC7F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598664"/>
        <c:axId val="815598992"/>
      </c:lineChart>
      <c:catAx>
        <c:axId val="81559866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815598992"/>
        <c:crosses val="autoZero"/>
        <c:auto val="1"/>
        <c:lblAlgn val="ctr"/>
        <c:lblOffset val="100"/>
        <c:noMultiLvlLbl val="1"/>
      </c:catAx>
      <c:valAx>
        <c:axId val="815598992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Helvetica" panose="020B060402020203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Helvetica" panose="020B0604020202030204" pitchFamily="34" charset="0"/>
                  </a:rPr>
                  <a:t>contracts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Helvetica" panose="020B0604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5598664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  <a:latin typeface="Helvetica" panose="020B0604020202030204" pitchFamily="34" charset="0"/>
              </a:rPr>
              <a:t>Soybean Meal Commercial Net Futures and Options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Helvetica" panose="020B0604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42504152878583"/>
          <c:y val="7.7635100922119255E-2"/>
          <c:w val="0.87395467241619873"/>
          <c:h val="0.76477513762107174"/>
        </c:manualLayout>
      </c:layout>
      <c:lineChart>
        <c:grouping val="standard"/>
        <c:varyColors val="0"/>
        <c:ser>
          <c:idx val="0"/>
          <c:order val="0"/>
          <c:tx>
            <c:v>Commercial Net</c:v>
          </c:tx>
          <c:spPr>
            <a:ln w="22225" cap="rnd">
              <a:solidFill>
                <a:srgbClr val="335163"/>
              </a:solidFill>
              <a:round/>
            </a:ln>
            <a:effectLst/>
          </c:spPr>
          <c:marker>
            <c:symbol val="none"/>
          </c:marker>
          <c:cat>
            <c:strRef>
              <c:f>Data!$A$3:$A$1000</c:f>
              <c:strCache>
                <c:ptCount val="998"/>
                <c:pt idx="0">
                  <c:v>13-Jun-06</c:v>
                </c:pt>
                <c:pt idx="1">
                  <c:v>20-Jun-06</c:v>
                </c:pt>
                <c:pt idx="2">
                  <c:v>27-Jun-06</c:v>
                </c:pt>
                <c:pt idx="3">
                  <c:v>4-Jul-06</c:v>
                </c:pt>
                <c:pt idx="4">
                  <c:v>11-Jul-06</c:v>
                </c:pt>
                <c:pt idx="5">
                  <c:v>18-Jul-06</c:v>
                </c:pt>
                <c:pt idx="6">
                  <c:v>25-Jul-06</c:v>
                </c:pt>
                <c:pt idx="7">
                  <c:v>1-Aug-06</c:v>
                </c:pt>
                <c:pt idx="8">
                  <c:v>8-Aug-06</c:v>
                </c:pt>
                <c:pt idx="9">
                  <c:v>15-Aug-06</c:v>
                </c:pt>
                <c:pt idx="10">
                  <c:v>22-Aug-06</c:v>
                </c:pt>
                <c:pt idx="11">
                  <c:v>29-Aug-06</c:v>
                </c:pt>
                <c:pt idx="12">
                  <c:v>5-Sep-06</c:v>
                </c:pt>
                <c:pt idx="13">
                  <c:v>12-Sep-06</c:v>
                </c:pt>
                <c:pt idx="14">
                  <c:v>19-Sep-06</c:v>
                </c:pt>
                <c:pt idx="15">
                  <c:v>26-Sep-06</c:v>
                </c:pt>
                <c:pt idx="16">
                  <c:v>3-Oct-06</c:v>
                </c:pt>
                <c:pt idx="17">
                  <c:v>10-Oct-06</c:v>
                </c:pt>
                <c:pt idx="18">
                  <c:v>17-Oct-06</c:v>
                </c:pt>
                <c:pt idx="19">
                  <c:v>24-Oct-06</c:v>
                </c:pt>
                <c:pt idx="20">
                  <c:v>31-Oct-06</c:v>
                </c:pt>
                <c:pt idx="21">
                  <c:v>7-Nov-06</c:v>
                </c:pt>
                <c:pt idx="22">
                  <c:v>14-Nov-06</c:v>
                </c:pt>
                <c:pt idx="23">
                  <c:v>21-Nov-06</c:v>
                </c:pt>
                <c:pt idx="24">
                  <c:v>28-Nov-06</c:v>
                </c:pt>
                <c:pt idx="25">
                  <c:v>5-Dec-06</c:v>
                </c:pt>
                <c:pt idx="26">
                  <c:v>12-Dec-06</c:v>
                </c:pt>
                <c:pt idx="27">
                  <c:v>19-Dec-06</c:v>
                </c:pt>
                <c:pt idx="28">
                  <c:v>26-Dec-06</c:v>
                </c:pt>
                <c:pt idx="29">
                  <c:v>9-Jan-07</c:v>
                </c:pt>
                <c:pt idx="30">
                  <c:v>16-Jan-07</c:v>
                </c:pt>
                <c:pt idx="31">
                  <c:v>23-Jan-07</c:v>
                </c:pt>
                <c:pt idx="32">
                  <c:v>30-Jan-07</c:v>
                </c:pt>
                <c:pt idx="33">
                  <c:v>6-Feb-07</c:v>
                </c:pt>
                <c:pt idx="34">
                  <c:v>13-Feb-07</c:v>
                </c:pt>
                <c:pt idx="35">
                  <c:v>20-Feb-07</c:v>
                </c:pt>
                <c:pt idx="36">
                  <c:v>27-Feb-07</c:v>
                </c:pt>
                <c:pt idx="37">
                  <c:v>6-Mar-07</c:v>
                </c:pt>
                <c:pt idx="38">
                  <c:v>13-Mar-07</c:v>
                </c:pt>
                <c:pt idx="39">
                  <c:v>20-Mar-07</c:v>
                </c:pt>
                <c:pt idx="40">
                  <c:v>27-Mar-07</c:v>
                </c:pt>
                <c:pt idx="41">
                  <c:v>3-Apr-07</c:v>
                </c:pt>
                <c:pt idx="42">
                  <c:v>10-Apr-07</c:v>
                </c:pt>
                <c:pt idx="43">
                  <c:v>17-Apr-07</c:v>
                </c:pt>
                <c:pt idx="44">
                  <c:v>24-Apr-07</c:v>
                </c:pt>
                <c:pt idx="45">
                  <c:v>1-May-07</c:v>
                </c:pt>
                <c:pt idx="46">
                  <c:v>8-May-07</c:v>
                </c:pt>
                <c:pt idx="47">
                  <c:v>15-May-07</c:v>
                </c:pt>
                <c:pt idx="48">
                  <c:v>22-May-07</c:v>
                </c:pt>
                <c:pt idx="49">
                  <c:v>29-May-07</c:v>
                </c:pt>
                <c:pt idx="50">
                  <c:v>5-Jun-07</c:v>
                </c:pt>
                <c:pt idx="51">
                  <c:v>12-Jun-07</c:v>
                </c:pt>
                <c:pt idx="52">
                  <c:v>19-Jun-07</c:v>
                </c:pt>
                <c:pt idx="53">
                  <c:v>26-Jun-07</c:v>
                </c:pt>
                <c:pt idx="54">
                  <c:v>3-Jul-07</c:v>
                </c:pt>
                <c:pt idx="55">
                  <c:v>10-Jul-07</c:v>
                </c:pt>
                <c:pt idx="56">
                  <c:v>17-Jul-07</c:v>
                </c:pt>
                <c:pt idx="57">
                  <c:v>24-Jul-07</c:v>
                </c:pt>
                <c:pt idx="58">
                  <c:v>31-Jul-07</c:v>
                </c:pt>
                <c:pt idx="59">
                  <c:v>7-Aug-07</c:v>
                </c:pt>
                <c:pt idx="60">
                  <c:v>14-Aug-07</c:v>
                </c:pt>
                <c:pt idx="61">
                  <c:v>21-Aug-07</c:v>
                </c:pt>
                <c:pt idx="62">
                  <c:v>28-Aug-07</c:v>
                </c:pt>
                <c:pt idx="63">
                  <c:v>4-Sep-07</c:v>
                </c:pt>
                <c:pt idx="64">
                  <c:v>11-Sep-07</c:v>
                </c:pt>
                <c:pt idx="65">
                  <c:v>18-Sep-07</c:v>
                </c:pt>
                <c:pt idx="66">
                  <c:v>25-Sep-07</c:v>
                </c:pt>
                <c:pt idx="67">
                  <c:v>2-Oct-07</c:v>
                </c:pt>
                <c:pt idx="68">
                  <c:v>9-Oct-07</c:v>
                </c:pt>
                <c:pt idx="69">
                  <c:v>16-Oct-07</c:v>
                </c:pt>
                <c:pt idx="70">
                  <c:v>23-Oct-07</c:v>
                </c:pt>
                <c:pt idx="71">
                  <c:v>30-Oct-07</c:v>
                </c:pt>
                <c:pt idx="72">
                  <c:v>6-Nov-07</c:v>
                </c:pt>
                <c:pt idx="73">
                  <c:v>13-Nov-07</c:v>
                </c:pt>
                <c:pt idx="74">
                  <c:v>20-Nov-07</c:v>
                </c:pt>
                <c:pt idx="75">
                  <c:v>27-Nov-07</c:v>
                </c:pt>
                <c:pt idx="76">
                  <c:v>4-Dec-07</c:v>
                </c:pt>
                <c:pt idx="77">
                  <c:v>11-Dec-07</c:v>
                </c:pt>
                <c:pt idx="78">
                  <c:v>18-Dec-07</c:v>
                </c:pt>
                <c:pt idx="79">
                  <c:v>25-Dec-07</c:v>
                </c:pt>
                <c:pt idx="80">
                  <c:v>1-Jan-08</c:v>
                </c:pt>
                <c:pt idx="81">
                  <c:v>8-Jan-08</c:v>
                </c:pt>
                <c:pt idx="82">
                  <c:v>15-Jan-08</c:v>
                </c:pt>
                <c:pt idx="83">
                  <c:v>22-Jan-08</c:v>
                </c:pt>
                <c:pt idx="84">
                  <c:v>29-Jan-08</c:v>
                </c:pt>
                <c:pt idx="85">
                  <c:v>5-Feb-08</c:v>
                </c:pt>
                <c:pt idx="86">
                  <c:v>12-Feb-08</c:v>
                </c:pt>
                <c:pt idx="87">
                  <c:v>19-Feb-08</c:v>
                </c:pt>
                <c:pt idx="88">
                  <c:v>26-Feb-08</c:v>
                </c:pt>
                <c:pt idx="89">
                  <c:v>4-Mar-08</c:v>
                </c:pt>
                <c:pt idx="90">
                  <c:v>11-Mar-08</c:v>
                </c:pt>
                <c:pt idx="91">
                  <c:v>18-Mar-08</c:v>
                </c:pt>
                <c:pt idx="92">
                  <c:v>25-Mar-08</c:v>
                </c:pt>
                <c:pt idx="93">
                  <c:v>1-Apr-08</c:v>
                </c:pt>
                <c:pt idx="94">
                  <c:v>8-Apr-08</c:v>
                </c:pt>
                <c:pt idx="95">
                  <c:v>15-Apr-08</c:v>
                </c:pt>
                <c:pt idx="96">
                  <c:v>22-Apr-08</c:v>
                </c:pt>
                <c:pt idx="97">
                  <c:v>29-Apr-08</c:v>
                </c:pt>
                <c:pt idx="98">
                  <c:v>6-May-08</c:v>
                </c:pt>
                <c:pt idx="99">
                  <c:v>13-May-08</c:v>
                </c:pt>
                <c:pt idx="100">
                  <c:v>20-May-08</c:v>
                </c:pt>
                <c:pt idx="101">
                  <c:v>27-May-08</c:v>
                </c:pt>
                <c:pt idx="102">
                  <c:v>3-Jun-08</c:v>
                </c:pt>
                <c:pt idx="103">
                  <c:v>10-Jun-08</c:v>
                </c:pt>
                <c:pt idx="104">
                  <c:v>17-Jun-08</c:v>
                </c:pt>
                <c:pt idx="105">
                  <c:v>24-Jun-08</c:v>
                </c:pt>
                <c:pt idx="106">
                  <c:v>1-Jul-08</c:v>
                </c:pt>
                <c:pt idx="107">
                  <c:v>8-Jul-08</c:v>
                </c:pt>
                <c:pt idx="108">
                  <c:v>15-Jul-08</c:v>
                </c:pt>
                <c:pt idx="109">
                  <c:v>22-Jul-08</c:v>
                </c:pt>
                <c:pt idx="110">
                  <c:v>29-Jul-08</c:v>
                </c:pt>
                <c:pt idx="111">
                  <c:v>5-Aug-08</c:v>
                </c:pt>
                <c:pt idx="112">
                  <c:v>12-Aug-08</c:v>
                </c:pt>
                <c:pt idx="113">
                  <c:v>19-Aug-08</c:v>
                </c:pt>
                <c:pt idx="114">
                  <c:v>26-Aug-08</c:v>
                </c:pt>
                <c:pt idx="115">
                  <c:v>2-Sep-08</c:v>
                </c:pt>
                <c:pt idx="116">
                  <c:v>9-Sep-08</c:v>
                </c:pt>
                <c:pt idx="117">
                  <c:v>16-Sep-08</c:v>
                </c:pt>
                <c:pt idx="118">
                  <c:v>23-Sep-08</c:v>
                </c:pt>
                <c:pt idx="119">
                  <c:v>30-Sep-08</c:v>
                </c:pt>
                <c:pt idx="120">
                  <c:v>7-Oct-08</c:v>
                </c:pt>
                <c:pt idx="121">
                  <c:v>14-Oct-08</c:v>
                </c:pt>
                <c:pt idx="122">
                  <c:v>21-Oct-08</c:v>
                </c:pt>
                <c:pt idx="123">
                  <c:v>28-Oct-08</c:v>
                </c:pt>
                <c:pt idx="124">
                  <c:v>4-Nov-08</c:v>
                </c:pt>
                <c:pt idx="125">
                  <c:v>11-Nov-08</c:v>
                </c:pt>
                <c:pt idx="126">
                  <c:v>18-Nov-08</c:v>
                </c:pt>
                <c:pt idx="127">
                  <c:v>25-Nov-08</c:v>
                </c:pt>
                <c:pt idx="128">
                  <c:v>2-Dec-08</c:v>
                </c:pt>
                <c:pt idx="129">
                  <c:v>9-Dec-08</c:v>
                </c:pt>
                <c:pt idx="130">
                  <c:v>16-Dec-08</c:v>
                </c:pt>
                <c:pt idx="131">
                  <c:v>23-Dec-08</c:v>
                </c:pt>
                <c:pt idx="132">
                  <c:v>30-Dec-08</c:v>
                </c:pt>
                <c:pt idx="133">
                  <c:v>6-Jan-09</c:v>
                </c:pt>
                <c:pt idx="134">
                  <c:v>13-Jan-09</c:v>
                </c:pt>
                <c:pt idx="135">
                  <c:v>20-Jan-09</c:v>
                </c:pt>
                <c:pt idx="136">
                  <c:v>27-Jan-09</c:v>
                </c:pt>
                <c:pt idx="137">
                  <c:v>3-Feb-09</c:v>
                </c:pt>
                <c:pt idx="138">
                  <c:v>10-Feb-09</c:v>
                </c:pt>
                <c:pt idx="139">
                  <c:v>17-Feb-09</c:v>
                </c:pt>
                <c:pt idx="140">
                  <c:v>24-Feb-09</c:v>
                </c:pt>
                <c:pt idx="141">
                  <c:v>3-Mar-09</c:v>
                </c:pt>
                <c:pt idx="142">
                  <c:v>10-Mar-09</c:v>
                </c:pt>
                <c:pt idx="143">
                  <c:v>17-Mar-09</c:v>
                </c:pt>
                <c:pt idx="144">
                  <c:v>24-Mar-09</c:v>
                </c:pt>
                <c:pt idx="145">
                  <c:v>31-Mar-09</c:v>
                </c:pt>
                <c:pt idx="146">
                  <c:v>7-Apr-09</c:v>
                </c:pt>
                <c:pt idx="147">
                  <c:v>14-Apr-09</c:v>
                </c:pt>
                <c:pt idx="148">
                  <c:v>21-Apr-09</c:v>
                </c:pt>
                <c:pt idx="149">
                  <c:v>28-Apr-09</c:v>
                </c:pt>
                <c:pt idx="150">
                  <c:v>5-May-09</c:v>
                </c:pt>
                <c:pt idx="151">
                  <c:v>12-May-09</c:v>
                </c:pt>
                <c:pt idx="152">
                  <c:v>19-May-09</c:v>
                </c:pt>
                <c:pt idx="153">
                  <c:v>26-May-09</c:v>
                </c:pt>
                <c:pt idx="154">
                  <c:v>2-Jun-09</c:v>
                </c:pt>
                <c:pt idx="155">
                  <c:v>9-Jun-09</c:v>
                </c:pt>
                <c:pt idx="156">
                  <c:v>16-Jun-09</c:v>
                </c:pt>
                <c:pt idx="157">
                  <c:v>23-Jun-09</c:v>
                </c:pt>
                <c:pt idx="158">
                  <c:v>30-Jun-09</c:v>
                </c:pt>
                <c:pt idx="159">
                  <c:v>7-Jul-09</c:v>
                </c:pt>
                <c:pt idx="160">
                  <c:v>14-Jul-09</c:v>
                </c:pt>
                <c:pt idx="161">
                  <c:v>21-Jul-09</c:v>
                </c:pt>
                <c:pt idx="162">
                  <c:v>28-Jul-09</c:v>
                </c:pt>
                <c:pt idx="163">
                  <c:v>4-Aug-09</c:v>
                </c:pt>
                <c:pt idx="164">
                  <c:v>11-Aug-09</c:v>
                </c:pt>
                <c:pt idx="165">
                  <c:v>18-Aug-09</c:v>
                </c:pt>
                <c:pt idx="166">
                  <c:v>25-Aug-09</c:v>
                </c:pt>
                <c:pt idx="167">
                  <c:v>1-Sep-09</c:v>
                </c:pt>
                <c:pt idx="168">
                  <c:v>8-Sep-09</c:v>
                </c:pt>
                <c:pt idx="169">
                  <c:v>15-Sep-09</c:v>
                </c:pt>
                <c:pt idx="170">
                  <c:v>22-Sep-09</c:v>
                </c:pt>
                <c:pt idx="171">
                  <c:v>29-Sep-09</c:v>
                </c:pt>
                <c:pt idx="172">
                  <c:v>6-Oct-09</c:v>
                </c:pt>
                <c:pt idx="173">
                  <c:v>13-Oct-09</c:v>
                </c:pt>
                <c:pt idx="174">
                  <c:v>20-Oct-09</c:v>
                </c:pt>
                <c:pt idx="175">
                  <c:v>27-Oct-09</c:v>
                </c:pt>
                <c:pt idx="176">
                  <c:v>3-Nov-09</c:v>
                </c:pt>
                <c:pt idx="177">
                  <c:v>10-Nov-09</c:v>
                </c:pt>
                <c:pt idx="178">
                  <c:v>17-Nov-09</c:v>
                </c:pt>
                <c:pt idx="179">
                  <c:v>24-Nov-09</c:v>
                </c:pt>
                <c:pt idx="180">
                  <c:v>1-Dec-09</c:v>
                </c:pt>
                <c:pt idx="181">
                  <c:v>8-Dec-09</c:v>
                </c:pt>
                <c:pt idx="182">
                  <c:v>15-Dec-09</c:v>
                </c:pt>
                <c:pt idx="183">
                  <c:v>22-Dec-09</c:v>
                </c:pt>
                <c:pt idx="184">
                  <c:v>29-Dec-09</c:v>
                </c:pt>
                <c:pt idx="185">
                  <c:v>5-Jan-10</c:v>
                </c:pt>
                <c:pt idx="186">
                  <c:v>12-Jan-10</c:v>
                </c:pt>
                <c:pt idx="187">
                  <c:v>19-Jan-10</c:v>
                </c:pt>
                <c:pt idx="188">
                  <c:v>26-Jan-10</c:v>
                </c:pt>
                <c:pt idx="189">
                  <c:v>2-Feb-10</c:v>
                </c:pt>
                <c:pt idx="190">
                  <c:v>9-Feb-10</c:v>
                </c:pt>
                <c:pt idx="191">
                  <c:v>16-Feb-10</c:v>
                </c:pt>
                <c:pt idx="192">
                  <c:v>23-Feb-10</c:v>
                </c:pt>
                <c:pt idx="193">
                  <c:v>2-Mar-10</c:v>
                </c:pt>
                <c:pt idx="194">
                  <c:v>9-Mar-10</c:v>
                </c:pt>
                <c:pt idx="195">
                  <c:v>16-Mar-10</c:v>
                </c:pt>
                <c:pt idx="196">
                  <c:v>23-Mar-10</c:v>
                </c:pt>
                <c:pt idx="197">
                  <c:v>30-Mar-10</c:v>
                </c:pt>
                <c:pt idx="198">
                  <c:v>6-Apr-10</c:v>
                </c:pt>
                <c:pt idx="199">
                  <c:v>13-Apr-10</c:v>
                </c:pt>
                <c:pt idx="200">
                  <c:v>20-Apr-10</c:v>
                </c:pt>
                <c:pt idx="201">
                  <c:v>27-Apr-10</c:v>
                </c:pt>
                <c:pt idx="202">
                  <c:v>4-May-10</c:v>
                </c:pt>
                <c:pt idx="203">
                  <c:v>11-May-10</c:v>
                </c:pt>
                <c:pt idx="204">
                  <c:v>18-May-10</c:v>
                </c:pt>
                <c:pt idx="205">
                  <c:v>25-May-10</c:v>
                </c:pt>
                <c:pt idx="206">
                  <c:v>1-Jun-10</c:v>
                </c:pt>
                <c:pt idx="207">
                  <c:v>8-Jun-10</c:v>
                </c:pt>
                <c:pt idx="208">
                  <c:v>15-Jun-10</c:v>
                </c:pt>
                <c:pt idx="209">
                  <c:v>22-Jun-10</c:v>
                </c:pt>
                <c:pt idx="210">
                  <c:v>29-Jun-10</c:v>
                </c:pt>
                <c:pt idx="211">
                  <c:v>6-Jul-10</c:v>
                </c:pt>
                <c:pt idx="212">
                  <c:v>13-Jul-10</c:v>
                </c:pt>
                <c:pt idx="213">
                  <c:v>20-Jul-10</c:v>
                </c:pt>
                <c:pt idx="214">
                  <c:v>27-Jul-10</c:v>
                </c:pt>
                <c:pt idx="215">
                  <c:v>3-Aug-10</c:v>
                </c:pt>
                <c:pt idx="216">
                  <c:v>10-Aug-10</c:v>
                </c:pt>
                <c:pt idx="217">
                  <c:v>17-Aug-10</c:v>
                </c:pt>
                <c:pt idx="218">
                  <c:v>24-Aug-10</c:v>
                </c:pt>
                <c:pt idx="219">
                  <c:v>31-Aug-10</c:v>
                </c:pt>
                <c:pt idx="220">
                  <c:v>7-Sep-10</c:v>
                </c:pt>
                <c:pt idx="221">
                  <c:v>14-Sep-10</c:v>
                </c:pt>
                <c:pt idx="222">
                  <c:v>21-Sep-10</c:v>
                </c:pt>
                <c:pt idx="223">
                  <c:v>28-Sep-10</c:v>
                </c:pt>
                <c:pt idx="224">
                  <c:v>5-Oct-10</c:v>
                </c:pt>
                <c:pt idx="225">
                  <c:v>12-Oct-10</c:v>
                </c:pt>
                <c:pt idx="226">
                  <c:v>19-Oct-10</c:v>
                </c:pt>
                <c:pt idx="227">
                  <c:v>26-Oct-10</c:v>
                </c:pt>
                <c:pt idx="228">
                  <c:v>2-Nov-10</c:v>
                </c:pt>
                <c:pt idx="229">
                  <c:v>9-Nov-10</c:v>
                </c:pt>
                <c:pt idx="230">
                  <c:v>16-Nov-10</c:v>
                </c:pt>
                <c:pt idx="231">
                  <c:v>23-Nov-10</c:v>
                </c:pt>
                <c:pt idx="232">
                  <c:v>30-Nov-10</c:v>
                </c:pt>
                <c:pt idx="233">
                  <c:v>7-Dec-10</c:v>
                </c:pt>
                <c:pt idx="234">
                  <c:v>14-Dec-10</c:v>
                </c:pt>
                <c:pt idx="235">
                  <c:v>21-Dec-10</c:v>
                </c:pt>
                <c:pt idx="236">
                  <c:v>28-Dec-10</c:v>
                </c:pt>
                <c:pt idx="237">
                  <c:v>4-Jan-11</c:v>
                </c:pt>
                <c:pt idx="238">
                  <c:v>11-Jan-11</c:v>
                </c:pt>
                <c:pt idx="239">
                  <c:v>18-Jan-11</c:v>
                </c:pt>
                <c:pt idx="240">
                  <c:v>25-Jan-11</c:v>
                </c:pt>
                <c:pt idx="241">
                  <c:v>1-Feb-11</c:v>
                </c:pt>
                <c:pt idx="242">
                  <c:v>8-Feb-11</c:v>
                </c:pt>
                <c:pt idx="243">
                  <c:v>15-Feb-11</c:v>
                </c:pt>
                <c:pt idx="244">
                  <c:v>22-Feb-11</c:v>
                </c:pt>
                <c:pt idx="245">
                  <c:v>1-Mar-11</c:v>
                </c:pt>
                <c:pt idx="246">
                  <c:v>8-Mar-11</c:v>
                </c:pt>
                <c:pt idx="247">
                  <c:v>15-Mar-11</c:v>
                </c:pt>
                <c:pt idx="248">
                  <c:v>22-Mar-11</c:v>
                </c:pt>
                <c:pt idx="249">
                  <c:v>29-Mar-11</c:v>
                </c:pt>
                <c:pt idx="250">
                  <c:v>5-Apr-11</c:v>
                </c:pt>
                <c:pt idx="251">
                  <c:v>12-Apr-11</c:v>
                </c:pt>
                <c:pt idx="252">
                  <c:v>19-Apr-11</c:v>
                </c:pt>
                <c:pt idx="253">
                  <c:v>26-Apr-11</c:v>
                </c:pt>
                <c:pt idx="254">
                  <c:v>3-May-11</c:v>
                </c:pt>
                <c:pt idx="255">
                  <c:v>10-May-11</c:v>
                </c:pt>
                <c:pt idx="256">
                  <c:v>17-May-11</c:v>
                </c:pt>
                <c:pt idx="257">
                  <c:v>24-May-11</c:v>
                </c:pt>
                <c:pt idx="258">
                  <c:v>31-May-11</c:v>
                </c:pt>
                <c:pt idx="259">
                  <c:v>7-Jun-11</c:v>
                </c:pt>
                <c:pt idx="260">
                  <c:v>14-Jun-11</c:v>
                </c:pt>
                <c:pt idx="261">
                  <c:v>21-Jun-11</c:v>
                </c:pt>
                <c:pt idx="262">
                  <c:v>28-Jun-11</c:v>
                </c:pt>
                <c:pt idx="263">
                  <c:v>5-Jul-11</c:v>
                </c:pt>
                <c:pt idx="264">
                  <c:v>12-Jul-11</c:v>
                </c:pt>
                <c:pt idx="265">
                  <c:v>19-Jul-11</c:v>
                </c:pt>
                <c:pt idx="266">
                  <c:v>26-Jul-11</c:v>
                </c:pt>
                <c:pt idx="267">
                  <c:v>2-Aug-11</c:v>
                </c:pt>
                <c:pt idx="268">
                  <c:v>9-Aug-11</c:v>
                </c:pt>
                <c:pt idx="269">
                  <c:v>16-Aug-11</c:v>
                </c:pt>
                <c:pt idx="270">
                  <c:v>23-Aug-11</c:v>
                </c:pt>
                <c:pt idx="271">
                  <c:v>30-Aug-11</c:v>
                </c:pt>
                <c:pt idx="272">
                  <c:v>6-Sep-11</c:v>
                </c:pt>
                <c:pt idx="273">
                  <c:v>13-Sep-11</c:v>
                </c:pt>
                <c:pt idx="274">
                  <c:v>20-Sep-11</c:v>
                </c:pt>
                <c:pt idx="275">
                  <c:v>27-Sep-11</c:v>
                </c:pt>
                <c:pt idx="276">
                  <c:v>4-Oct-11</c:v>
                </c:pt>
                <c:pt idx="277">
                  <c:v>11-Oct-11</c:v>
                </c:pt>
                <c:pt idx="278">
                  <c:v>18-Oct-11</c:v>
                </c:pt>
                <c:pt idx="279">
                  <c:v>25-Oct-11</c:v>
                </c:pt>
                <c:pt idx="280">
                  <c:v>1-Nov-11</c:v>
                </c:pt>
                <c:pt idx="281">
                  <c:v>8-Nov-11</c:v>
                </c:pt>
                <c:pt idx="282">
                  <c:v>15-Nov-11</c:v>
                </c:pt>
                <c:pt idx="283">
                  <c:v>22-Nov-11</c:v>
                </c:pt>
                <c:pt idx="284">
                  <c:v>29-Nov-11</c:v>
                </c:pt>
                <c:pt idx="285">
                  <c:v>6-Dec-11</c:v>
                </c:pt>
                <c:pt idx="286">
                  <c:v>13-Dec-11</c:v>
                </c:pt>
                <c:pt idx="287">
                  <c:v>20-Dec-11</c:v>
                </c:pt>
                <c:pt idx="288">
                  <c:v>27-Dec-11</c:v>
                </c:pt>
                <c:pt idx="289">
                  <c:v>3-Jan-12</c:v>
                </c:pt>
                <c:pt idx="290">
                  <c:v>10-Jan-12</c:v>
                </c:pt>
                <c:pt idx="291">
                  <c:v>17-Jan-12</c:v>
                </c:pt>
                <c:pt idx="292">
                  <c:v>24-Jan-12</c:v>
                </c:pt>
                <c:pt idx="293">
                  <c:v>31-Jan-12</c:v>
                </c:pt>
                <c:pt idx="294">
                  <c:v>7-Feb-12</c:v>
                </c:pt>
                <c:pt idx="295">
                  <c:v>14-Feb-12</c:v>
                </c:pt>
                <c:pt idx="296">
                  <c:v>21-Feb-12</c:v>
                </c:pt>
                <c:pt idx="297">
                  <c:v>28-Feb-12</c:v>
                </c:pt>
                <c:pt idx="298">
                  <c:v>6-Mar-12</c:v>
                </c:pt>
                <c:pt idx="299">
                  <c:v>13-Mar-12</c:v>
                </c:pt>
                <c:pt idx="300">
                  <c:v>20-Mar-12</c:v>
                </c:pt>
                <c:pt idx="301">
                  <c:v>27-Mar-12</c:v>
                </c:pt>
                <c:pt idx="302">
                  <c:v>3-Apr-12</c:v>
                </c:pt>
                <c:pt idx="303">
                  <c:v>10-Apr-12</c:v>
                </c:pt>
                <c:pt idx="304">
                  <c:v>17-Apr-12</c:v>
                </c:pt>
                <c:pt idx="305">
                  <c:v>24-Apr-12</c:v>
                </c:pt>
                <c:pt idx="306">
                  <c:v>1-May-12</c:v>
                </c:pt>
                <c:pt idx="307">
                  <c:v>8-May-12</c:v>
                </c:pt>
                <c:pt idx="308">
                  <c:v>15-May-12</c:v>
                </c:pt>
                <c:pt idx="309">
                  <c:v>22-May-12</c:v>
                </c:pt>
                <c:pt idx="310">
                  <c:v>29-May-12</c:v>
                </c:pt>
                <c:pt idx="311">
                  <c:v>5-Jun-12</c:v>
                </c:pt>
                <c:pt idx="312">
                  <c:v>12-Jun-12</c:v>
                </c:pt>
                <c:pt idx="313">
                  <c:v>19-Jun-12</c:v>
                </c:pt>
                <c:pt idx="314">
                  <c:v>26-Jun-12</c:v>
                </c:pt>
                <c:pt idx="315">
                  <c:v>3-Jul-12</c:v>
                </c:pt>
                <c:pt idx="316">
                  <c:v>10-Jul-12</c:v>
                </c:pt>
                <c:pt idx="317">
                  <c:v>17-Jul-12</c:v>
                </c:pt>
                <c:pt idx="318">
                  <c:v>24-Jul-12</c:v>
                </c:pt>
                <c:pt idx="319">
                  <c:v>31-Jul-12</c:v>
                </c:pt>
                <c:pt idx="320">
                  <c:v>7-Aug-12</c:v>
                </c:pt>
                <c:pt idx="321">
                  <c:v>14-Aug-12</c:v>
                </c:pt>
                <c:pt idx="322">
                  <c:v>21-Aug-12</c:v>
                </c:pt>
                <c:pt idx="323">
                  <c:v>28-Aug-12</c:v>
                </c:pt>
                <c:pt idx="324">
                  <c:v>4-Sep-12</c:v>
                </c:pt>
                <c:pt idx="325">
                  <c:v>11-Sep-12</c:v>
                </c:pt>
                <c:pt idx="326">
                  <c:v>18-Sep-12</c:v>
                </c:pt>
                <c:pt idx="327">
                  <c:v>25-Sep-12</c:v>
                </c:pt>
                <c:pt idx="328">
                  <c:v>2-Oct-12</c:v>
                </c:pt>
                <c:pt idx="329">
                  <c:v>9-Oct-12</c:v>
                </c:pt>
                <c:pt idx="330">
                  <c:v>16-Oct-12</c:v>
                </c:pt>
                <c:pt idx="331">
                  <c:v>23-Oct-12</c:v>
                </c:pt>
                <c:pt idx="332">
                  <c:v>30-Oct-12</c:v>
                </c:pt>
                <c:pt idx="333">
                  <c:v>6-Nov-12</c:v>
                </c:pt>
                <c:pt idx="334">
                  <c:v>13-Nov-12</c:v>
                </c:pt>
                <c:pt idx="335">
                  <c:v>20-Nov-12</c:v>
                </c:pt>
                <c:pt idx="336">
                  <c:v>27-Nov-12</c:v>
                </c:pt>
                <c:pt idx="337">
                  <c:v>4-Dec-12</c:v>
                </c:pt>
                <c:pt idx="338">
                  <c:v>11-Dec-12</c:v>
                </c:pt>
                <c:pt idx="339">
                  <c:v>18-Dec-12</c:v>
                </c:pt>
                <c:pt idx="340">
                  <c:v>25-Dec-12</c:v>
                </c:pt>
                <c:pt idx="341">
                  <c:v>1-Jan-13</c:v>
                </c:pt>
                <c:pt idx="342">
                  <c:v>8-Jan-13</c:v>
                </c:pt>
                <c:pt idx="343">
                  <c:v>15-Jan-13</c:v>
                </c:pt>
                <c:pt idx="344">
                  <c:v>22-Jan-13</c:v>
                </c:pt>
                <c:pt idx="345">
                  <c:v>29-Jan-13</c:v>
                </c:pt>
                <c:pt idx="346">
                  <c:v>5-Feb-13</c:v>
                </c:pt>
                <c:pt idx="347">
                  <c:v>12-Feb-13</c:v>
                </c:pt>
                <c:pt idx="348">
                  <c:v>19-Feb-13</c:v>
                </c:pt>
                <c:pt idx="349">
                  <c:v>26-Feb-13</c:v>
                </c:pt>
                <c:pt idx="350">
                  <c:v>5-Mar-13</c:v>
                </c:pt>
                <c:pt idx="351">
                  <c:v>12-Mar-13</c:v>
                </c:pt>
                <c:pt idx="352">
                  <c:v>19-Mar-13</c:v>
                </c:pt>
                <c:pt idx="353">
                  <c:v>26-Mar-13</c:v>
                </c:pt>
                <c:pt idx="354">
                  <c:v>2-Apr-13</c:v>
                </c:pt>
                <c:pt idx="355">
                  <c:v>9-Apr-13</c:v>
                </c:pt>
                <c:pt idx="356">
                  <c:v>16-Apr-13</c:v>
                </c:pt>
                <c:pt idx="357">
                  <c:v>23-Apr-13</c:v>
                </c:pt>
                <c:pt idx="358">
                  <c:v>30-Apr-13</c:v>
                </c:pt>
                <c:pt idx="359">
                  <c:v>7-May-13</c:v>
                </c:pt>
                <c:pt idx="360">
                  <c:v>14-May-13</c:v>
                </c:pt>
                <c:pt idx="361">
                  <c:v>21-May-13</c:v>
                </c:pt>
                <c:pt idx="362">
                  <c:v>28-May-13</c:v>
                </c:pt>
                <c:pt idx="363">
                  <c:v>4-Jun-13</c:v>
                </c:pt>
                <c:pt idx="364">
                  <c:v>11-Jun-13</c:v>
                </c:pt>
                <c:pt idx="365">
                  <c:v>18-Jun-13</c:v>
                </c:pt>
                <c:pt idx="366">
                  <c:v>25-Jun-13</c:v>
                </c:pt>
                <c:pt idx="367">
                  <c:v>2-Jul-13</c:v>
                </c:pt>
                <c:pt idx="368">
                  <c:v>9-Jul-13</c:v>
                </c:pt>
                <c:pt idx="369">
                  <c:v>16-Jul-13</c:v>
                </c:pt>
                <c:pt idx="370">
                  <c:v>23-Jul-13</c:v>
                </c:pt>
                <c:pt idx="371">
                  <c:v>30-Jul-13</c:v>
                </c:pt>
                <c:pt idx="372">
                  <c:v>6-Aug-13</c:v>
                </c:pt>
                <c:pt idx="373">
                  <c:v>13-Aug-13</c:v>
                </c:pt>
                <c:pt idx="374">
                  <c:v>20-Aug-13</c:v>
                </c:pt>
                <c:pt idx="375">
                  <c:v>27-Aug-13</c:v>
                </c:pt>
                <c:pt idx="376">
                  <c:v>3-Sep-13</c:v>
                </c:pt>
                <c:pt idx="377">
                  <c:v>10-Sep-13</c:v>
                </c:pt>
                <c:pt idx="378">
                  <c:v>17-Sep-13</c:v>
                </c:pt>
                <c:pt idx="379">
                  <c:v>24-Sep-13</c:v>
                </c:pt>
                <c:pt idx="380">
                  <c:v>1-Oct-13</c:v>
                </c:pt>
                <c:pt idx="381">
                  <c:v>8-Oct-13</c:v>
                </c:pt>
                <c:pt idx="382">
                  <c:v>15-Oct-13</c:v>
                </c:pt>
                <c:pt idx="383">
                  <c:v>22-Oct-13</c:v>
                </c:pt>
                <c:pt idx="384">
                  <c:v>29-Oct-13</c:v>
                </c:pt>
                <c:pt idx="385">
                  <c:v>5-Nov-13</c:v>
                </c:pt>
                <c:pt idx="386">
                  <c:v>12-Nov-13</c:v>
                </c:pt>
                <c:pt idx="387">
                  <c:v>19-Nov-13</c:v>
                </c:pt>
                <c:pt idx="388">
                  <c:v>26-Nov-13</c:v>
                </c:pt>
                <c:pt idx="389">
                  <c:v>3-Dec-13</c:v>
                </c:pt>
                <c:pt idx="390">
                  <c:v>10-Dec-13</c:v>
                </c:pt>
                <c:pt idx="391">
                  <c:v>17-Dec-13</c:v>
                </c:pt>
                <c:pt idx="392">
                  <c:v>24-Dec-13</c:v>
                </c:pt>
                <c:pt idx="393">
                  <c:v>31-Dec-13</c:v>
                </c:pt>
                <c:pt idx="394">
                  <c:v>7-Jan-14</c:v>
                </c:pt>
                <c:pt idx="395">
                  <c:v>14-Jan-14</c:v>
                </c:pt>
                <c:pt idx="396">
                  <c:v>21-Jan-14</c:v>
                </c:pt>
                <c:pt idx="397">
                  <c:v>28-Jan-14</c:v>
                </c:pt>
                <c:pt idx="398">
                  <c:v>4-Feb-14</c:v>
                </c:pt>
                <c:pt idx="399">
                  <c:v>11-Feb-14</c:v>
                </c:pt>
                <c:pt idx="400">
                  <c:v>18-Feb-14</c:v>
                </c:pt>
                <c:pt idx="401">
                  <c:v>25-Feb-14</c:v>
                </c:pt>
                <c:pt idx="402">
                  <c:v>4-Mar-14</c:v>
                </c:pt>
                <c:pt idx="403">
                  <c:v>11-Mar-14</c:v>
                </c:pt>
                <c:pt idx="404">
                  <c:v>18-Mar-14</c:v>
                </c:pt>
                <c:pt idx="405">
                  <c:v>25-Mar-14</c:v>
                </c:pt>
                <c:pt idx="406">
                  <c:v>1-Apr-14</c:v>
                </c:pt>
                <c:pt idx="407">
                  <c:v>8-Apr-14</c:v>
                </c:pt>
                <c:pt idx="408">
                  <c:v>15-Apr-14</c:v>
                </c:pt>
                <c:pt idx="409">
                  <c:v>22-Apr-14</c:v>
                </c:pt>
                <c:pt idx="410">
                  <c:v>29-Apr-14</c:v>
                </c:pt>
                <c:pt idx="411">
                  <c:v>6-May-14</c:v>
                </c:pt>
                <c:pt idx="412">
                  <c:v>13-May-14</c:v>
                </c:pt>
                <c:pt idx="413">
                  <c:v>20-May-14</c:v>
                </c:pt>
                <c:pt idx="414">
                  <c:v>27-May-14</c:v>
                </c:pt>
                <c:pt idx="415">
                  <c:v>3-Jun-14</c:v>
                </c:pt>
                <c:pt idx="416">
                  <c:v>10-Jun-14</c:v>
                </c:pt>
                <c:pt idx="417">
                  <c:v>17-Jun-14</c:v>
                </c:pt>
                <c:pt idx="418">
                  <c:v>24-Jun-14</c:v>
                </c:pt>
                <c:pt idx="419">
                  <c:v>1-Jul-14</c:v>
                </c:pt>
                <c:pt idx="420">
                  <c:v>8-Jul-14</c:v>
                </c:pt>
                <c:pt idx="421">
                  <c:v>15-Jul-14</c:v>
                </c:pt>
                <c:pt idx="422">
                  <c:v>22-Jul-14</c:v>
                </c:pt>
                <c:pt idx="423">
                  <c:v>29-Jul-14</c:v>
                </c:pt>
                <c:pt idx="424">
                  <c:v>5-Aug-14</c:v>
                </c:pt>
                <c:pt idx="425">
                  <c:v>12-Aug-14</c:v>
                </c:pt>
                <c:pt idx="426">
                  <c:v>19-Aug-14</c:v>
                </c:pt>
                <c:pt idx="427">
                  <c:v>26-Aug-14</c:v>
                </c:pt>
                <c:pt idx="428">
                  <c:v>2-Sep-14</c:v>
                </c:pt>
                <c:pt idx="429">
                  <c:v>9-Sep-14</c:v>
                </c:pt>
                <c:pt idx="430">
                  <c:v>16-Sep-14</c:v>
                </c:pt>
                <c:pt idx="431">
                  <c:v>23-Sep-14</c:v>
                </c:pt>
                <c:pt idx="432">
                  <c:v>30-Sep-14</c:v>
                </c:pt>
                <c:pt idx="433">
                  <c:v>7-Oct-14</c:v>
                </c:pt>
                <c:pt idx="434">
                  <c:v>14-Oct-14</c:v>
                </c:pt>
                <c:pt idx="435">
                  <c:v>21-Oct-14</c:v>
                </c:pt>
                <c:pt idx="436">
                  <c:v>28-Oct-14</c:v>
                </c:pt>
                <c:pt idx="437">
                  <c:v>4-Nov-14</c:v>
                </c:pt>
                <c:pt idx="438">
                  <c:v>11-Nov-14</c:v>
                </c:pt>
                <c:pt idx="439">
                  <c:v>18-Nov-14</c:v>
                </c:pt>
                <c:pt idx="440">
                  <c:v>25-Nov-14</c:v>
                </c:pt>
                <c:pt idx="441">
                  <c:v>2-Dec-14</c:v>
                </c:pt>
                <c:pt idx="442">
                  <c:v>9-Dec-14</c:v>
                </c:pt>
                <c:pt idx="443">
                  <c:v>16-Dec-14</c:v>
                </c:pt>
                <c:pt idx="444">
                  <c:v>23-Dec-14</c:v>
                </c:pt>
                <c:pt idx="445">
                  <c:v>30-Dec-14</c:v>
                </c:pt>
                <c:pt idx="446">
                  <c:v>6-Jan-15</c:v>
                </c:pt>
                <c:pt idx="447">
                  <c:v>13-Jan-15</c:v>
                </c:pt>
                <c:pt idx="448">
                  <c:v>20-Jan-15</c:v>
                </c:pt>
                <c:pt idx="449">
                  <c:v>27-Jan-15</c:v>
                </c:pt>
                <c:pt idx="450">
                  <c:v>3-Feb-15</c:v>
                </c:pt>
                <c:pt idx="451">
                  <c:v>10-Feb-15</c:v>
                </c:pt>
                <c:pt idx="452">
                  <c:v>17-Feb-15</c:v>
                </c:pt>
                <c:pt idx="453">
                  <c:v>24-Feb-15</c:v>
                </c:pt>
                <c:pt idx="454">
                  <c:v>3-Mar-15</c:v>
                </c:pt>
                <c:pt idx="455">
                  <c:v>10-Mar-15</c:v>
                </c:pt>
                <c:pt idx="456">
                  <c:v>17-Mar-15</c:v>
                </c:pt>
                <c:pt idx="457">
                  <c:v>24-Mar-15</c:v>
                </c:pt>
                <c:pt idx="458">
                  <c:v>31-Mar-15</c:v>
                </c:pt>
                <c:pt idx="459">
                  <c:v>7-Apr-15</c:v>
                </c:pt>
                <c:pt idx="460">
                  <c:v>14-Apr-15</c:v>
                </c:pt>
                <c:pt idx="461">
                  <c:v>21-Apr-15</c:v>
                </c:pt>
                <c:pt idx="462">
                  <c:v>28-Apr-15</c:v>
                </c:pt>
                <c:pt idx="463">
                  <c:v>5-May-15</c:v>
                </c:pt>
                <c:pt idx="464">
                  <c:v>12-May-15</c:v>
                </c:pt>
                <c:pt idx="465">
                  <c:v>19-May-15</c:v>
                </c:pt>
                <c:pt idx="466">
                  <c:v>26-May-15</c:v>
                </c:pt>
                <c:pt idx="467">
                  <c:v>2-Jun-15</c:v>
                </c:pt>
                <c:pt idx="468">
                  <c:v>9-Jun-15</c:v>
                </c:pt>
                <c:pt idx="469">
                  <c:v>16-Jun-15</c:v>
                </c:pt>
                <c:pt idx="470">
                  <c:v>23-Jun-15</c:v>
                </c:pt>
                <c:pt idx="471">
                  <c:v>30-Jun-15</c:v>
                </c:pt>
                <c:pt idx="472">
                  <c:v>7-Jul-15</c:v>
                </c:pt>
                <c:pt idx="473">
                  <c:v>14-Jul-15</c:v>
                </c:pt>
                <c:pt idx="474">
                  <c:v>21-Jul-15</c:v>
                </c:pt>
                <c:pt idx="475">
                  <c:v>28-Jul-15</c:v>
                </c:pt>
                <c:pt idx="476">
                  <c:v>4-Aug-15</c:v>
                </c:pt>
                <c:pt idx="477">
                  <c:v>11-Aug-15</c:v>
                </c:pt>
                <c:pt idx="478">
                  <c:v>18-Aug-15</c:v>
                </c:pt>
                <c:pt idx="479">
                  <c:v>25-Aug-15</c:v>
                </c:pt>
                <c:pt idx="480">
                  <c:v>1-Sep-15</c:v>
                </c:pt>
                <c:pt idx="481">
                  <c:v>8-Sep-15</c:v>
                </c:pt>
                <c:pt idx="482">
                  <c:v>15-Sep-15</c:v>
                </c:pt>
                <c:pt idx="483">
                  <c:v>22-Sep-15</c:v>
                </c:pt>
                <c:pt idx="484">
                  <c:v>29-Sep-15</c:v>
                </c:pt>
                <c:pt idx="485">
                  <c:v>6-Oct-15</c:v>
                </c:pt>
                <c:pt idx="486">
                  <c:v>13-Oct-15</c:v>
                </c:pt>
                <c:pt idx="487">
                  <c:v>20-Oct-15</c:v>
                </c:pt>
                <c:pt idx="488">
                  <c:v>27-Oct-15</c:v>
                </c:pt>
                <c:pt idx="489">
                  <c:v>3-Nov-15</c:v>
                </c:pt>
                <c:pt idx="490">
                  <c:v>10-Nov-15</c:v>
                </c:pt>
                <c:pt idx="491">
                  <c:v>17-Nov-15</c:v>
                </c:pt>
                <c:pt idx="492">
                  <c:v>24-Nov-15</c:v>
                </c:pt>
                <c:pt idx="493">
                  <c:v>1-Dec-15</c:v>
                </c:pt>
                <c:pt idx="494">
                  <c:v>8-Dec-15</c:v>
                </c:pt>
                <c:pt idx="495">
                  <c:v>15-Dec-15</c:v>
                </c:pt>
                <c:pt idx="496">
                  <c:v>22-Dec-15</c:v>
                </c:pt>
                <c:pt idx="497">
                  <c:v>29-Dec-15</c:v>
                </c:pt>
                <c:pt idx="498">
                  <c:v>5-Jan-16</c:v>
                </c:pt>
                <c:pt idx="499">
                  <c:v>12-Jan-16</c:v>
                </c:pt>
                <c:pt idx="500">
                  <c:v>19-Jan-16</c:v>
                </c:pt>
                <c:pt idx="501">
                  <c:v>26-Jan-16</c:v>
                </c:pt>
                <c:pt idx="502">
                  <c:v>2-Feb-16</c:v>
                </c:pt>
                <c:pt idx="503">
                  <c:v>9-Feb-16</c:v>
                </c:pt>
                <c:pt idx="504">
                  <c:v>16-Feb-16</c:v>
                </c:pt>
                <c:pt idx="505">
                  <c:v>23-Feb-16</c:v>
                </c:pt>
                <c:pt idx="506">
                  <c:v>1-Mar-16</c:v>
                </c:pt>
                <c:pt idx="507">
                  <c:v>8-Mar-16</c:v>
                </c:pt>
                <c:pt idx="508">
                  <c:v>15-Mar-16</c:v>
                </c:pt>
                <c:pt idx="509">
                  <c:v>22-Mar-16</c:v>
                </c:pt>
                <c:pt idx="510">
                  <c:v>29-Mar-16</c:v>
                </c:pt>
                <c:pt idx="511">
                  <c:v>5-Apr-16</c:v>
                </c:pt>
                <c:pt idx="512">
                  <c:v>12-Apr-16</c:v>
                </c:pt>
                <c:pt idx="513">
                  <c:v>19-Apr-16</c:v>
                </c:pt>
                <c:pt idx="514">
                  <c:v>26-Apr-16</c:v>
                </c:pt>
                <c:pt idx="515">
                  <c:v>3-May-16</c:v>
                </c:pt>
                <c:pt idx="516">
                  <c:v>10-May-16</c:v>
                </c:pt>
                <c:pt idx="517">
                  <c:v>17-May-16</c:v>
                </c:pt>
                <c:pt idx="518">
                  <c:v>24-May-16</c:v>
                </c:pt>
                <c:pt idx="519">
                  <c:v>31-May-16</c:v>
                </c:pt>
                <c:pt idx="520">
                  <c:v>7-Jun-16</c:v>
                </c:pt>
                <c:pt idx="521">
                  <c:v>14-Jun-16</c:v>
                </c:pt>
                <c:pt idx="522">
                  <c:v>21-Jun-16</c:v>
                </c:pt>
                <c:pt idx="523">
                  <c:v>28-Jun-16</c:v>
                </c:pt>
                <c:pt idx="524">
                  <c:v>5-Jul-16</c:v>
                </c:pt>
                <c:pt idx="525">
                  <c:v>12-Jul-16</c:v>
                </c:pt>
                <c:pt idx="526">
                  <c:v>19-Jul-16</c:v>
                </c:pt>
                <c:pt idx="527">
                  <c:v>26-Jul-16</c:v>
                </c:pt>
                <c:pt idx="528">
                  <c:v>2-Aug-16</c:v>
                </c:pt>
                <c:pt idx="529">
                  <c:v>9-Aug-16</c:v>
                </c:pt>
                <c:pt idx="530">
                  <c:v>16-Aug-16</c:v>
                </c:pt>
                <c:pt idx="531">
                  <c:v>23-Aug-16</c:v>
                </c:pt>
                <c:pt idx="532">
                  <c:v>30-Aug-16</c:v>
                </c:pt>
                <c:pt idx="533">
                  <c:v>6-Sep-16</c:v>
                </c:pt>
                <c:pt idx="534">
                  <c:v>13-Sep-16</c:v>
                </c:pt>
                <c:pt idx="535">
                  <c:v>20-Sep-16</c:v>
                </c:pt>
                <c:pt idx="536">
                  <c:v>27-Sep-16</c:v>
                </c:pt>
                <c:pt idx="537">
                  <c:v>4-Oct-16</c:v>
                </c:pt>
                <c:pt idx="538">
                  <c:v>11-Oct-16</c:v>
                </c:pt>
                <c:pt idx="539">
                  <c:v>18-Oct-16</c:v>
                </c:pt>
                <c:pt idx="540">
                  <c:v>25-Oct-16</c:v>
                </c:pt>
                <c:pt idx="541">
                  <c:v>1-Nov-16</c:v>
                </c:pt>
                <c:pt idx="542">
                  <c:v>8-Nov-16</c:v>
                </c:pt>
                <c:pt idx="543">
                  <c:v>15-Nov-16</c:v>
                </c:pt>
                <c:pt idx="544">
                  <c:v>22-Nov-16</c:v>
                </c:pt>
                <c:pt idx="545">
                  <c:v>29-Nov-16</c:v>
                </c:pt>
                <c:pt idx="546">
                  <c:v>6-Dec-16</c:v>
                </c:pt>
                <c:pt idx="547">
                  <c:v>13-Dec-16</c:v>
                </c:pt>
                <c:pt idx="548">
                  <c:v>20-Dec-16</c:v>
                </c:pt>
                <c:pt idx="549">
                  <c:v>27-Dec-16</c:v>
                </c:pt>
                <c:pt idx="550">
                  <c:v>3-Jan-17</c:v>
                </c:pt>
                <c:pt idx="551">
                  <c:v>10-Jan-17</c:v>
                </c:pt>
                <c:pt idx="552">
                  <c:v>17-Jan-17</c:v>
                </c:pt>
                <c:pt idx="553">
                  <c:v>24-Jan-17</c:v>
                </c:pt>
                <c:pt idx="554">
                  <c:v>31-Jan-17</c:v>
                </c:pt>
                <c:pt idx="555">
                  <c:v>7-Feb-17</c:v>
                </c:pt>
                <c:pt idx="556">
                  <c:v>14-Feb-17</c:v>
                </c:pt>
                <c:pt idx="557">
                  <c:v>21-Feb-17</c:v>
                </c:pt>
                <c:pt idx="558">
                  <c:v>28-Feb-17</c:v>
                </c:pt>
                <c:pt idx="559">
                  <c:v>7-Mar-17</c:v>
                </c:pt>
                <c:pt idx="560">
                  <c:v>14-Mar-17</c:v>
                </c:pt>
                <c:pt idx="561">
                  <c:v>21-Mar-17</c:v>
                </c:pt>
                <c:pt idx="562">
                  <c:v>28-Mar-17</c:v>
                </c:pt>
                <c:pt idx="563">
                  <c:v>4-Apr-17</c:v>
                </c:pt>
                <c:pt idx="564">
                  <c:v>11-Apr-17</c:v>
                </c:pt>
                <c:pt idx="565">
                  <c:v>18-Apr-17</c:v>
                </c:pt>
                <c:pt idx="566">
                  <c:v>25-Apr-17</c:v>
                </c:pt>
                <c:pt idx="567">
                  <c:v>2-May-17</c:v>
                </c:pt>
                <c:pt idx="568">
                  <c:v>9-May-17</c:v>
                </c:pt>
                <c:pt idx="569">
                  <c:v>16-May-17</c:v>
                </c:pt>
                <c:pt idx="570">
                  <c:v>23-May-17</c:v>
                </c:pt>
                <c:pt idx="571">
                  <c:v>30-May-17</c:v>
                </c:pt>
                <c:pt idx="572">
                  <c:v>6-Jun-17</c:v>
                </c:pt>
                <c:pt idx="573">
                  <c:v>13-Jun-17</c:v>
                </c:pt>
                <c:pt idx="574">
                  <c:v>20-Jun-17</c:v>
                </c:pt>
                <c:pt idx="575">
                  <c:v>27-Jun-17</c:v>
                </c:pt>
                <c:pt idx="576">
                  <c:v>4-Jul-17</c:v>
                </c:pt>
                <c:pt idx="577">
                  <c:v>11-Jul-17</c:v>
                </c:pt>
                <c:pt idx="578">
                  <c:v>18-Jul-17</c:v>
                </c:pt>
                <c:pt idx="579">
                  <c:v>25-Jul-17</c:v>
                </c:pt>
                <c:pt idx="580">
                  <c:v>1-Aug-17</c:v>
                </c:pt>
                <c:pt idx="581">
                  <c:v>8-Aug-17</c:v>
                </c:pt>
                <c:pt idx="582">
                  <c:v>15-Aug-17</c:v>
                </c:pt>
                <c:pt idx="583">
                  <c:v>22-Aug-17</c:v>
                </c:pt>
                <c:pt idx="584">
                  <c:v>29-Aug-17</c:v>
                </c:pt>
                <c:pt idx="585">
                  <c:v>5-Sep-17</c:v>
                </c:pt>
                <c:pt idx="586">
                  <c:v>12-Sep-17</c:v>
                </c:pt>
                <c:pt idx="587">
                  <c:v>19-Sep-17</c:v>
                </c:pt>
                <c:pt idx="588">
                  <c:v>26-Sep-17</c:v>
                </c:pt>
                <c:pt idx="589">
                  <c:v>3-Oct-17</c:v>
                </c:pt>
                <c:pt idx="590">
                  <c:v>10-Oct-17</c:v>
                </c:pt>
                <c:pt idx="591">
                  <c:v>17-Oct-17</c:v>
                </c:pt>
                <c:pt idx="592">
                  <c:v>24-Oct-17</c:v>
                </c:pt>
                <c:pt idx="593">
                  <c:v>31-Oct-17</c:v>
                </c:pt>
                <c:pt idx="594">
                  <c:v>7-Nov-17</c:v>
                </c:pt>
                <c:pt idx="595">
                  <c:v>14-Nov-17</c:v>
                </c:pt>
                <c:pt idx="596">
                  <c:v>21-Nov-17</c:v>
                </c:pt>
                <c:pt idx="597">
                  <c:v>28-Nov-17</c:v>
                </c:pt>
                <c:pt idx="598">
                  <c:v>5-Dec-17</c:v>
                </c:pt>
                <c:pt idx="599">
                  <c:v>12-Dec-17</c:v>
                </c:pt>
                <c:pt idx="600">
                  <c:v>19-Dec-17</c:v>
                </c:pt>
                <c:pt idx="601">
                  <c:v>26-Dec-17</c:v>
                </c:pt>
                <c:pt idx="602">
                  <c:v>2-Jan-18</c:v>
                </c:pt>
                <c:pt idx="603">
                  <c:v>9-Jan-18</c:v>
                </c:pt>
                <c:pt idx="604">
                  <c:v>16-Jan-18</c:v>
                </c:pt>
                <c:pt idx="605">
                  <c:v>23-Jan-18</c:v>
                </c:pt>
                <c:pt idx="606">
                  <c:v>30-Jan-18</c:v>
                </c:pt>
                <c:pt idx="607">
                  <c:v>6-Feb-18</c:v>
                </c:pt>
                <c:pt idx="608">
                  <c:v>13-Feb-18</c:v>
                </c:pt>
                <c:pt idx="609">
                  <c:v>20-Feb-18</c:v>
                </c:pt>
                <c:pt idx="610">
                  <c:v>27-Feb-18</c:v>
                </c:pt>
                <c:pt idx="611">
                  <c:v>6-Mar-18</c:v>
                </c:pt>
                <c:pt idx="612">
                  <c:v>13-Mar-18</c:v>
                </c:pt>
                <c:pt idx="613">
                  <c:v>20-Mar-18</c:v>
                </c:pt>
                <c:pt idx="614">
                  <c:v>27-Mar-18</c:v>
                </c:pt>
                <c:pt idx="615">
                  <c:v>3-Apr-18</c:v>
                </c:pt>
                <c:pt idx="616">
                  <c:v>10-Apr-18</c:v>
                </c:pt>
                <c:pt idx="617">
                  <c:v>17-Apr-18</c:v>
                </c:pt>
                <c:pt idx="618">
                  <c:v>24-Apr-18</c:v>
                </c:pt>
                <c:pt idx="619">
                  <c:v>1-May-18</c:v>
                </c:pt>
                <c:pt idx="620">
                  <c:v>8-May-18</c:v>
                </c:pt>
                <c:pt idx="621">
                  <c:v>15-May-18</c:v>
                </c:pt>
                <c:pt idx="622">
                  <c:v>22-May-18</c:v>
                </c:pt>
                <c:pt idx="623">
                  <c:v>29-May-18</c:v>
                </c:pt>
                <c:pt idx="624">
                  <c:v>5-Jun-18</c:v>
                </c:pt>
                <c:pt idx="625">
                  <c:v>12-Jun-18</c:v>
                </c:pt>
                <c:pt idx="626">
                  <c:v>19-Jun-18</c:v>
                </c:pt>
                <c:pt idx="627">
                  <c:v>26-Jun-18</c:v>
                </c:pt>
                <c:pt idx="628">
                  <c:v>3-Jul-18</c:v>
                </c:pt>
                <c:pt idx="629">
                  <c:v>10-Jul-18</c:v>
                </c:pt>
                <c:pt idx="630">
                  <c:v>17-Jul-18</c:v>
                </c:pt>
                <c:pt idx="631">
                  <c:v>24-Jul-18</c:v>
                </c:pt>
                <c:pt idx="632">
                  <c:v>31-Jul-18</c:v>
                </c:pt>
                <c:pt idx="633">
                  <c:v>7-Aug-18</c:v>
                </c:pt>
                <c:pt idx="634">
                  <c:v>14-Aug-18</c:v>
                </c:pt>
                <c:pt idx="635">
                  <c:v>21-Aug-18</c:v>
                </c:pt>
                <c:pt idx="636">
                  <c:v>28-Aug-18</c:v>
                </c:pt>
                <c:pt idx="637">
                  <c:v>4-Sep-18</c:v>
                </c:pt>
                <c:pt idx="638">
                  <c:v>11-Sep-18</c:v>
                </c:pt>
                <c:pt idx="639">
                  <c:v>18-Sep-18</c:v>
                </c:pt>
                <c:pt idx="640">
                  <c:v>25-Sep-18</c:v>
                </c:pt>
                <c:pt idx="641">
                  <c:v>2-Oct-18</c:v>
                </c:pt>
                <c:pt idx="642">
                  <c:v>9-Oct-18</c:v>
                </c:pt>
                <c:pt idx="643">
                  <c:v>16-Oct-18</c:v>
                </c:pt>
                <c:pt idx="644">
                  <c:v>23-Oct-18</c:v>
                </c:pt>
                <c:pt idx="645">
                  <c:v>30-Oct-18</c:v>
                </c:pt>
                <c:pt idx="646">
                  <c:v>6-Nov-18</c:v>
                </c:pt>
                <c:pt idx="647">
                  <c:v>13-Nov-18</c:v>
                </c:pt>
                <c:pt idx="648">
                  <c:v>20-Nov-18</c:v>
                </c:pt>
                <c:pt idx="649">
                  <c:v>27-Nov-18</c:v>
                </c:pt>
                <c:pt idx="650">
                  <c:v>4-Dec-18</c:v>
                </c:pt>
                <c:pt idx="651">
                  <c:v>11-Dec-18</c:v>
                </c:pt>
                <c:pt idx="652">
                  <c:v>18-Dec-18</c:v>
                </c:pt>
                <c:pt idx="653">
                  <c:v>25-Dec-18</c:v>
                </c:pt>
                <c:pt idx="654">
                  <c:v>1-Jan-19</c:v>
                </c:pt>
                <c:pt idx="655">
                  <c:v>8-Jan-19</c:v>
                </c:pt>
                <c:pt idx="656">
                  <c:v>15-Jan-19</c:v>
                </c:pt>
                <c:pt idx="657">
                  <c:v>22-Jan-19</c:v>
                </c:pt>
                <c:pt idx="658">
                  <c:v>29-Jan-19</c:v>
                </c:pt>
                <c:pt idx="659">
                  <c:v>5-Feb-19</c:v>
                </c:pt>
                <c:pt idx="660">
                  <c:v>12-Feb-19</c:v>
                </c:pt>
                <c:pt idx="661">
                  <c:v>19-Feb-19</c:v>
                </c:pt>
                <c:pt idx="662">
                  <c:v>26-Feb-19</c:v>
                </c:pt>
                <c:pt idx="663">
                  <c:v>5-Mar-19</c:v>
                </c:pt>
                <c:pt idx="664">
                  <c:v>12-Mar-19</c:v>
                </c:pt>
                <c:pt idx="665">
                  <c:v>19-Mar-19</c:v>
                </c:pt>
                <c:pt idx="666">
                  <c:v>26-Mar-19</c:v>
                </c:pt>
                <c:pt idx="667">
                  <c:v>2-Apr-19</c:v>
                </c:pt>
                <c:pt idx="668">
                  <c:v>9-Apr-19</c:v>
                </c:pt>
                <c:pt idx="669">
                  <c:v>16-Apr-19</c:v>
                </c:pt>
                <c:pt idx="670">
                  <c:v>23-Apr-19</c:v>
                </c:pt>
                <c:pt idx="671">
                  <c:v>30-Apr-19</c:v>
                </c:pt>
                <c:pt idx="672">
                  <c:v>7-May-19</c:v>
                </c:pt>
                <c:pt idx="673">
                  <c:v>14-May-19</c:v>
                </c:pt>
                <c:pt idx="674">
                  <c:v>21-May-19</c:v>
                </c:pt>
                <c:pt idx="675">
                  <c:v>28-May-19</c:v>
                </c:pt>
                <c:pt idx="676">
                  <c:v>4-Jun-19</c:v>
                </c:pt>
                <c:pt idx="677">
                  <c:v>11-Jun-19</c:v>
                </c:pt>
                <c:pt idx="678">
                  <c:v>18-Jun-19</c:v>
                </c:pt>
                <c:pt idx="679">
                  <c:v>25-Jun-19</c:v>
                </c:pt>
                <c:pt idx="680">
                  <c:v>2-Jul-19</c:v>
                </c:pt>
                <c:pt idx="681">
                  <c:v>9-Jul-19</c:v>
                </c:pt>
                <c:pt idx="682">
                  <c:v>16-Jul-19</c:v>
                </c:pt>
                <c:pt idx="683">
                  <c:v>23-Jul-19</c:v>
                </c:pt>
                <c:pt idx="684">
                  <c:v>30-Jul-19</c:v>
                </c:pt>
                <c:pt idx="685">
                  <c:v>6-Aug-19</c:v>
                </c:pt>
                <c:pt idx="686">
                  <c:v>13-Aug-19</c:v>
                </c:pt>
                <c:pt idx="687">
                  <c:v>20-Aug-19</c:v>
                </c:pt>
                <c:pt idx="688">
                  <c:v>27-Aug-19</c:v>
                </c:pt>
                <c:pt idx="689">
                  <c:v>3-Sep-19</c:v>
                </c:pt>
                <c:pt idx="690">
                  <c:v>10-Sep-19</c:v>
                </c:pt>
                <c:pt idx="691">
                  <c:v>17-Sep-19</c:v>
                </c:pt>
                <c:pt idx="692">
                  <c:v>24-Sep-19</c:v>
                </c:pt>
                <c:pt idx="693">
                  <c:v>1-Oct-19</c:v>
                </c:pt>
                <c:pt idx="694">
                  <c:v>8-Oct-19</c:v>
                </c:pt>
                <c:pt idx="695">
                  <c:v>15-Oct-19</c:v>
                </c:pt>
                <c:pt idx="696">
                  <c:v>22-Oct-19</c:v>
                </c:pt>
                <c:pt idx="697">
                  <c:v>29-Oct-19</c:v>
                </c:pt>
                <c:pt idx="698">
                  <c:v>5-Nov-19</c:v>
                </c:pt>
                <c:pt idx="699">
                  <c:v>12-Nov-19</c:v>
                </c:pt>
                <c:pt idx="700">
                  <c:v>19-Nov-19</c:v>
                </c:pt>
                <c:pt idx="701">
                  <c:v>26-Nov-19</c:v>
                </c:pt>
                <c:pt idx="702">
                  <c:v>3-Dec-19</c:v>
                </c:pt>
                <c:pt idx="703">
                  <c:v>10-Dec-19</c:v>
                </c:pt>
                <c:pt idx="704">
                  <c:v>17-Dec-19</c:v>
                </c:pt>
                <c:pt idx="705">
                  <c:v>24-Dec-19</c:v>
                </c:pt>
                <c:pt idx="706">
                  <c:v>31-Dec-19</c:v>
                </c:pt>
                <c:pt idx="707">
                  <c:v>7-Jan-20</c:v>
                </c:pt>
                <c:pt idx="708">
                  <c:v>14-Jan-20</c:v>
                </c:pt>
                <c:pt idx="709">
                  <c:v>21-Jan-20</c:v>
                </c:pt>
                <c:pt idx="710">
                  <c:v>28-Jan-20</c:v>
                </c:pt>
                <c:pt idx="711">
                  <c:v>4-Feb-20</c:v>
                </c:pt>
                <c:pt idx="712">
                  <c:v>11-Feb-20</c:v>
                </c:pt>
                <c:pt idx="713">
                  <c:v>18-Feb-20</c:v>
                </c:pt>
                <c:pt idx="714">
                  <c:v>25-Feb-20</c:v>
                </c:pt>
                <c:pt idx="715">
                  <c:v>3-Mar-20</c:v>
                </c:pt>
                <c:pt idx="716">
                  <c:v>10-Mar-20</c:v>
                </c:pt>
                <c:pt idx="717">
                  <c:v>17-Mar-20</c:v>
                </c:pt>
                <c:pt idx="718">
                  <c:v>24-Mar-20</c:v>
                </c:pt>
                <c:pt idx="719">
                  <c:v>31-Mar-20</c:v>
                </c:pt>
                <c:pt idx="720">
                  <c:v>7-Apr-20</c:v>
                </c:pt>
                <c:pt idx="721">
                  <c:v>14-Apr-20</c:v>
                </c:pt>
                <c:pt idx="722">
                  <c:v>21-Apr-20</c:v>
                </c:pt>
                <c:pt idx="723">
                  <c:v>28-Apr-20</c:v>
                </c:pt>
                <c:pt idx="724">
                  <c:v>5-May-20</c:v>
                </c:pt>
                <c:pt idx="725">
                  <c:v>12-May-20</c:v>
                </c:pt>
                <c:pt idx="726">
                  <c:v>19-May-20</c:v>
                </c:pt>
                <c:pt idx="727">
                  <c:v>26-May-20</c:v>
                </c:pt>
                <c:pt idx="728">
                  <c:v>2-Jun-20</c:v>
                </c:pt>
                <c:pt idx="729">
                  <c:v>9-Jun-20</c:v>
                </c:pt>
                <c:pt idx="730">
                  <c:v>16-Jun-20</c:v>
                </c:pt>
                <c:pt idx="731">
                  <c:v>23-Jun-20</c:v>
                </c:pt>
                <c:pt idx="732">
                  <c:v>30-Jun-20</c:v>
                </c:pt>
                <c:pt idx="733">
                  <c:v>7-Jul-20</c:v>
                </c:pt>
                <c:pt idx="734">
                  <c:v>14-Jul-20</c:v>
                </c:pt>
                <c:pt idx="735">
                  <c:v>21-Jul-20</c:v>
                </c:pt>
                <c:pt idx="736">
                  <c:v>28-Jul-20</c:v>
                </c:pt>
                <c:pt idx="737">
                  <c:v>4-Aug-20</c:v>
                </c:pt>
                <c:pt idx="738">
                  <c:v>11-Aug-20</c:v>
                </c:pt>
                <c:pt idx="739">
                  <c:v>18-Aug-20</c:v>
                </c:pt>
                <c:pt idx="740">
                  <c:v>25-Aug-20</c:v>
                </c:pt>
                <c:pt idx="741">
                  <c:v>1-Sep-20</c:v>
                </c:pt>
                <c:pt idx="742">
                  <c:v>8-Sep-20</c:v>
                </c:pt>
                <c:pt idx="743">
                  <c:v>15-Sep-20</c:v>
                </c:pt>
                <c:pt idx="744">
                  <c:v>22-Sep-20</c:v>
                </c:pt>
                <c:pt idx="745">
                  <c:v>29-Sep-20</c:v>
                </c:pt>
                <c:pt idx="746">
                  <c:v>6-Oct-20</c:v>
                </c:pt>
                <c:pt idx="747">
                  <c:v>13-Oct-20</c:v>
                </c:pt>
                <c:pt idx="748">
                  <c:v>20-Oct-20</c:v>
                </c:pt>
                <c:pt idx="749">
                  <c:v>27-Oct-20</c:v>
                </c:pt>
                <c:pt idx="750">
                  <c:v>3-Nov-20</c:v>
                </c:pt>
                <c:pt idx="751">
                  <c:v>10-Nov-20</c:v>
                </c:pt>
                <c:pt idx="752">
                  <c:v>17-Nov-20</c:v>
                </c:pt>
                <c:pt idx="753">
                  <c:v>24-Nov-20</c:v>
                </c:pt>
                <c:pt idx="754">
                  <c:v>1-Dec-20</c:v>
                </c:pt>
                <c:pt idx="755">
                  <c:v>8-Dec-20</c:v>
                </c:pt>
                <c:pt idx="756">
                  <c:v>15-Dec-20</c:v>
                </c:pt>
                <c:pt idx="757">
                  <c:v>22-Dec-20</c:v>
                </c:pt>
                <c:pt idx="758">
                  <c:v>29-Dec-20</c:v>
                </c:pt>
                <c:pt idx="759">
                  <c:v>5-Jan-21</c:v>
                </c:pt>
                <c:pt idx="760">
                  <c:v>12-Jan-21</c:v>
                </c:pt>
                <c:pt idx="761">
                  <c:v>19-Jan-21</c:v>
                </c:pt>
                <c:pt idx="762">
                  <c:v>26-Jan-21</c:v>
                </c:pt>
                <c:pt idx="763">
                  <c:v>2-Feb-21</c:v>
                </c:pt>
                <c:pt idx="764">
                  <c:v>9-Feb-21</c:v>
                </c:pt>
                <c:pt idx="765">
                  <c:v>16-Feb-21</c:v>
                </c:pt>
                <c:pt idx="766">
                  <c:v>23-Feb-21</c:v>
                </c:pt>
                <c:pt idx="767">
                  <c:v>2-Mar-21</c:v>
                </c:pt>
                <c:pt idx="768">
                  <c:v>9-Mar-21</c:v>
                </c:pt>
                <c:pt idx="769">
                  <c:v>16-Mar-21</c:v>
                </c:pt>
                <c:pt idx="770">
                  <c:v>23-Mar-21</c:v>
                </c:pt>
                <c:pt idx="771">
                  <c:v>30-Mar-21</c:v>
                </c:pt>
                <c:pt idx="772">
                  <c:v>6-Apr-21</c:v>
                </c:pt>
                <c:pt idx="773">
                  <c:v>13-Apr-21</c:v>
                </c:pt>
                <c:pt idx="774">
                  <c:v>20-Apr-21</c:v>
                </c:pt>
                <c:pt idx="775">
                  <c:v>27-Apr-21</c:v>
                </c:pt>
                <c:pt idx="776">
                  <c:v>4-May-21</c:v>
                </c:pt>
                <c:pt idx="777">
                  <c:v>11-May-21</c:v>
                </c:pt>
                <c:pt idx="778">
                  <c:v>18-May-21</c:v>
                </c:pt>
                <c:pt idx="779">
                  <c:v>25-May-21</c:v>
                </c:pt>
                <c:pt idx="780">
                  <c:v>1-Jun-21</c:v>
                </c:pt>
                <c:pt idx="781">
                  <c:v>8-Jun-21</c:v>
                </c:pt>
                <c:pt idx="782">
                  <c:v>15-Jun-21</c:v>
                </c:pt>
                <c:pt idx="783">
                  <c:v>22-Jun-21</c:v>
                </c:pt>
                <c:pt idx="784">
                  <c:v>29-Jun-21</c:v>
                </c:pt>
                <c:pt idx="785">
                  <c:v>6-Jul-21</c:v>
                </c:pt>
                <c:pt idx="786">
                  <c:v>13-Jul-21</c:v>
                </c:pt>
                <c:pt idx="787">
                  <c:v>20-Jul-21</c:v>
                </c:pt>
                <c:pt idx="788">
                  <c:v>27-Jul-21</c:v>
                </c:pt>
                <c:pt idx="789">
                  <c:v>3-Aug-21</c:v>
                </c:pt>
                <c:pt idx="790">
                  <c:v>10-Aug-21</c:v>
                </c:pt>
                <c:pt idx="791">
                  <c:v>17-Aug-21</c:v>
                </c:pt>
                <c:pt idx="792">
                  <c:v>24-Aug-21</c:v>
                </c:pt>
                <c:pt idx="793">
                  <c:v>31-Aug-21</c:v>
                </c:pt>
                <c:pt idx="794">
                  <c:v>7-Sep-21</c:v>
                </c:pt>
                <c:pt idx="795">
                  <c:v>14-Sep-21</c:v>
                </c:pt>
                <c:pt idx="796">
                  <c:v>21-Sep-21</c:v>
                </c:pt>
                <c:pt idx="797">
                  <c:v>28-Sep-21</c:v>
                </c:pt>
                <c:pt idx="798">
                  <c:v>5-Oct-21</c:v>
                </c:pt>
                <c:pt idx="799">
                  <c:v>12-Oct-21</c:v>
                </c:pt>
                <c:pt idx="800">
                  <c:v>19-Oct-21</c:v>
                </c:pt>
                <c:pt idx="801">
                  <c:v>26-Oct-21</c:v>
                </c:pt>
                <c:pt idx="802">
                  <c:v>2-Nov-21</c:v>
                </c:pt>
                <c:pt idx="803">
                  <c:v>9-Nov-21</c:v>
                </c:pt>
                <c:pt idx="804">
                  <c:v>16-Nov-21</c:v>
                </c:pt>
                <c:pt idx="805">
                  <c:v>23-Nov-21</c:v>
                </c:pt>
                <c:pt idx="806">
                  <c:v>30-Nov-21</c:v>
                </c:pt>
                <c:pt idx="807">
                  <c:v>7-Dec-21</c:v>
                </c:pt>
                <c:pt idx="808">
                  <c:v>14-Dec-21</c:v>
                </c:pt>
                <c:pt idx="809">
                  <c:v>21-Dec-21</c:v>
                </c:pt>
                <c:pt idx="810">
                  <c:v>28-Dec-21</c:v>
                </c:pt>
                <c:pt idx="811">
                  <c:v>4-Jan-22</c:v>
                </c:pt>
                <c:pt idx="812">
                  <c:v>11-Jan-22</c:v>
                </c:pt>
                <c:pt idx="813">
                  <c:v>18-Jan-22</c:v>
                </c:pt>
                <c:pt idx="814">
                  <c:v>25-Jan-22</c:v>
                </c:pt>
                <c:pt idx="815">
                  <c:v>1-Feb-22</c:v>
                </c:pt>
                <c:pt idx="816">
                  <c:v>8-Feb-22</c:v>
                </c:pt>
                <c:pt idx="817">
                  <c:v>15-Feb-22</c:v>
                </c:pt>
                <c:pt idx="818">
                  <c:v>22-Feb-22</c:v>
                </c:pt>
                <c:pt idx="819">
                  <c:v>1-Mar-22</c:v>
                </c:pt>
                <c:pt idx="820">
                  <c:v>8-Mar-22</c:v>
                </c:pt>
                <c:pt idx="821">
                  <c:v>15-Mar-22</c:v>
                </c:pt>
                <c:pt idx="822">
                  <c:v>22-Mar-22</c:v>
                </c:pt>
                <c:pt idx="823">
                  <c:v>29-Mar-22</c:v>
                </c:pt>
                <c:pt idx="824">
                  <c:v>5-Apr-22</c:v>
                </c:pt>
                <c:pt idx="825">
                  <c:v>12-Apr-22</c:v>
                </c:pt>
                <c:pt idx="826">
                  <c:v>19-Apr-22</c:v>
                </c:pt>
                <c:pt idx="827">
                  <c:v>26-Apr-22</c:v>
                </c:pt>
                <c:pt idx="828">
                  <c:v>3-May-22</c:v>
                </c:pt>
                <c:pt idx="829">
                  <c:v>10-May-22</c:v>
                </c:pt>
                <c:pt idx="830">
                  <c:v>17-May-22</c:v>
                </c:pt>
                <c:pt idx="831">
                  <c:v>24-May-22</c:v>
                </c:pt>
                <c:pt idx="832">
                  <c:v>31-May-22</c:v>
                </c:pt>
                <c:pt idx="833">
                  <c:v>7-Jun-22</c:v>
                </c:pt>
                <c:pt idx="834">
                  <c:v>14-Jun-22</c:v>
                </c:pt>
                <c:pt idx="835">
                  <c:v>21-Jun-22</c:v>
                </c:pt>
                <c:pt idx="836">
                  <c:v>28-Jun-22</c:v>
                </c:pt>
                <c:pt idx="837">
                  <c:v>5-Jul-22</c:v>
                </c:pt>
                <c:pt idx="838">
                  <c:v>12-Jul-22</c:v>
                </c:pt>
                <c:pt idx="839">
                  <c:v>19-Jul-22</c:v>
                </c:pt>
                <c:pt idx="840">
                  <c:v>26-Jul-22</c:v>
                </c:pt>
                <c:pt idx="841">
                  <c:v>2-Aug-22</c:v>
                </c:pt>
                <c:pt idx="842">
                  <c:v>9-Aug-22</c:v>
                </c:pt>
                <c:pt idx="843">
                  <c:v>16-Aug-22</c:v>
                </c:pt>
                <c:pt idx="844">
                  <c:v>23-Aug-22</c:v>
                </c:pt>
                <c:pt idx="845">
                  <c:v>30-Aug-22</c:v>
                </c:pt>
                <c:pt idx="846">
                  <c:v>6-Sep-22</c:v>
                </c:pt>
                <c:pt idx="847">
                  <c:v>13-Sep-22</c:v>
                </c:pt>
                <c:pt idx="848">
                  <c:v>20-Sep-22</c:v>
                </c:pt>
                <c:pt idx="849">
                  <c:v>27-Sep-22</c:v>
                </c:pt>
                <c:pt idx="850">
                  <c:v>4-Oct-22</c:v>
                </c:pt>
                <c:pt idx="851">
                  <c:v>11-Oct-22</c:v>
                </c:pt>
                <c:pt idx="852">
                  <c:v>18-Oct-22</c:v>
                </c:pt>
                <c:pt idx="853">
                  <c:v>25-Oct-22</c:v>
                </c:pt>
                <c:pt idx="854">
                  <c:v>1-Nov-22</c:v>
                </c:pt>
                <c:pt idx="855">
                  <c:v>8-Nov-22</c:v>
                </c:pt>
                <c:pt idx="856">
                  <c:v>15-Nov-22</c:v>
                </c:pt>
                <c:pt idx="857">
                  <c:v>22-Nov-22</c:v>
                </c:pt>
                <c:pt idx="858">
                  <c:v>29-Nov-22</c:v>
                </c:pt>
                <c:pt idx="859">
                  <c:v>6-Dec-22</c:v>
                </c:pt>
                <c:pt idx="860">
                  <c:v>13-Dec-22</c:v>
                </c:pt>
                <c:pt idx="861">
                  <c:v>20-Dec-22</c:v>
                </c:pt>
                <c:pt idx="862">
                  <c:v>27-Dec-22</c:v>
                </c:pt>
                <c:pt idx="863">
                  <c:v>3-Jan-23</c:v>
                </c:pt>
                <c:pt idx="864">
                  <c:v>10-Jan-23</c:v>
                </c:pt>
                <c:pt idx="865">
                  <c:v>17-Jan-23</c:v>
                </c:pt>
                <c:pt idx="866">
                  <c:v>24-Jan-23</c:v>
                </c:pt>
                <c:pt idx="867">
                  <c:v>31-Jan-23</c:v>
                </c:pt>
                <c:pt idx="868">
                  <c:v>7-Feb-23</c:v>
                </c:pt>
                <c:pt idx="869">
                  <c:v>14-Feb-23</c:v>
                </c:pt>
                <c:pt idx="870">
                  <c:v>21-Feb-23</c:v>
                </c:pt>
                <c:pt idx="871">
                  <c:v>28-Feb-23</c:v>
                </c:pt>
                <c:pt idx="872">
                  <c:v>7-Mar-23</c:v>
                </c:pt>
                <c:pt idx="873">
                  <c:v>14-Mar-23</c:v>
                </c:pt>
                <c:pt idx="874">
                  <c:v>21-Mar-23</c:v>
                </c:pt>
                <c:pt idx="875">
                  <c:v>28-Mar-23</c:v>
                </c:pt>
                <c:pt idx="876">
                  <c:v>4-Apr-23</c:v>
                </c:pt>
                <c:pt idx="877">
                  <c:v>11-Apr-23</c:v>
                </c:pt>
                <c:pt idx="878">
                  <c:v>18-Apr-23</c:v>
                </c:pt>
                <c:pt idx="879">
                  <c:v>25-Apr-23</c:v>
                </c:pt>
                <c:pt idx="880">
                  <c:v>2-May-23</c:v>
                </c:pt>
                <c:pt idx="881">
                  <c:v>9-May-23</c:v>
                </c:pt>
                <c:pt idx="882">
                  <c:v>16-May-23</c:v>
                </c:pt>
                <c:pt idx="883">
                  <c:v>23-May-23</c:v>
                </c:pt>
                <c:pt idx="884">
                  <c:v>30-May-23</c:v>
                </c:pt>
                <c:pt idx="885">
                  <c:v>6-Jun-23</c:v>
                </c:pt>
                <c:pt idx="886">
                  <c:v>13-Jun-23</c:v>
                </c:pt>
                <c:pt idx="887">
                  <c:v>20-Jun-23</c:v>
                </c:pt>
                <c:pt idx="888">
                  <c:v>27-Jun-23</c:v>
                </c:pt>
                <c:pt idx="889">
                  <c:v>4-Jul-23</c:v>
                </c:pt>
                <c:pt idx="890">
                  <c:v>11-Jul-23</c:v>
                </c:pt>
                <c:pt idx="891">
                  <c:v>18-Jul-23</c:v>
                </c:pt>
                <c:pt idx="892">
                  <c:v>25-Jul-23</c:v>
                </c:pt>
                <c:pt idx="893">
                  <c:v>1-Aug-23</c:v>
                </c:pt>
                <c:pt idx="894">
                  <c:v>8-Aug-23</c:v>
                </c:pt>
                <c:pt idx="895">
                  <c:v>15-Aug-23</c:v>
                </c:pt>
                <c:pt idx="896">
                  <c:v>22-Aug-23</c:v>
                </c:pt>
                <c:pt idx="897">
                  <c:v>29-Aug-23</c:v>
                </c:pt>
                <c:pt idx="898">
                  <c:v>5-Sep-23</c:v>
                </c:pt>
                <c:pt idx="899">
                  <c:v>12-Sep-23</c:v>
                </c:pt>
                <c:pt idx="900">
                  <c:v>19-Sep-23</c:v>
                </c:pt>
                <c:pt idx="901">
                  <c:v>26-Sep-23</c:v>
                </c:pt>
                <c:pt idx="902">
                  <c:v>3-Oct-23</c:v>
                </c:pt>
                <c:pt idx="903">
                  <c:v>10-Oct-23</c:v>
                </c:pt>
                <c:pt idx="904">
                  <c:v>17-Oct-23</c:v>
                </c:pt>
                <c:pt idx="905">
                  <c:v>24-Oct-23</c:v>
                </c:pt>
                <c:pt idx="906">
                  <c:v>31-Oct-23</c:v>
                </c:pt>
                <c:pt idx="907">
                  <c:v>7-Nov-23</c:v>
                </c:pt>
                <c:pt idx="908">
                  <c:v>14-Nov-23</c:v>
                </c:pt>
                <c:pt idx="909">
                  <c:v>21-Nov-23</c:v>
                </c:pt>
                <c:pt idx="910">
                  <c:v>28-Nov-23</c:v>
                </c:pt>
                <c:pt idx="911">
                  <c:v>5-Dec-23</c:v>
                </c:pt>
                <c:pt idx="912">
                  <c:v>12-Dec-23</c:v>
                </c:pt>
                <c:pt idx="913">
                  <c:v>19-Dec-23</c:v>
                </c:pt>
                <c:pt idx="914">
                  <c:v>26-Dec-23</c:v>
                </c:pt>
                <c:pt idx="915">
                  <c:v>2-Jan-24</c:v>
                </c:pt>
                <c:pt idx="916">
                  <c:v>9-Jan-24</c:v>
                </c:pt>
                <c:pt idx="917">
                  <c:v>16-Jan-24</c:v>
                </c:pt>
                <c:pt idx="918">
                  <c:v>23-Jan-24</c:v>
                </c:pt>
                <c:pt idx="919">
                  <c:v>30-Jan-24</c:v>
                </c:pt>
                <c:pt idx="920">
                  <c:v>6-Feb-24</c:v>
                </c:pt>
                <c:pt idx="921">
                  <c:v>13-Feb-24</c:v>
                </c:pt>
                <c:pt idx="922">
                  <c:v>20-Feb-24</c:v>
                </c:pt>
                <c:pt idx="923">
                  <c:v>27-Feb-24</c:v>
                </c:pt>
                <c:pt idx="924">
                  <c:v>5-Mar-24</c:v>
                </c:pt>
                <c:pt idx="925">
                  <c:v>12-Mar-24</c:v>
                </c:pt>
                <c:pt idx="926">
                  <c:v>19-Mar-24</c:v>
                </c:pt>
                <c:pt idx="927">
                  <c:v>26-Mar-24</c:v>
                </c:pt>
                <c:pt idx="928">
                  <c:v>2-Apr-24</c:v>
                </c:pt>
                <c:pt idx="929">
                  <c:v>9-Apr-24</c:v>
                </c:pt>
                <c:pt idx="930">
                  <c:v>16-Apr-24</c:v>
                </c:pt>
                <c:pt idx="931">
                  <c:v>23-Apr-24</c:v>
                </c:pt>
                <c:pt idx="932">
                  <c:v>30-Apr-24</c:v>
                </c:pt>
                <c:pt idx="933">
                  <c:v>7-May-24</c:v>
                </c:pt>
                <c:pt idx="934">
                  <c:v>14-May-24</c:v>
                </c:pt>
                <c:pt idx="935">
                  <c:v>21-May-24</c:v>
                </c:pt>
                <c:pt idx="936">
                  <c:v>28-May-24</c:v>
                </c:pt>
                <c:pt idx="937">
                  <c:v>4-Jun-24</c:v>
                </c:pt>
                <c:pt idx="938">
                  <c:v>11-Jun-24</c:v>
                </c:pt>
                <c:pt idx="939">
                  <c:v>18-Jun-24</c:v>
                </c:pt>
                <c:pt idx="940">
                  <c:v>25-Jun-24</c:v>
                </c:pt>
                <c:pt idx="941">
                  <c:v>2-Jul-24</c:v>
                </c:pt>
                <c:pt idx="942">
                  <c:v>9-Jul-24</c:v>
                </c:pt>
                <c:pt idx="943">
                  <c:v>16-Jul-24</c:v>
                </c:pt>
                <c:pt idx="944">
                  <c:v>23-Jul-24</c:v>
                </c:pt>
                <c:pt idx="945">
                  <c:v>30-Jul-24</c:v>
                </c:pt>
                <c:pt idx="946">
                  <c:v>6-Aug-24</c:v>
                </c:pt>
                <c:pt idx="947">
                  <c:v>13-Aug-24</c:v>
                </c:pt>
                <c:pt idx="948">
                  <c:v>20-Aug-24</c:v>
                </c:pt>
                <c:pt idx="949">
                  <c:v>27-Aug-24</c:v>
                </c:pt>
                <c:pt idx="950">
                  <c:v>3-Sep-24</c:v>
                </c:pt>
                <c:pt idx="951">
                  <c:v>10-Sep-24</c:v>
                </c:pt>
                <c:pt idx="952">
                  <c:v>17-Sep-24</c:v>
                </c:pt>
                <c:pt idx="953">
                  <c:v>24-Sep-24</c:v>
                </c:pt>
                <c:pt idx="954">
                  <c:v>1-Oct-24</c:v>
                </c:pt>
                <c:pt idx="955">
                  <c:v>8-Oct-24</c:v>
                </c:pt>
                <c:pt idx="956">
                  <c:v>15-Oct-24</c:v>
                </c:pt>
                <c:pt idx="957">
                  <c:v>22-Oct-24</c:v>
                </c:pt>
                <c:pt idx="958">
                  <c:v>29-Oct-24</c:v>
                </c:pt>
                <c:pt idx="959">
                  <c:v>5-Nov-24</c:v>
                </c:pt>
                <c:pt idx="960">
                  <c:v>12-Nov-24</c:v>
                </c:pt>
                <c:pt idx="961">
                  <c:v>19-Nov-24</c:v>
                </c:pt>
                <c:pt idx="962">
                  <c:v>26-Nov-24</c:v>
                </c:pt>
                <c:pt idx="963">
                  <c:v>3-Dec-24</c:v>
                </c:pt>
                <c:pt idx="964">
                  <c:v>10-Dec-24</c:v>
                </c:pt>
                <c:pt idx="997">
                  <c:v>USE THE CONTINUOUS NEARBY CONTRACT FOR THE CHART DATA. </c:v>
                </c:pt>
              </c:strCache>
            </c:strRef>
          </c:cat>
          <c:val>
            <c:numRef>
              <c:f>Data!$AI$3:$AI$1000</c:f>
              <c:numCache>
                <c:formatCode>#,##0_);[Red]\(#,##0\)</c:formatCode>
                <c:ptCount val="998"/>
                <c:pt idx="0">
                  <c:v>-4680</c:v>
                </c:pt>
                <c:pt idx="1">
                  <c:v>-958</c:v>
                </c:pt>
                <c:pt idx="2">
                  <c:v>16375</c:v>
                </c:pt>
                <c:pt idx="3">
                  <c:v>10180</c:v>
                </c:pt>
                <c:pt idx="4">
                  <c:v>7312</c:v>
                </c:pt>
                <c:pt idx="5">
                  <c:v>15762</c:v>
                </c:pt>
                <c:pt idx="6">
                  <c:v>17899</c:v>
                </c:pt>
                <c:pt idx="7">
                  <c:v>27779</c:v>
                </c:pt>
                <c:pt idx="8">
                  <c:v>31048</c:v>
                </c:pt>
                <c:pt idx="9">
                  <c:v>30816</c:v>
                </c:pt>
                <c:pt idx="10">
                  <c:v>33255</c:v>
                </c:pt>
                <c:pt idx="11">
                  <c:v>35823</c:v>
                </c:pt>
                <c:pt idx="12">
                  <c:v>30109</c:v>
                </c:pt>
                <c:pt idx="13">
                  <c:v>39357</c:v>
                </c:pt>
                <c:pt idx="14">
                  <c:v>26042</c:v>
                </c:pt>
                <c:pt idx="15">
                  <c:v>22643</c:v>
                </c:pt>
                <c:pt idx="16">
                  <c:v>20886</c:v>
                </c:pt>
                <c:pt idx="17">
                  <c:v>11974</c:v>
                </c:pt>
                <c:pt idx="18">
                  <c:v>-13802</c:v>
                </c:pt>
                <c:pt idx="19">
                  <c:v>-22827</c:v>
                </c:pt>
                <c:pt idx="20">
                  <c:v>-41624</c:v>
                </c:pt>
                <c:pt idx="21">
                  <c:v>-52131</c:v>
                </c:pt>
                <c:pt idx="22">
                  <c:v>-54129</c:v>
                </c:pt>
                <c:pt idx="23">
                  <c:v>-50907</c:v>
                </c:pt>
                <c:pt idx="24">
                  <c:v>-50263</c:v>
                </c:pt>
                <c:pt idx="25">
                  <c:v>-30313</c:v>
                </c:pt>
                <c:pt idx="26">
                  <c:v>-30830</c:v>
                </c:pt>
                <c:pt idx="27">
                  <c:v>-23853</c:v>
                </c:pt>
                <c:pt idx="28">
                  <c:v>-26462</c:v>
                </c:pt>
                <c:pt idx="29">
                  <c:v>-19005</c:v>
                </c:pt>
                <c:pt idx="30">
                  <c:v>-34010</c:v>
                </c:pt>
                <c:pt idx="31">
                  <c:v>-47155</c:v>
                </c:pt>
                <c:pt idx="32">
                  <c:v>-52045</c:v>
                </c:pt>
                <c:pt idx="33">
                  <c:v>-59459</c:v>
                </c:pt>
                <c:pt idx="34">
                  <c:v>-77057</c:v>
                </c:pt>
                <c:pt idx="35">
                  <c:v>-84632</c:v>
                </c:pt>
                <c:pt idx="36">
                  <c:v>-69300</c:v>
                </c:pt>
                <c:pt idx="37">
                  <c:v>-55173</c:v>
                </c:pt>
                <c:pt idx="38">
                  <c:v>-60124</c:v>
                </c:pt>
                <c:pt idx="39">
                  <c:v>-56925</c:v>
                </c:pt>
                <c:pt idx="40">
                  <c:v>-50690</c:v>
                </c:pt>
                <c:pt idx="41">
                  <c:v>-47125</c:v>
                </c:pt>
                <c:pt idx="42">
                  <c:v>-39063</c:v>
                </c:pt>
                <c:pt idx="43">
                  <c:v>-32688</c:v>
                </c:pt>
                <c:pt idx="44">
                  <c:v>-28833</c:v>
                </c:pt>
                <c:pt idx="45">
                  <c:v>-28671</c:v>
                </c:pt>
                <c:pt idx="46">
                  <c:v>-25693</c:v>
                </c:pt>
                <c:pt idx="47">
                  <c:v>-33017</c:v>
                </c:pt>
                <c:pt idx="48">
                  <c:v>-41832</c:v>
                </c:pt>
                <c:pt idx="49">
                  <c:v>-48209</c:v>
                </c:pt>
                <c:pt idx="50">
                  <c:v>-58267</c:v>
                </c:pt>
                <c:pt idx="51">
                  <c:v>-66702</c:v>
                </c:pt>
                <c:pt idx="52">
                  <c:v>-66868</c:v>
                </c:pt>
                <c:pt idx="53">
                  <c:v>-62376</c:v>
                </c:pt>
                <c:pt idx="54">
                  <c:v>-64905</c:v>
                </c:pt>
                <c:pt idx="55">
                  <c:v>-76714</c:v>
                </c:pt>
                <c:pt idx="56">
                  <c:v>-74130</c:v>
                </c:pt>
                <c:pt idx="57">
                  <c:v>-59344</c:v>
                </c:pt>
                <c:pt idx="58">
                  <c:v>-51444</c:v>
                </c:pt>
                <c:pt idx="59">
                  <c:v>-60466</c:v>
                </c:pt>
                <c:pt idx="60">
                  <c:v>-65946</c:v>
                </c:pt>
                <c:pt idx="61">
                  <c:v>-57414</c:v>
                </c:pt>
                <c:pt idx="62">
                  <c:v>-65302</c:v>
                </c:pt>
                <c:pt idx="63">
                  <c:v>-75562</c:v>
                </c:pt>
                <c:pt idx="64">
                  <c:v>-80342</c:v>
                </c:pt>
                <c:pt idx="65">
                  <c:v>-86728</c:v>
                </c:pt>
                <c:pt idx="66">
                  <c:v>-85869</c:v>
                </c:pt>
                <c:pt idx="67">
                  <c:v>-79921</c:v>
                </c:pt>
                <c:pt idx="68">
                  <c:v>-76975</c:v>
                </c:pt>
                <c:pt idx="69">
                  <c:v>-83758</c:v>
                </c:pt>
                <c:pt idx="70">
                  <c:v>-86829</c:v>
                </c:pt>
                <c:pt idx="71">
                  <c:v>-90578</c:v>
                </c:pt>
                <c:pt idx="72">
                  <c:v>-95054</c:v>
                </c:pt>
                <c:pt idx="73">
                  <c:v>-93071</c:v>
                </c:pt>
                <c:pt idx="74">
                  <c:v>-94754</c:v>
                </c:pt>
                <c:pt idx="75">
                  <c:v>-91431</c:v>
                </c:pt>
                <c:pt idx="76">
                  <c:v>-101527</c:v>
                </c:pt>
                <c:pt idx="77">
                  <c:v>-107044</c:v>
                </c:pt>
                <c:pt idx="78">
                  <c:v>-104330</c:v>
                </c:pt>
                <c:pt idx="79">
                  <c:v>-100876</c:v>
                </c:pt>
                <c:pt idx="80">
                  <c:v>-89663</c:v>
                </c:pt>
                <c:pt idx="81">
                  <c:v>-88968</c:v>
                </c:pt>
                <c:pt idx="82">
                  <c:v>-83423</c:v>
                </c:pt>
                <c:pt idx="83">
                  <c:v>-68640</c:v>
                </c:pt>
                <c:pt idx="84">
                  <c:v>-60043</c:v>
                </c:pt>
                <c:pt idx="85">
                  <c:v>-64278</c:v>
                </c:pt>
                <c:pt idx="86">
                  <c:v>-66676</c:v>
                </c:pt>
                <c:pt idx="87">
                  <c:v>-68754</c:v>
                </c:pt>
                <c:pt idx="88">
                  <c:v>-76843</c:v>
                </c:pt>
                <c:pt idx="89">
                  <c:v>-76547</c:v>
                </c:pt>
                <c:pt idx="90">
                  <c:v>-55624</c:v>
                </c:pt>
                <c:pt idx="91">
                  <c:v>-43711</c:v>
                </c:pt>
                <c:pt idx="92">
                  <c:v>-38218</c:v>
                </c:pt>
                <c:pt idx="93">
                  <c:v>-46691</c:v>
                </c:pt>
                <c:pt idx="94">
                  <c:v>-49841</c:v>
                </c:pt>
                <c:pt idx="95">
                  <c:v>-58164</c:v>
                </c:pt>
                <c:pt idx="96">
                  <c:v>-57650</c:v>
                </c:pt>
                <c:pt idx="97">
                  <c:v>-48877</c:v>
                </c:pt>
                <c:pt idx="98">
                  <c:v>-47229</c:v>
                </c:pt>
                <c:pt idx="99">
                  <c:v>-53101</c:v>
                </c:pt>
                <c:pt idx="100">
                  <c:v>-49139</c:v>
                </c:pt>
                <c:pt idx="101">
                  <c:v>-50647</c:v>
                </c:pt>
                <c:pt idx="102">
                  <c:v>-54202</c:v>
                </c:pt>
                <c:pt idx="103">
                  <c:v>-66213</c:v>
                </c:pt>
                <c:pt idx="104">
                  <c:v>-81149</c:v>
                </c:pt>
                <c:pt idx="105">
                  <c:v>-82071</c:v>
                </c:pt>
                <c:pt idx="106">
                  <c:v>-85270</c:v>
                </c:pt>
                <c:pt idx="107">
                  <c:v>-76814</c:v>
                </c:pt>
                <c:pt idx="108">
                  <c:v>-75792</c:v>
                </c:pt>
                <c:pt idx="109">
                  <c:v>-57047</c:v>
                </c:pt>
                <c:pt idx="110">
                  <c:v>-54407</c:v>
                </c:pt>
                <c:pt idx="111">
                  <c:v>-52492</c:v>
                </c:pt>
                <c:pt idx="112">
                  <c:v>-47560</c:v>
                </c:pt>
                <c:pt idx="113">
                  <c:v>-46675</c:v>
                </c:pt>
                <c:pt idx="114">
                  <c:v>-50629</c:v>
                </c:pt>
                <c:pt idx="115">
                  <c:v>-49680</c:v>
                </c:pt>
                <c:pt idx="116">
                  <c:v>-40309</c:v>
                </c:pt>
                <c:pt idx="117">
                  <c:v>-34605</c:v>
                </c:pt>
                <c:pt idx="118">
                  <c:v>-35150</c:v>
                </c:pt>
                <c:pt idx="119">
                  <c:v>-25106</c:v>
                </c:pt>
                <c:pt idx="120">
                  <c:v>-20659</c:v>
                </c:pt>
                <c:pt idx="121">
                  <c:v>-13828</c:v>
                </c:pt>
                <c:pt idx="122">
                  <c:v>-14755</c:v>
                </c:pt>
                <c:pt idx="123">
                  <c:v>-17708</c:v>
                </c:pt>
                <c:pt idx="124">
                  <c:v>-17756</c:v>
                </c:pt>
                <c:pt idx="125">
                  <c:v>-16101</c:v>
                </c:pt>
                <c:pt idx="126">
                  <c:v>-14678</c:v>
                </c:pt>
                <c:pt idx="127">
                  <c:v>-13572</c:v>
                </c:pt>
                <c:pt idx="128">
                  <c:v>-5657</c:v>
                </c:pt>
                <c:pt idx="129">
                  <c:v>-3211</c:v>
                </c:pt>
                <c:pt idx="130">
                  <c:v>-6154</c:v>
                </c:pt>
                <c:pt idx="131">
                  <c:v>-10906</c:v>
                </c:pt>
                <c:pt idx="132">
                  <c:v>-16288</c:v>
                </c:pt>
                <c:pt idx="133">
                  <c:v>-19183</c:v>
                </c:pt>
                <c:pt idx="134">
                  <c:v>-22634</c:v>
                </c:pt>
                <c:pt idx="135">
                  <c:v>-24351</c:v>
                </c:pt>
                <c:pt idx="136">
                  <c:v>-28591</c:v>
                </c:pt>
                <c:pt idx="137">
                  <c:v>-25976</c:v>
                </c:pt>
                <c:pt idx="138">
                  <c:v>-29711</c:v>
                </c:pt>
                <c:pt idx="139">
                  <c:v>-16235</c:v>
                </c:pt>
                <c:pt idx="140">
                  <c:v>-10475</c:v>
                </c:pt>
                <c:pt idx="141">
                  <c:v>-6729</c:v>
                </c:pt>
                <c:pt idx="142">
                  <c:v>-9476</c:v>
                </c:pt>
                <c:pt idx="143">
                  <c:v>-17654</c:v>
                </c:pt>
                <c:pt idx="144">
                  <c:v>-29543</c:v>
                </c:pt>
                <c:pt idx="145">
                  <c:v>-31942</c:v>
                </c:pt>
                <c:pt idx="146">
                  <c:v>-31129</c:v>
                </c:pt>
                <c:pt idx="147">
                  <c:v>-38923</c:v>
                </c:pt>
                <c:pt idx="148">
                  <c:v>-50365</c:v>
                </c:pt>
                <c:pt idx="149">
                  <c:v>-43222</c:v>
                </c:pt>
                <c:pt idx="150">
                  <c:v>-57931</c:v>
                </c:pt>
                <c:pt idx="151">
                  <c:v>-56712</c:v>
                </c:pt>
                <c:pt idx="152">
                  <c:v>-68311</c:v>
                </c:pt>
                <c:pt idx="153">
                  <c:v>-73891</c:v>
                </c:pt>
                <c:pt idx="154">
                  <c:v>-78754</c:v>
                </c:pt>
                <c:pt idx="155">
                  <c:v>-77316</c:v>
                </c:pt>
                <c:pt idx="156">
                  <c:v>-73532</c:v>
                </c:pt>
                <c:pt idx="157">
                  <c:v>-60258</c:v>
                </c:pt>
                <c:pt idx="158">
                  <c:v>-57489</c:v>
                </c:pt>
                <c:pt idx="159">
                  <c:v>-43754</c:v>
                </c:pt>
                <c:pt idx="160">
                  <c:v>-36168</c:v>
                </c:pt>
                <c:pt idx="161">
                  <c:v>-31803</c:v>
                </c:pt>
                <c:pt idx="162">
                  <c:v>-38979</c:v>
                </c:pt>
                <c:pt idx="163">
                  <c:v>-51209</c:v>
                </c:pt>
                <c:pt idx="164">
                  <c:v>-53784</c:v>
                </c:pt>
                <c:pt idx="165">
                  <c:v>-47491</c:v>
                </c:pt>
                <c:pt idx="166">
                  <c:v>-50161</c:v>
                </c:pt>
                <c:pt idx="167">
                  <c:v>-47472</c:v>
                </c:pt>
                <c:pt idx="168">
                  <c:v>-36740</c:v>
                </c:pt>
                <c:pt idx="169">
                  <c:v>-41802</c:v>
                </c:pt>
                <c:pt idx="170">
                  <c:v>-31653</c:v>
                </c:pt>
                <c:pt idx="171">
                  <c:v>-31705</c:v>
                </c:pt>
                <c:pt idx="172">
                  <c:v>-28117</c:v>
                </c:pt>
                <c:pt idx="173">
                  <c:v>-41981</c:v>
                </c:pt>
                <c:pt idx="174">
                  <c:v>-42718</c:v>
                </c:pt>
                <c:pt idx="175">
                  <c:v>-36432</c:v>
                </c:pt>
                <c:pt idx="176">
                  <c:v>-48417</c:v>
                </c:pt>
                <c:pt idx="177">
                  <c:v>-40278</c:v>
                </c:pt>
                <c:pt idx="178">
                  <c:v>-45089</c:v>
                </c:pt>
                <c:pt idx="179">
                  <c:v>-54311</c:v>
                </c:pt>
                <c:pt idx="180">
                  <c:v>-58430</c:v>
                </c:pt>
                <c:pt idx="181">
                  <c:v>-53569</c:v>
                </c:pt>
                <c:pt idx="182">
                  <c:v>-57277</c:v>
                </c:pt>
                <c:pt idx="183">
                  <c:v>-40616</c:v>
                </c:pt>
                <c:pt idx="184">
                  <c:v>-43192</c:v>
                </c:pt>
                <c:pt idx="185">
                  <c:v>-49140</c:v>
                </c:pt>
                <c:pt idx="186">
                  <c:v>-39534</c:v>
                </c:pt>
                <c:pt idx="187">
                  <c:v>-40936</c:v>
                </c:pt>
                <c:pt idx="188">
                  <c:v>-40608</c:v>
                </c:pt>
                <c:pt idx="189">
                  <c:v>-32080</c:v>
                </c:pt>
                <c:pt idx="190">
                  <c:v>-22337</c:v>
                </c:pt>
                <c:pt idx="191">
                  <c:v>-29339</c:v>
                </c:pt>
                <c:pt idx="192">
                  <c:v>-35627</c:v>
                </c:pt>
                <c:pt idx="193">
                  <c:v>-29118</c:v>
                </c:pt>
                <c:pt idx="194">
                  <c:v>-9646</c:v>
                </c:pt>
                <c:pt idx="195">
                  <c:v>-8980</c:v>
                </c:pt>
                <c:pt idx="196">
                  <c:v>-18759</c:v>
                </c:pt>
                <c:pt idx="197">
                  <c:v>-28630</c:v>
                </c:pt>
                <c:pt idx="198">
                  <c:v>-20392</c:v>
                </c:pt>
                <c:pt idx="199">
                  <c:v>-22733</c:v>
                </c:pt>
                <c:pt idx="200">
                  <c:v>-34002</c:v>
                </c:pt>
                <c:pt idx="201">
                  <c:v>-49483</c:v>
                </c:pt>
                <c:pt idx="202">
                  <c:v>-52195</c:v>
                </c:pt>
                <c:pt idx="203">
                  <c:v>-44834</c:v>
                </c:pt>
                <c:pt idx="204">
                  <c:v>-39174</c:v>
                </c:pt>
                <c:pt idx="205">
                  <c:v>-36350</c:v>
                </c:pt>
                <c:pt idx="206">
                  <c:v>-35260</c:v>
                </c:pt>
                <c:pt idx="207">
                  <c:v>-44719</c:v>
                </c:pt>
                <c:pt idx="208">
                  <c:v>-60230</c:v>
                </c:pt>
                <c:pt idx="209">
                  <c:v>-65098</c:v>
                </c:pt>
                <c:pt idx="210">
                  <c:v>-65038</c:v>
                </c:pt>
                <c:pt idx="211">
                  <c:v>-60077</c:v>
                </c:pt>
                <c:pt idx="212">
                  <c:v>-75287</c:v>
                </c:pt>
                <c:pt idx="213">
                  <c:v>-77333</c:v>
                </c:pt>
                <c:pt idx="214">
                  <c:v>-75197</c:v>
                </c:pt>
                <c:pt idx="215">
                  <c:v>-80623</c:v>
                </c:pt>
                <c:pt idx="216">
                  <c:v>-85775</c:v>
                </c:pt>
                <c:pt idx="217">
                  <c:v>-88632</c:v>
                </c:pt>
                <c:pt idx="218">
                  <c:v>-85854</c:v>
                </c:pt>
                <c:pt idx="219">
                  <c:v>-87958</c:v>
                </c:pt>
                <c:pt idx="220">
                  <c:v>-94594</c:v>
                </c:pt>
                <c:pt idx="221">
                  <c:v>-84578</c:v>
                </c:pt>
                <c:pt idx="222">
                  <c:v>-84578</c:v>
                </c:pt>
                <c:pt idx="223">
                  <c:v>-86951</c:v>
                </c:pt>
                <c:pt idx="224">
                  <c:v>-62390</c:v>
                </c:pt>
                <c:pt idx="225">
                  <c:v>-68995</c:v>
                </c:pt>
                <c:pt idx="226">
                  <c:v>-71745</c:v>
                </c:pt>
                <c:pt idx="227">
                  <c:v>-73678</c:v>
                </c:pt>
                <c:pt idx="228">
                  <c:v>-72525</c:v>
                </c:pt>
                <c:pt idx="229">
                  <c:v>-77600</c:v>
                </c:pt>
                <c:pt idx="230">
                  <c:v>-59677</c:v>
                </c:pt>
                <c:pt idx="231">
                  <c:v>-61140</c:v>
                </c:pt>
                <c:pt idx="232">
                  <c:v>-57810</c:v>
                </c:pt>
                <c:pt idx="233">
                  <c:v>-61348</c:v>
                </c:pt>
                <c:pt idx="234">
                  <c:v>-60999</c:v>
                </c:pt>
                <c:pt idx="235">
                  <c:v>-66931</c:v>
                </c:pt>
                <c:pt idx="236">
                  <c:v>-65536</c:v>
                </c:pt>
                <c:pt idx="237">
                  <c:v>-69350</c:v>
                </c:pt>
                <c:pt idx="238">
                  <c:v>-68605</c:v>
                </c:pt>
                <c:pt idx="239">
                  <c:v>-69702</c:v>
                </c:pt>
                <c:pt idx="240">
                  <c:v>-64090</c:v>
                </c:pt>
                <c:pt idx="241">
                  <c:v>-76369</c:v>
                </c:pt>
                <c:pt idx="242">
                  <c:v>-73039</c:v>
                </c:pt>
                <c:pt idx="243">
                  <c:v>-57776</c:v>
                </c:pt>
                <c:pt idx="244">
                  <c:v>-42391</c:v>
                </c:pt>
                <c:pt idx="245">
                  <c:v>-37285</c:v>
                </c:pt>
                <c:pt idx="246">
                  <c:v>-37101</c:v>
                </c:pt>
                <c:pt idx="247">
                  <c:v>-29356</c:v>
                </c:pt>
                <c:pt idx="248">
                  <c:v>-46577</c:v>
                </c:pt>
                <c:pt idx="249">
                  <c:v>-45144</c:v>
                </c:pt>
                <c:pt idx="250">
                  <c:v>-40271</c:v>
                </c:pt>
                <c:pt idx="251">
                  <c:v>-27037</c:v>
                </c:pt>
                <c:pt idx="252">
                  <c:v>-20669</c:v>
                </c:pt>
                <c:pt idx="253">
                  <c:v>-36636</c:v>
                </c:pt>
                <c:pt idx="254">
                  <c:v>-34539</c:v>
                </c:pt>
                <c:pt idx="255">
                  <c:v>-31627</c:v>
                </c:pt>
                <c:pt idx="256">
                  <c:v>-29881</c:v>
                </c:pt>
                <c:pt idx="257">
                  <c:v>-45041</c:v>
                </c:pt>
                <c:pt idx="258">
                  <c:v>-39039</c:v>
                </c:pt>
                <c:pt idx="259">
                  <c:v>-59577</c:v>
                </c:pt>
                <c:pt idx="260">
                  <c:v>-56395</c:v>
                </c:pt>
                <c:pt idx="261">
                  <c:v>-38042</c:v>
                </c:pt>
                <c:pt idx="262">
                  <c:v>-11920</c:v>
                </c:pt>
                <c:pt idx="263">
                  <c:v>-7653</c:v>
                </c:pt>
                <c:pt idx="264">
                  <c:v>-15264</c:v>
                </c:pt>
                <c:pt idx="265">
                  <c:v>-37293</c:v>
                </c:pt>
                <c:pt idx="266">
                  <c:v>-49157</c:v>
                </c:pt>
                <c:pt idx="267">
                  <c:v>-43419</c:v>
                </c:pt>
                <c:pt idx="268">
                  <c:v>-30556</c:v>
                </c:pt>
                <c:pt idx="269">
                  <c:v>-26763</c:v>
                </c:pt>
                <c:pt idx="270">
                  <c:v>-49501</c:v>
                </c:pt>
                <c:pt idx="271">
                  <c:v>-67579</c:v>
                </c:pt>
                <c:pt idx="272">
                  <c:v>-75535</c:v>
                </c:pt>
                <c:pt idx="273">
                  <c:v>-67052</c:v>
                </c:pt>
                <c:pt idx="274">
                  <c:v>-35657</c:v>
                </c:pt>
                <c:pt idx="275">
                  <c:v>-7104</c:v>
                </c:pt>
                <c:pt idx="276">
                  <c:v>4573</c:v>
                </c:pt>
                <c:pt idx="277">
                  <c:v>9741</c:v>
                </c:pt>
                <c:pt idx="278">
                  <c:v>15393</c:v>
                </c:pt>
                <c:pt idx="279">
                  <c:v>12461</c:v>
                </c:pt>
                <c:pt idx="280">
                  <c:v>15861</c:v>
                </c:pt>
                <c:pt idx="281">
                  <c:v>15861</c:v>
                </c:pt>
                <c:pt idx="282">
                  <c:v>26846</c:v>
                </c:pt>
                <c:pt idx="283">
                  <c:v>33580</c:v>
                </c:pt>
                <c:pt idx="284">
                  <c:v>32260</c:v>
                </c:pt>
                <c:pt idx="285">
                  <c:v>35215</c:v>
                </c:pt>
                <c:pt idx="286">
                  <c:v>34922</c:v>
                </c:pt>
                <c:pt idx="287">
                  <c:v>27652</c:v>
                </c:pt>
                <c:pt idx="288">
                  <c:v>18101</c:v>
                </c:pt>
                <c:pt idx="289">
                  <c:v>16338</c:v>
                </c:pt>
                <c:pt idx="290">
                  <c:v>7195</c:v>
                </c:pt>
                <c:pt idx="291">
                  <c:v>16483</c:v>
                </c:pt>
                <c:pt idx="292">
                  <c:v>5871</c:v>
                </c:pt>
                <c:pt idx="293">
                  <c:v>5370</c:v>
                </c:pt>
                <c:pt idx="294">
                  <c:v>-6243</c:v>
                </c:pt>
                <c:pt idx="295">
                  <c:v>-9478</c:v>
                </c:pt>
                <c:pt idx="296">
                  <c:v>-23838</c:v>
                </c:pt>
                <c:pt idx="297">
                  <c:v>-44003</c:v>
                </c:pt>
                <c:pt idx="298">
                  <c:v>-69439</c:v>
                </c:pt>
                <c:pt idx="299">
                  <c:v>-87284</c:v>
                </c:pt>
                <c:pt idx="300">
                  <c:v>-95961</c:v>
                </c:pt>
                <c:pt idx="301">
                  <c:v>-100661</c:v>
                </c:pt>
                <c:pt idx="302">
                  <c:v>-113611</c:v>
                </c:pt>
                <c:pt idx="303">
                  <c:v>-113366</c:v>
                </c:pt>
                <c:pt idx="304">
                  <c:v>-121700</c:v>
                </c:pt>
                <c:pt idx="305">
                  <c:v>-128591</c:v>
                </c:pt>
                <c:pt idx="306">
                  <c:v>-122749</c:v>
                </c:pt>
                <c:pt idx="307">
                  <c:v>-119301</c:v>
                </c:pt>
                <c:pt idx="308">
                  <c:v>-113260</c:v>
                </c:pt>
                <c:pt idx="309">
                  <c:v>-106562</c:v>
                </c:pt>
                <c:pt idx="310">
                  <c:v>-104269</c:v>
                </c:pt>
                <c:pt idx="311">
                  <c:v>-92010</c:v>
                </c:pt>
                <c:pt idx="312">
                  <c:v>-102899</c:v>
                </c:pt>
                <c:pt idx="313">
                  <c:v>-110823</c:v>
                </c:pt>
                <c:pt idx="314">
                  <c:v>-111277</c:v>
                </c:pt>
                <c:pt idx="315">
                  <c:v>-106597</c:v>
                </c:pt>
                <c:pt idx="316">
                  <c:v>-110162</c:v>
                </c:pt>
                <c:pt idx="317">
                  <c:v>-106597</c:v>
                </c:pt>
                <c:pt idx="318">
                  <c:v>-97829</c:v>
                </c:pt>
                <c:pt idx="319">
                  <c:v>-91849</c:v>
                </c:pt>
                <c:pt idx="320">
                  <c:v>-90336</c:v>
                </c:pt>
                <c:pt idx="321">
                  <c:v>-100723</c:v>
                </c:pt>
                <c:pt idx="322">
                  <c:v>-109436</c:v>
                </c:pt>
                <c:pt idx="323">
                  <c:v>-100678</c:v>
                </c:pt>
                <c:pt idx="324">
                  <c:v>-102760</c:v>
                </c:pt>
                <c:pt idx="325">
                  <c:v>-92753</c:v>
                </c:pt>
                <c:pt idx="326">
                  <c:v>-87836</c:v>
                </c:pt>
                <c:pt idx="327">
                  <c:v>-71516</c:v>
                </c:pt>
                <c:pt idx="328">
                  <c:v>-66147</c:v>
                </c:pt>
                <c:pt idx="329">
                  <c:v>-67245</c:v>
                </c:pt>
                <c:pt idx="330">
                  <c:v>-72760</c:v>
                </c:pt>
                <c:pt idx="331">
                  <c:v>-73208</c:v>
                </c:pt>
                <c:pt idx="332">
                  <c:v>-80610</c:v>
                </c:pt>
                <c:pt idx="333">
                  <c:v>-78228</c:v>
                </c:pt>
                <c:pt idx="334">
                  <c:v>-57383</c:v>
                </c:pt>
                <c:pt idx="335">
                  <c:v>-54604</c:v>
                </c:pt>
                <c:pt idx="336">
                  <c:v>-50349</c:v>
                </c:pt>
                <c:pt idx="337">
                  <c:v>-53846</c:v>
                </c:pt>
                <c:pt idx="338">
                  <c:v>-66465</c:v>
                </c:pt>
                <c:pt idx="339">
                  <c:v>-74766</c:v>
                </c:pt>
                <c:pt idx="340">
                  <c:v>-67945</c:v>
                </c:pt>
                <c:pt idx="341">
                  <c:v>-58849</c:v>
                </c:pt>
                <c:pt idx="342">
                  <c:v>-54185</c:v>
                </c:pt>
                <c:pt idx="343">
                  <c:v>-45816</c:v>
                </c:pt>
                <c:pt idx="344">
                  <c:v>-54974</c:v>
                </c:pt>
                <c:pt idx="345">
                  <c:v>-55402</c:v>
                </c:pt>
                <c:pt idx="346">
                  <c:v>-64889</c:v>
                </c:pt>
                <c:pt idx="347">
                  <c:v>-68164</c:v>
                </c:pt>
                <c:pt idx="348">
                  <c:v>-64896</c:v>
                </c:pt>
                <c:pt idx="349">
                  <c:v>-66627</c:v>
                </c:pt>
                <c:pt idx="350">
                  <c:v>-75319</c:v>
                </c:pt>
                <c:pt idx="351">
                  <c:v>-82479</c:v>
                </c:pt>
                <c:pt idx="352">
                  <c:v>-66236</c:v>
                </c:pt>
                <c:pt idx="353">
                  <c:v>-58314</c:v>
                </c:pt>
                <c:pt idx="354">
                  <c:v>-37132</c:v>
                </c:pt>
                <c:pt idx="355">
                  <c:v>-21720</c:v>
                </c:pt>
                <c:pt idx="356">
                  <c:v>-29867</c:v>
                </c:pt>
                <c:pt idx="357">
                  <c:v>-35738</c:v>
                </c:pt>
                <c:pt idx="358">
                  <c:v>-47536</c:v>
                </c:pt>
                <c:pt idx="359">
                  <c:v>-47169</c:v>
                </c:pt>
                <c:pt idx="360">
                  <c:v>-61368</c:v>
                </c:pt>
                <c:pt idx="361">
                  <c:v>-77336</c:v>
                </c:pt>
                <c:pt idx="362">
                  <c:v>-80452</c:v>
                </c:pt>
                <c:pt idx="363">
                  <c:v>-84237</c:v>
                </c:pt>
                <c:pt idx="364">
                  <c:v>-95837</c:v>
                </c:pt>
                <c:pt idx="365">
                  <c:v>-86407</c:v>
                </c:pt>
                <c:pt idx="366">
                  <c:v>-78537</c:v>
                </c:pt>
                <c:pt idx="367">
                  <c:v>-72862</c:v>
                </c:pt>
                <c:pt idx="368">
                  <c:v>-72546</c:v>
                </c:pt>
                <c:pt idx="369">
                  <c:v>-75912</c:v>
                </c:pt>
                <c:pt idx="370">
                  <c:v>-64721</c:v>
                </c:pt>
                <c:pt idx="371">
                  <c:v>-46369</c:v>
                </c:pt>
                <c:pt idx="372">
                  <c:v>-33857</c:v>
                </c:pt>
                <c:pt idx="373">
                  <c:v>-41615</c:v>
                </c:pt>
                <c:pt idx="374">
                  <c:v>-69215</c:v>
                </c:pt>
                <c:pt idx="375">
                  <c:v>-84132</c:v>
                </c:pt>
                <c:pt idx="376">
                  <c:v>-86970</c:v>
                </c:pt>
                <c:pt idx="377">
                  <c:v>-87563</c:v>
                </c:pt>
                <c:pt idx="378">
                  <c:v>-78344</c:v>
                </c:pt>
                <c:pt idx="379">
                  <c:v>-73123</c:v>
                </c:pt>
                <c:pt idx="380">
                  <c:v>-61647</c:v>
                </c:pt>
                <c:pt idx="381">
                  <c:v>-63940</c:v>
                </c:pt>
                <c:pt idx="382">
                  <c:v>-61467</c:v>
                </c:pt>
                <c:pt idx="383">
                  <c:v>-68660</c:v>
                </c:pt>
                <c:pt idx="384">
                  <c:v>-71649</c:v>
                </c:pt>
                <c:pt idx="385">
                  <c:v>-49008</c:v>
                </c:pt>
                <c:pt idx="386">
                  <c:v>-64648</c:v>
                </c:pt>
                <c:pt idx="387">
                  <c:v>-61204</c:v>
                </c:pt>
                <c:pt idx="388">
                  <c:v>-73021</c:v>
                </c:pt>
                <c:pt idx="389">
                  <c:v>-78117</c:v>
                </c:pt>
                <c:pt idx="390">
                  <c:v>-81118</c:v>
                </c:pt>
                <c:pt idx="391">
                  <c:v>-81655</c:v>
                </c:pt>
                <c:pt idx="392">
                  <c:v>-74754</c:v>
                </c:pt>
                <c:pt idx="393">
                  <c:v>-68292</c:v>
                </c:pt>
                <c:pt idx="394">
                  <c:v>-60314</c:v>
                </c:pt>
                <c:pt idx="395">
                  <c:v>-70654</c:v>
                </c:pt>
                <c:pt idx="396">
                  <c:v>-67053</c:v>
                </c:pt>
                <c:pt idx="397">
                  <c:v>-68612</c:v>
                </c:pt>
                <c:pt idx="398">
                  <c:v>-80448</c:v>
                </c:pt>
                <c:pt idx="399">
                  <c:v>-80664</c:v>
                </c:pt>
                <c:pt idx="400">
                  <c:v>-87532</c:v>
                </c:pt>
                <c:pt idx="401">
                  <c:v>-86215</c:v>
                </c:pt>
                <c:pt idx="402">
                  <c:v>-83276</c:v>
                </c:pt>
                <c:pt idx="403">
                  <c:v>-80096</c:v>
                </c:pt>
                <c:pt idx="404">
                  <c:v>-82405</c:v>
                </c:pt>
                <c:pt idx="405">
                  <c:v>-82106</c:v>
                </c:pt>
                <c:pt idx="406">
                  <c:v>-84212</c:v>
                </c:pt>
                <c:pt idx="407">
                  <c:v>-83546</c:v>
                </c:pt>
                <c:pt idx="408">
                  <c:v>-90894</c:v>
                </c:pt>
                <c:pt idx="409">
                  <c:v>-83430</c:v>
                </c:pt>
                <c:pt idx="410">
                  <c:v>-88458</c:v>
                </c:pt>
                <c:pt idx="411">
                  <c:v>-76894</c:v>
                </c:pt>
                <c:pt idx="412">
                  <c:v>-85287</c:v>
                </c:pt>
                <c:pt idx="413">
                  <c:v>-89895</c:v>
                </c:pt>
                <c:pt idx="414">
                  <c:v>-90700</c:v>
                </c:pt>
                <c:pt idx="415">
                  <c:v>-89123</c:v>
                </c:pt>
                <c:pt idx="416">
                  <c:v>-82671</c:v>
                </c:pt>
                <c:pt idx="417">
                  <c:v>-70149</c:v>
                </c:pt>
                <c:pt idx="418">
                  <c:v>-57391</c:v>
                </c:pt>
                <c:pt idx="419">
                  <c:v>-45542</c:v>
                </c:pt>
                <c:pt idx="420">
                  <c:v>-38595</c:v>
                </c:pt>
                <c:pt idx="421">
                  <c:v>-40282</c:v>
                </c:pt>
                <c:pt idx="422">
                  <c:v>-42830</c:v>
                </c:pt>
                <c:pt idx="423">
                  <c:v>-46884</c:v>
                </c:pt>
                <c:pt idx="424">
                  <c:v>-49631</c:v>
                </c:pt>
                <c:pt idx="425">
                  <c:v>-61108</c:v>
                </c:pt>
                <c:pt idx="426">
                  <c:v>-72954</c:v>
                </c:pt>
                <c:pt idx="427">
                  <c:v>-57187</c:v>
                </c:pt>
                <c:pt idx="428">
                  <c:v>-76036</c:v>
                </c:pt>
                <c:pt idx="429">
                  <c:v>-61168</c:v>
                </c:pt>
                <c:pt idx="430">
                  <c:v>-47849</c:v>
                </c:pt>
                <c:pt idx="431">
                  <c:v>-42220</c:v>
                </c:pt>
                <c:pt idx="432">
                  <c:v>-41497</c:v>
                </c:pt>
                <c:pt idx="433">
                  <c:v>-49836</c:v>
                </c:pt>
                <c:pt idx="434">
                  <c:v>-58791</c:v>
                </c:pt>
                <c:pt idx="435">
                  <c:v>-64817</c:v>
                </c:pt>
                <c:pt idx="436">
                  <c:v>-85653</c:v>
                </c:pt>
                <c:pt idx="437">
                  <c:v>-103938</c:v>
                </c:pt>
                <c:pt idx="438">
                  <c:v>-111535</c:v>
                </c:pt>
                <c:pt idx="439">
                  <c:v>-97197</c:v>
                </c:pt>
                <c:pt idx="440">
                  <c:v>-98995</c:v>
                </c:pt>
                <c:pt idx="441">
                  <c:v>-90477</c:v>
                </c:pt>
                <c:pt idx="442">
                  <c:v>-88839</c:v>
                </c:pt>
                <c:pt idx="443">
                  <c:v>-80116</c:v>
                </c:pt>
                <c:pt idx="444">
                  <c:v>-86207</c:v>
                </c:pt>
                <c:pt idx="445">
                  <c:v>-92019</c:v>
                </c:pt>
                <c:pt idx="446">
                  <c:v>-85647</c:v>
                </c:pt>
                <c:pt idx="447">
                  <c:v>-65315</c:v>
                </c:pt>
                <c:pt idx="448">
                  <c:v>-51617</c:v>
                </c:pt>
                <c:pt idx="449">
                  <c:v>-61781</c:v>
                </c:pt>
                <c:pt idx="450">
                  <c:v>-63816</c:v>
                </c:pt>
                <c:pt idx="451">
                  <c:v>-44914</c:v>
                </c:pt>
                <c:pt idx="452">
                  <c:v>-60254</c:v>
                </c:pt>
                <c:pt idx="453">
                  <c:v>-70534</c:v>
                </c:pt>
                <c:pt idx="454">
                  <c:v>-58007</c:v>
                </c:pt>
                <c:pt idx="455">
                  <c:v>-65679</c:v>
                </c:pt>
                <c:pt idx="456">
                  <c:v>-41751</c:v>
                </c:pt>
                <c:pt idx="457">
                  <c:v>-43404</c:v>
                </c:pt>
                <c:pt idx="458">
                  <c:v>-52684</c:v>
                </c:pt>
                <c:pt idx="459">
                  <c:v>-36560</c:v>
                </c:pt>
                <c:pt idx="460">
                  <c:v>-11291</c:v>
                </c:pt>
                <c:pt idx="461">
                  <c:v>-19985</c:v>
                </c:pt>
                <c:pt idx="462">
                  <c:v>-31939</c:v>
                </c:pt>
                <c:pt idx="463">
                  <c:v>-29389</c:v>
                </c:pt>
                <c:pt idx="464">
                  <c:v>-14469</c:v>
                </c:pt>
                <c:pt idx="465">
                  <c:v>-15116</c:v>
                </c:pt>
                <c:pt idx="466">
                  <c:v>-14118</c:v>
                </c:pt>
                <c:pt idx="467">
                  <c:v>-16644</c:v>
                </c:pt>
                <c:pt idx="468">
                  <c:v>-33304</c:v>
                </c:pt>
                <c:pt idx="469">
                  <c:v>-50439</c:v>
                </c:pt>
                <c:pt idx="470">
                  <c:v>-70618</c:v>
                </c:pt>
                <c:pt idx="471">
                  <c:v>-85397</c:v>
                </c:pt>
                <c:pt idx="472">
                  <c:v>-95622</c:v>
                </c:pt>
                <c:pt idx="473">
                  <c:v>-109232</c:v>
                </c:pt>
                <c:pt idx="474">
                  <c:v>-121137</c:v>
                </c:pt>
                <c:pt idx="475">
                  <c:v>-108899</c:v>
                </c:pt>
                <c:pt idx="476">
                  <c:v>-111964</c:v>
                </c:pt>
                <c:pt idx="477">
                  <c:v>-111558</c:v>
                </c:pt>
                <c:pt idx="478">
                  <c:v>-91124</c:v>
                </c:pt>
                <c:pt idx="479">
                  <c:v>-96496</c:v>
                </c:pt>
                <c:pt idx="480">
                  <c:v>-81956</c:v>
                </c:pt>
                <c:pt idx="481">
                  <c:v>-82664</c:v>
                </c:pt>
                <c:pt idx="482">
                  <c:v>-96839</c:v>
                </c:pt>
                <c:pt idx="483">
                  <c:v>-76445</c:v>
                </c:pt>
                <c:pt idx="484">
                  <c:v>-75456</c:v>
                </c:pt>
                <c:pt idx="485">
                  <c:v>-77233</c:v>
                </c:pt>
                <c:pt idx="486">
                  <c:v>-96842</c:v>
                </c:pt>
                <c:pt idx="487">
                  <c:v>-91773</c:v>
                </c:pt>
                <c:pt idx="488">
                  <c:v>-68626</c:v>
                </c:pt>
                <c:pt idx="489">
                  <c:v>-53446</c:v>
                </c:pt>
                <c:pt idx="490">
                  <c:v>-38555</c:v>
                </c:pt>
                <c:pt idx="491">
                  <c:v>-17115</c:v>
                </c:pt>
                <c:pt idx="492">
                  <c:v>1976</c:v>
                </c:pt>
                <c:pt idx="493">
                  <c:v>326</c:v>
                </c:pt>
                <c:pt idx="494">
                  <c:v>9604</c:v>
                </c:pt>
                <c:pt idx="495">
                  <c:v>18188</c:v>
                </c:pt>
                <c:pt idx="496">
                  <c:v>16794</c:v>
                </c:pt>
                <c:pt idx="497">
                  <c:v>29301</c:v>
                </c:pt>
                <c:pt idx="498">
                  <c:v>39199</c:v>
                </c:pt>
                <c:pt idx="499">
                  <c:v>35835</c:v>
                </c:pt>
                <c:pt idx="500">
                  <c:v>41968</c:v>
                </c:pt>
                <c:pt idx="501">
                  <c:v>31312</c:v>
                </c:pt>
                <c:pt idx="502">
                  <c:v>26058</c:v>
                </c:pt>
                <c:pt idx="503">
                  <c:v>46689</c:v>
                </c:pt>
                <c:pt idx="504">
                  <c:v>43384</c:v>
                </c:pt>
                <c:pt idx="505">
                  <c:v>52153</c:v>
                </c:pt>
                <c:pt idx="506">
                  <c:v>58767</c:v>
                </c:pt>
                <c:pt idx="507">
                  <c:v>28375</c:v>
                </c:pt>
                <c:pt idx="508">
                  <c:v>29018</c:v>
                </c:pt>
                <c:pt idx="509">
                  <c:v>20453</c:v>
                </c:pt>
                <c:pt idx="510">
                  <c:v>7678</c:v>
                </c:pt>
                <c:pt idx="511">
                  <c:v>21213</c:v>
                </c:pt>
                <c:pt idx="512">
                  <c:v>-1804</c:v>
                </c:pt>
                <c:pt idx="513">
                  <c:v>-34453</c:v>
                </c:pt>
                <c:pt idx="514">
                  <c:v>-63235</c:v>
                </c:pt>
                <c:pt idx="515">
                  <c:v>-76355</c:v>
                </c:pt>
                <c:pt idx="516">
                  <c:v>-97223</c:v>
                </c:pt>
                <c:pt idx="517">
                  <c:v>-108961</c:v>
                </c:pt>
                <c:pt idx="518">
                  <c:v>-107756</c:v>
                </c:pt>
                <c:pt idx="519">
                  <c:v>-113481</c:v>
                </c:pt>
                <c:pt idx="520">
                  <c:v>-114872</c:v>
                </c:pt>
                <c:pt idx="521">
                  <c:v>-112989</c:v>
                </c:pt>
                <c:pt idx="522">
                  <c:v>-109826</c:v>
                </c:pt>
                <c:pt idx="523">
                  <c:v>-103331</c:v>
                </c:pt>
                <c:pt idx="524">
                  <c:v>-98031</c:v>
                </c:pt>
                <c:pt idx="525">
                  <c:v>-101205</c:v>
                </c:pt>
                <c:pt idx="526">
                  <c:v>-94405</c:v>
                </c:pt>
                <c:pt idx="527">
                  <c:v>-94195</c:v>
                </c:pt>
                <c:pt idx="528">
                  <c:v>-85325</c:v>
                </c:pt>
                <c:pt idx="529">
                  <c:v>-85758</c:v>
                </c:pt>
                <c:pt idx="530">
                  <c:v>-82901</c:v>
                </c:pt>
                <c:pt idx="531">
                  <c:v>-84643</c:v>
                </c:pt>
                <c:pt idx="532">
                  <c:v>-73001</c:v>
                </c:pt>
                <c:pt idx="533">
                  <c:v>-63157</c:v>
                </c:pt>
                <c:pt idx="534">
                  <c:v>-62914</c:v>
                </c:pt>
                <c:pt idx="535">
                  <c:v>-64369</c:v>
                </c:pt>
                <c:pt idx="536">
                  <c:v>-37352</c:v>
                </c:pt>
                <c:pt idx="537">
                  <c:v>-44222</c:v>
                </c:pt>
                <c:pt idx="538">
                  <c:v>-33048</c:v>
                </c:pt>
                <c:pt idx="539">
                  <c:v>-31774</c:v>
                </c:pt>
                <c:pt idx="540">
                  <c:v>-38220</c:v>
                </c:pt>
                <c:pt idx="541">
                  <c:v>-46072</c:v>
                </c:pt>
                <c:pt idx="542">
                  <c:v>-43433</c:v>
                </c:pt>
                <c:pt idx="543">
                  <c:v>-34801</c:v>
                </c:pt>
                <c:pt idx="544">
                  <c:v>-46588</c:v>
                </c:pt>
                <c:pt idx="545">
                  <c:v>-53987</c:v>
                </c:pt>
                <c:pt idx="546">
                  <c:v>-61156</c:v>
                </c:pt>
                <c:pt idx="547">
                  <c:v>-52663</c:v>
                </c:pt>
                <c:pt idx="548">
                  <c:v>-44729</c:v>
                </c:pt>
                <c:pt idx="549">
                  <c:v>-49278</c:v>
                </c:pt>
                <c:pt idx="550">
                  <c:v>-46005</c:v>
                </c:pt>
                <c:pt idx="551">
                  <c:v>-52800</c:v>
                </c:pt>
                <c:pt idx="552">
                  <c:v>-96067</c:v>
                </c:pt>
                <c:pt idx="553">
                  <c:v>-116046</c:v>
                </c:pt>
                <c:pt idx="554">
                  <c:v>-111529</c:v>
                </c:pt>
                <c:pt idx="555">
                  <c:v>-107410</c:v>
                </c:pt>
                <c:pt idx="556">
                  <c:v>-111296</c:v>
                </c:pt>
                <c:pt idx="557">
                  <c:v>-116121</c:v>
                </c:pt>
                <c:pt idx="558">
                  <c:v>-108478</c:v>
                </c:pt>
                <c:pt idx="559">
                  <c:v>-101178</c:v>
                </c:pt>
                <c:pt idx="560">
                  <c:v>-97421</c:v>
                </c:pt>
                <c:pt idx="561">
                  <c:v>-94385</c:v>
                </c:pt>
                <c:pt idx="562">
                  <c:v>-59403</c:v>
                </c:pt>
                <c:pt idx="563">
                  <c:v>-47083</c:v>
                </c:pt>
                <c:pt idx="564">
                  <c:v>-38853</c:v>
                </c:pt>
                <c:pt idx="565">
                  <c:v>-33812</c:v>
                </c:pt>
                <c:pt idx="566">
                  <c:v>-31727</c:v>
                </c:pt>
                <c:pt idx="567">
                  <c:v>-21519</c:v>
                </c:pt>
                <c:pt idx="568">
                  <c:v>-29400</c:v>
                </c:pt>
                <c:pt idx="569">
                  <c:v>-18663</c:v>
                </c:pt>
                <c:pt idx="570">
                  <c:v>7681</c:v>
                </c:pt>
                <c:pt idx="571">
                  <c:v>21406</c:v>
                </c:pt>
                <c:pt idx="572">
                  <c:v>18699</c:v>
                </c:pt>
                <c:pt idx="573">
                  <c:v>13304</c:v>
                </c:pt>
                <c:pt idx="574">
                  <c:v>11967</c:v>
                </c:pt>
                <c:pt idx="575">
                  <c:v>35094</c:v>
                </c:pt>
                <c:pt idx="576">
                  <c:v>22771</c:v>
                </c:pt>
                <c:pt idx="577">
                  <c:v>-18081</c:v>
                </c:pt>
                <c:pt idx="578">
                  <c:v>-24757</c:v>
                </c:pt>
                <c:pt idx="579">
                  <c:v>-23962</c:v>
                </c:pt>
                <c:pt idx="580">
                  <c:v>-17133</c:v>
                </c:pt>
                <c:pt idx="581">
                  <c:v>-11766</c:v>
                </c:pt>
                <c:pt idx="582">
                  <c:v>-727</c:v>
                </c:pt>
                <c:pt idx="583">
                  <c:v>8281</c:v>
                </c:pt>
                <c:pt idx="584">
                  <c:v>8582</c:v>
                </c:pt>
                <c:pt idx="585">
                  <c:v>3475</c:v>
                </c:pt>
                <c:pt idx="586">
                  <c:v>1529</c:v>
                </c:pt>
                <c:pt idx="587">
                  <c:v>-15860</c:v>
                </c:pt>
                <c:pt idx="588">
                  <c:v>-29996</c:v>
                </c:pt>
                <c:pt idx="589">
                  <c:v>-34183</c:v>
                </c:pt>
                <c:pt idx="590">
                  <c:v>-45553</c:v>
                </c:pt>
                <c:pt idx="591">
                  <c:v>-57441</c:v>
                </c:pt>
                <c:pt idx="592">
                  <c:v>-49684</c:v>
                </c:pt>
                <c:pt idx="593">
                  <c:v>-41421</c:v>
                </c:pt>
                <c:pt idx="594">
                  <c:v>-42514</c:v>
                </c:pt>
                <c:pt idx="595">
                  <c:v>-42426</c:v>
                </c:pt>
                <c:pt idx="596">
                  <c:v>-56202</c:v>
                </c:pt>
                <c:pt idx="597">
                  <c:v>-81556</c:v>
                </c:pt>
                <c:pt idx="598">
                  <c:v>-113774</c:v>
                </c:pt>
                <c:pt idx="599">
                  <c:v>-118284</c:v>
                </c:pt>
                <c:pt idx="600">
                  <c:v>-95622</c:v>
                </c:pt>
                <c:pt idx="601">
                  <c:v>-74936</c:v>
                </c:pt>
                <c:pt idx="602">
                  <c:v>-63345</c:v>
                </c:pt>
                <c:pt idx="603">
                  <c:v>-65285</c:v>
                </c:pt>
                <c:pt idx="604">
                  <c:v>-49042</c:v>
                </c:pt>
                <c:pt idx="605">
                  <c:v>-76835</c:v>
                </c:pt>
                <c:pt idx="606">
                  <c:v>-97066</c:v>
                </c:pt>
                <c:pt idx="607">
                  <c:v>-99777</c:v>
                </c:pt>
                <c:pt idx="608">
                  <c:v>-129932</c:v>
                </c:pt>
                <c:pt idx="609">
                  <c:v>-149454</c:v>
                </c:pt>
                <c:pt idx="610">
                  <c:v>-166985</c:v>
                </c:pt>
                <c:pt idx="611">
                  <c:v>-168817</c:v>
                </c:pt>
                <c:pt idx="612">
                  <c:v>-162898</c:v>
                </c:pt>
                <c:pt idx="613">
                  <c:v>-150440</c:v>
                </c:pt>
                <c:pt idx="614">
                  <c:v>-154727</c:v>
                </c:pt>
                <c:pt idx="615">
                  <c:v>-154071</c:v>
                </c:pt>
                <c:pt idx="616">
                  <c:v>-164801</c:v>
                </c:pt>
                <c:pt idx="617">
                  <c:v>-161768</c:v>
                </c:pt>
                <c:pt idx="618">
                  <c:v>-149849</c:v>
                </c:pt>
                <c:pt idx="619">
                  <c:v>-185399</c:v>
                </c:pt>
                <c:pt idx="620">
                  <c:v>-179557</c:v>
                </c:pt>
                <c:pt idx="621">
                  <c:v>-168216</c:v>
                </c:pt>
                <c:pt idx="622">
                  <c:v>-162406</c:v>
                </c:pt>
                <c:pt idx="623">
                  <c:v>-164070</c:v>
                </c:pt>
                <c:pt idx="624">
                  <c:v>-145271</c:v>
                </c:pt>
                <c:pt idx="625">
                  <c:v>-131405</c:v>
                </c:pt>
                <c:pt idx="626">
                  <c:v>-128917</c:v>
                </c:pt>
                <c:pt idx="627">
                  <c:v>-108388</c:v>
                </c:pt>
                <c:pt idx="628">
                  <c:v>-103539</c:v>
                </c:pt>
                <c:pt idx="629">
                  <c:v>-100168</c:v>
                </c:pt>
                <c:pt idx="630">
                  <c:v>-104843</c:v>
                </c:pt>
                <c:pt idx="631">
                  <c:v>-99677</c:v>
                </c:pt>
                <c:pt idx="632">
                  <c:v>-106531</c:v>
                </c:pt>
                <c:pt idx="633">
                  <c:v>-97912</c:v>
                </c:pt>
                <c:pt idx="634">
                  <c:v>-110606</c:v>
                </c:pt>
                <c:pt idx="635">
                  <c:v>-105553</c:v>
                </c:pt>
                <c:pt idx="636">
                  <c:v>-67058</c:v>
                </c:pt>
                <c:pt idx="637">
                  <c:v>-62549</c:v>
                </c:pt>
                <c:pt idx="638">
                  <c:v>-73303</c:v>
                </c:pt>
                <c:pt idx="639">
                  <c:v>-58209</c:v>
                </c:pt>
                <c:pt idx="640">
                  <c:v>-62693</c:v>
                </c:pt>
                <c:pt idx="641">
                  <c:v>-69961</c:v>
                </c:pt>
                <c:pt idx="642">
                  <c:v>-84831</c:v>
                </c:pt>
                <c:pt idx="643">
                  <c:v>-90906</c:v>
                </c:pt>
                <c:pt idx="644">
                  <c:v>-82279</c:v>
                </c:pt>
                <c:pt idx="645">
                  <c:v>-67538</c:v>
                </c:pt>
                <c:pt idx="646">
                  <c:v>-68863</c:v>
                </c:pt>
                <c:pt idx="647">
                  <c:v>-49668</c:v>
                </c:pt>
                <c:pt idx="648">
                  <c:v>-49785</c:v>
                </c:pt>
                <c:pt idx="649">
                  <c:v>-38468</c:v>
                </c:pt>
                <c:pt idx="650">
                  <c:v>-42805</c:v>
                </c:pt>
                <c:pt idx="651">
                  <c:v>-34169</c:v>
                </c:pt>
                <c:pt idx="652">
                  <c:v>-38319</c:v>
                </c:pt>
                <c:pt idx="653">
                  <c:v>-41040</c:v>
                </c:pt>
                <c:pt idx="654">
                  <c:v>-47324</c:v>
                </c:pt>
                <c:pt idx="655">
                  <c:v>-76510</c:v>
                </c:pt>
                <c:pt idx="656">
                  <c:v>-58831</c:v>
                </c:pt>
                <c:pt idx="657">
                  <c:v>-57288</c:v>
                </c:pt>
                <c:pt idx="658">
                  <c:v>-49629</c:v>
                </c:pt>
                <c:pt idx="659">
                  <c:v>-37390</c:v>
                </c:pt>
                <c:pt idx="660">
                  <c:v>-18882</c:v>
                </c:pt>
                <c:pt idx="661">
                  <c:v>-1206</c:v>
                </c:pt>
                <c:pt idx="662">
                  <c:v>13604</c:v>
                </c:pt>
                <c:pt idx="663">
                  <c:v>5018</c:v>
                </c:pt>
                <c:pt idx="664">
                  <c:v>9403</c:v>
                </c:pt>
                <c:pt idx="665">
                  <c:v>-9664</c:v>
                </c:pt>
                <c:pt idx="666">
                  <c:v>-29546</c:v>
                </c:pt>
                <c:pt idx="667">
                  <c:v>-16652</c:v>
                </c:pt>
                <c:pt idx="668">
                  <c:v>-23217</c:v>
                </c:pt>
                <c:pt idx="669">
                  <c:v>-20039</c:v>
                </c:pt>
                <c:pt idx="670">
                  <c:v>-15751</c:v>
                </c:pt>
                <c:pt idx="671">
                  <c:v>-19022</c:v>
                </c:pt>
                <c:pt idx="672">
                  <c:v>3582</c:v>
                </c:pt>
                <c:pt idx="673">
                  <c:v>6204</c:v>
                </c:pt>
                <c:pt idx="674">
                  <c:v>-3046</c:v>
                </c:pt>
                <c:pt idx="675">
                  <c:v>-24016</c:v>
                </c:pt>
                <c:pt idx="676">
                  <c:v>-46238</c:v>
                </c:pt>
                <c:pt idx="677">
                  <c:v>-43561</c:v>
                </c:pt>
                <c:pt idx="678">
                  <c:v>-39975</c:v>
                </c:pt>
                <c:pt idx="679">
                  <c:v>-37404</c:v>
                </c:pt>
                <c:pt idx="680">
                  <c:v>-22856</c:v>
                </c:pt>
                <c:pt idx="681">
                  <c:v>-16717</c:v>
                </c:pt>
                <c:pt idx="682">
                  <c:v>-13384</c:v>
                </c:pt>
                <c:pt idx="683">
                  <c:v>-8814</c:v>
                </c:pt>
                <c:pt idx="684">
                  <c:v>-880</c:v>
                </c:pt>
                <c:pt idx="685">
                  <c:v>2142</c:v>
                </c:pt>
                <c:pt idx="686">
                  <c:v>-4241</c:v>
                </c:pt>
                <c:pt idx="687">
                  <c:v>-3456</c:v>
                </c:pt>
                <c:pt idx="688">
                  <c:v>-2367</c:v>
                </c:pt>
                <c:pt idx="689">
                  <c:v>8254</c:v>
                </c:pt>
                <c:pt idx="690">
                  <c:v>7617</c:v>
                </c:pt>
                <c:pt idx="691">
                  <c:v>13287</c:v>
                </c:pt>
                <c:pt idx="692">
                  <c:v>4443</c:v>
                </c:pt>
                <c:pt idx="693">
                  <c:v>-9585</c:v>
                </c:pt>
                <c:pt idx="694">
                  <c:v>-9972</c:v>
                </c:pt>
                <c:pt idx="695">
                  <c:v>6081</c:v>
                </c:pt>
                <c:pt idx="696">
                  <c:v>-13555</c:v>
                </c:pt>
                <c:pt idx="697">
                  <c:v>-9028</c:v>
                </c:pt>
                <c:pt idx="698">
                  <c:v>-719</c:v>
                </c:pt>
                <c:pt idx="699">
                  <c:v>-17036</c:v>
                </c:pt>
                <c:pt idx="700">
                  <c:v>-23290</c:v>
                </c:pt>
                <c:pt idx="701">
                  <c:v>-5237</c:v>
                </c:pt>
                <c:pt idx="702">
                  <c:v>5891</c:v>
                </c:pt>
                <c:pt idx="703">
                  <c:v>-7217</c:v>
                </c:pt>
                <c:pt idx="704">
                  <c:v>-10688</c:v>
                </c:pt>
                <c:pt idx="705">
                  <c:v>-14250</c:v>
                </c:pt>
                <c:pt idx="706">
                  <c:v>-13181</c:v>
                </c:pt>
                <c:pt idx="707">
                  <c:v>-9039</c:v>
                </c:pt>
                <c:pt idx="708">
                  <c:v>-5160</c:v>
                </c:pt>
                <c:pt idx="709">
                  <c:v>-1400</c:v>
                </c:pt>
                <c:pt idx="710">
                  <c:v>705</c:v>
                </c:pt>
                <c:pt idx="711">
                  <c:v>23309</c:v>
                </c:pt>
                <c:pt idx="712">
                  <c:v>27167</c:v>
                </c:pt>
                <c:pt idx="713">
                  <c:v>31176</c:v>
                </c:pt>
                <c:pt idx="714">
                  <c:v>39533</c:v>
                </c:pt>
                <c:pt idx="715">
                  <c:v>-17883</c:v>
                </c:pt>
                <c:pt idx="716">
                  <c:v>-31251</c:v>
                </c:pt>
                <c:pt idx="717">
                  <c:v>-46243</c:v>
                </c:pt>
                <c:pt idx="718">
                  <c:v>-70224</c:v>
                </c:pt>
                <c:pt idx="719">
                  <c:v>-79832</c:v>
                </c:pt>
                <c:pt idx="720">
                  <c:v>-59838</c:v>
                </c:pt>
                <c:pt idx="721">
                  <c:v>-30467</c:v>
                </c:pt>
                <c:pt idx="722">
                  <c:v>-26113</c:v>
                </c:pt>
                <c:pt idx="723">
                  <c:v>-23250</c:v>
                </c:pt>
                <c:pt idx="724">
                  <c:v>-21675</c:v>
                </c:pt>
                <c:pt idx="725">
                  <c:v>-24932</c:v>
                </c:pt>
                <c:pt idx="726">
                  <c:v>-12172</c:v>
                </c:pt>
                <c:pt idx="727">
                  <c:v>-6445</c:v>
                </c:pt>
                <c:pt idx="728">
                  <c:v>-496</c:v>
                </c:pt>
                <c:pt idx="729">
                  <c:v>-1539</c:v>
                </c:pt>
                <c:pt idx="730">
                  <c:v>-4647</c:v>
                </c:pt>
                <c:pt idx="731">
                  <c:v>-3573</c:v>
                </c:pt>
                <c:pt idx="732">
                  <c:v>4879</c:v>
                </c:pt>
                <c:pt idx="733">
                  <c:v>-27112</c:v>
                </c:pt>
                <c:pt idx="734">
                  <c:v>-14129</c:v>
                </c:pt>
                <c:pt idx="735">
                  <c:v>-14089</c:v>
                </c:pt>
                <c:pt idx="736">
                  <c:v>-19993</c:v>
                </c:pt>
                <c:pt idx="737">
                  <c:v>-11109</c:v>
                </c:pt>
                <c:pt idx="738">
                  <c:v>-10566</c:v>
                </c:pt>
                <c:pt idx="739">
                  <c:v>-46125</c:v>
                </c:pt>
                <c:pt idx="740">
                  <c:v>-41131</c:v>
                </c:pt>
                <c:pt idx="741">
                  <c:v>-56922</c:v>
                </c:pt>
                <c:pt idx="742">
                  <c:v>-77285</c:v>
                </c:pt>
                <c:pt idx="743">
                  <c:v>-88584</c:v>
                </c:pt>
                <c:pt idx="744">
                  <c:v>-113913</c:v>
                </c:pt>
                <c:pt idx="745">
                  <c:v>-116805</c:v>
                </c:pt>
                <c:pt idx="746">
                  <c:v>-131256</c:v>
                </c:pt>
                <c:pt idx="747">
                  <c:v>-122711</c:v>
                </c:pt>
                <c:pt idx="748">
                  <c:v>-130119</c:v>
                </c:pt>
                <c:pt idx="749">
                  <c:v>-137476</c:v>
                </c:pt>
                <c:pt idx="750">
                  <c:v>-131361</c:v>
                </c:pt>
                <c:pt idx="751">
                  <c:v>-135804</c:v>
                </c:pt>
                <c:pt idx="752">
                  <c:v>-131506</c:v>
                </c:pt>
                <c:pt idx="753">
                  <c:v>-122259</c:v>
                </c:pt>
                <c:pt idx="754">
                  <c:v>-118066</c:v>
                </c:pt>
                <c:pt idx="755">
                  <c:v>-108486</c:v>
                </c:pt>
                <c:pt idx="756">
                  <c:v>-121842</c:v>
                </c:pt>
                <c:pt idx="757">
                  <c:v>-135696</c:v>
                </c:pt>
                <c:pt idx="758">
                  <c:v>-138580</c:v>
                </c:pt>
                <c:pt idx="759">
                  <c:v>-132450</c:v>
                </c:pt>
                <c:pt idx="760">
                  <c:v>-138738</c:v>
                </c:pt>
                <c:pt idx="761">
                  <c:v>-130908</c:v>
                </c:pt>
                <c:pt idx="762">
                  <c:v>-122408</c:v>
                </c:pt>
                <c:pt idx="763">
                  <c:v>-117353</c:v>
                </c:pt>
                <c:pt idx="764">
                  <c:v>-124340</c:v>
                </c:pt>
                <c:pt idx="765">
                  <c:v>-115329</c:v>
                </c:pt>
                <c:pt idx="766">
                  <c:v>-117582</c:v>
                </c:pt>
                <c:pt idx="767">
                  <c:v>-112406</c:v>
                </c:pt>
                <c:pt idx="768">
                  <c:v>-114991</c:v>
                </c:pt>
                <c:pt idx="769">
                  <c:v>-110408</c:v>
                </c:pt>
                <c:pt idx="770">
                  <c:v>-107443</c:v>
                </c:pt>
                <c:pt idx="771">
                  <c:v>-107386</c:v>
                </c:pt>
                <c:pt idx="772">
                  <c:v>-109753</c:v>
                </c:pt>
                <c:pt idx="773">
                  <c:v>-92618</c:v>
                </c:pt>
                <c:pt idx="774">
                  <c:v>-105844</c:v>
                </c:pt>
                <c:pt idx="775">
                  <c:v>-113893</c:v>
                </c:pt>
                <c:pt idx="776">
                  <c:v>-109863</c:v>
                </c:pt>
                <c:pt idx="777">
                  <c:v>-136037</c:v>
                </c:pt>
                <c:pt idx="778">
                  <c:v>-112909</c:v>
                </c:pt>
                <c:pt idx="779">
                  <c:v>-82285</c:v>
                </c:pt>
                <c:pt idx="780">
                  <c:v>-76605</c:v>
                </c:pt>
                <c:pt idx="781">
                  <c:v>-78026</c:v>
                </c:pt>
                <c:pt idx="782">
                  <c:v>-66976</c:v>
                </c:pt>
                <c:pt idx="783">
                  <c:v>-65613</c:v>
                </c:pt>
                <c:pt idx="784">
                  <c:v>-58867</c:v>
                </c:pt>
                <c:pt idx="785">
                  <c:v>-63273</c:v>
                </c:pt>
                <c:pt idx="786">
                  <c:v>-59823</c:v>
                </c:pt>
                <c:pt idx="787">
                  <c:v>-66049</c:v>
                </c:pt>
                <c:pt idx="788">
                  <c:v>-65034</c:v>
                </c:pt>
                <c:pt idx="789">
                  <c:v>-58609</c:v>
                </c:pt>
                <c:pt idx="790">
                  <c:v>-66797</c:v>
                </c:pt>
                <c:pt idx="791">
                  <c:v>-72833</c:v>
                </c:pt>
                <c:pt idx="792">
                  <c:v>-59926</c:v>
                </c:pt>
                <c:pt idx="793">
                  <c:v>-47651</c:v>
                </c:pt>
                <c:pt idx="794">
                  <c:v>-26424</c:v>
                </c:pt>
                <c:pt idx="795">
                  <c:v>-19984</c:v>
                </c:pt>
                <c:pt idx="796">
                  <c:v>-23079</c:v>
                </c:pt>
                <c:pt idx="797">
                  <c:v>-24519</c:v>
                </c:pt>
                <c:pt idx="798">
                  <c:v>-9873</c:v>
                </c:pt>
                <c:pt idx="799">
                  <c:v>-3176</c:v>
                </c:pt>
                <c:pt idx="800">
                  <c:v>-17427</c:v>
                </c:pt>
                <c:pt idx="801">
                  <c:v>-36876</c:v>
                </c:pt>
                <c:pt idx="802">
                  <c:v>-44421</c:v>
                </c:pt>
                <c:pt idx="803">
                  <c:v>-61841</c:v>
                </c:pt>
                <c:pt idx="804">
                  <c:v>-93607</c:v>
                </c:pt>
                <c:pt idx="805">
                  <c:v>-104607</c:v>
                </c:pt>
                <c:pt idx="806">
                  <c:v>-84086</c:v>
                </c:pt>
                <c:pt idx="807">
                  <c:v>-71209</c:v>
                </c:pt>
                <c:pt idx="808">
                  <c:v>-94116</c:v>
                </c:pt>
                <c:pt idx="809">
                  <c:v>-104815</c:v>
                </c:pt>
                <c:pt idx="810">
                  <c:v>-116310</c:v>
                </c:pt>
                <c:pt idx="811">
                  <c:v>-123919</c:v>
                </c:pt>
                <c:pt idx="812">
                  <c:v>-122445</c:v>
                </c:pt>
                <c:pt idx="813">
                  <c:v>-109010</c:v>
                </c:pt>
                <c:pt idx="814">
                  <c:v>-104632</c:v>
                </c:pt>
                <c:pt idx="815">
                  <c:v>-127246</c:v>
                </c:pt>
                <c:pt idx="816">
                  <c:v>-133716</c:v>
                </c:pt>
                <c:pt idx="817">
                  <c:v>-135294</c:v>
                </c:pt>
                <c:pt idx="818">
                  <c:v>-137889</c:v>
                </c:pt>
                <c:pt idx="819">
                  <c:v>-135895</c:v>
                </c:pt>
                <c:pt idx="820">
                  <c:v>-146162</c:v>
                </c:pt>
                <c:pt idx="821">
                  <c:v>-155228</c:v>
                </c:pt>
                <c:pt idx="822">
                  <c:v>-152430</c:v>
                </c:pt>
                <c:pt idx="823">
                  <c:v>-147270</c:v>
                </c:pt>
                <c:pt idx="824">
                  <c:v>-150579</c:v>
                </c:pt>
                <c:pt idx="825">
                  <c:v>-144644</c:v>
                </c:pt>
                <c:pt idx="826">
                  <c:v>-151192</c:v>
                </c:pt>
                <c:pt idx="827">
                  <c:v>-135675</c:v>
                </c:pt>
                <c:pt idx="828">
                  <c:v>-112521</c:v>
                </c:pt>
                <c:pt idx="829">
                  <c:v>-97120</c:v>
                </c:pt>
                <c:pt idx="830">
                  <c:v>-89163</c:v>
                </c:pt>
                <c:pt idx="831">
                  <c:v>-100304</c:v>
                </c:pt>
                <c:pt idx="832">
                  <c:v>-99809</c:v>
                </c:pt>
                <c:pt idx="833">
                  <c:v>-104584</c:v>
                </c:pt>
                <c:pt idx="834">
                  <c:v>-102622</c:v>
                </c:pt>
                <c:pt idx="835">
                  <c:v>-109086</c:v>
                </c:pt>
                <c:pt idx="836">
                  <c:v>-106418</c:v>
                </c:pt>
                <c:pt idx="837">
                  <c:v>-102148</c:v>
                </c:pt>
                <c:pt idx="838">
                  <c:v>-109189</c:v>
                </c:pt>
                <c:pt idx="839">
                  <c:v>-109778</c:v>
                </c:pt>
                <c:pt idx="840">
                  <c:v>-119215</c:v>
                </c:pt>
                <c:pt idx="841">
                  <c:v>-123044</c:v>
                </c:pt>
                <c:pt idx="842">
                  <c:v>-128641</c:v>
                </c:pt>
                <c:pt idx="843">
                  <c:v>-128121</c:v>
                </c:pt>
                <c:pt idx="844">
                  <c:v>-139399</c:v>
                </c:pt>
                <c:pt idx="845">
                  <c:v>-132753</c:v>
                </c:pt>
                <c:pt idx="846">
                  <c:v>-119185</c:v>
                </c:pt>
                <c:pt idx="847">
                  <c:v>-132251</c:v>
                </c:pt>
                <c:pt idx="848">
                  <c:v>-148489</c:v>
                </c:pt>
                <c:pt idx="849">
                  <c:v>-133191</c:v>
                </c:pt>
                <c:pt idx="850">
                  <c:v>-119266</c:v>
                </c:pt>
                <c:pt idx="851">
                  <c:v>-110808</c:v>
                </c:pt>
                <c:pt idx="852">
                  <c:v>-114413</c:v>
                </c:pt>
                <c:pt idx="853">
                  <c:v>-136200</c:v>
                </c:pt>
                <c:pt idx="854">
                  <c:v>-141751</c:v>
                </c:pt>
                <c:pt idx="855">
                  <c:v>-143297</c:v>
                </c:pt>
                <c:pt idx="856">
                  <c:v>-119344</c:v>
                </c:pt>
                <c:pt idx="857">
                  <c:v>-116669</c:v>
                </c:pt>
                <c:pt idx="858">
                  <c:v>-118635</c:v>
                </c:pt>
                <c:pt idx="859">
                  <c:v>-140486</c:v>
                </c:pt>
                <c:pt idx="860">
                  <c:v>-152734</c:v>
                </c:pt>
                <c:pt idx="861">
                  <c:v>-162025</c:v>
                </c:pt>
                <c:pt idx="862">
                  <c:v>-164208</c:v>
                </c:pt>
                <c:pt idx="863">
                  <c:v>-173420</c:v>
                </c:pt>
                <c:pt idx="864">
                  <c:v>-178055</c:v>
                </c:pt>
                <c:pt idx="865">
                  <c:v>-184861</c:v>
                </c:pt>
                <c:pt idx="866">
                  <c:v>-168218</c:v>
                </c:pt>
                <c:pt idx="867">
                  <c:v>-172239</c:v>
                </c:pt>
                <c:pt idx="868">
                  <c:v>-174039</c:v>
                </c:pt>
                <c:pt idx="869">
                  <c:v>-187264</c:v>
                </c:pt>
                <c:pt idx="870">
                  <c:v>-189357</c:v>
                </c:pt>
                <c:pt idx="871">
                  <c:v>-168768</c:v>
                </c:pt>
                <c:pt idx="872">
                  <c:v>-194606</c:v>
                </c:pt>
                <c:pt idx="873">
                  <c:v>-172772</c:v>
                </c:pt>
                <c:pt idx="874">
                  <c:v>-145665</c:v>
                </c:pt>
                <c:pt idx="875">
                  <c:v>-124882</c:v>
                </c:pt>
                <c:pt idx="876">
                  <c:v>-126691</c:v>
                </c:pt>
                <c:pt idx="877">
                  <c:v>-130885</c:v>
                </c:pt>
                <c:pt idx="878">
                  <c:v>-143181</c:v>
                </c:pt>
                <c:pt idx="879">
                  <c:v>-119903</c:v>
                </c:pt>
                <c:pt idx="880">
                  <c:v>-93898</c:v>
                </c:pt>
                <c:pt idx="881">
                  <c:v>-92650</c:v>
                </c:pt>
                <c:pt idx="882">
                  <c:v>-116730</c:v>
                </c:pt>
                <c:pt idx="883">
                  <c:v>-106957</c:v>
                </c:pt>
                <c:pt idx="884">
                  <c:v>-93561</c:v>
                </c:pt>
                <c:pt idx="885">
                  <c:v>-102850</c:v>
                </c:pt>
                <c:pt idx="886">
                  <c:v>-100142</c:v>
                </c:pt>
                <c:pt idx="887">
                  <c:v>-111572</c:v>
                </c:pt>
                <c:pt idx="888">
                  <c:v>-106524</c:v>
                </c:pt>
                <c:pt idx="889">
                  <c:v>-103248</c:v>
                </c:pt>
                <c:pt idx="890">
                  <c:v>-107716</c:v>
                </c:pt>
                <c:pt idx="891">
                  <c:v>-112963</c:v>
                </c:pt>
                <c:pt idx="892">
                  <c:v>-124985</c:v>
                </c:pt>
                <c:pt idx="893">
                  <c:v>-123905</c:v>
                </c:pt>
                <c:pt idx="894">
                  <c:v>-123468</c:v>
                </c:pt>
                <c:pt idx="895">
                  <c:v>-102622</c:v>
                </c:pt>
                <c:pt idx="896">
                  <c:v>-95767</c:v>
                </c:pt>
                <c:pt idx="897">
                  <c:v>-116785</c:v>
                </c:pt>
                <c:pt idx="898">
                  <c:v>-111437</c:v>
                </c:pt>
                <c:pt idx="899">
                  <c:v>-108258</c:v>
                </c:pt>
                <c:pt idx="900">
                  <c:v>-101922</c:v>
                </c:pt>
                <c:pt idx="901">
                  <c:v>-101468</c:v>
                </c:pt>
                <c:pt idx="902">
                  <c:v>-78695</c:v>
                </c:pt>
                <c:pt idx="903">
                  <c:v>-70956</c:v>
                </c:pt>
                <c:pt idx="904">
                  <c:v>-92366</c:v>
                </c:pt>
                <c:pt idx="905">
                  <c:v>-131354</c:v>
                </c:pt>
                <c:pt idx="906">
                  <c:v>-145614</c:v>
                </c:pt>
                <c:pt idx="907">
                  <c:v>-149120</c:v>
                </c:pt>
                <c:pt idx="908">
                  <c:v>-162892</c:v>
                </c:pt>
                <c:pt idx="909">
                  <c:v>-160824</c:v>
                </c:pt>
                <c:pt idx="910">
                  <c:v>-159660</c:v>
                </c:pt>
                <c:pt idx="911">
                  <c:v>-144246</c:v>
                </c:pt>
                <c:pt idx="912">
                  <c:v>-115497</c:v>
                </c:pt>
                <c:pt idx="913">
                  <c:v>-89287</c:v>
                </c:pt>
                <c:pt idx="914">
                  <c:v>-62945</c:v>
                </c:pt>
                <c:pt idx="915">
                  <c:v>-43763</c:v>
                </c:pt>
                <c:pt idx="916">
                  <c:v>-13939</c:v>
                </c:pt>
                <c:pt idx="917">
                  <c:v>-8145</c:v>
                </c:pt>
                <c:pt idx="918">
                  <c:v>6680</c:v>
                </c:pt>
                <c:pt idx="919">
                  <c:v>16068</c:v>
                </c:pt>
                <c:pt idx="920">
                  <c:v>13899</c:v>
                </c:pt>
                <c:pt idx="921">
                  <c:v>25259</c:v>
                </c:pt>
                <c:pt idx="922">
                  <c:v>25574</c:v>
                </c:pt>
                <c:pt idx="923">
                  <c:v>49763</c:v>
                </c:pt>
                <c:pt idx="924">
                  <c:v>44003</c:v>
                </c:pt>
                <c:pt idx="925">
                  <c:v>41664</c:v>
                </c:pt>
                <c:pt idx="926">
                  <c:v>32539</c:v>
                </c:pt>
                <c:pt idx="927">
                  <c:v>14012</c:v>
                </c:pt>
                <c:pt idx="928">
                  <c:v>27816</c:v>
                </c:pt>
                <c:pt idx="929">
                  <c:v>6530</c:v>
                </c:pt>
                <c:pt idx="930">
                  <c:v>1359</c:v>
                </c:pt>
                <c:pt idx="931">
                  <c:v>-31714</c:v>
                </c:pt>
                <c:pt idx="932">
                  <c:v>-55043</c:v>
                </c:pt>
                <c:pt idx="933">
                  <c:v>-106484</c:v>
                </c:pt>
                <c:pt idx="934">
                  <c:v>-120695</c:v>
                </c:pt>
                <c:pt idx="935">
                  <c:v>-125193</c:v>
                </c:pt>
                <c:pt idx="936">
                  <c:v>-145008</c:v>
                </c:pt>
                <c:pt idx="937">
                  <c:v>-119677</c:v>
                </c:pt>
                <c:pt idx="938">
                  <c:v>-113152</c:v>
                </c:pt>
                <c:pt idx="939">
                  <c:v>-120117</c:v>
                </c:pt>
                <c:pt idx="940">
                  <c:v>-102957</c:v>
                </c:pt>
                <c:pt idx="941">
                  <c:v>-93551</c:v>
                </c:pt>
                <c:pt idx="942">
                  <c:v>-80516</c:v>
                </c:pt>
                <c:pt idx="943">
                  <c:v>-43498</c:v>
                </c:pt>
                <c:pt idx="944">
                  <c:v>-36063</c:v>
                </c:pt>
                <c:pt idx="945">
                  <c:v>-51147</c:v>
                </c:pt>
                <c:pt idx="946">
                  <c:v>-61706</c:v>
                </c:pt>
                <c:pt idx="947">
                  <c:v>-18572</c:v>
                </c:pt>
                <c:pt idx="948">
                  <c:v>-26283</c:v>
                </c:pt>
                <c:pt idx="949">
                  <c:v>-31301</c:v>
                </c:pt>
                <c:pt idx="950">
                  <c:v>-48680</c:v>
                </c:pt>
                <c:pt idx="951">
                  <c:v>-55925</c:v>
                </c:pt>
                <c:pt idx="952">
                  <c:v>-59304</c:v>
                </c:pt>
                <c:pt idx="953">
                  <c:v>-84360</c:v>
                </c:pt>
                <c:pt idx="954">
                  <c:v>-132706</c:v>
                </c:pt>
                <c:pt idx="955">
                  <c:v>-125136</c:v>
                </c:pt>
                <c:pt idx="956">
                  <c:v>-82588</c:v>
                </c:pt>
                <c:pt idx="957">
                  <c:v>-84836</c:v>
                </c:pt>
                <c:pt idx="958">
                  <c:v>-44869</c:v>
                </c:pt>
                <c:pt idx="959">
                  <c:v>-28923</c:v>
                </c:pt>
                <c:pt idx="960">
                  <c:v>-19811</c:v>
                </c:pt>
                <c:pt idx="961">
                  <c:v>9006</c:v>
                </c:pt>
                <c:pt idx="962">
                  <c:v>29376</c:v>
                </c:pt>
                <c:pt idx="963">
                  <c:v>28022</c:v>
                </c:pt>
                <c:pt idx="964">
                  <c:v>23075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9B-4615-9FDD-18D59DD41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598664"/>
        <c:axId val="815598992"/>
      </c:lineChart>
      <c:catAx>
        <c:axId val="81559866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815598992"/>
        <c:crosses val="autoZero"/>
        <c:auto val="1"/>
        <c:lblAlgn val="ctr"/>
        <c:lblOffset val="100"/>
        <c:noMultiLvlLbl val="1"/>
      </c:catAx>
      <c:valAx>
        <c:axId val="815598992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Helvetica" panose="020B060402020203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Helvetica" panose="020B0604020202030204" pitchFamily="34" charset="0"/>
                  </a:rPr>
                  <a:t>contracts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Helvetica" panose="020B0604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5598664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  <a:latin typeface="Helvetica" panose="020B0604020202030204" pitchFamily="34" charset="0"/>
              </a:rPr>
              <a:t>Corn Managed Money Net Futures and Options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Helvetica" panose="020B0604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26871427932088"/>
          <c:y val="8.991131860729798E-2"/>
          <c:w val="0.87528180341549577"/>
          <c:h val="0.80253324971546702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335163"/>
              </a:solidFill>
              <a:round/>
            </a:ln>
            <a:effectLst/>
          </c:spPr>
          <c:marker>
            <c:symbol val="none"/>
          </c:marker>
          <c:cat>
            <c:strRef>
              <c:f>Data!$A$3:$A$1000</c:f>
              <c:strCache>
                <c:ptCount val="998"/>
                <c:pt idx="0">
                  <c:v>13-Jun-06</c:v>
                </c:pt>
                <c:pt idx="1">
                  <c:v>20-Jun-06</c:v>
                </c:pt>
                <c:pt idx="2">
                  <c:v>27-Jun-06</c:v>
                </c:pt>
                <c:pt idx="3">
                  <c:v>4-Jul-06</c:v>
                </c:pt>
                <c:pt idx="4">
                  <c:v>11-Jul-06</c:v>
                </c:pt>
                <c:pt idx="5">
                  <c:v>18-Jul-06</c:v>
                </c:pt>
                <c:pt idx="6">
                  <c:v>25-Jul-06</c:v>
                </c:pt>
                <c:pt idx="7">
                  <c:v>1-Aug-06</c:v>
                </c:pt>
                <c:pt idx="8">
                  <c:v>8-Aug-06</c:v>
                </c:pt>
                <c:pt idx="9">
                  <c:v>15-Aug-06</c:v>
                </c:pt>
                <c:pt idx="10">
                  <c:v>22-Aug-06</c:v>
                </c:pt>
                <c:pt idx="11">
                  <c:v>29-Aug-06</c:v>
                </c:pt>
                <c:pt idx="12">
                  <c:v>5-Sep-06</c:v>
                </c:pt>
                <c:pt idx="13">
                  <c:v>12-Sep-06</c:v>
                </c:pt>
                <c:pt idx="14">
                  <c:v>19-Sep-06</c:v>
                </c:pt>
                <c:pt idx="15">
                  <c:v>26-Sep-06</c:v>
                </c:pt>
                <c:pt idx="16">
                  <c:v>3-Oct-06</c:v>
                </c:pt>
                <c:pt idx="17">
                  <c:v>10-Oct-06</c:v>
                </c:pt>
                <c:pt idx="18">
                  <c:v>17-Oct-06</c:v>
                </c:pt>
                <c:pt idx="19">
                  <c:v>24-Oct-06</c:v>
                </c:pt>
                <c:pt idx="20">
                  <c:v>31-Oct-06</c:v>
                </c:pt>
                <c:pt idx="21">
                  <c:v>7-Nov-06</c:v>
                </c:pt>
                <c:pt idx="22">
                  <c:v>14-Nov-06</c:v>
                </c:pt>
                <c:pt idx="23">
                  <c:v>21-Nov-06</c:v>
                </c:pt>
                <c:pt idx="24">
                  <c:v>28-Nov-06</c:v>
                </c:pt>
                <c:pt idx="25">
                  <c:v>5-Dec-06</c:v>
                </c:pt>
                <c:pt idx="26">
                  <c:v>12-Dec-06</c:v>
                </c:pt>
                <c:pt idx="27">
                  <c:v>19-Dec-06</c:v>
                </c:pt>
                <c:pt idx="28">
                  <c:v>26-Dec-06</c:v>
                </c:pt>
                <c:pt idx="29">
                  <c:v>9-Jan-07</c:v>
                </c:pt>
                <c:pt idx="30">
                  <c:v>16-Jan-07</c:v>
                </c:pt>
                <c:pt idx="31">
                  <c:v>23-Jan-07</c:v>
                </c:pt>
                <c:pt idx="32">
                  <c:v>30-Jan-07</c:v>
                </c:pt>
                <c:pt idx="33">
                  <c:v>6-Feb-07</c:v>
                </c:pt>
                <c:pt idx="34">
                  <c:v>13-Feb-07</c:v>
                </c:pt>
                <c:pt idx="35">
                  <c:v>20-Feb-07</c:v>
                </c:pt>
                <c:pt idx="36">
                  <c:v>27-Feb-07</c:v>
                </c:pt>
                <c:pt idx="37">
                  <c:v>6-Mar-07</c:v>
                </c:pt>
                <c:pt idx="38">
                  <c:v>13-Mar-07</c:v>
                </c:pt>
                <c:pt idx="39">
                  <c:v>20-Mar-07</c:v>
                </c:pt>
                <c:pt idx="40">
                  <c:v>27-Mar-07</c:v>
                </c:pt>
                <c:pt idx="41">
                  <c:v>3-Apr-07</c:v>
                </c:pt>
                <c:pt idx="42">
                  <c:v>10-Apr-07</c:v>
                </c:pt>
                <c:pt idx="43">
                  <c:v>17-Apr-07</c:v>
                </c:pt>
                <c:pt idx="44">
                  <c:v>24-Apr-07</c:v>
                </c:pt>
                <c:pt idx="45">
                  <c:v>1-May-07</c:v>
                </c:pt>
                <c:pt idx="46">
                  <c:v>8-May-07</c:v>
                </c:pt>
                <c:pt idx="47">
                  <c:v>15-May-07</c:v>
                </c:pt>
                <c:pt idx="48">
                  <c:v>22-May-07</c:v>
                </c:pt>
                <c:pt idx="49">
                  <c:v>29-May-07</c:v>
                </c:pt>
                <c:pt idx="50">
                  <c:v>5-Jun-07</c:v>
                </c:pt>
                <c:pt idx="51">
                  <c:v>12-Jun-07</c:v>
                </c:pt>
                <c:pt idx="52">
                  <c:v>19-Jun-07</c:v>
                </c:pt>
                <c:pt idx="53">
                  <c:v>26-Jun-07</c:v>
                </c:pt>
                <c:pt idx="54">
                  <c:v>3-Jul-07</c:v>
                </c:pt>
                <c:pt idx="55">
                  <c:v>10-Jul-07</c:v>
                </c:pt>
                <c:pt idx="56">
                  <c:v>17-Jul-07</c:v>
                </c:pt>
                <c:pt idx="57">
                  <c:v>24-Jul-07</c:v>
                </c:pt>
                <c:pt idx="58">
                  <c:v>31-Jul-07</c:v>
                </c:pt>
                <c:pt idx="59">
                  <c:v>7-Aug-07</c:v>
                </c:pt>
                <c:pt idx="60">
                  <c:v>14-Aug-07</c:v>
                </c:pt>
                <c:pt idx="61">
                  <c:v>21-Aug-07</c:v>
                </c:pt>
                <c:pt idx="62">
                  <c:v>28-Aug-07</c:v>
                </c:pt>
                <c:pt idx="63">
                  <c:v>4-Sep-07</c:v>
                </c:pt>
                <c:pt idx="64">
                  <c:v>11-Sep-07</c:v>
                </c:pt>
                <c:pt idx="65">
                  <c:v>18-Sep-07</c:v>
                </c:pt>
                <c:pt idx="66">
                  <c:v>25-Sep-07</c:v>
                </c:pt>
                <c:pt idx="67">
                  <c:v>2-Oct-07</c:v>
                </c:pt>
                <c:pt idx="68">
                  <c:v>9-Oct-07</c:v>
                </c:pt>
                <c:pt idx="69">
                  <c:v>16-Oct-07</c:v>
                </c:pt>
                <c:pt idx="70">
                  <c:v>23-Oct-07</c:v>
                </c:pt>
                <c:pt idx="71">
                  <c:v>30-Oct-07</c:v>
                </c:pt>
                <c:pt idx="72">
                  <c:v>6-Nov-07</c:v>
                </c:pt>
                <c:pt idx="73">
                  <c:v>13-Nov-07</c:v>
                </c:pt>
                <c:pt idx="74">
                  <c:v>20-Nov-07</c:v>
                </c:pt>
                <c:pt idx="75">
                  <c:v>27-Nov-07</c:v>
                </c:pt>
                <c:pt idx="76">
                  <c:v>4-Dec-07</c:v>
                </c:pt>
                <c:pt idx="77">
                  <c:v>11-Dec-07</c:v>
                </c:pt>
                <c:pt idx="78">
                  <c:v>18-Dec-07</c:v>
                </c:pt>
                <c:pt idx="79">
                  <c:v>25-Dec-07</c:v>
                </c:pt>
                <c:pt idx="80">
                  <c:v>1-Jan-08</c:v>
                </c:pt>
                <c:pt idx="81">
                  <c:v>8-Jan-08</c:v>
                </c:pt>
                <c:pt idx="82">
                  <c:v>15-Jan-08</c:v>
                </c:pt>
                <c:pt idx="83">
                  <c:v>22-Jan-08</c:v>
                </c:pt>
                <c:pt idx="84">
                  <c:v>29-Jan-08</c:v>
                </c:pt>
                <c:pt idx="85">
                  <c:v>5-Feb-08</c:v>
                </c:pt>
                <c:pt idx="86">
                  <c:v>12-Feb-08</c:v>
                </c:pt>
                <c:pt idx="87">
                  <c:v>19-Feb-08</c:v>
                </c:pt>
                <c:pt idx="88">
                  <c:v>26-Feb-08</c:v>
                </c:pt>
                <c:pt idx="89">
                  <c:v>4-Mar-08</c:v>
                </c:pt>
                <c:pt idx="90">
                  <c:v>11-Mar-08</c:v>
                </c:pt>
                <c:pt idx="91">
                  <c:v>18-Mar-08</c:v>
                </c:pt>
                <c:pt idx="92">
                  <c:v>25-Mar-08</c:v>
                </c:pt>
                <c:pt idx="93">
                  <c:v>1-Apr-08</c:v>
                </c:pt>
                <c:pt idx="94">
                  <c:v>8-Apr-08</c:v>
                </c:pt>
                <c:pt idx="95">
                  <c:v>15-Apr-08</c:v>
                </c:pt>
                <c:pt idx="96">
                  <c:v>22-Apr-08</c:v>
                </c:pt>
                <c:pt idx="97">
                  <c:v>29-Apr-08</c:v>
                </c:pt>
                <c:pt idx="98">
                  <c:v>6-May-08</c:v>
                </c:pt>
                <c:pt idx="99">
                  <c:v>13-May-08</c:v>
                </c:pt>
                <c:pt idx="100">
                  <c:v>20-May-08</c:v>
                </c:pt>
                <c:pt idx="101">
                  <c:v>27-May-08</c:v>
                </c:pt>
                <c:pt idx="102">
                  <c:v>3-Jun-08</c:v>
                </c:pt>
                <c:pt idx="103">
                  <c:v>10-Jun-08</c:v>
                </c:pt>
                <c:pt idx="104">
                  <c:v>17-Jun-08</c:v>
                </c:pt>
                <c:pt idx="105">
                  <c:v>24-Jun-08</c:v>
                </c:pt>
                <c:pt idx="106">
                  <c:v>1-Jul-08</c:v>
                </c:pt>
                <c:pt idx="107">
                  <c:v>8-Jul-08</c:v>
                </c:pt>
                <c:pt idx="108">
                  <c:v>15-Jul-08</c:v>
                </c:pt>
                <c:pt idx="109">
                  <c:v>22-Jul-08</c:v>
                </c:pt>
                <c:pt idx="110">
                  <c:v>29-Jul-08</c:v>
                </c:pt>
                <c:pt idx="111">
                  <c:v>5-Aug-08</c:v>
                </c:pt>
                <c:pt idx="112">
                  <c:v>12-Aug-08</c:v>
                </c:pt>
                <c:pt idx="113">
                  <c:v>19-Aug-08</c:v>
                </c:pt>
                <c:pt idx="114">
                  <c:v>26-Aug-08</c:v>
                </c:pt>
                <c:pt idx="115">
                  <c:v>2-Sep-08</c:v>
                </c:pt>
                <c:pt idx="116">
                  <c:v>9-Sep-08</c:v>
                </c:pt>
                <c:pt idx="117">
                  <c:v>16-Sep-08</c:v>
                </c:pt>
                <c:pt idx="118">
                  <c:v>23-Sep-08</c:v>
                </c:pt>
                <c:pt idx="119">
                  <c:v>30-Sep-08</c:v>
                </c:pt>
                <c:pt idx="120">
                  <c:v>7-Oct-08</c:v>
                </c:pt>
                <c:pt idx="121">
                  <c:v>14-Oct-08</c:v>
                </c:pt>
                <c:pt idx="122">
                  <c:v>21-Oct-08</c:v>
                </c:pt>
                <c:pt idx="123">
                  <c:v>28-Oct-08</c:v>
                </c:pt>
                <c:pt idx="124">
                  <c:v>4-Nov-08</c:v>
                </c:pt>
                <c:pt idx="125">
                  <c:v>11-Nov-08</c:v>
                </c:pt>
                <c:pt idx="126">
                  <c:v>18-Nov-08</c:v>
                </c:pt>
                <c:pt idx="127">
                  <c:v>25-Nov-08</c:v>
                </c:pt>
                <c:pt idx="128">
                  <c:v>2-Dec-08</c:v>
                </c:pt>
                <c:pt idx="129">
                  <c:v>9-Dec-08</c:v>
                </c:pt>
                <c:pt idx="130">
                  <c:v>16-Dec-08</c:v>
                </c:pt>
                <c:pt idx="131">
                  <c:v>23-Dec-08</c:v>
                </c:pt>
                <c:pt idx="132">
                  <c:v>30-Dec-08</c:v>
                </c:pt>
                <c:pt idx="133">
                  <c:v>6-Jan-09</c:v>
                </c:pt>
                <c:pt idx="134">
                  <c:v>13-Jan-09</c:v>
                </c:pt>
                <c:pt idx="135">
                  <c:v>20-Jan-09</c:v>
                </c:pt>
                <c:pt idx="136">
                  <c:v>27-Jan-09</c:v>
                </c:pt>
                <c:pt idx="137">
                  <c:v>3-Feb-09</c:v>
                </c:pt>
                <c:pt idx="138">
                  <c:v>10-Feb-09</c:v>
                </c:pt>
                <c:pt idx="139">
                  <c:v>17-Feb-09</c:v>
                </c:pt>
                <c:pt idx="140">
                  <c:v>24-Feb-09</c:v>
                </c:pt>
                <c:pt idx="141">
                  <c:v>3-Mar-09</c:v>
                </c:pt>
                <c:pt idx="142">
                  <c:v>10-Mar-09</c:v>
                </c:pt>
                <c:pt idx="143">
                  <c:v>17-Mar-09</c:v>
                </c:pt>
                <c:pt idx="144">
                  <c:v>24-Mar-09</c:v>
                </c:pt>
                <c:pt idx="145">
                  <c:v>31-Mar-09</c:v>
                </c:pt>
                <c:pt idx="146">
                  <c:v>7-Apr-09</c:v>
                </c:pt>
                <c:pt idx="147">
                  <c:v>14-Apr-09</c:v>
                </c:pt>
                <c:pt idx="148">
                  <c:v>21-Apr-09</c:v>
                </c:pt>
                <c:pt idx="149">
                  <c:v>28-Apr-09</c:v>
                </c:pt>
                <c:pt idx="150">
                  <c:v>5-May-09</c:v>
                </c:pt>
                <c:pt idx="151">
                  <c:v>12-May-09</c:v>
                </c:pt>
                <c:pt idx="152">
                  <c:v>19-May-09</c:v>
                </c:pt>
                <c:pt idx="153">
                  <c:v>26-May-09</c:v>
                </c:pt>
                <c:pt idx="154">
                  <c:v>2-Jun-09</c:v>
                </c:pt>
                <c:pt idx="155">
                  <c:v>9-Jun-09</c:v>
                </c:pt>
                <c:pt idx="156">
                  <c:v>16-Jun-09</c:v>
                </c:pt>
                <c:pt idx="157">
                  <c:v>23-Jun-09</c:v>
                </c:pt>
                <c:pt idx="158">
                  <c:v>30-Jun-09</c:v>
                </c:pt>
                <c:pt idx="159">
                  <c:v>7-Jul-09</c:v>
                </c:pt>
                <c:pt idx="160">
                  <c:v>14-Jul-09</c:v>
                </c:pt>
                <c:pt idx="161">
                  <c:v>21-Jul-09</c:v>
                </c:pt>
                <c:pt idx="162">
                  <c:v>28-Jul-09</c:v>
                </c:pt>
                <c:pt idx="163">
                  <c:v>4-Aug-09</c:v>
                </c:pt>
                <c:pt idx="164">
                  <c:v>11-Aug-09</c:v>
                </c:pt>
                <c:pt idx="165">
                  <c:v>18-Aug-09</c:v>
                </c:pt>
                <c:pt idx="166">
                  <c:v>25-Aug-09</c:v>
                </c:pt>
                <c:pt idx="167">
                  <c:v>1-Sep-09</c:v>
                </c:pt>
                <c:pt idx="168">
                  <c:v>8-Sep-09</c:v>
                </c:pt>
                <c:pt idx="169">
                  <c:v>15-Sep-09</c:v>
                </c:pt>
                <c:pt idx="170">
                  <c:v>22-Sep-09</c:v>
                </c:pt>
                <c:pt idx="171">
                  <c:v>29-Sep-09</c:v>
                </c:pt>
                <c:pt idx="172">
                  <c:v>6-Oct-09</c:v>
                </c:pt>
                <c:pt idx="173">
                  <c:v>13-Oct-09</c:v>
                </c:pt>
                <c:pt idx="174">
                  <c:v>20-Oct-09</c:v>
                </c:pt>
                <c:pt idx="175">
                  <c:v>27-Oct-09</c:v>
                </c:pt>
                <c:pt idx="176">
                  <c:v>3-Nov-09</c:v>
                </c:pt>
                <c:pt idx="177">
                  <c:v>10-Nov-09</c:v>
                </c:pt>
                <c:pt idx="178">
                  <c:v>17-Nov-09</c:v>
                </c:pt>
                <c:pt idx="179">
                  <c:v>24-Nov-09</c:v>
                </c:pt>
                <c:pt idx="180">
                  <c:v>1-Dec-09</c:v>
                </c:pt>
                <c:pt idx="181">
                  <c:v>8-Dec-09</c:v>
                </c:pt>
                <c:pt idx="182">
                  <c:v>15-Dec-09</c:v>
                </c:pt>
                <c:pt idx="183">
                  <c:v>22-Dec-09</c:v>
                </c:pt>
                <c:pt idx="184">
                  <c:v>29-Dec-09</c:v>
                </c:pt>
                <c:pt idx="185">
                  <c:v>5-Jan-10</c:v>
                </c:pt>
                <c:pt idx="186">
                  <c:v>12-Jan-10</c:v>
                </c:pt>
                <c:pt idx="187">
                  <c:v>19-Jan-10</c:v>
                </c:pt>
                <c:pt idx="188">
                  <c:v>26-Jan-10</c:v>
                </c:pt>
                <c:pt idx="189">
                  <c:v>2-Feb-10</c:v>
                </c:pt>
                <c:pt idx="190">
                  <c:v>9-Feb-10</c:v>
                </c:pt>
                <c:pt idx="191">
                  <c:v>16-Feb-10</c:v>
                </c:pt>
                <c:pt idx="192">
                  <c:v>23-Feb-10</c:v>
                </c:pt>
                <c:pt idx="193">
                  <c:v>2-Mar-10</c:v>
                </c:pt>
                <c:pt idx="194">
                  <c:v>9-Mar-10</c:v>
                </c:pt>
                <c:pt idx="195">
                  <c:v>16-Mar-10</c:v>
                </c:pt>
                <c:pt idx="196">
                  <c:v>23-Mar-10</c:v>
                </c:pt>
                <c:pt idx="197">
                  <c:v>30-Mar-10</c:v>
                </c:pt>
                <c:pt idx="198">
                  <c:v>6-Apr-10</c:v>
                </c:pt>
                <c:pt idx="199">
                  <c:v>13-Apr-10</c:v>
                </c:pt>
                <c:pt idx="200">
                  <c:v>20-Apr-10</c:v>
                </c:pt>
                <c:pt idx="201">
                  <c:v>27-Apr-10</c:v>
                </c:pt>
                <c:pt idx="202">
                  <c:v>4-May-10</c:v>
                </c:pt>
                <c:pt idx="203">
                  <c:v>11-May-10</c:v>
                </c:pt>
                <c:pt idx="204">
                  <c:v>18-May-10</c:v>
                </c:pt>
                <c:pt idx="205">
                  <c:v>25-May-10</c:v>
                </c:pt>
                <c:pt idx="206">
                  <c:v>1-Jun-10</c:v>
                </c:pt>
                <c:pt idx="207">
                  <c:v>8-Jun-10</c:v>
                </c:pt>
                <c:pt idx="208">
                  <c:v>15-Jun-10</c:v>
                </c:pt>
                <c:pt idx="209">
                  <c:v>22-Jun-10</c:v>
                </c:pt>
                <c:pt idx="210">
                  <c:v>29-Jun-10</c:v>
                </c:pt>
                <c:pt idx="211">
                  <c:v>6-Jul-10</c:v>
                </c:pt>
                <c:pt idx="212">
                  <c:v>13-Jul-10</c:v>
                </c:pt>
                <c:pt idx="213">
                  <c:v>20-Jul-10</c:v>
                </c:pt>
                <c:pt idx="214">
                  <c:v>27-Jul-10</c:v>
                </c:pt>
                <c:pt idx="215">
                  <c:v>3-Aug-10</c:v>
                </c:pt>
                <c:pt idx="216">
                  <c:v>10-Aug-10</c:v>
                </c:pt>
                <c:pt idx="217">
                  <c:v>17-Aug-10</c:v>
                </c:pt>
                <c:pt idx="218">
                  <c:v>24-Aug-10</c:v>
                </c:pt>
                <c:pt idx="219">
                  <c:v>31-Aug-10</c:v>
                </c:pt>
                <c:pt idx="220">
                  <c:v>7-Sep-10</c:v>
                </c:pt>
                <c:pt idx="221">
                  <c:v>14-Sep-10</c:v>
                </c:pt>
                <c:pt idx="222">
                  <c:v>21-Sep-10</c:v>
                </c:pt>
                <c:pt idx="223">
                  <c:v>28-Sep-10</c:v>
                </c:pt>
                <c:pt idx="224">
                  <c:v>5-Oct-10</c:v>
                </c:pt>
                <c:pt idx="225">
                  <c:v>12-Oct-10</c:v>
                </c:pt>
                <c:pt idx="226">
                  <c:v>19-Oct-10</c:v>
                </c:pt>
                <c:pt idx="227">
                  <c:v>26-Oct-10</c:v>
                </c:pt>
                <c:pt idx="228">
                  <c:v>2-Nov-10</c:v>
                </c:pt>
                <c:pt idx="229">
                  <c:v>9-Nov-10</c:v>
                </c:pt>
                <c:pt idx="230">
                  <c:v>16-Nov-10</c:v>
                </c:pt>
                <c:pt idx="231">
                  <c:v>23-Nov-10</c:v>
                </c:pt>
                <c:pt idx="232">
                  <c:v>30-Nov-10</c:v>
                </c:pt>
                <c:pt idx="233">
                  <c:v>7-Dec-10</c:v>
                </c:pt>
                <c:pt idx="234">
                  <c:v>14-Dec-10</c:v>
                </c:pt>
                <c:pt idx="235">
                  <c:v>21-Dec-10</c:v>
                </c:pt>
                <c:pt idx="236">
                  <c:v>28-Dec-10</c:v>
                </c:pt>
                <c:pt idx="237">
                  <c:v>4-Jan-11</c:v>
                </c:pt>
                <c:pt idx="238">
                  <c:v>11-Jan-11</c:v>
                </c:pt>
                <c:pt idx="239">
                  <c:v>18-Jan-11</c:v>
                </c:pt>
                <c:pt idx="240">
                  <c:v>25-Jan-11</c:v>
                </c:pt>
                <c:pt idx="241">
                  <c:v>1-Feb-11</c:v>
                </c:pt>
                <c:pt idx="242">
                  <c:v>8-Feb-11</c:v>
                </c:pt>
                <c:pt idx="243">
                  <c:v>15-Feb-11</c:v>
                </c:pt>
                <c:pt idx="244">
                  <c:v>22-Feb-11</c:v>
                </c:pt>
                <c:pt idx="245">
                  <c:v>1-Mar-11</c:v>
                </c:pt>
                <c:pt idx="246">
                  <c:v>8-Mar-11</c:v>
                </c:pt>
                <c:pt idx="247">
                  <c:v>15-Mar-11</c:v>
                </c:pt>
                <c:pt idx="248">
                  <c:v>22-Mar-11</c:v>
                </c:pt>
                <c:pt idx="249">
                  <c:v>29-Mar-11</c:v>
                </c:pt>
                <c:pt idx="250">
                  <c:v>5-Apr-11</c:v>
                </c:pt>
                <c:pt idx="251">
                  <c:v>12-Apr-11</c:v>
                </c:pt>
                <c:pt idx="252">
                  <c:v>19-Apr-11</c:v>
                </c:pt>
                <c:pt idx="253">
                  <c:v>26-Apr-11</c:v>
                </c:pt>
                <c:pt idx="254">
                  <c:v>3-May-11</c:v>
                </c:pt>
                <c:pt idx="255">
                  <c:v>10-May-11</c:v>
                </c:pt>
                <c:pt idx="256">
                  <c:v>17-May-11</c:v>
                </c:pt>
                <c:pt idx="257">
                  <c:v>24-May-11</c:v>
                </c:pt>
                <c:pt idx="258">
                  <c:v>31-May-11</c:v>
                </c:pt>
                <c:pt idx="259">
                  <c:v>7-Jun-11</c:v>
                </c:pt>
                <c:pt idx="260">
                  <c:v>14-Jun-11</c:v>
                </c:pt>
                <c:pt idx="261">
                  <c:v>21-Jun-11</c:v>
                </c:pt>
                <c:pt idx="262">
                  <c:v>28-Jun-11</c:v>
                </c:pt>
                <c:pt idx="263">
                  <c:v>5-Jul-11</c:v>
                </c:pt>
                <c:pt idx="264">
                  <c:v>12-Jul-11</c:v>
                </c:pt>
                <c:pt idx="265">
                  <c:v>19-Jul-11</c:v>
                </c:pt>
                <c:pt idx="266">
                  <c:v>26-Jul-11</c:v>
                </c:pt>
                <c:pt idx="267">
                  <c:v>2-Aug-11</c:v>
                </c:pt>
                <c:pt idx="268">
                  <c:v>9-Aug-11</c:v>
                </c:pt>
                <c:pt idx="269">
                  <c:v>16-Aug-11</c:v>
                </c:pt>
                <c:pt idx="270">
                  <c:v>23-Aug-11</c:v>
                </c:pt>
                <c:pt idx="271">
                  <c:v>30-Aug-11</c:v>
                </c:pt>
                <c:pt idx="272">
                  <c:v>6-Sep-11</c:v>
                </c:pt>
                <c:pt idx="273">
                  <c:v>13-Sep-11</c:v>
                </c:pt>
                <c:pt idx="274">
                  <c:v>20-Sep-11</c:v>
                </c:pt>
                <c:pt idx="275">
                  <c:v>27-Sep-11</c:v>
                </c:pt>
                <c:pt idx="276">
                  <c:v>4-Oct-11</c:v>
                </c:pt>
                <c:pt idx="277">
                  <c:v>11-Oct-11</c:v>
                </c:pt>
                <c:pt idx="278">
                  <c:v>18-Oct-11</c:v>
                </c:pt>
                <c:pt idx="279">
                  <c:v>25-Oct-11</c:v>
                </c:pt>
                <c:pt idx="280">
                  <c:v>1-Nov-11</c:v>
                </c:pt>
                <c:pt idx="281">
                  <c:v>8-Nov-11</c:v>
                </c:pt>
                <c:pt idx="282">
                  <c:v>15-Nov-11</c:v>
                </c:pt>
                <c:pt idx="283">
                  <c:v>22-Nov-11</c:v>
                </c:pt>
                <c:pt idx="284">
                  <c:v>29-Nov-11</c:v>
                </c:pt>
                <c:pt idx="285">
                  <c:v>6-Dec-11</c:v>
                </c:pt>
                <c:pt idx="286">
                  <c:v>13-Dec-11</c:v>
                </c:pt>
                <c:pt idx="287">
                  <c:v>20-Dec-11</c:v>
                </c:pt>
                <c:pt idx="288">
                  <c:v>27-Dec-11</c:v>
                </c:pt>
                <c:pt idx="289">
                  <c:v>3-Jan-12</c:v>
                </c:pt>
                <c:pt idx="290">
                  <c:v>10-Jan-12</c:v>
                </c:pt>
                <c:pt idx="291">
                  <c:v>17-Jan-12</c:v>
                </c:pt>
                <c:pt idx="292">
                  <c:v>24-Jan-12</c:v>
                </c:pt>
                <c:pt idx="293">
                  <c:v>31-Jan-12</c:v>
                </c:pt>
                <c:pt idx="294">
                  <c:v>7-Feb-12</c:v>
                </c:pt>
                <c:pt idx="295">
                  <c:v>14-Feb-12</c:v>
                </c:pt>
                <c:pt idx="296">
                  <c:v>21-Feb-12</c:v>
                </c:pt>
                <c:pt idx="297">
                  <c:v>28-Feb-12</c:v>
                </c:pt>
                <c:pt idx="298">
                  <c:v>6-Mar-12</c:v>
                </c:pt>
                <c:pt idx="299">
                  <c:v>13-Mar-12</c:v>
                </c:pt>
                <c:pt idx="300">
                  <c:v>20-Mar-12</c:v>
                </c:pt>
                <c:pt idx="301">
                  <c:v>27-Mar-12</c:v>
                </c:pt>
                <c:pt idx="302">
                  <c:v>3-Apr-12</c:v>
                </c:pt>
                <c:pt idx="303">
                  <c:v>10-Apr-12</c:v>
                </c:pt>
                <c:pt idx="304">
                  <c:v>17-Apr-12</c:v>
                </c:pt>
                <c:pt idx="305">
                  <c:v>24-Apr-12</c:v>
                </c:pt>
                <c:pt idx="306">
                  <c:v>1-May-12</c:v>
                </c:pt>
                <c:pt idx="307">
                  <c:v>8-May-12</c:v>
                </c:pt>
                <c:pt idx="308">
                  <c:v>15-May-12</c:v>
                </c:pt>
                <c:pt idx="309">
                  <c:v>22-May-12</c:v>
                </c:pt>
                <c:pt idx="310">
                  <c:v>29-May-12</c:v>
                </c:pt>
                <c:pt idx="311">
                  <c:v>5-Jun-12</c:v>
                </c:pt>
                <c:pt idx="312">
                  <c:v>12-Jun-12</c:v>
                </c:pt>
                <c:pt idx="313">
                  <c:v>19-Jun-12</c:v>
                </c:pt>
                <c:pt idx="314">
                  <c:v>26-Jun-12</c:v>
                </c:pt>
                <c:pt idx="315">
                  <c:v>3-Jul-12</c:v>
                </c:pt>
                <c:pt idx="316">
                  <c:v>10-Jul-12</c:v>
                </c:pt>
                <c:pt idx="317">
                  <c:v>17-Jul-12</c:v>
                </c:pt>
                <c:pt idx="318">
                  <c:v>24-Jul-12</c:v>
                </c:pt>
                <c:pt idx="319">
                  <c:v>31-Jul-12</c:v>
                </c:pt>
                <c:pt idx="320">
                  <c:v>7-Aug-12</c:v>
                </c:pt>
                <c:pt idx="321">
                  <c:v>14-Aug-12</c:v>
                </c:pt>
                <c:pt idx="322">
                  <c:v>21-Aug-12</c:v>
                </c:pt>
                <c:pt idx="323">
                  <c:v>28-Aug-12</c:v>
                </c:pt>
                <c:pt idx="324">
                  <c:v>4-Sep-12</c:v>
                </c:pt>
                <c:pt idx="325">
                  <c:v>11-Sep-12</c:v>
                </c:pt>
                <c:pt idx="326">
                  <c:v>18-Sep-12</c:v>
                </c:pt>
                <c:pt idx="327">
                  <c:v>25-Sep-12</c:v>
                </c:pt>
                <c:pt idx="328">
                  <c:v>2-Oct-12</c:v>
                </c:pt>
                <c:pt idx="329">
                  <c:v>9-Oct-12</c:v>
                </c:pt>
                <c:pt idx="330">
                  <c:v>16-Oct-12</c:v>
                </c:pt>
                <c:pt idx="331">
                  <c:v>23-Oct-12</c:v>
                </c:pt>
                <c:pt idx="332">
                  <c:v>30-Oct-12</c:v>
                </c:pt>
                <c:pt idx="333">
                  <c:v>6-Nov-12</c:v>
                </c:pt>
                <c:pt idx="334">
                  <c:v>13-Nov-12</c:v>
                </c:pt>
                <c:pt idx="335">
                  <c:v>20-Nov-12</c:v>
                </c:pt>
                <c:pt idx="336">
                  <c:v>27-Nov-12</c:v>
                </c:pt>
                <c:pt idx="337">
                  <c:v>4-Dec-12</c:v>
                </c:pt>
                <c:pt idx="338">
                  <c:v>11-Dec-12</c:v>
                </c:pt>
                <c:pt idx="339">
                  <c:v>18-Dec-12</c:v>
                </c:pt>
                <c:pt idx="340">
                  <c:v>25-Dec-12</c:v>
                </c:pt>
                <c:pt idx="341">
                  <c:v>1-Jan-13</c:v>
                </c:pt>
                <c:pt idx="342">
                  <c:v>8-Jan-13</c:v>
                </c:pt>
                <c:pt idx="343">
                  <c:v>15-Jan-13</c:v>
                </c:pt>
                <c:pt idx="344">
                  <c:v>22-Jan-13</c:v>
                </c:pt>
                <c:pt idx="345">
                  <c:v>29-Jan-13</c:v>
                </c:pt>
                <c:pt idx="346">
                  <c:v>5-Feb-13</c:v>
                </c:pt>
                <c:pt idx="347">
                  <c:v>12-Feb-13</c:v>
                </c:pt>
                <c:pt idx="348">
                  <c:v>19-Feb-13</c:v>
                </c:pt>
                <c:pt idx="349">
                  <c:v>26-Feb-13</c:v>
                </c:pt>
                <c:pt idx="350">
                  <c:v>5-Mar-13</c:v>
                </c:pt>
                <c:pt idx="351">
                  <c:v>12-Mar-13</c:v>
                </c:pt>
                <c:pt idx="352">
                  <c:v>19-Mar-13</c:v>
                </c:pt>
                <c:pt idx="353">
                  <c:v>26-Mar-13</c:v>
                </c:pt>
                <c:pt idx="354">
                  <c:v>2-Apr-13</c:v>
                </c:pt>
                <c:pt idx="355">
                  <c:v>9-Apr-13</c:v>
                </c:pt>
                <c:pt idx="356">
                  <c:v>16-Apr-13</c:v>
                </c:pt>
                <c:pt idx="357">
                  <c:v>23-Apr-13</c:v>
                </c:pt>
                <c:pt idx="358">
                  <c:v>30-Apr-13</c:v>
                </c:pt>
                <c:pt idx="359">
                  <c:v>7-May-13</c:v>
                </c:pt>
                <c:pt idx="360">
                  <c:v>14-May-13</c:v>
                </c:pt>
                <c:pt idx="361">
                  <c:v>21-May-13</c:v>
                </c:pt>
                <c:pt idx="362">
                  <c:v>28-May-13</c:v>
                </c:pt>
                <c:pt idx="363">
                  <c:v>4-Jun-13</c:v>
                </c:pt>
                <c:pt idx="364">
                  <c:v>11-Jun-13</c:v>
                </c:pt>
                <c:pt idx="365">
                  <c:v>18-Jun-13</c:v>
                </c:pt>
                <c:pt idx="366">
                  <c:v>25-Jun-13</c:v>
                </c:pt>
                <c:pt idx="367">
                  <c:v>2-Jul-13</c:v>
                </c:pt>
                <c:pt idx="368">
                  <c:v>9-Jul-13</c:v>
                </c:pt>
                <c:pt idx="369">
                  <c:v>16-Jul-13</c:v>
                </c:pt>
                <c:pt idx="370">
                  <c:v>23-Jul-13</c:v>
                </c:pt>
                <c:pt idx="371">
                  <c:v>30-Jul-13</c:v>
                </c:pt>
                <c:pt idx="372">
                  <c:v>6-Aug-13</c:v>
                </c:pt>
                <c:pt idx="373">
                  <c:v>13-Aug-13</c:v>
                </c:pt>
                <c:pt idx="374">
                  <c:v>20-Aug-13</c:v>
                </c:pt>
                <c:pt idx="375">
                  <c:v>27-Aug-13</c:v>
                </c:pt>
                <c:pt idx="376">
                  <c:v>3-Sep-13</c:v>
                </c:pt>
                <c:pt idx="377">
                  <c:v>10-Sep-13</c:v>
                </c:pt>
                <c:pt idx="378">
                  <c:v>17-Sep-13</c:v>
                </c:pt>
                <c:pt idx="379">
                  <c:v>24-Sep-13</c:v>
                </c:pt>
                <c:pt idx="380">
                  <c:v>1-Oct-13</c:v>
                </c:pt>
                <c:pt idx="381">
                  <c:v>8-Oct-13</c:v>
                </c:pt>
                <c:pt idx="382">
                  <c:v>15-Oct-13</c:v>
                </c:pt>
                <c:pt idx="383">
                  <c:v>22-Oct-13</c:v>
                </c:pt>
                <c:pt idx="384">
                  <c:v>29-Oct-13</c:v>
                </c:pt>
                <c:pt idx="385">
                  <c:v>5-Nov-13</c:v>
                </c:pt>
                <c:pt idx="386">
                  <c:v>12-Nov-13</c:v>
                </c:pt>
                <c:pt idx="387">
                  <c:v>19-Nov-13</c:v>
                </c:pt>
                <c:pt idx="388">
                  <c:v>26-Nov-13</c:v>
                </c:pt>
                <c:pt idx="389">
                  <c:v>3-Dec-13</c:v>
                </c:pt>
                <c:pt idx="390">
                  <c:v>10-Dec-13</c:v>
                </c:pt>
                <c:pt idx="391">
                  <c:v>17-Dec-13</c:v>
                </c:pt>
                <c:pt idx="392">
                  <c:v>24-Dec-13</c:v>
                </c:pt>
                <c:pt idx="393">
                  <c:v>31-Dec-13</c:v>
                </c:pt>
                <c:pt idx="394">
                  <c:v>7-Jan-14</c:v>
                </c:pt>
                <c:pt idx="395">
                  <c:v>14-Jan-14</c:v>
                </c:pt>
                <c:pt idx="396">
                  <c:v>21-Jan-14</c:v>
                </c:pt>
                <c:pt idx="397">
                  <c:v>28-Jan-14</c:v>
                </c:pt>
                <c:pt idx="398">
                  <c:v>4-Feb-14</c:v>
                </c:pt>
                <c:pt idx="399">
                  <c:v>11-Feb-14</c:v>
                </c:pt>
                <c:pt idx="400">
                  <c:v>18-Feb-14</c:v>
                </c:pt>
                <c:pt idx="401">
                  <c:v>25-Feb-14</c:v>
                </c:pt>
                <c:pt idx="402">
                  <c:v>4-Mar-14</c:v>
                </c:pt>
                <c:pt idx="403">
                  <c:v>11-Mar-14</c:v>
                </c:pt>
                <c:pt idx="404">
                  <c:v>18-Mar-14</c:v>
                </c:pt>
                <c:pt idx="405">
                  <c:v>25-Mar-14</c:v>
                </c:pt>
                <c:pt idx="406">
                  <c:v>1-Apr-14</c:v>
                </c:pt>
                <c:pt idx="407">
                  <c:v>8-Apr-14</c:v>
                </c:pt>
                <c:pt idx="408">
                  <c:v>15-Apr-14</c:v>
                </c:pt>
                <c:pt idx="409">
                  <c:v>22-Apr-14</c:v>
                </c:pt>
                <c:pt idx="410">
                  <c:v>29-Apr-14</c:v>
                </c:pt>
                <c:pt idx="411">
                  <c:v>6-May-14</c:v>
                </c:pt>
                <c:pt idx="412">
                  <c:v>13-May-14</c:v>
                </c:pt>
                <c:pt idx="413">
                  <c:v>20-May-14</c:v>
                </c:pt>
                <c:pt idx="414">
                  <c:v>27-May-14</c:v>
                </c:pt>
                <c:pt idx="415">
                  <c:v>3-Jun-14</c:v>
                </c:pt>
                <c:pt idx="416">
                  <c:v>10-Jun-14</c:v>
                </c:pt>
                <c:pt idx="417">
                  <c:v>17-Jun-14</c:v>
                </c:pt>
                <c:pt idx="418">
                  <c:v>24-Jun-14</c:v>
                </c:pt>
                <c:pt idx="419">
                  <c:v>1-Jul-14</c:v>
                </c:pt>
                <c:pt idx="420">
                  <c:v>8-Jul-14</c:v>
                </c:pt>
                <c:pt idx="421">
                  <c:v>15-Jul-14</c:v>
                </c:pt>
                <c:pt idx="422">
                  <c:v>22-Jul-14</c:v>
                </c:pt>
                <c:pt idx="423">
                  <c:v>29-Jul-14</c:v>
                </c:pt>
                <c:pt idx="424">
                  <c:v>5-Aug-14</c:v>
                </c:pt>
                <c:pt idx="425">
                  <c:v>12-Aug-14</c:v>
                </c:pt>
                <c:pt idx="426">
                  <c:v>19-Aug-14</c:v>
                </c:pt>
                <c:pt idx="427">
                  <c:v>26-Aug-14</c:v>
                </c:pt>
                <c:pt idx="428">
                  <c:v>2-Sep-14</c:v>
                </c:pt>
                <c:pt idx="429">
                  <c:v>9-Sep-14</c:v>
                </c:pt>
                <c:pt idx="430">
                  <c:v>16-Sep-14</c:v>
                </c:pt>
                <c:pt idx="431">
                  <c:v>23-Sep-14</c:v>
                </c:pt>
                <c:pt idx="432">
                  <c:v>30-Sep-14</c:v>
                </c:pt>
                <c:pt idx="433">
                  <c:v>7-Oct-14</c:v>
                </c:pt>
                <c:pt idx="434">
                  <c:v>14-Oct-14</c:v>
                </c:pt>
                <c:pt idx="435">
                  <c:v>21-Oct-14</c:v>
                </c:pt>
                <c:pt idx="436">
                  <c:v>28-Oct-14</c:v>
                </c:pt>
                <c:pt idx="437">
                  <c:v>4-Nov-14</c:v>
                </c:pt>
                <c:pt idx="438">
                  <c:v>11-Nov-14</c:v>
                </c:pt>
                <c:pt idx="439">
                  <c:v>18-Nov-14</c:v>
                </c:pt>
                <c:pt idx="440">
                  <c:v>25-Nov-14</c:v>
                </c:pt>
                <c:pt idx="441">
                  <c:v>2-Dec-14</c:v>
                </c:pt>
                <c:pt idx="442">
                  <c:v>9-Dec-14</c:v>
                </c:pt>
                <c:pt idx="443">
                  <c:v>16-Dec-14</c:v>
                </c:pt>
                <c:pt idx="444">
                  <c:v>23-Dec-14</c:v>
                </c:pt>
                <c:pt idx="445">
                  <c:v>30-Dec-14</c:v>
                </c:pt>
                <c:pt idx="446">
                  <c:v>6-Jan-15</c:v>
                </c:pt>
                <c:pt idx="447">
                  <c:v>13-Jan-15</c:v>
                </c:pt>
                <c:pt idx="448">
                  <c:v>20-Jan-15</c:v>
                </c:pt>
                <c:pt idx="449">
                  <c:v>27-Jan-15</c:v>
                </c:pt>
                <c:pt idx="450">
                  <c:v>3-Feb-15</c:v>
                </c:pt>
                <c:pt idx="451">
                  <c:v>10-Feb-15</c:v>
                </c:pt>
                <c:pt idx="452">
                  <c:v>17-Feb-15</c:v>
                </c:pt>
                <c:pt idx="453">
                  <c:v>24-Feb-15</c:v>
                </c:pt>
                <c:pt idx="454">
                  <c:v>3-Mar-15</c:v>
                </c:pt>
                <c:pt idx="455">
                  <c:v>10-Mar-15</c:v>
                </c:pt>
                <c:pt idx="456">
                  <c:v>17-Mar-15</c:v>
                </c:pt>
                <c:pt idx="457">
                  <c:v>24-Mar-15</c:v>
                </c:pt>
                <c:pt idx="458">
                  <c:v>31-Mar-15</c:v>
                </c:pt>
                <c:pt idx="459">
                  <c:v>7-Apr-15</c:v>
                </c:pt>
                <c:pt idx="460">
                  <c:v>14-Apr-15</c:v>
                </c:pt>
                <c:pt idx="461">
                  <c:v>21-Apr-15</c:v>
                </c:pt>
                <c:pt idx="462">
                  <c:v>28-Apr-15</c:v>
                </c:pt>
                <c:pt idx="463">
                  <c:v>5-May-15</c:v>
                </c:pt>
                <c:pt idx="464">
                  <c:v>12-May-15</c:v>
                </c:pt>
                <c:pt idx="465">
                  <c:v>19-May-15</c:v>
                </c:pt>
                <c:pt idx="466">
                  <c:v>26-May-15</c:v>
                </c:pt>
                <c:pt idx="467">
                  <c:v>2-Jun-15</c:v>
                </c:pt>
                <c:pt idx="468">
                  <c:v>9-Jun-15</c:v>
                </c:pt>
                <c:pt idx="469">
                  <c:v>16-Jun-15</c:v>
                </c:pt>
                <c:pt idx="470">
                  <c:v>23-Jun-15</c:v>
                </c:pt>
                <c:pt idx="471">
                  <c:v>30-Jun-15</c:v>
                </c:pt>
                <c:pt idx="472">
                  <c:v>7-Jul-15</c:v>
                </c:pt>
                <c:pt idx="473">
                  <c:v>14-Jul-15</c:v>
                </c:pt>
                <c:pt idx="474">
                  <c:v>21-Jul-15</c:v>
                </c:pt>
                <c:pt idx="475">
                  <c:v>28-Jul-15</c:v>
                </c:pt>
                <c:pt idx="476">
                  <c:v>4-Aug-15</c:v>
                </c:pt>
                <c:pt idx="477">
                  <c:v>11-Aug-15</c:v>
                </c:pt>
                <c:pt idx="478">
                  <c:v>18-Aug-15</c:v>
                </c:pt>
                <c:pt idx="479">
                  <c:v>25-Aug-15</c:v>
                </c:pt>
                <c:pt idx="480">
                  <c:v>1-Sep-15</c:v>
                </c:pt>
                <c:pt idx="481">
                  <c:v>8-Sep-15</c:v>
                </c:pt>
                <c:pt idx="482">
                  <c:v>15-Sep-15</c:v>
                </c:pt>
                <c:pt idx="483">
                  <c:v>22-Sep-15</c:v>
                </c:pt>
                <c:pt idx="484">
                  <c:v>29-Sep-15</c:v>
                </c:pt>
                <c:pt idx="485">
                  <c:v>6-Oct-15</c:v>
                </c:pt>
                <c:pt idx="486">
                  <c:v>13-Oct-15</c:v>
                </c:pt>
                <c:pt idx="487">
                  <c:v>20-Oct-15</c:v>
                </c:pt>
                <c:pt idx="488">
                  <c:v>27-Oct-15</c:v>
                </c:pt>
                <c:pt idx="489">
                  <c:v>3-Nov-15</c:v>
                </c:pt>
                <c:pt idx="490">
                  <c:v>10-Nov-15</c:v>
                </c:pt>
                <c:pt idx="491">
                  <c:v>17-Nov-15</c:v>
                </c:pt>
                <c:pt idx="492">
                  <c:v>24-Nov-15</c:v>
                </c:pt>
                <c:pt idx="493">
                  <c:v>1-Dec-15</c:v>
                </c:pt>
                <c:pt idx="494">
                  <c:v>8-Dec-15</c:v>
                </c:pt>
                <c:pt idx="495">
                  <c:v>15-Dec-15</c:v>
                </c:pt>
                <c:pt idx="496">
                  <c:v>22-Dec-15</c:v>
                </c:pt>
                <c:pt idx="497">
                  <c:v>29-Dec-15</c:v>
                </c:pt>
                <c:pt idx="498">
                  <c:v>5-Jan-16</c:v>
                </c:pt>
                <c:pt idx="499">
                  <c:v>12-Jan-16</c:v>
                </c:pt>
                <c:pt idx="500">
                  <c:v>19-Jan-16</c:v>
                </c:pt>
                <c:pt idx="501">
                  <c:v>26-Jan-16</c:v>
                </c:pt>
                <c:pt idx="502">
                  <c:v>2-Feb-16</c:v>
                </c:pt>
                <c:pt idx="503">
                  <c:v>9-Feb-16</c:v>
                </c:pt>
                <c:pt idx="504">
                  <c:v>16-Feb-16</c:v>
                </c:pt>
                <c:pt idx="505">
                  <c:v>23-Feb-16</c:v>
                </c:pt>
                <c:pt idx="506">
                  <c:v>1-Mar-16</c:v>
                </c:pt>
                <c:pt idx="507">
                  <c:v>8-Mar-16</c:v>
                </c:pt>
                <c:pt idx="508">
                  <c:v>15-Mar-16</c:v>
                </c:pt>
                <c:pt idx="509">
                  <c:v>22-Mar-16</c:v>
                </c:pt>
                <c:pt idx="510">
                  <c:v>29-Mar-16</c:v>
                </c:pt>
                <c:pt idx="511">
                  <c:v>5-Apr-16</c:v>
                </c:pt>
                <c:pt idx="512">
                  <c:v>12-Apr-16</c:v>
                </c:pt>
                <c:pt idx="513">
                  <c:v>19-Apr-16</c:v>
                </c:pt>
                <c:pt idx="514">
                  <c:v>26-Apr-16</c:v>
                </c:pt>
                <c:pt idx="515">
                  <c:v>3-May-16</c:v>
                </c:pt>
                <c:pt idx="516">
                  <c:v>10-May-16</c:v>
                </c:pt>
                <c:pt idx="517">
                  <c:v>17-May-16</c:v>
                </c:pt>
                <c:pt idx="518">
                  <c:v>24-May-16</c:v>
                </c:pt>
                <c:pt idx="519">
                  <c:v>31-May-16</c:v>
                </c:pt>
                <c:pt idx="520">
                  <c:v>7-Jun-16</c:v>
                </c:pt>
                <c:pt idx="521">
                  <c:v>14-Jun-16</c:v>
                </c:pt>
                <c:pt idx="522">
                  <c:v>21-Jun-16</c:v>
                </c:pt>
                <c:pt idx="523">
                  <c:v>28-Jun-16</c:v>
                </c:pt>
                <c:pt idx="524">
                  <c:v>5-Jul-16</c:v>
                </c:pt>
                <c:pt idx="525">
                  <c:v>12-Jul-16</c:v>
                </c:pt>
                <c:pt idx="526">
                  <c:v>19-Jul-16</c:v>
                </c:pt>
                <c:pt idx="527">
                  <c:v>26-Jul-16</c:v>
                </c:pt>
                <c:pt idx="528">
                  <c:v>2-Aug-16</c:v>
                </c:pt>
                <c:pt idx="529">
                  <c:v>9-Aug-16</c:v>
                </c:pt>
                <c:pt idx="530">
                  <c:v>16-Aug-16</c:v>
                </c:pt>
                <c:pt idx="531">
                  <c:v>23-Aug-16</c:v>
                </c:pt>
                <c:pt idx="532">
                  <c:v>30-Aug-16</c:v>
                </c:pt>
                <c:pt idx="533">
                  <c:v>6-Sep-16</c:v>
                </c:pt>
                <c:pt idx="534">
                  <c:v>13-Sep-16</c:v>
                </c:pt>
                <c:pt idx="535">
                  <c:v>20-Sep-16</c:v>
                </c:pt>
                <c:pt idx="536">
                  <c:v>27-Sep-16</c:v>
                </c:pt>
                <c:pt idx="537">
                  <c:v>4-Oct-16</c:v>
                </c:pt>
                <c:pt idx="538">
                  <c:v>11-Oct-16</c:v>
                </c:pt>
                <c:pt idx="539">
                  <c:v>18-Oct-16</c:v>
                </c:pt>
                <c:pt idx="540">
                  <c:v>25-Oct-16</c:v>
                </c:pt>
                <c:pt idx="541">
                  <c:v>1-Nov-16</c:v>
                </c:pt>
                <c:pt idx="542">
                  <c:v>8-Nov-16</c:v>
                </c:pt>
                <c:pt idx="543">
                  <c:v>15-Nov-16</c:v>
                </c:pt>
                <c:pt idx="544">
                  <c:v>22-Nov-16</c:v>
                </c:pt>
                <c:pt idx="545">
                  <c:v>29-Nov-16</c:v>
                </c:pt>
                <c:pt idx="546">
                  <c:v>6-Dec-16</c:v>
                </c:pt>
                <c:pt idx="547">
                  <c:v>13-Dec-16</c:v>
                </c:pt>
                <c:pt idx="548">
                  <c:v>20-Dec-16</c:v>
                </c:pt>
                <c:pt idx="549">
                  <c:v>27-Dec-16</c:v>
                </c:pt>
                <c:pt idx="550">
                  <c:v>3-Jan-17</c:v>
                </c:pt>
                <c:pt idx="551">
                  <c:v>10-Jan-17</c:v>
                </c:pt>
                <c:pt idx="552">
                  <c:v>17-Jan-17</c:v>
                </c:pt>
                <c:pt idx="553">
                  <c:v>24-Jan-17</c:v>
                </c:pt>
                <c:pt idx="554">
                  <c:v>31-Jan-17</c:v>
                </c:pt>
                <c:pt idx="555">
                  <c:v>7-Feb-17</c:v>
                </c:pt>
                <c:pt idx="556">
                  <c:v>14-Feb-17</c:v>
                </c:pt>
                <c:pt idx="557">
                  <c:v>21-Feb-17</c:v>
                </c:pt>
                <c:pt idx="558">
                  <c:v>28-Feb-17</c:v>
                </c:pt>
                <c:pt idx="559">
                  <c:v>7-Mar-17</c:v>
                </c:pt>
                <c:pt idx="560">
                  <c:v>14-Mar-17</c:v>
                </c:pt>
                <c:pt idx="561">
                  <c:v>21-Mar-17</c:v>
                </c:pt>
                <c:pt idx="562">
                  <c:v>28-Mar-17</c:v>
                </c:pt>
                <c:pt idx="563">
                  <c:v>4-Apr-17</c:v>
                </c:pt>
                <c:pt idx="564">
                  <c:v>11-Apr-17</c:v>
                </c:pt>
                <c:pt idx="565">
                  <c:v>18-Apr-17</c:v>
                </c:pt>
                <c:pt idx="566">
                  <c:v>25-Apr-17</c:v>
                </c:pt>
                <c:pt idx="567">
                  <c:v>2-May-17</c:v>
                </c:pt>
                <c:pt idx="568">
                  <c:v>9-May-17</c:v>
                </c:pt>
                <c:pt idx="569">
                  <c:v>16-May-17</c:v>
                </c:pt>
                <c:pt idx="570">
                  <c:v>23-May-17</c:v>
                </c:pt>
                <c:pt idx="571">
                  <c:v>30-May-17</c:v>
                </c:pt>
                <c:pt idx="572">
                  <c:v>6-Jun-17</c:v>
                </c:pt>
                <c:pt idx="573">
                  <c:v>13-Jun-17</c:v>
                </c:pt>
                <c:pt idx="574">
                  <c:v>20-Jun-17</c:v>
                </c:pt>
                <c:pt idx="575">
                  <c:v>27-Jun-17</c:v>
                </c:pt>
                <c:pt idx="576">
                  <c:v>4-Jul-17</c:v>
                </c:pt>
                <c:pt idx="577">
                  <c:v>11-Jul-17</c:v>
                </c:pt>
                <c:pt idx="578">
                  <c:v>18-Jul-17</c:v>
                </c:pt>
                <c:pt idx="579">
                  <c:v>25-Jul-17</c:v>
                </c:pt>
                <c:pt idx="580">
                  <c:v>1-Aug-17</c:v>
                </c:pt>
                <c:pt idx="581">
                  <c:v>8-Aug-17</c:v>
                </c:pt>
                <c:pt idx="582">
                  <c:v>15-Aug-17</c:v>
                </c:pt>
                <c:pt idx="583">
                  <c:v>22-Aug-17</c:v>
                </c:pt>
                <c:pt idx="584">
                  <c:v>29-Aug-17</c:v>
                </c:pt>
                <c:pt idx="585">
                  <c:v>5-Sep-17</c:v>
                </c:pt>
                <c:pt idx="586">
                  <c:v>12-Sep-17</c:v>
                </c:pt>
                <c:pt idx="587">
                  <c:v>19-Sep-17</c:v>
                </c:pt>
                <c:pt idx="588">
                  <c:v>26-Sep-17</c:v>
                </c:pt>
                <c:pt idx="589">
                  <c:v>3-Oct-17</c:v>
                </c:pt>
                <c:pt idx="590">
                  <c:v>10-Oct-17</c:v>
                </c:pt>
                <c:pt idx="591">
                  <c:v>17-Oct-17</c:v>
                </c:pt>
                <c:pt idx="592">
                  <c:v>24-Oct-17</c:v>
                </c:pt>
                <c:pt idx="593">
                  <c:v>31-Oct-17</c:v>
                </c:pt>
                <c:pt idx="594">
                  <c:v>7-Nov-17</c:v>
                </c:pt>
                <c:pt idx="595">
                  <c:v>14-Nov-17</c:v>
                </c:pt>
                <c:pt idx="596">
                  <c:v>21-Nov-17</c:v>
                </c:pt>
                <c:pt idx="597">
                  <c:v>28-Nov-17</c:v>
                </c:pt>
                <c:pt idx="598">
                  <c:v>5-Dec-17</c:v>
                </c:pt>
                <c:pt idx="599">
                  <c:v>12-Dec-17</c:v>
                </c:pt>
                <c:pt idx="600">
                  <c:v>19-Dec-17</c:v>
                </c:pt>
                <c:pt idx="601">
                  <c:v>26-Dec-17</c:v>
                </c:pt>
                <c:pt idx="602">
                  <c:v>2-Jan-18</c:v>
                </c:pt>
                <c:pt idx="603">
                  <c:v>9-Jan-18</c:v>
                </c:pt>
                <c:pt idx="604">
                  <c:v>16-Jan-18</c:v>
                </c:pt>
                <c:pt idx="605">
                  <c:v>23-Jan-18</c:v>
                </c:pt>
                <c:pt idx="606">
                  <c:v>30-Jan-18</c:v>
                </c:pt>
                <c:pt idx="607">
                  <c:v>6-Feb-18</c:v>
                </c:pt>
                <c:pt idx="608">
                  <c:v>13-Feb-18</c:v>
                </c:pt>
                <c:pt idx="609">
                  <c:v>20-Feb-18</c:v>
                </c:pt>
                <c:pt idx="610">
                  <c:v>27-Feb-18</c:v>
                </c:pt>
                <c:pt idx="611">
                  <c:v>6-Mar-18</c:v>
                </c:pt>
                <c:pt idx="612">
                  <c:v>13-Mar-18</c:v>
                </c:pt>
                <c:pt idx="613">
                  <c:v>20-Mar-18</c:v>
                </c:pt>
                <c:pt idx="614">
                  <c:v>27-Mar-18</c:v>
                </c:pt>
                <c:pt idx="615">
                  <c:v>3-Apr-18</c:v>
                </c:pt>
                <c:pt idx="616">
                  <c:v>10-Apr-18</c:v>
                </c:pt>
                <c:pt idx="617">
                  <c:v>17-Apr-18</c:v>
                </c:pt>
                <c:pt idx="618">
                  <c:v>24-Apr-18</c:v>
                </c:pt>
                <c:pt idx="619">
                  <c:v>1-May-18</c:v>
                </c:pt>
                <c:pt idx="620">
                  <c:v>8-May-18</c:v>
                </c:pt>
                <c:pt idx="621">
                  <c:v>15-May-18</c:v>
                </c:pt>
                <c:pt idx="622">
                  <c:v>22-May-18</c:v>
                </c:pt>
                <c:pt idx="623">
                  <c:v>29-May-18</c:v>
                </c:pt>
                <c:pt idx="624">
                  <c:v>5-Jun-18</c:v>
                </c:pt>
                <c:pt idx="625">
                  <c:v>12-Jun-18</c:v>
                </c:pt>
                <c:pt idx="626">
                  <c:v>19-Jun-18</c:v>
                </c:pt>
                <c:pt idx="627">
                  <c:v>26-Jun-18</c:v>
                </c:pt>
                <c:pt idx="628">
                  <c:v>3-Jul-18</c:v>
                </c:pt>
                <c:pt idx="629">
                  <c:v>10-Jul-18</c:v>
                </c:pt>
                <c:pt idx="630">
                  <c:v>17-Jul-18</c:v>
                </c:pt>
                <c:pt idx="631">
                  <c:v>24-Jul-18</c:v>
                </c:pt>
                <c:pt idx="632">
                  <c:v>31-Jul-18</c:v>
                </c:pt>
                <c:pt idx="633">
                  <c:v>7-Aug-18</c:v>
                </c:pt>
                <c:pt idx="634">
                  <c:v>14-Aug-18</c:v>
                </c:pt>
                <c:pt idx="635">
                  <c:v>21-Aug-18</c:v>
                </c:pt>
                <c:pt idx="636">
                  <c:v>28-Aug-18</c:v>
                </c:pt>
                <c:pt idx="637">
                  <c:v>4-Sep-18</c:v>
                </c:pt>
                <c:pt idx="638">
                  <c:v>11-Sep-18</c:v>
                </c:pt>
                <c:pt idx="639">
                  <c:v>18-Sep-18</c:v>
                </c:pt>
                <c:pt idx="640">
                  <c:v>25-Sep-18</c:v>
                </c:pt>
                <c:pt idx="641">
                  <c:v>2-Oct-18</c:v>
                </c:pt>
                <c:pt idx="642">
                  <c:v>9-Oct-18</c:v>
                </c:pt>
                <c:pt idx="643">
                  <c:v>16-Oct-18</c:v>
                </c:pt>
                <c:pt idx="644">
                  <c:v>23-Oct-18</c:v>
                </c:pt>
                <c:pt idx="645">
                  <c:v>30-Oct-18</c:v>
                </c:pt>
                <c:pt idx="646">
                  <c:v>6-Nov-18</c:v>
                </c:pt>
                <c:pt idx="647">
                  <c:v>13-Nov-18</c:v>
                </c:pt>
                <c:pt idx="648">
                  <c:v>20-Nov-18</c:v>
                </c:pt>
                <c:pt idx="649">
                  <c:v>27-Nov-18</c:v>
                </c:pt>
                <c:pt idx="650">
                  <c:v>4-Dec-18</c:v>
                </c:pt>
                <c:pt idx="651">
                  <c:v>11-Dec-18</c:v>
                </c:pt>
                <c:pt idx="652">
                  <c:v>18-Dec-18</c:v>
                </c:pt>
                <c:pt idx="653">
                  <c:v>25-Dec-18</c:v>
                </c:pt>
                <c:pt idx="654">
                  <c:v>1-Jan-19</c:v>
                </c:pt>
                <c:pt idx="655">
                  <c:v>8-Jan-19</c:v>
                </c:pt>
                <c:pt idx="656">
                  <c:v>15-Jan-19</c:v>
                </c:pt>
                <c:pt idx="657">
                  <c:v>22-Jan-19</c:v>
                </c:pt>
                <c:pt idx="658">
                  <c:v>29-Jan-19</c:v>
                </c:pt>
                <c:pt idx="659">
                  <c:v>5-Feb-19</c:v>
                </c:pt>
                <c:pt idx="660">
                  <c:v>12-Feb-19</c:v>
                </c:pt>
                <c:pt idx="661">
                  <c:v>19-Feb-19</c:v>
                </c:pt>
                <c:pt idx="662">
                  <c:v>26-Feb-19</c:v>
                </c:pt>
                <c:pt idx="663">
                  <c:v>5-Mar-19</c:v>
                </c:pt>
                <c:pt idx="664">
                  <c:v>12-Mar-19</c:v>
                </c:pt>
                <c:pt idx="665">
                  <c:v>19-Mar-19</c:v>
                </c:pt>
                <c:pt idx="666">
                  <c:v>26-Mar-19</c:v>
                </c:pt>
                <c:pt idx="667">
                  <c:v>2-Apr-19</c:v>
                </c:pt>
                <c:pt idx="668">
                  <c:v>9-Apr-19</c:v>
                </c:pt>
                <c:pt idx="669">
                  <c:v>16-Apr-19</c:v>
                </c:pt>
                <c:pt idx="670">
                  <c:v>23-Apr-19</c:v>
                </c:pt>
                <c:pt idx="671">
                  <c:v>30-Apr-19</c:v>
                </c:pt>
                <c:pt idx="672">
                  <c:v>7-May-19</c:v>
                </c:pt>
                <c:pt idx="673">
                  <c:v>14-May-19</c:v>
                </c:pt>
                <c:pt idx="674">
                  <c:v>21-May-19</c:v>
                </c:pt>
                <c:pt idx="675">
                  <c:v>28-May-19</c:v>
                </c:pt>
                <c:pt idx="676">
                  <c:v>4-Jun-19</c:v>
                </c:pt>
                <c:pt idx="677">
                  <c:v>11-Jun-19</c:v>
                </c:pt>
                <c:pt idx="678">
                  <c:v>18-Jun-19</c:v>
                </c:pt>
                <c:pt idx="679">
                  <c:v>25-Jun-19</c:v>
                </c:pt>
                <c:pt idx="680">
                  <c:v>2-Jul-19</c:v>
                </c:pt>
                <c:pt idx="681">
                  <c:v>9-Jul-19</c:v>
                </c:pt>
                <c:pt idx="682">
                  <c:v>16-Jul-19</c:v>
                </c:pt>
                <c:pt idx="683">
                  <c:v>23-Jul-19</c:v>
                </c:pt>
                <c:pt idx="684">
                  <c:v>30-Jul-19</c:v>
                </c:pt>
                <c:pt idx="685">
                  <c:v>6-Aug-19</c:v>
                </c:pt>
                <c:pt idx="686">
                  <c:v>13-Aug-19</c:v>
                </c:pt>
                <c:pt idx="687">
                  <c:v>20-Aug-19</c:v>
                </c:pt>
                <c:pt idx="688">
                  <c:v>27-Aug-19</c:v>
                </c:pt>
                <c:pt idx="689">
                  <c:v>3-Sep-19</c:v>
                </c:pt>
                <c:pt idx="690">
                  <c:v>10-Sep-19</c:v>
                </c:pt>
                <c:pt idx="691">
                  <c:v>17-Sep-19</c:v>
                </c:pt>
                <c:pt idx="692">
                  <c:v>24-Sep-19</c:v>
                </c:pt>
                <c:pt idx="693">
                  <c:v>1-Oct-19</c:v>
                </c:pt>
                <c:pt idx="694">
                  <c:v>8-Oct-19</c:v>
                </c:pt>
                <c:pt idx="695">
                  <c:v>15-Oct-19</c:v>
                </c:pt>
                <c:pt idx="696">
                  <c:v>22-Oct-19</c:v>
                </c:pt>
                <c:pt idx="697">
                  <c:v>29-Oct-19</c:v>
                </c:pt>
                <c:pt idx="698">
                  <c:v>5-Nov-19</c:v>
                </c:pt>
                <c:pt idx="699">
                  <c:v>12-Nov-19</c:v>
                </c:pt>
                <c:pt idx="700">
                  <c:v>19-Nov-19</c:v>
                </c:pt>
                <c:pt idx="701">
                  <c:v>26-Nov-19</c:v>
                </c:pt>
                <c:pt idx="702">
                  <c:v>3-Dec-19</c:v>
                </c:pt>
                <c:pt idx="703">
                  <c:v>10-Dec-19</c:v>
                </c:pt>
                <c:pt idx="704">
                  <c:v>17-Dec-19</c:v>
                </c:pt>
                <c:pt idx="705">
                  <c:v>24-Dec-19</c:v>
                </c:pt>
                <c:pt idx="706">
                  <c:v>31-Dec-19</c:v>
                </c:pt>
                <c:pt idx="707">
                  <c:v>7-Jan-20</c:v>
                </c:pt>
                <c:pt idx="708">
                  <c:v>14-Jan-20</c:v>
                </c:pt>
                <c:pt idx="709">
                  <c:v>21-Jan-20</c:v>
                </c:pt>
                <c:pt idx="710">
                  <c:v>28-Jan-20</c:v>
                </c:pt>
                <c:pt idx="711">
                  <c:v>4-Feb-20</c:v>
                </c:pt>
                <c:pt idx="712">
                  <c:v>11-Feb-20</c:v>
                </c:pt>
                <c:pt idx="713">
                  <c:v>18-Feb-20</c:v>
                </c:pt>
                <c:pt idx="714">
                  <c:v>25-Feb-20</c:v>
                </c:pt>
                <c:pt idx="715">
                  <c:v>3-Mar-20</c:v>
                </c:pt>
                <c:pt idx="716">
                  <c:v>10-Mar-20</c:v>
                </c:pt>
                <c:pt idx="717">
                  <c:v>17-Mar-20</c:v>
                </c:pt>
                <c:pt idx="718">
                  <c:v>24-Mar-20</c:v>
                </c:pt>
                <c:pt idx="719">
                  <c:v>31-Mar-20</c:v>
                </c:pt>
                <c:pt idx="720">
                  <c:v>7-Apr-20</c:v>
                </c:pt>
                <c:pt idx="721">
                  <c:v>14-Apr-20</c:v>
                </c:pt>
                <c:pt idx="722">
                  <c:v>21-Apr-20</c:v>
                </c:pt>
                <c:pt idx="723">
                  <c:v>28-Apr-20</c:v>
                </c:pt>
                <c:pt idx="724">
                  <c:v>5-May-20</c:v>
                </c:pt>
                <c:pt idx="725">
                  <c:v>12-May-20</c:v>
                </c:pt>
                <c:pt idx="726">
                  <c:v>19-May-20</c:v>
                </c:pt>
                <c:pt idx="727">
                  <c:v>26-May-20</c:v>
                </c:pt>
                <c:pt idx="728">
                  <c:v>2-Jun-20</c:v>
                </c:pt>
                <c:pt idx="729">
                  <c:v>9-Jun-20</c:v>
                </c:pt>
                <c:pt idx="730">
                  <c:v>16-Jun-20</c:v>
                </c:pt>
                <c:pt idx="731">
                  <c:v>23-Jun-20</c:v>
                </c:pt>
                <c:pt idx="732">
                  <c:v>30-Jun-20</c:v>
                </c:pt>
                <c:pt idx="733">
                  <c:v>7-Jul-20</c:v>
                </c:pt>
                <c:pt idx="734">
                  <c:v>14-Jul-20</c:v>
                </c:pt>
                <c:pt idx="735">
                  <c:v>21-Jul-20</c:v>
                </c:pt>
                <c:pt idx="736">
                  <c:v>28-Jul-20</c:v>
                </c:pt>
                <c:pt idx="737">
                  <c:v>4-Aug-20</c:v>
                </c:pt>
                <c:pt idx="738">
                  <c:v>11-Aug-20</c:v>
                </c:pt>
                <c:pt idx="739">
                  <c:v>18-Aug-20</c:v>
                </c:pt>
                <c:pt idx="740">
                  <c:v>25-Aug-20</c:v>
                </c:pt>
                <c:pt idx="741">
                  <c:v>1-Sep-20</c:v>
                </c:pt>
                <c:pt idx="742">
                  <c:v>8-Sep-20</c:v>
                </c:pt>
                <c:pt idx="743">
                  <c:v>15-Sep-20</c:v>
                </c:pt>
                <c:pt idx="744">
                  <c:v>22-Sep-20</c:v>
                </c:pt>
                <c:pt idx="745">
                  <c:v>29-Sep-20</c:v>
                </c:pt>
                <c:pt idx="746">
                  <c:v>6-Oct-20</c:v>
                </c:pt>
                <c:pt idx="747">
                  <c:v>13-Oct-20</c:v>
                </c:pt>
                <c:pt idx="748">
                  <c:v>20-Oct-20</c:v>
                </c:pt>
                <c:pt idx="749">
                  <c:v>27-Oct-20</c:v>
                </c:pt>
                <c:pt idx="750">
                  <c:v>3-Nov-20</c:v>
                </c:pt>
                <c:pt idx="751">
                  <c:v>10-Nov-20</c:v>
                </c:pt>
                <c:pt idx="752">
                  <c:v>17-Nov-20</c:v>
                </c:pt>
                <c:pt idx="753">
                  <c:v>24-Nov-20</c:v>
                </c:pt>
                <c:pt idx="754">
                  <c:v>1-Dec-20</c:v>
                </c:pt>
                <c:pt idx="755">
                  <c:v>8-Dec-20</c:v>
                </c:pt>
                <c:pt idx="756">
                  <c:v>15-Dec-20</c:v>
                </c:pt>
                <c:pt idx="757">
                  <c:v>22-Dec-20</c:v>
                </c:pt>
                <c:pt idx="758">
                  <c:v>29-Dec-20</c:v>
                </c:pt>
                <c:pt idx="759">
                  <c:v>5-Jan-21</c:v>
                </c:pt>
                <c:pt idx="760">
                  <c:v>12-Jan-21</c:v>
                </c:pt>
                <c:pt idx="761">
                  <c:v>19-Jan-21</c:v>
                </c:pt>
                <c:pt idx="762">
                  <c:v>26-Jan-21</c:v>
                </c:pt>
                <c:pt idx="763">
                  <c:v>2-Feb-21</c:v>
                </c:pt>
                <c:pt idx="764">
                  <c:v>9-Feb-21</c:v>
                </c:pt>
                <c:pt idx="765">
                  <c:v>16-Feb-21</c:v>
                </c:pt>
                <c:pt idx="766">
                  <c:v>23-Feb-21</c:v>
                </c:pt>
                <c:pt idx="767">
                  <c:v>2-Mar-21</c:v>
                </c:pt>
                <c:pt idx="768">
                  <c:v>9-Mar-21</c:v>
                </c:pt>
                <c:pt idx="769">
                  <c:v>16-Mar-21</c:v>
                </c:pt>
                <c:pt idx="770">
                  <c:v>23-Mar-21</c:v>
                </c:pt>
                <c:pt idx="771">
                  <c:v>30-Mar-21</c:v>
                </c:pt>
                <c:pt idx="772">
                  <c:v>6-Apr-21</c:v>
                </c:pt>
                <c:pt idx="773">
                  <c:v>13-Apr-21</c:v>
                </c:pt>
                <c:pt idx="774">
                  <c:v>20-Apr-21</c:v>
                </c:pt>
                <c:pt idx="775">
                  <c:v>27-Apr-21</c:v>
                </c:pt>
                <c:pt idx="776">
                  <c:v>4-May-21</c:v>
                </c:pt>
                <c:pt idx="777">
                  <c:v>11-May-21</c:v>
                </c:pt>
                <c:pt idx="778">
                  <c:v>18-May-21</c:v>
                </c:pt>
                <c:pt idx="779">
                  <c:v>25-May-21</c:v>
                </c:pt>
                <c:pt idx="780">
                  <c:v>1-Jun-21</c:v>
                </c:pt>
                <c:pt idx="781">
                  <c:v>8-Jun-21</c:v>
                </c:pt>
                <c:pt idx="782">
                  <c:v>15-Jun-21</c:v>
                </c:pt>
                <c:pt idx="783">
                  <c:v>22-Jun-21</c:v>
                </c:pt>
                <c:pt idx="784">
                  <c:v>29-Jun-21</c:v>
                </c:pt>
                <c:pt idx="785">
                  <c:v>6-Jul-21</c:v>
                </c:pt>
                <c:pt idx="786">
                  <c:v>13-Jul-21</c:v>
                </c:pt>
                <c:pt idx="787">
                  <c:v>20-Jul-21</c:v>
                </c:pt>
                <c:pt idx="788">
                  <c:v>27-Jul-21</c:v>
                </c:pt>
                <c:pt idx="789">
                  <c:v>3-Aug-21</c:v>
                </c:pt>
                <c:pt idx="790">
                  <c:v>10-Aug-21</c:v>
                </c:pt>
                <c:pt idx="791">
                  <c:v>17-Aug-21</c:v>
                </c:pt>
                <c:pt idx="792">
                  <c:v>24-Aug-21</c:v>
                </c:pt>
                <c:pt idx="793">
                  <c:v>31-Aug-21</c:v>
                </c:pt>
                <c:pt idx="794">
                  <c:v>7-Sep-21</c:v>
                </c:pt>
                <c:pt idx="795">
                  <c:v>14-Sep-21</c:v>
                </c:pt>
                <c:pt idx="796">
                  <c:v>21-Sep-21</c:v>
                </c:pt>
                <c:pt idx="797">
                  <c:v>28-Sep-21</c:v>
                </c:pt>
                <c:pt idx="798">
                  <c:v>5-Oct-21</c:v>
                </c:pt>
                <c:pt idx="799">
                  <c:v>12-Oct-21</c:v>
                </c:pt>
                <c:pt idx="800">
                  <c:v>19-Oct-21</c:v>
                </c:pt>
                <c:pt idx="801">
                  <c:v>26-Oct-21</c:v>
                </c:pt>
                <c:pt idx="802">
                  <c:v>2-Nov-21</c:v>
                </c:pt>
                <c:pt idx="803">
                  <c:v>9-Nov-21</c:v>
                </c:pt>
                <c:pt idx="804">
                  <c:v>16-Nov-21</c:v>
                </c:pt>
                <c:pt idx="805">
                  <c:v>23-Nov-21</c:v>
                </c:pt>
                <c:pt idx="806">
                  <c:v>30-Nov-21</c:v>
                </c:pt>
                <c:pt idx="807">
                  <c:v>7-Dec-21</c:v>
                </c:pt>
                <c:pt idx="808">
                  <c:v>14-Dec-21</c:v>
                </c:pt>
                <c:pt idx="809">
                  <c:v>21-Dec-21</c:v>
                </c:pt>
                <c:pt idx="810">
                  <c:v>28-Dec-21</c:v>
                </c:pt>
                <c:pt idx="811">
                  <c:v>4-Jan-22</c:v>
                </c:pt>
                <c:pt idx="812">
                  <c:v>11-Jan-22</c:v>
                </c:pt>
                <c:pt idx="813">
                  <c:v>18-Jan-22</c:v>
                </c:pt>
                <c:pt idx="814">
                  <c:v>25-Jan-22</c:v>
                </c:pt>
                <c:pt idx="815">
                  <c:v>1-Feb-22</c:v>
                </c:pt>
                <c:pt idx="816">
                  <c:v>8-Feb-22</c:v>
                </c:pt>
                <c:pt idx="817">
                  <c:v>15-Feb-22</c:v>
                </c:pt>
                <c:pt idx="818">
                  <c:v>22-Feb-22</c:v>
                </c:pt>
                <c:pt idx="819">
                  <c:v>1-Mar-22</c:v>
                </c:pt>
                <c:pt idx="820">
                  <c:v>8-Mar-22</c:v>
                </c:pt>
                <c:pt idx="821">
                  <c:v>15-Mar-22</c:v>
                </c:pt>
                <c:pt idx="822">
                  <c:v>22-Mar-22</c:v>
                </c:pt>
                <c:pt idx="823">
                  <c:v>29-Mar-22</c:v>
                </c:pt>
                <c:pt idx="824">
                  <c:v>5-Apr-22</c:v>
                </c:pt>
                <c:pt idx="825">
                  <c:v>12-Apr-22</c:v>
                </c:pt>
                <c:pt idx="826">
                  <c:v>19-Apr-22</c:v>
                </c:pt>
                <c:pt idx="827">
                  <c:v>26-Apr-22</c:v>
                </c:pt>
                <c:pt idx="828">
                  <c:v>3-May-22</c:v>
                </c:pt>
                <c:pt idx="829">
                  <c:v>10-May-22</c:v>
                </c:pt>
                <c:pt idx="830">
                  <c:v>17-May-22</c:v>
                </c:pt>
                <c:pt idx="831">
                  <c:v>24-May-22</c:v>
                </c:pt>
                <c:pt idx="832">
                  <c:v>31-May-22</c:v>
                </c:pt>
                <c:pt idx="833">
                  <c:v>7-Jun-22</c:v>
                </c:pt>
                <c:pt idx="834">
                  <c:v>14-Jun-22</c:v>
                </c:pt>
                <c:pt idx="835">
                  <c:v>21-Jun-22</c:v>
                </c:pt>
                <c:pt idx="836">
                  <c:v>28-Jun-22</c:v>
                </c:pt>
                <c:pt idx="837">
                  <c:v>5-Jul-22</c:v>
                </c:pt>
                <c:pt idx="838">
                  <c:v>12-Jul-22</c:v>
                </c:pt>
                <c:pt idx="839">
                  <c:v>19-Jul-22</c:v>
                </c:pt>
                <c:pt idx="840">
                  <c:v>26-Jul-22</c:v>
                </c:pt>
                <c:pt idx="841">
                  <c:v>2-Aug-22</c:v>
                </c:pt>
                <c:pt idx="842">
                  <c:v>9-Aug-22</c:v>
                </c:pt>
                <c:pt idx="843">
                  <c:v>16-Aug-22</c:v>
                </c:pt>
                <c:pt idx="844">
                  <c:v>23-Aug-22</c:v>
                </c:pt>
                <c:pt idx="845">
                  <c:v>30-Aug-22</c:v>
                </c:pt>
                <c:pt idx="846">
                  <c:v>6-Sep-22</c:v>
                </c:pt>
                <c:pt idx="847">
                  <c:v>13-Sep-22</c:v>
                </c:pt>
                <c:pt idx="848">
                  <c:v>20-Sep-22</c:v>
                </c:pt>
                <c:pt idx="849">
                  <c:v>27-Sep-22</c:v>
                </c:pt>
                <c:pt idx="850">
                  <c:v>4-Oct-22</c:v>
                </c:pt>
                <c:pt idx="851">
                  <c:v>11-Oct-22</c:v>
                </c:pt>
                <c:pt idx="852">
                  <c:v>18-Oct-22</c:v>
                </c:pt>
                <c:pt idx="853">
                  <c:v>25-Oct-22</c:v>
                </c:pt>
                <c:pt idx="854">
                  <c:v>1-Nov-22</c:v>
                </c:pt>
                <c:pt idx="855">
                  <c:v>8-Nov-22</c:v>
                </c:pt>
                <c:pt idx="856">
                  <c:v>15-Nov-22</c:v>
                </c:pt>
                <c:pt idx="857">
                  <c:v>22-Nov-22</c:v>
                </c:pt>
                <c:pt idx="858">
                  <c:v>29-Nov-22</c:v>
                </c:pt>
                <c:pt idx="859">
                  <c:v>6-Dec-22</c:v>
                </c:pt>
                <c:pt idx="860">
                  <c:v>13-Dec-22</c:v>
                </c:pt>
                <c:pt idx="861">
                  <c:v>20-Dec-22</c:v>
                </c:pt>
                <c:pt idx="862">
                  <c:v>27-Dec-22</c:v>
                </c:pt>
                <c:pt idx="863">
                  <c:v>3-Jan-23</c:v>
                </c:pt>
                <c:pt idx="864">
                  <c:v>10-Jan-23</c:v>
                </c:pt>
                <c:pt idx="865">
                  <c:v>17-Jan-23</c:v>
                </c:pt>
                <c:pt idx="866">
                  <c:v>24-Jan-23</c:v>
                </c:pt>
                <c:pt idx="867">
                  <c:v>31-Jan-23</c:v>
                </c:pt>
                <c:pt idx="868">
                  <c:v>7-Feb-23</c:v>
                </c:pt>
                <c:pt idx="869">
                  <c:v>14-Feb-23</c:v>
                </c:pt>
                <c:pt idx="870">
                  <c:v>21-Feb-23</c:v>
                </c:pt>
                <c:pt idx="871">
                  <c:v>28-Feb-23</c:v>
                </c:pt>
                <c:pt idx="872">
                  <c:v>7-Mar-23</c:v>
                </c:pt>
                <c:pt idx="873">
                  <c:v>14-Mar-23</c:v>
                </c:pt>
                <c:pt idx="874">
                  <c:v>21-Mar-23</c:v>
                </c:pt>
                <c:pt idx="875">
                  <c:v>28-Mar-23</c:v>
                </c:pt>
                <c:pt idx="876">
                  <c:v>4-Apr-23</c:v>
                </c:pt>
                <c:pt idx="877">
                  <c:v>11-Apr-23</c:v>
                </c:pt>
                <c:pt idx="878">
                  <c:v>18-Apr-23</c:v>
                </c:pt>
                <c:pt idx="879">
                  <c:v>25-Apr-23</c:v>
                </c:pt>
                <c:pt idx="880">
                  <c:v>2-May-23</c:v>
                </c:pt>
                <c:pt idx="881">
                  <c:v>9-May-23</c:v>
                </c:pt>
                <c:pt idx="882">
                  <c:v>16-May-23</c:v>
                </c:pt>
                <c:pt idx="883">
                  <c:v>23-May-23</c:v>
                </c:pt>
                <c:pt idx="884">
                  <c:v>30-May-23</c:v>
                </c:pt>
                <c:pt idx="885">
                  <c:v>6-Jun-23</c:v>
                </c:pt>
                <c:pt idx="886">
                  <c:v>13-Jun-23</c:v>
                </c:pt>
                <c:pt idx="887">
                  <c:v>20-Jun-23</c:v>
                </c:pt>
                <c:pt idx="888">
                  <c:v>27-Jun-23</c:v>
                </c:pt>
                <c:pt idx="889">
                  <c:v>4-Jul-23</c:v>
                </c:pt>
                <c:pt idx="890">
                  <c:v>11-Jul-23</c:v>
                </c:pt>
                <c:pt idx="891">
                  <c:v>18-Jul-23</c:v>
                </c:pt>
                <c:pt idx="892">
                  <c:v>25-Jul-23</c:v>
                </c:pt>
                <c:pt idx="893">
                  <c:v>1-Aug-23</c:v>
                </c:pt>
                <c:pt idx="894">
                  <c:v>8-Aug-23</c:v>
                </c:pt>
                <c:pt idx="895">
                  <c:v>15-Aug-23</c:v>
                </c:pt>
                <c:pt idx="896">
                  <c:v>22-Aug-23</c:v>
                </c:pt>
                <c:pt idx="897">
                  <c:v>29-Aug-23</c:v>
                </c:pt>
                <c:pt idx="898">
                  <c:v>5-Sep-23</c:v>
                </c:pt>
                <c:pt idx="899">
                  <c:v>12-Sep-23</c:v>
                </c:pt>
                <c:pt idx="900">
                  <c:v>19-Sep-23</c:v>
                </c:pt>
                <c:pt idx="901">
                  <c:v>26-Sep-23</c:v>
                </c:pt>
                <c:pt idx="902">
                  <c:v>3-Oct-23</c:v>
                </c:pt>
                <c:pt idx="903">
                  <c:v>10-Oct-23</c:v>
                </c:pt>
                <c:pt idx="904">
                  <c:v>17-Oct-23</c:v>
                </c:pt>
                <c:pt idx="905">
                  <c:v>24-Oct-23</c:v>
                </c:pt>
                <c:pt idx="906">
                  <c:v>31-Oct-23</c:v>
                </c:pt>
                <c:pt idx="907">
                  <c:v>7-Nov-23</c:v>
                </c:pt>
                <c:pt idx="908">
                  <c:v>14-Nov-23</c:v>
                </c:pt>
                <c:pt idx="909">
                  <c:v>21-Nov-23</c:v>
                </c:pt>
                <c:pt idx="910">
                  <c:v>28-Nov-23</c:v>
                </c:pt>
                <c:pt idx="911">
                  <c:v>5-Dec-23</c:v>
                </c:pt>
                <c:pt idx="912">
                  <c:v>12-Dec-23</c:v>
                </c:pt>
                <c:pt idx="913">
                  <c:v>19-Dec-23</c:v>
                </c:pt>
                <c:pt idx="914">
                  <c:v>26-Dec-23</c:v>
                </c:pt>
                <c:pt idx="915">
                  <c:v>2-Jan-24</c:v>
                </c:pt>
                <c:pt idx="916">
                  <c:v>9-Jan-24</c:v>
                </c:pt>
                <c:pt idx="917">
                  <c:v>16-Jan-24</c:v>
                </c:pt>
                <c:pt idx="918">
                  <c:v>23-Jan-24</c:v>
                </c:pt>
                <c:pt idx="919">
                  <c:v>30-Jan-24</c:v>
                </c:pt>
                <c:pt idx="920">
                  <c:v>6-Feb-24</c:v>
                </c:pt>
                <c:pt idx="921">
                  <c:v>13-Feb-24</c:v>
                </c:pt>
                <c:pt idx="922">
                  <c:v>20-Feb-24</c:v>
                </c:pt>
                <c:pt idx="923">
                  <c:v>27-Feb-24</c:v>
                </c:pt>
                <c:pt idx="924">
                  <c:v>5-Mar-24</c:v>
                </c:pt>
                <c:pt idx="925">
                  <c:v>12-Mar-24</c:v>
                </c:pt>
                <c:pt idx="926">
                  <c:v>19-Mar-24</c:v>
                </c:pt>
                <c:pt idx="927">
                  <c:v>26-Mar-24</c:v>
                </c:pt>
                <c:pt idx="928">
                  <c:v>2-Apr-24</c:v>
                </c:pt>
                <c:pt idx="929">
                  <c:v>9-Apr-24</c:v>
                </c:pt>
                <c:pt idx="930">
                  <c:v>16-Apr-24</c:v>
                </c:pt>
                <c:pt idx="931">
                  <c:v>23-Apr-24</c:v>
                </c:pt>
                <c:pt idx="932">
                  <c:v>30-Apr-24</c:v>
                </c:pt>
                <c:pt idx="933">
                  <c:v>7-May-24</c:v>
                </c:pt>
                <c:pt idx="934">
                  <c:v>14-May-24</c:v>
                </c:pt>
                <c:pt idx="935">
                  <c:v>21-May-24</c:v>
                </c:pt>
                <c:pt idx="936">
                  <c:v>28-May-24</c:v>
                </c:pt>
                <c:pt idx="937">
                  <c:v>4-Jun-24</c:v>
                </c:pt>
                <c:pt idx="938">
                  <c:v>11-Jun-24</c:v>
                </c:pt>
                <c:pt idx="939">
                  <c:v>18-Jun-24</c:v>
                </c:pt>
                <c:pt idx="940">
                  <c:v>25-Jun-24</c:v>
                </c:pt>
                <c:pt idx="941">
                  <c:v>2-Jul-24</c:v>
                </c:pt>
                <c:pt idx="942">
                  <c:v>9-Jul-24</c:v>
                </c:pt>
                <c:pt idx="943">
                  <c:v>16-Jul-24</c:v>
                </c:pt>
                <c:pt idx="944">
                  <c:v>23-Jul-24</c:v>
                </c:pt>
                <c:pt idx="945">
                  <c:v>30-Jul-24</c:v>
                </c:pt>
                <c:pt idx="946">
                  <c:v>6-Aug-24</c:v>
                </c:pt>
                <c:pt idx="947">
                  <c:v>13-Aug-24</c:v>
                </c:pt>
                <c:pt idx="948">
                  <c:v>20-Aug-24</c:v>
                </c:pt>
                <c:pt idx="949">
                  <c:v>27-Aug-24</c:v>
                </c:pt>
                <c:pt idx="950">
                  <c:v>3-Sep-24</c:v>
                </c:pt>
                <c:pt idx="951">
                  <c:v>10-Sep-24</c:v>
                </c:pt>
                <c:pt idx="952">
                  <c:v>17-Sep-24</c:v>
                </c:pt>
                <c:pt idx="953">
                  <c:v>24-Sep-24</c:v>
                </c:pt>
                <c:pt idx="954">
                  <c:v>1-Oct-24</c:v>
                </c:pt>
                <c:pt idx="955">
                  <c:v>8-Oct-24</c:v>
                </c:pt>
                <c:pt idx="956">
                  <c:v>15-Oct-24</c:v>
                </c:pt>
                <c:pt idx="957">
                  <c:v>22-Oct-24</c:v>
                </c:pt>
                <c:pt idx="958">
                  <c:v>29-Oct-24</c:v>
                </c:pt>
                <c:pt idx="959">
                  <c:v>5-Nov-24</c:v>
                </c:pt>
                <c:pt idx="960">
                  <c:v>12-Nov-24</c:v>
                </c:pt>
                <c:pt idx="961">
                  <c:v>19-Nov-24</c:v>
                </c:pt>
                <c:pt idx="962">
                  <c:v>26-Nov-24</c:v>
                </c:pt>
                <c:pt idx="963">
                  <c:v>3-Dec-24</c:v>
                </c:pt>
                <c:pt idx="964">
                  <c:v>10-Dec-24</c:v>
                </c:pt>
                <c:pt idx="997">
                  <c:v>USE THE CONTINUOUS NEARBY CONTRACT FOR THE CHART DATA. </c:v>
                </c:pt>
              </c:strCache>
            </c:strRef>
          </c:cat>
          <c:val>
            <c:numRef>
              <c:f>Data!$AX$3:$AX$1000</c:f>
              <c:numCache>
                <c:formatCode>#,##0_);[Red]\(#,##0\)</c:formatCode>
                <c:ptCount val="998"/>
                <c:pt idx="0">
                  <c:v>186588</c:v>
                </c:pt>
                <c:pt idx="1">
                  <c:v>136497</c:v>
                </c:pt>
                <c:pt idx="2">
                  <c:v>107306</c:v>
                </c:pt>
                <c:pt idx="3">
                  <c:v>117589</c:v>
                </c:pt>
                <c:pt idx="4">
                  <c:v>160576</c:v>
                </c:pt>
                <c:pt idx="5">
                  <c:v>190345</c:v>
                </c:pt>
                <c:pt idx="6">
                  <c:v>172038</c:v>
                </c:pt>
                <c:pt idx="7">
                  <c:v>171041</c:v>
                </c:pt>
                <c:pt idx="8">
                  <c:v>159016</c:v>
                </c:pt>
                <c:pt idx="9">
                  <c:v>90110</c:v>
                </c:pt>
                <c:pt idx="10">
                  <c:v>80634</c:v>
                </c:pt>
                <c:pt idx="11">
                  <c:v>85417</c:v>
                </c:pt>
                <c:pt idx="12">
                  <c:v>96573</c:v>
                </c:pt>
                <c:pt idx="13">
                  <c:v>74097</c:v>
                </c:pt>
                <c:pt idx="14">
                  <c:v>98215</c:v>
                </c:pt>
                <c:pt idx="15">
                  <c:v>167329</c:v>
                </c:pt>
                <c:pt idx="16">
                  <c:v>201129</c:v>
                </c:pt>
                <c:pt idx="17">
                  <c:v>213798</c:v>
                </c:pt>
                <c:pt idx="18">
                  <c:v>247255</c:v>
                </c:pt>
                <c:pt idx="19">
                  <c:v>246569</c:v>
                </c:pt>
                <c:pt idx="20">
                  <c:v>246586</c:v>
                </c:pt>
                <c:pt idx="21">
                  <c:v>263423</c:v>
                </c:pt>
                <c:pt idx="22">
                  <c:v>269146</c:v>
                </c:pt>
                <c:pt idx="23">
                  <c:v>277379</c:v>
                </c:pt>
                <c:pt idx="24">
                  <c:v>263856</c:v>
                </c:pt>
                <c:pt idx="25">
                  <c:v>257392</c:v>
                </c:pt>
                <c:pt idx="26">
                  <c:v>269925</c:v>
                </c:pt>
                <c:pt idx="27">
                  <c:v>272060</c:v>
                </c:pt>
                <c:pt idx="28">
                  <c:v>274012</c:v>
                </c:pt>
                <c:pt idx="29">
                  <c:v>225038</c:v>
                </c:pt>
                <c:pt idx="30">
                  <c:v>268077</c:v>
                </c:pt>
                <c:pt idx="31">
                  <c:v>280169</c:v>
                </c:pt>
                <c:pt idx="32">
                  <c:v>276771</c:v>
                </c:pt>
                <c:pt idx="33">
                  <c:v>261829</c:v>
                </c:pt>
                <c:pt idx="34">
                  <c:v>293807</c:v>
                </c:pt>
                <c:pt idx="35">
                  <c:v>300054</c:v>
                </c:pt>
                <c:pt idx="36">
                  <c:v>294056</c:v>
                </c:pt>
                <c:pt idx="37">
                  <c:v>265743</c:v>
                </c:pt>
                <c:pt idx="38">
                  <c:v>235389</c:v>
                </c:pt>
                <c:pt idx="39">
                  <c:v>231718</c:v>
                </c:pt>
                <c:pt idx="40">
                  <c:v>217552</c:v>
                </c:pt>
                <c:pt idx="41">
                  <c:v>150925</c:v>
                </c:pt>
                <c:pt idx="42">
                  <c:v>157047</c:v>
                </c:pt>
                <c:pt idx="43">
                  <c:v>153911</c:v>
                </c:pt>
                <c:pt idx="44">
                  <c:v>162509</c:v>
                </c:pt>
                <c:pt idx="45">
                  <c:v>175775</c:v>
                </c:pt>
                <c:pt idx="46">
                  <c:v>165002</c:v>
                </c:pt>
                <c:pt idx="47">
                  <c:v>159523</c:v>
                </c:pt>
                <c:pt idx="48">
                  <c:v>146155</c:v>
                </c:pt>
                <c:pt idx="49">
                  <c:v>134890</c:v>
                </c:pt>
                <c:pt idx="50">
                  <c:v>168418</c:v>
                </c:pt>
                <c:pt idx="51">
                  <c:v>183250</c:v>
                </c:pt>
                <c:pt idx="52">
                  <c:v>216525</c:v>
                </c:pt>
                <c:pt idx="53">
                  <c:v>176258</c:v>
                </c:pt>
                <c:pt idx="54">
                  <c:v>141101</c:v>
                </c:pt>
                <c:pt idx="55">
                  <c:v>148193</c:v>
                </c:pt>
                <c:pt idx="56">
                  <c:v>117064</c:v>
                </c:pt>
                <c:pt idx="57">
                  <c:v>112113</c:v>
                </c:pt>
                <c:pt idx="58">
                  <c:v>117889</c:v>
                </c:pt>
                <c:pt idx="59">
                  <c:v>123472</c:v>
                </c:pt>
                <c:pt idx="60">
                  <c:v>129652</c:v>
                </c:pt>
                <c:pt idx="61">
                  <c:v>133060</c:v>
                </c:pt>
                <c:pt idx="62">
                  <c:v>130241</c:v>
                </c:pt>
                <c:pt idx="63">
                  <c:v>117505</c:v>
                </c:pt>
                <c:pt idx="64">
                  <c:v>114082</c:v>
                </c:pt>
                <c:pt idx="65">
                  <c:v>124803</c:v>
                </c:pt>
                <c:pt idx="66">
                  <c:v>152951</c:v>
                </c:pt>
                <c:pt idx="67">
                  <c:v>133865</c:v>
                </c:pt>
                <c:pt idx="68">
                  <c:v>101769</c:v>
                </c:pt>
                <c:pt idx="69">
                  <c:v>110442</c:v>
                </c:pt>
                <c:pt idx="70">
                  <c:v>119645</c:v>
                </c:pt>
                <c:pt idx="71">
                  <c:v>136741</c:v>
                </c:pt>
                <c:pt idx="72">
                  <c:v>168721</c:v>
                </c:pt>
                <c:pt idx="73">
                  <c:v>165665</c:v>
                </c:pt>
                <c:pt idx="74">
                  <c:v>177628</c:v>
                </c:pt>
                <c:pt idx="75">
                  <c:v>177684</c:v>
                </c:pt>
                <c:pt idx="76">
                  <c:v>194213</c:v>
                </c:pt>
                <c:pt idx="77">
                  <c:v>201181</c:v>
                </c:pt>
                <c:pt idx="78">
                  <c:v>229523</c:v>
                </c:pt>
                <c:pt idx="79">
                  <c:v>246020</c:v>
                </c:pt>
                <c:pt idx="80">
                  <c:v>252358</c:v>
                </c:pt>
                <c:pt idx="81">
                  <c:v>266578</c:v>
                </c:pt>
                <c:pt idx="82">
                  <c:v>268882</c:v>
                </c:pt>
                <c:pt idx="83">
                  <c:v>268592</c:v>
                </c:pt>
                <c:pt idx="84">
                  <c:v>259330</c:v>
                </c:pt>
                <c:pt idx="85">
                  <c:v>275150</c:v>
                </c:pt>
                <c:pt idx="86">
                  <c:v>277969</c:v>
                </c:pt>
                <c:pt idx="87">
                  <c:v>290637</c:v>
                </c:pt>
                <c:pt idx="88">
                  <c:v>288914</c:v>
                </c:pt>
                <c:pt idx="89">
                  <c:v>289261</c:v>
                </c:pt>
                <c:pt idx="90">
                  <c:v>280064</c:v>
                </c:pt>
                <c:pt idx="91">
                  <c:v>239413</c:v>
                </c:pt>
                <c:pt idx="92">
                  <c:v>202402</c:v>
                </c:pt>
                <c:pt idx="93">
                  <c:v>198850</c:v>
                </c:pt>
                <c:pt idx="94">
                  <c:v>226385</c:v>
                </c:pt>
                <c:pt idx="95">
                  <c:v>244006</c:v>
                </c:pt>
                <c:pt idx="96">
                  <c:v>239676</c:v>
                </c:pt>
                <c:pt idx="97">
                  <c:v>228921</c:v>
                </c:pt>
                <c:pt idx="98">
                  <c:v>245889</c:v>
                </c:pt>
                <c:pt idx="99">
                  <c:v>236583</c:v>
                </c:pt>
                <c:pt idx="100">
                  <c:v>238186</c:v>
                </c:pt>
                <c:pt idx="101">
                  <c:v>233193</c:v>
                </c:pt>
                <c:pt idx="102">
                  <c:v>231235</c:v>
                </c:pt>
                <c:pt idx="103">
                  <c:v>270379</c:v>
                </c:pt>
                <c:pt idx="104">
                  <c:v>253977</c:v>
                </c:pt>
                <c:pt idx="105">
                  <c:v>244818</c:v>
                </c:pt>
                <c:pt idx="106">
                  <c:v>238409</c:v>
                </c:pt>
                <c:pt idx="107">
                  <c:v>213619</c:v>
                </c:pt>
                <c:pt idx="108">
                  <c:v>171232</c:v>
                </c:pt>
                <c:pt idx="109">
                  <c:v>154646</c:v>
                </c:pt>
                <c:pt idx="110">
                  <c:v>165113</c:v>
                </c:pt>
                <c:pt idx="111">
                  <c:v>143932</c:v>
                </c:pt>
                <c:pt idx="112">
                  <c:v>124049</c:v>
                </c:pt>
                <c:pt idx="113">
                  <c:v>133122</c:v>
                </c:pt>
                <c:pt idx="114">
                  <c:v>131090</c:v>
                </c:pt>
                <c:pt idx="115">
                  <c:v>123258</c:v>
                </c:pt>
                <c:pt idx="116">
                  <c:v>115276</c:v>
                </c:pt>
                <c:pt idx="117">
                  <c:v>105278</c:v>
                </c:pt>
                <c:pt idx="118">
                  <c:v>116896</c:v>
                </c:pt>
                <c:pt idx="119">
                  <c:v>94179</c:v>
                </c:pt>
                <c:pt idx="120">
                  <c:v>82297</c:v>
                </c:pt>
                <c:pt idx="121">
                  <c:v>61879</c:v>
                </c:pt>
                <c:pt idx="122">
                  <c:v>45837</c:v>
                </c:pt>
                <c:pt idx="123">
                  <c:v>41713</c:v>
                </c:pt>
                <c:pt idx="124">
                  <c:v>36627</c:v>
                </c:pt>
                <c:pt idx="125">
                  <c:v>15703</c:v>
                </c:pt>
                <c:pt idx="126">
                  <c:v>11788</c:v>
                </c:pt>
                <c:pt idx="127">
                  <c:v>19499</c:v>
                </c:pt>
                <c:pt idx="128">
                  <c:v>14926</c:v>
                </c:pt>
                <c:pt idx="129">
                  <c:v>12801</c:v>
                </c:pt>
                <c:pt idx="130">
                  <c:v>24706</c:v>
                </c:pt>
                <c:pt idx="131">
                  <c:v>18698</c:v>
                </c:pt>
                <c:pt idx="132">
                  <c:v>28794</c:v>
                </c:pt>
                <c:pt idx="133">
                  <c:v>37218</c:v>
                </c:pt>
                <c:pt idx="134">
                  <c:v>23145</c:v>
                </c:pt>
                <c:pt idx="135">
                  <c:v>26227</c:v>
                </c:pt>
                <c:pt idx="136">
                  <c:v>16837</c:v>
                </c:pt>
                <c:pt idx="137">
                  <c:v>2362</c:v>
                </c:pt>
                <c:pt idx="138">
                  <c:v>3295</c:v>
                </c:pt>
                <c:pt idx="139">
                  <c:v>-20006</c:v>
                </c:pt>
                <c:pt idx="140">
                  <c:v>-20856</c:v>
                </c:pt>
                <c:pt idx="141">
                  <c:v>-14343</c:v>
                </c:pt>
                <c:pt idx="142">
                  <c:v>16755</c:v>
                </c:pt>
                <c:pt idx="143">
                  <c:v>49958</c:v>
                </c:pt>
                <c:pt idx="144">
                  <c:v>60578</c:v>
                </c:pt>
                <c:pt idx="145">
                  <c:v>60476</c:v>
                </c:pt>
                <c:pt idx="146">
                  <c:v>61143</c:v>
                </c:pt>
                <c:pt idx="147">
                  <c:v>61298</c:v>
                </c:pt>
                <c:pt idx="148">
                  <c:v>19541</c:v>
                </c:pt>
                <c:pt idx="149">
                  <c:v>15336</c:v>
                </c:pt>
                <c:pt idx="150">
                  <c:v>61400</c:v>
                </c:pt>
                <c:pt idx="151">
                  <c:v>109816</c:v>
                </c:pt>
                <c:pt idx="152">
                  <c:v>143326</c:v>
                </c:pt>
                <c:pt idx="153">
                  <c:v>156376</c:v>
                </c:pt>
                <c:pt idx="154">
                  <c:v>174282</c:v>
                </c:pt>
                <c:pt idx="155">
                  <c:v>182421</c:v>
                </c:pt>
                <c:pt idx="156">
                  <c:v>150247</c:v>
                </c:pt>
                <c:pt idx="157">
                  <c:v>109620</c:v>
                </c:pt>
                <c:pt idx="158">
                  <c:v>102975</c:v>
                </c:pt>
                <c:pt idx="159">
                  <c:v>80642</c:v>
                </c:pt>
                <c:pt idx="160">
                  <c:v>60066</c:v>
                </c:pt>
                <c:pt idx="161">
                  <c:v>42542</c:v>
                </c:pt>
                <c:pt idx="162">
                  <c:v>44431</c:v>
                </c:pt>
                <c:pt idx="163">
                  <c:v>73222</c:v>
                </c:pt>
                <c:pt idx="164">
                  <c:v>80143</c:v>
                </c:pt>
                <c:pt idx="165">
                  <c:v>50967</c:v>
                </c:pt>
                <c:pt idx="166">
                  <c:v>35802</c:v>
                </c:pt>
                <c:pt idx="167">
                  <c:v>25133</c:v>
                </c:pt>
                <c:pt idx="168">
                  <c:v>17560</c:v>
                </c:pt>
                <c:pt idx="169">
                  <c:v>65455</c:v>
                </c:pt>
                <c:pt idx="170">
                  <c:v>70145</c:v>
                </c:pt>
                <c:pt idx="171">
                  <c:v>93269</c:v>
                </c:pt>
                <c:pt idx="172">
                  <c:v>132048</c:v>
                </c:pt>
                <c:pt idx="173">
                  <c:v>168297</c:v>
                </c:pt>
                <c:pt idx="174">
                  <c:v>189058</c:v>
                </c:pt>
                <c:pt idx="175">
                  <c:v>180776</c:v>
                </c:pt>
                <c:pt idx="176">
                  <c:v>195930</c:v>
                </c:pt>
                <c:pt idx="177">
                  <c:v>186604</c:v>
                </c:pt>
                <c:pt idx="178">
                  <c:v>203796</c:v>
                </c:pt>
                <c:pt idx="179">
                  <c:v>183958</c:v>
                </c:pt>
                <c:pt idx="180">
                  <c:v>212922</c:v>
                </c:pt>
                <c:pt idx="181">
                  <c:v>176841</c:v>
                </c:pt>
                <c:pt idx="182">
                  <c:v>195688</c:v>
                </c:pt>
                <c:pt idx="183">
                  <c:v>189615</c:v>
                </c:pt>
                <c:pt idx="184">
                  <c:v>205427</c:v>
                </c:pt>
                <c:pt idx="185">
                  <c:v>229257</c:v>
                </c:pt>
                <c:pt idx="186">
                  <c:v>230326</c:v>
                </c:pt>
                <c:pt idx="187">
                  <c:v>131071</c:v>
                </c:pt>
                <c:pt idx="188">
                  <c:v>95309</c:v>
                </c:pt>
                <c:pt idx="189">
                  <c:v>75891</c:v>
                </c:pt>
                <c:pt idx="190">
                  <c:v>40910</c:v>
                </c:pt>
                <c:pt idx="191">
                  <c:v>41507</c:v>
                </c:pt>
                <c:pt idx="192">
                  <c:v>64867</c:v>
                </c:pt>
                <c:pt idx="193">
                  <c:v>88742</c:v>
                </c:pt>
                <c:pt idx="194">
                  <c:v>85868</c:v>
                </c:pt>
                <c:pt idx="195">
                  <c:v>55798</c:v>
                </c:pt>
                <c:pt idx="196">
                  <c:v>29745</c:v>
                </c:pt>
                <c:pt idx="197">
                  <c:v>6859</c:v>
                </c:pt>
                <c:pt idx="198">
                  <c:v>-18172</c:v>
                </c:pt>
                <c:pt idx="199">
                  <c:v>-19244</c:v>
                </c:pt>
                <c:pt idx="200">
                  <c:v>9776</c:v>
                </c:pt>
                <c:pt idx="201">
                  <c:v>253</c:v>
                </c:pt>
                <c:pt idx="202">
                  <c:v>65497</c:v>
                </c:pt>
                <c:pt idx="203">
                  <c:v>87258</c:v>
                </c:pt>
                <c:pt idx="204">
                  <c:v>74145</c:v>
                </c:pt>
                <c:pt idx="205">
                  <c:v>81901</c:v>
                </c:pt>
                <c:pt idx="206">
                  <c:v>80743</c:v>
                </c:pt>
                <c:pt idx="207">
                  <c:v>35526</c:v>
                </c:pt>
                <c:pt idx="208">
                  <c:v>32628</c:v>
                </c:pt>
                <c:pt idx="209">
                  <c:v>69213</c:v>
                </c:pt>
                <c:pt idx="210">
                  <c:v>13045</c:v>
                </c:pt>
                <c:pt idx="211">
                  <c:v>79749</c:v>
                </c:pt>
                <c:pt idx="212">
                  <c:v>158067</c:v>
                </c:pt>
                <c:pt idx="213">
                  <c:v>196662</c:v>
                </c:pt>
                <c:pt idx="214">
                  <c:v>193448</c:v>
                </c:pt>
                <c:pt idx="215">
                  <c:v>247999</c:v>
                </c:pt>
                <c:pt idx="216">
                  <c:v>301028</c:v>
                </c:pt>
                <c:pt idx="217">
                  <c:v>333803</c:v>
                </c:pt>
                <c:pt idx="218">
                  <c:v>345359</c:v>
                </c:pt>
                <c:pt idx="219">
                  <c:v>378537</c:v>
                </c:pt>
                <c:pt idx="220">
                  <c:v>401884</c:v>
                </c:pt>
                <c:pt idx="221">
                  <c:v>411850</c:v>
                </c:pt>
                <c:pt idx="222">
                  <c:v>413092</c:v>
                </c:pt>
                <c:pt idx="223">
                  <c:v>429189</c:v>
                </c:pt>
                <c:pt idx="224">
                  <c:v>401126</c:v>
                </c:pt>
                <c:pt idx="225">
                  <c:v>410439</c:v>
                </c:pt>
                <c:pt idx="226">
                  <c:v>412595</c:v>
                </c:pt>
                <c:pt idx="227">
                  <c:v>406443</c:v>
                </c:pt>
                <c:pt idx="228">
                  <c:v>402534</c:v>
                </c:pt>
                <c:pt idx="229">
                  <c:v>393489</c:v>
                </c:pt>
                <c:pt idx="230">
                  <c:v>351927</c:v>
                </c:pt>
                <c:pt idx="231">
                  <c:v>340718</c:v>
                </c:pt>
                <c:pt idx="232">
                  <c:v>331288</c:v>
                </c:pt>
                <c:pt idx="233">
                  <c:v>335889</c:v>
                </c:pt>
                <c:pt idx="234">
                  <c:v>359226</c:v>
                </c:pt>
                <c:pt idx="235">
                  <c:v>380695</c:v>
                </c:pt>
                <c:pt idx="236">
                  <c:v>396782</c:v>
                </c:pt>
                <c:pt idx="237">
                  <c:v>373999</c:v>
                </c:pt>
                <c:pt idx="238">
                  <c:v>375974</c:v>
                </c:pt>
                <c:pt idx="239">
                  <c:v>408854</c:v>
                </c:pt>
                <c:pt idx="240">
                  <c:v>379114</c:v>
                </c:pt>
                <c:pt idx="241">
                  <c:v>398156</c:v>
                </c:pt>
                <c:pt idx="242">
                  <c:v>394528</c:v>
                </c:pt>
                <c:pt idx="243">
                  <c:v>381222</c:v>
                </c:pt>
                <c:pt idx="244">
                  <c:v>374527</c:v>
                </c:pt>
                <c:pt idx="245">
                  <c:v>384823</c:v>
                </c:pt>
                <c:pt idx="246">
                  <c:v>358311</c:v>
                </c:pt>
                <c:pt idx="247">
                  <c:v>297396</c:v>
                </c:pt>
                <c:pt idx="248">
                  <c:v>279651</c:v>
                </c:pt>
                <c:pt idx="249">
                  <c:v>282819</c:v>
                </c:pt>
                <c:pt idx="250">
                  <c:v>322069</c:v>
                </c:pt>
                <c:pt idx="251">
                  <c:v>347623</c:v>
                </c:pt>
                <c:pt idx="252">
                  <c:v>365448</c:v>
                </c:pt>
                <c:pt idx="253">
                  <c:v>361354</c:v>
                </c:pt>
                <c:pt idx="254">
                  <c:v>328835</c:v>
                </c:pt>
                <c:pt idx="255">
                  <c:v>302002</c:v>
                </c:pt>
                <c:pt idx="256">
                  <c:v>289039</c:v>
                </c:pt>
                <c:pt idx="257">
                  <c:v>310530</c:v>
                </c:pt>
                <c:pt idx="258">
                  <c:v>328112</c:v>
                </c:pt>
                <c:pt idx="259">
                  <c:v>319088</c:v>
                </c:pt>
                <c:pt idx="260">
                  <c:v>336421</c:v>
                </c:pt>
                <c:pt idx="261">
                  <c:v>276362</c:v>
                </c:pt>
                <c:pt idx="262">
                  <c:v>226132</c:v>
                </c:pt>
                <c:pt idx="263">
                  <c:v>190817</c:v>
                </c:pt>
                <c:pt idx="264">
                  <c:v>216067</c:v>
                </c:pt>
                <c:pt idx="265">
                  <c:v>247125</c:v>
                </c:pt>
                <c:pt idx="266">
                  <c:v>248572</c:v>
                </c:pt>
                <c:pt idx="267">
                  <c:v>270127</c:v>
                </c:pt>
                <c:pt idx="268">
                  <c:v>260841</c:v>
                </c:pt>
                <c:pt idx="269">
                  <c:v>285978</c:v>
                </c:pt>
                <c:pt idx="270">
                  <c:v>288119</c:v>
                </c:pt>
                <c:pt idx="271">
                  <c:v>327316</c:v>
                </c:pt>
                <c:pt idx="272">
                  <c:v>331350</c:v>
                </c:pt>
                <c:pt idx="273">
                  <c:v>298333</c:v>
                </c:pt>
                <c:pt idx="274">
                  <c:v>249977</c:v>
                </c:pt>
                <c:pt idx="275">
                  <c:v>203869</c:v>
                </c:pt>
                <c:pt idx="276">
                  <c:v>171334</c:v>
                </c:pt>
                <c:pt idx="277">
                  <c:v>161317</c:v>
                </c:pt>
                <c:pt idx="278">
                  <c:v>157904</c:v>
                </c:pt>
                <c:pt idx="279">
                  <c:v>187122</c:v>
                </c:pt>
                <c:pt idx="280">
                  <c:v>195277</c:v>
                </c:pt>
                <c:pt idx="281">
                  <c:v>218997</c:v>
                </c:pt>
                <c:pt idx="282">
                  <c:v>197627</c:v>
                </c:pt>
                <c:pt idx="283">
                  <c:v>149084</c:v>
                </c:pt>
                <c:pt idx="284">
                  <c:v>141017</c:v>
                </c:pt>
                <c:pt idx="285">
                  <c:v>125645</c:v>
                </c:pt>
                <c:pt idx="286">
                  <c:v>127666</c:v>
                </c:pt>
                <c:pt idx="287">
                  <c:v>126461</c:v>
                </c:pt>
                <c:pt idx="288">
                  <c:v>148653</c:v>
                </c:pt>
                <c:pt idx="289">
                  <c:v>192500</c:v>
                </c:pt>
                <c:pt idx="290">
                  <c:v>223752</c:v>
                </c:pt>
                <c:pt idx="291">
                  <c:v>176309</c:v>
                </c:pt>
                <c:pt idx="292">
                  <c:v>161827</c:v>
                </c:pt>
                <c:pt idx="293">
                  <c:v>190046</c:v>
                </c:pt>
                <c:pt idx="294">
                  <c:v>210084</c:v>
                </c:pt>
                <c:pt idx="295">
                  <c:v>206053</c:v>
                </c:pt>
                <c:pt idx="296">
                  <c:v>182949</c:v>
                </c:pt>
                <c:pt idx="297">
                  <c:v>215688</c:v>
                </c:pt>
                <c:pt idx="298">
                  <c:v>246137</c:v>
                </c:pt>
                <c:pt idx="299">
                  <c:v>245327</c:v>
                </c:pt>
                <c:pt idx="300">
                  <c:v>261691</c:v>
                </c:pt>
                <c:pt idx="301">
                  <c:v>224557</c:v>
                </c:pt>
                <c:pt idx="302">
                  <c:v>202802</c:v>
                </c:pt>
                <c:pt idx="303">
                  <c:v>193832</c:v>
                </c:pt>
                <c:pt idx="304">
                  <c:v>146590</c:v>
                </c:pt>
                <c:pt idx="305">
                  <c:v>103079</c:v>
                </c:pt>
                <c:pt idx="306">
                  <c:v>112328</c:v>
                </c:pt>
                <c:pt idx="307">
                  <c:v>118323</c:v>
                </c:pt>
                <c:pt idx="308">
                  <c:v>83667</c:v>
                </c:pt>
                <c:pt idx="309">
                  <c:v>109022</c:v>
                </c:pt>
                <c:pt idx="310">
                  <c:v>61493</c:v>
                </c:pt>
                <c:pt idx="311">
                  <c:v>41337</c:v>
                </c:pt>
                <c:pt idx="312">
                  <c:v>43024</c:v>
                </c:pt>
                <c:pt idx="313">
                  <c:v>70715</c:v>
                </c:pt>
                <c:pt idx="314">
                  <c:v>108542</c:v>
                </c:pt>
                <c:pt idx="315">
                  <c:v>173183</c:v>
                </c:pt>
                <c:pt idx="316">
                  <c:v>201956</c:v>
                </c:pt>
                <c:pt idx="317">
                  <c:v>235597</c:v>
                </c:pt>
                <c:pt idx="318">
                  <c:v>279385</c:v>
                </c:pt>
                <c:pt idx="319">
                  <c:v>285385</c:v>
                </c:pt>
                <c:pt idx="320">
                  <c:v>285962</c:v>
                </c:pt>
                <c:pt idx="321">
                  <c:v>303178</c:v>
                </c:pt>
                <c:pt idx="322">
                  <c:v>342893</c:v>
                </c:pt>
                <c:pt idx="323">
                  <c:v>315413</c:v>
                </c:pt>
                <c:pt idx="324">
                  <c:v>323629</c:v>
                </c:pt>
                <c:pt idx="325">
                  <c:v>296467</c:v>
                </c:pt>
                <c:pt idx="326">
                  <c:v>270162</c:v>
                </c:pt>
                <c:pt idx="327">
                  <c:v>272055</c:v>
                </c:pt>
                <c:pt idx="328">
                  <c:v>272726</c:v>
                </c:pt>
                <c:pt idx="329">
                  <c:v>260466</c:v>
                </c:pt>
                <c:pt idx="330">
                  <c:v>256561</c:v>
                </c:pt>
                <c:pt idx="331">
                  <c:v>282849</c:v>
                </c:pt>
                <c:pt idx="332">
                  <c:v>236382</c:v>
                </c:pt>
                <c:pt idx="333">
                  <c:v>235438</c:v>
                </c:pt>
                <c:pt idx="334">
                  <c:v>202853</c:v>
                </c:pt>
                <c:pt idx="335">
                  <c:v>250228</c:v>
                </c:pt>
                <c:pt idx="336">
                  <c:v>257087</c:v>
                </c:pt>
                <c:pt idx="337">
                  <c:v>279010</c:v>
                </c:pt>
                <c:pt idx="338">
                  <c:v>225538</c:v>
                </c:pt>
                <c:pt idx="339">
                  <c:v>175631</c:v>
                </c:pt>
                <c:pt idx="340">
                  <c:v>140109</c:v>
                </c:pt>
                <c:pt idx="341">
                  <c:v>135906</c:v>
                </c:pt>
                <c:pt idx="342">
                  <c:v>115113</c:v>
                </c:pt>
                <c:pt idx="343">
                  <c:v>141849</c:v>
                </c:pt>
                <c:pt idx="344">
                  <c:v>151507</c:v>
                </c:pt>
                <c:pt idx="345">
                  <c:v>164434</c:v>
                </c:pt>
                <c:pt idx="346">
                  <c:v>182967</c:v>
                </c:pt>
                <c:pt idx="347">
                  <c:v>126363</c:v>
                </c:pt>
                <c:pt idx="348">
                  <c:v>65303</c:v>
                </c:pt>
                <c:pt idx="349">
                  <c:v>52075</c:v>
                </c:pt>
                <c:pt idx="350">
                  <c:v>62864</c:v>
                </c:pt>
                <c:pt idx="351">
                  <c:v>87671</c:v>
                </c:pt>
                <c:pt idx="352">
                  <c:v>145535</c:v>
                </c:pt>
                <c:pt idx="353">
                  <c:v>192561</c:v>
                </c:pt>
                <c:pt idx="354">
                  <c:v>94315</c:v>
                </c:pt>
                <c:pt idx="355">
                  <c:v>50977</c:v>
                </c:pt>
                <c:pt idx="356">
                  <c:v>52388</c:v>
                </c:pt>
                <c:pt idx="357">
                  <c:v>12239</c:v>
                </c:pt>
                <c:pt idx="358">
                  <c:v>45497</c:v>
                </c:pt>
                <c:pt idx="359">
                  <c:v>61632</c:v>
                </c:pt>
                <c:pt idx="360">
                  <c:v>75632</c:v>
                </c:pt>
                <c:pt idx="361">
                  <c:v>54452</c:v>
                </c:pt>
                <c:pt idx="362">
                  <c:v>98380</c:v>
                </c:pt>
                <c:pt idx="363">
                  <c:v>90948</c:v>
                </c:pt>
                <c:pt idx="364">
                  <c:v>82517</c:v>
                </c:pt>
                <c:pt idx="365">
                  <c:v>74405</c:v>
                </c:pt>
                <c:pt idx="366">
                  <c:v>70701</c:v>
                </c:pt>
                <c:pt idx="367">
                  <c:v>-19943</c:v>
                </c:pt>
                <c:pt idx="368">
                  <c:v>-55767</c:v>
                </c:pt>
                <c:pt idx="369">
                  <c:v>-37262</c:v>
                </c:pt>
                <c:pt idx="370">
                  <c:v>-83361</c:v>
                </c:pt>
                <c:pt idx="371">
                  <c:v>-108089</c:v>
                </c:pt>
                <c:pt idx="372">
                  <c:v>-113072</c:v>
                </c:pt>
                <c:pt idx="373">
                  <c:v>-123221</c:v>
                </c:pt>
                <c:pt idx="374">
                  <c:v>-91778</c:v>
                </c:pt>
                <c:pt idx="375">
                  <c:v>-57428</c:v>
                </c:pt>
                <c:pt idx="376">
                  <c:v>-64506</c:v>
                </c:pt>
                <c:pt idx="377">
                  <c:v>-64686</c:v>
                </c:pt>
                <c:pt idx="378">
                  <c:v>-104211</c:v>
                </c:pt>
                <c:pt idx="379">
                  <c:v>-126345</c:v>
                </c:pt>
                <c:pt idx="380">
                  <c:v>-151918</c:v>
                </c:pt>
                <c:pt idx="381">
                  <c:v>-154647</c:v>
                </c:pt>
                <c:pt idx="382">
                  <c:v>-153537</c:v>
                </c:pt>
                <c:pt idx="383">
                  <c:v>-159242</c:v>
                </c:pt>
                <c:pt idx="384">
                  <c:v>-180627</c:v>
                </c:pt>
                <c:pt idx="385">
                  <c:v>-178720</c:v>
                </c:pt>
                <c:pt idx="386">
                  <c:v>-139060</c:v>
                </c:pt>
                <c:pt idx="387">
                  <c:v>-146086</c:v>
                </c:pt>
                <c:pt idx="388">
                  <c:v>-141051</c:v>
                </c:pt>
                <c:pt idx="389">
                  <c:v>-118814</c:v>
                </c:pt>
                <c:pt idx="390">
                  <c:v>-92216</c:v>
                </c:pt>
                <c:pt idx="391">
                  <c:v>-104845</c:v>
                </c:pt>
                <c:pt idx="392">
                  <c:v>-87794</c:v>
                </c:pt>
                <c:pt idx="393">
                  <c:v>-94812</c:v>
                </c:pt>
                <c:pt idx="394">
                  <c:v>-91451</c:v>
                </c:pt>
                <c:pt idx="395">
                  <c:v>-63931</c:v>
                </c:pt>
                <c:pt idx="396">
                  <c:v>-59325</c:v>
                </c:pt>
                <c:pt idx="397">
                  <c:v>-52117</c:v>
                </c:pt>
                <c:pt idx="398">
                  <c:v>-5314</c:v>
                </c:pt>
                <c:pt idx="399">
                  <c:v>34340</c:v>
                </c:pt>
                <c:pt idx="400">
                  <c:v>45252</c:v>
                </c:pt>
                <c:pt idx="401">
                  <c:v>87516</c:v>
                </c:pt>
                <c:pt idx="402">
                  <c:v>158122</c:v>
                </c:pt>
                <c:pt idx="403">
                  <c:v>209561</c:v>
                </c:pt>
                <c:pt idx="404">
                  <c:v>227860</c:v>
                </c:pt>
                <c:pt idx="405">
                  <c:v>239287</c:v>
                </c:pt>
                <c:pt idx="406">
                  <c:v>275836</c:v>
                </c:pt>
                <c:pt idx="407">
                  <c:v>270137</c:v>
                </c:pt>
                <c:pt idx="408">
                  <c:v>250503</c:v>
                </c:pt>
                <c:pt idx="409">
                  <c:v>236635</c:v>
                </c:pt>
                <c:pt idx="410">
                  <c:v>264391</c:v>
                </c:pt>
                <c:pt idx="411">
                  <c:v>266479</c:v>
                </c:pt>
                <c:pt idx="412">
                  <c:v>255044</c:v>
                </c:pt>
                <c:pt idx="413">
                  <c:v>207572</c:v>
                </c:pt>
                <c:pt idx="414">
                  <c:v>178319</c:v>
                </c:pt>
                <c:pt idx="415">
                  <c:v>174160</c:v>
                </c:pt>
                <c:pt idx="416">
                  <c:v>146436</c:v>
                </c:pt>
                <c:pt idx="417">
                  <c:v>137280</c:v>
                </c:pt>
                <c:pt idx="418">
                  <c:v>115176</c:v>
                </c:pt>
                <c:pt idx="419">
                  <c:v>102188</c:v>
                </c:pt>
                <c:pt idx="420">
                  <c:v>107600</c:v>
                </c:pt>
                <c:pt idx="421">
                  <c:v>93101</c:v>
                </c:pt>
                <c:pt idx="422">
                  <c:v>70408</c:v>
                </c:pt>
                <c:pt idx="423">
                  <c:v>63024</c:v>
                </c:pt>
                <c:pt idx="424">
                  <c:v>71688</c:v>
                </c:pt>
                <c:pt idx="425">
                  <c:v>67665</c:v>
                </c:pt>
                <c:pt idx="426">
                  <c:v>64719</c:v>
                </c:pt>
                <c:pt idx="427">
                  <c:v>67593</c:v>
                </c:pt>
                <c:pt idx="428">
                  <c:v>80116</c:v>
                </c:pt>
                <c:pt idx="429">
                  <c:v>81466</c:v>
                </c:pt>
                <c:pt idx="430">
                  <c:v>87045</c:v>
                </c:pt>
                <c:pt idx="431">
                  <c:v>81536</c:v>
                </c:pt>
                <c:pt idx="432">
                  <c:v>85086</c:v>
                </c:pt>
                <c:pt idx="433">
                  <c:v>73093</c:v>
                </c:pt>
                <c:pt idx="434">
                  <c:v>88668</c:v>
                </c:pt>
                <c:pt idx="435">
                  <c:v>126952</c:v>
                </c:pt>
                <c:pt idx="436">
                  <c:v>141788</c:v>
                </c:pt>
                <c:pt idx="437">
                  <c:v>163673</c:v>
                </c:pt>
                <c:pt idx="438">
                  <c:v>186807</c:v>
                </c:pt>
                <c:pt idx="439">
                  <c:v>186954</c:v>
                </c:pt>
                <c:pt idx="440">
                  <c:v>207196</c:v>
                </c:pt>
                <c:pt idx="441">
                  <c:v>197339</c:v>
                </c:pt>
                <c:pt idx="442">
                  <c:v>230194</c:v>
                </c:pt>
                <c:pt idx="443">
                  <c:v>236170</c:v>
                </c:pt>
                <c:pt idx="444">
                  <c:v>244422</c:v>
                </c:pt>
                <c:pt idx="445">
                  <c:v>239704</c:v>
                </c:pt>
                <c:pt idx="446">
                  <c:v>226635</c:v>
                </c:pt>
                <c:pt idx="447">
                  <c:v>204611</c:v>
                </c:pt>
                <c:pt idx="448">
                  <c:v>197018</c:v>
                </c:pt>
                <c:pt idx="449">
                  <c:v>169917</c:v>
                </c:pt>
                <c:pt idx="450">
                  <c:v>115857</c:v>
                </c:pt>
                <c:pt idx="451">
                  <c:v>109313</c:v>
                </c:pt>
                <c:pt idx="452">
                  <c:v>102769</c:v>
                </c:pt>
                <c:pt idx="453">
                  <c:v>80191</c:v>
                </c:pt>
                <c:pt idx="454">
                  <c:v>50193</c:v>
                </c:pt>
                <c:pt idx="455">
                  <c:v>32660</c:v>
                </c:pt>
                <c:pt idx="456">
                  <c:v>-37030</c:v>
                </c:pt>
                <c:pt idx="457">
                  <c:v>751</c:v>
                </c:pt>
                <c:pt idx="458">
                  <c:v>8553</c:v>
                </c:pt>
                <c:pt idx="459">
                  <c:v>9091</c:v>
                </c:pt>
                <c:pt idx="460">
                  <c:v>-48312</c:v>
                </c:pt>
                <c:pt idx="461">
                  <c:v>-65298</c:v>
                </c:pt>
                <c:pt idx="462">
                  <c:v>-92383</c:v>
                </c:pt>
                <c:pt idx="463">
                  <c:v>-116985</c:v>
                </c:pt>
                <c:pt idx="464">
                  <c:v>-116580</c:v>
                </c:pt>
                <c:pt idx="465">
                  <c:v>-134740</c:v>
                </c:pt>
                <c:pt idx="466">
                  <c:v>-140443</c:v>
                </c:pt>
                <c:pt idx="467">
                  <c:v>-134841</c:v>
                </c:pt>
                <c:pt idx="468">
                  <c:v>-90573</c:v>
                </c:pt>
                <c:pt idx="469">
                  <c:v>-120171</c:v>
                </c:pt>
                <c:pt idx="470">
                  <c:v>-94522</c:v>
                </c:pt>
                <c:pt idx="471">
                  <c:v>70606</c:v>
                </c:pt>
                <c:pt idx="472">
                  <c:v>173280</c:v>
                </c:pt>
                <c:pt idx="473">
                  <c:v>202747</c:v>
                </c:pt>
                <c:pt idx="474">
                  <c:v>279665</c:v>
                </c:pt>
                <c:pt idx="475">
                  <c:v>242801</c:v>
                </c:pt>
                <c:pt idx="476">
                  <c:v>163799</c:v>
                </c:pt>
                <c:pt idx="477">
                  <c:v>101118</c:v>
                </c:pt>
                <c:pt idx="478">
                  <c:v>73626</c:v>
                </c:pt>
                <c:pt idx="479">
                  <c:v>73537</c:v>
                </c:pt>
                <c:pt idx="480">
                  <c:v>76985</c:v>
                </c:pt>
                <c:pt idx="481">
                  <c:v>47261</c:v>
                </c:pt>
                <c:pt idx="482">
                  <c:v>69796</c:v>
                </c:pt>
                <c:pt idx="483">
                  <c:v>66625</c:v>
                </c:pt>
                <c:pt idx="484">
                  <c:v>67413</c:v>
                </c:pt>
                <c:pt idx="485">
                  <c:v>117729</c:v>
                </c:pt>
                <c:pt idx="486">
                  <c:v>92224</c:v>
                </c:pt>
                <c:pt idx="487">
                  <c:v>32833</c:v>
                </c:pt>
                <c:pt idx="488">
                  <c:v>33600</c:v>
                </c:pt>
                <c:pt idx="489">
                  <c:v>24765</c:v>
                </c:pt>
                <c:pt idx="490">
                  <c:v>-58404</c:v>
                </c:pt>
                <c:pt idx="491">
                  <c:v>-84663</c:v>
                </c:pt>
                <c:pt idx="492">
                  <c:v>-99808</c:v>
                </c:pt>
                <c:pt idx="493">
                  <c:v>-78140</c:v>
                </c:pt>
                <c:pt idx="494">
                  <c:v>-64746</c:v>
                </c:pt>
                <c:pt idx="495">
                  <c:v>-39106</c:v>
                </c:pt>
                <c:pt idx="496">
                  <c:v>-82543</c:v>
                </c:pt>
                <c:pt idx="497">
                  <c:v>-136111</c:v>
                </c:pt>
                <c:pt idx="498">
                  <c:v>-161988</c:v>
                </c:pt>
                <c:pt idx="499">
                  <c:v>-186831</c:v>
                </c:pt>
                <c:pt idx="500">
                  <c:v>-158210</c:v>
                </c:pt>
                <c:pt idx="501">
                  <c:v>-87197</c:v>
                </c:pt>
                <c:pt idx="502">
                  <c:v>-59479</c:v>
                </c:pt>
                <c:pt idx="503">
                  <c:v>-102785</c:v>
                </c:pt>
                <c:pt idx="504">
                  <c:v>-137937</c:v>
                </c:pt>
                <c:pt idx="505">
                  <c:v>-134334</c:v>
                </c:pt>
                <c:pt idx="506">
                  <c:v>-203837</c:v>
                </c:pt>
                <c:pt idx="507">
                  <c:v>-229176</c:v>
                </c:pt>
                <c:pt idx="508">
                  <c:v>-188167</c:v>
                </c:pt>
                <c:pt idx="509">
                  <c:v>-154569</c:v>
                </c:pt>
                <c:pt idx="510">
                  <c:v>-108433</c:v>
                </c:pt>
                <c:pt idx="511">
                  <c:v>-161865</c:v>
                </c:pt>
                <c:pt idx="512">
                  <c:v>-136705</c:v>
                </c:pt>
                <c:pt idx="513">
                  <c:v>-30909</c:v>
                </c:pt>
                <c:pt idx="514">
                  <c:v>79781</c:v>
                </c:pt>
                <c:pt idx="515">
                  <c:v>71032</c:v>
                </c:pt>
                <c:pt idx="516">
                  <c:v>42969</c:v>
                </c:pt>
                <c:pt idx="517">
                  <c:v>48978</c:v>
                </c:pt>
                <c:pt idx="518">
                  <c:v>64696</c:v>
                </c:pt>
                <c:pt idx="519">
                  <c:v>130798</c:v>
                </c:pt>
                <c:pt idx="520">
                  <c:v>207967</c:v>
                </c:pt>
                <c:pt idx="521">
                  <c:v>252295</c:v>
                </c:pt>
                <c:pt idx="522">
                  <c:v>224827</c:v>
                </c:pt>
                <c:pt idx="523">
                  <c:v>174726</c:v>
                </c:pt>
                <c:pt idx="524">
                  <c:v>103103</c:v>
                </c:pt>
                <c:pt idx="525">
                  <c:v>8702</c:v>
                </c:pt>
                <c:pt idx="526">
                  <c:v>-13362</c:v>
                </c:pt>
                <c:pt idx="527">
                  <c:v>-65538</c:v>
                </c:pt>
                <c:pt idx="528">
                  <c:v>-104432</c:v>
                </c:pt>
                <c:pt idx="529">
                  <c:v>-137077</c:v>
                </c:pt>
                <c:pt idx="530">
                  <c:v>-161479</c:v>
                </c:pt>
                <c:pt idx="531">
                  <c:v>-153942</c:v>
                </c:pt>
                <c:pt idx="532">
                  <c:v>-162503</c:v>
                </c:pt>
                <c:pt idx="533">
                  <c:v>-180893</c:v>
                </c:pt>
                <c:pt idx="534">
                  <c:v>-146940</c:v>
                </c:pt>
                <c:pt idx="535">
                  <c:v>-161592</c:v>
                </c:pt>
                <c:pt idx="536">
                  <c:v>-176844</c:v>
                </c:pt>
                <c:pt idx="537">
                  <c:v>-162858</c:v>
                </c:pt>
                <c:pt idx="538">
                  <c:v>-130973</c:v>
                </c:pt>
                <c:pt idx="539">
                  <c:v>-69978</c:v>
                </c:pt>
                <c:pt idx="540">
                  <c:v>-68962</c:v>
                </c:pt>
                <c:pt idx="541">
                  <c:v>-65008</c:v>
                </c:pt>
                <c:pt idx="542">
                  <c:v>-28054</c:v>
                </c:pt>
                <c:pt idx="543">
                  <c:v>-85156</c:v>
                </c:pt>
                <c:pt idx="544">
                  <c:v>-60394</c:v>
                </c:pt>
                <c:pt idx="545">
                  <c:v>-69261</c:v>
                </c:pt>
                <c:pt idx="546">
                  <c:v>-72592</c:v>
                </c:pt>
                <c:pt idx="547">
                  <c:v>-74007</c:v>
                </c:pt>
                <c:pt idx="548">
                  <c:v>-97086</c:v>
                </c:pt>
                <c:pt idx="549">
                  <c:v>-113648</c:v>
                </c:pt>
                <c:pt idx="550">
                  <c:v>-96369</c:v>
                </c:pt>
                <c:pt idx="551">
                  <c:v>-76564</c:v>
                </c:pt>
                <c:pt idx="552">
                  <c:v>-51385</c:v>
                </c:pt>
                <c:pt idx="553">
                  <c:v>20898</c:v>
                </c:pt>
                <c:pt idx="554">
                  <c:v>3461</c:v>
                </c:pt>
                <c:pt idx="555">
                  <c:v>28833</c:v>
                </c:pt>
                <c:pt idx="556">
                  <c:v>85360</c:v>
                </c:pt>
                <c:pt idx="557">
                  <c:v>92216</c:v>
                </c:pt>
                <c:pt idx="558">
                  <c:v>82135</c:v>
                </c:pt>
                <c:pt idx="559">
                  <c:v>80081</c:v>
                </c:pt>
                <c:pt idx="560">
                  <c:v>-23602</c:v>
                </c:pt>
                <c:pt idx="561">
                  <c:v>-81691</c:v>
                </c:pt>
                <c:pt idx="562">
                  <c:v>-155512</c:v>
                </c:pt>
                <c:pt idx="563">
                  <c:v>-150287</c:v>
                </c:pt>
                <c:pt idx="564">
                  <c:v>-158417</c:v>
                </c:pt>
                <c:pt idx="565">
                  <c:v>-171809</c:v>
                </c:pt>
                <c:pt idx="566">
                  <c:v>-196257</c:v>
                </c:pt>
                <c:pt idx="567">
                  <c:v>-184630</c:v>
                </c:pt>
                <c:pt idx="568">
                  <c:v>-208642</c:v>
                </c:pt>
                <c:pt idx="569">
                  <c:v>-203909</c:v>
                </c:pt>
                <c:pt idx="570">
                  <c:v>-176503</c:v>
                </c:pt>
                <c:pt idx="571">
                  <c:v>-200981</c:v>
                </c:pt>
                <c:pt idx="572">
                  <c:v>-138758</c:v>
                </c:pt>
                <c:pt idx="573">
                  <c:v>-17929</c:v>
                </c:pt>
                <c:pt idx="574">
                  <c:v>-53825</c:v>
                </c:pt>
                <c:pt idx="575">
                  <c:v>-106119</c:v>
                </c:pt>
                <c:pt idx="576">
                  <c:v>-46715</c:v>
                </c:pt>
                <c:pt idx="577">
                  <c:v>100964</c:v>
                </c:pt>
                <c:pt idx="578">
                  <c:v>104670</c:v>
                </c:pt>
                <c:pt idx="579">
                  <c:v>106815</c:v>
                </c:pt>
                <c:pt idx="580">
                  <c:v>84644</c:v>
                </c:pt>
                <c:pt idx="581">
                  <c:v>67073</c:v>
                </c:pt>
                <c:pt idx="582">
                  <c:v>39802</c:v>
                </c:pt>
                <c:pt idx="583">
                  <c:v>-17073</c:v>
                </c:pt>
                <c:pt idx="584">
                  <c:v>-64945</c:v>
                </c:pt>
                <c:pt idx="585">
                  <c:v>-109723</c:v>
                </c:pt>
                <c:pt idx="586">
                  <c:v>-119412</c:v>
                </c:pt>
                <c:pt idx="587">
                  <c:v>-134606</c:v>
                </c:pt>
                <c:pt idx="588">
                  <c:v>-133442</c:v>
                </c:pt>
                <c:pt idx="589">
                  <c:v>-143201</c:v>
                </c:pt>
                <c:pt idx="590">
                  <c:v>-162937</c:v>
                </c:pt>
                <c:pt idx="591">
                  <c:v>-170684</c:v>
                </c:pt>
                <c:pt idx="592">
                  <c:v>-174394</c:v>
                </c:pt>
                <c:pt idx="593">
                  <c:v>-202763</c:v>
                </c:pt>
                <c:pt idx="594">
                  <c:v>-205624</c:v>
                </c:pt>
                <c:pt idx="595">
                  <c:v>-230556</c:v>
                </c:pt>
                <c:pt idx="596">
                  <c:v>-210466</c:v>
                </c:pt>
                <c:pt idx="597">
                  <c:v>-196763</c:v>
                </c:pt>
                <c:pt idx="598">
                  <c:v>-160519</c:v>
                </c:pt>
                <c:pt idx="599">
                  <c:v>-197192</c:v>
                </c:pt>
                <c:pt idx="600">
                  <c:v>-222153</c:v>
                </c:pt>
                <c:pt idx="601">
                  <c:v>-206624</c:v>
                </c:pt>
                <c:pt idx="602">
                  <c:v>-198576</c:v>
                </c:pt>
                <c:pt idx="603">
                  <c:v>-222516</c:v>
                </c:pt>
                <c:pt idx="604">
                  <c:v>-226876</c:v>
                </c:pt>
                <c:pt idx="605">
                  <c:v>-219676</c:v>
                </c:pt>
                <c:pt idx="606">
                  <c:v>-130942</c:v>
                </c:pt>
                <c:pt idx="607">
                  <c:v>-82924</c:v>
                </c:pt>
                <c:pt idx="608">
                  <c:v>-10614</c:v>
                </c:pt>
                <c:pt idx="609">
                  <c:v>18674</c:v>
                </c:pt>
                <c:pt idx="610">
                  <c:v>59120</c:v>
                </c:pt>
                <c:pt idx="611">
                  <c:v>163534</c:v>
                </c:pt>
                <c:pt idx="612">
                  <c:v>233063</c:v>
                </c:pt>
                <c:pt idx="613">
                  <c:v>213231</c:v>
                </c:pt>
                <c:pt idx="614">
                  <c:v>116911</c:v>
                </c:pt>
                <c:pt idx="615">
                  <c:v>140187</c:v>
                </c:pt>
                <c:pt idx="616">
                  <c:v>174887</c:v>
                </c:pt>
                <c:pt idx="617">
                  <c:v>138244</c:v>
                </c:pt>
                <c:pt idx="618">
                  <c:v>122877</c:v>
                </c:pt>
                <c:pt idx="619">
                  <c:v>186317</c:v>
                </c:pt>
                <c:pt idx="620">
                  <c:v>211892</c:v>
                </c:pt>
                <c:pt idx="621">
                  <c:v>191672</c:v>
                </c:pt>
                <c:pt idx="622">
                  <c:v>199970</c:v>
                </c:pt>
                <c:pt idx="623">
                  <c:v>202427</c:v>
                </c:pt>
                <c:pt idx="624">
                  <c:v>113599</c:v>
                </c:pt>
                <c:pt idx="625">
                  <c:v>36216</c:v>
                </c:pt>
                <c:pt idx="626">
                  <c:v>-14038</c:v>
                </c:pt>
                <c:pt idx="627">
                  <c:v>-60319</c:v>
                </c:pt>
                <c:pt idx="628">
                  <c:v>-70810</c:v>
                </c:pt>
                <c:pt idx="629">
                  <c:v>-104376</c:v>
                </c:pt>
                <c:pt idx="630">
                  <c:v>-129323</c:v>
                </c:pt>
                <c:pt idx="631">
                  <c:v>-130197</c:v>
                </c:pt>
                <c:pt idx="632">
                  <c:v>-52198</c:v>
                </c:pt>
                <c:pt idx="633">
                  <c:v>-29705</c:v>
                </c:pt>
                <c:pt idx="634">
                  <c:v>-24962</c:v>
                </c:pt>
                <c:pt idx="635">
                  <c:v>-14824</c:v>
                </c:pt>
                <c:pt idx="636">
                  <c:v>-56957</c:v>
                </c:pt>
                <c:pt idx="637">
                  <c:v>-56884</c:v>
                </c:pt>
                <c:pt idx="638">
                  <c:v>-63470</c:v>
                </c:pt>
                <c:pt idx="639">
                  <c:v>-141276</c:v>
                </c:pt>
                <c:pt idx="640">
                  <c:v>-112779</c:v>
                </c:pt>
                <c:pt idx="641">
                  <c:v>-57764</c:v>
                </c:pt>
                <c:pt idx="642">
                  <c:v>-34032</c:v>
                </c:pt>
                <c:pt idx="643">
                  <c:v>20154</c:v>
                </c:pt>
                <c:pt idx="644">
                  <c:v>25381</c:v>
                </c:pt>
                <c:pt idx="645">
                  <c:v>14269</c:v>
                </c:pt>
                <c:pt idx="646">
                  <c:v>26629</c:v>
                </c:pt>
                <c:pt idx="647">
                  <c:v>17981</c:v>
                </c:pt>
                <c:pt idx="648">
                  <c:v>-7845</c:v>
                </c:pt>
                <c:pt idx="649">
                  <c:v>-22148</c:v>
                </c:pt>
                <c:pt idx="650">
                  <c:v>53745</c:v>
                </c:pt>
                <c:pt idx="651">
                  <c:v>98617</c:v>
                </c:pt>
                <c:pt idx="652">
                  <c:v>128177</c:v>
                </c:pt>
                <c:pt idx="653">
                  <c:v>97812</c:v>
                </c:pt>
                <c:pt idx="654">
                  <c:v>56066</c:v>
                </c:pt>
                <c:pt idx="655">
                  <c:v>75194</c:v>
                </c:pt>
                <c:pt idx="656">
                  <c:v>27459</c:v>
                </c:pt>
                <c:pt idx="657">
                  <c:v>44358</c:v>
                </c:pt>
                <c:pt idx="658">
                  <c:v>6261</c:v>
                </c:pt>
                <c:pt idx="659">
                  <c:v>14370</c:v>
                </c:pt>
                <c:pt idx="660">
                  <c:v>-14693</c:v>
                </c:pt>
                <c:pt idx="661">
                  <c:v>-86275</c:v>
                </c:pt>
                <c:pt idx="662">
                  <c:v>-104459</c:v>
                </c:pt>
                <c:pt idx="663">
                  <c:v>-176777</c:v>
                </c:pt>
                <c:pt idx="664">
                  <c:v>-257965</c:v>
                </c:pt>
                <c:pt idx="665">
                  <c:v>-261326</c:v>
                </c:pt>
                <c:pt idx="666">
                  <c:v>-203414</c:v>
                </c:pt>
                <c:pt idx="667">
                  <c:v>-246735</c:v>
                </c:pt>
                <c:pt idx="668">
                  <c:v>-271746</c:v>
                </c:pt>
                <c:pt idx="669">
                  <c:v>-307529</c:v>
                </c:pt>
                <c:pt idx="670">
                  <c:v>-322215</c:v>
                </c:pt>
                <c:pt idx="671">
                  <c:v>-306699</c:v>
                </c:pt>
                <c:pt idx="672">
                  <c:v>-282327</c:v>
                </c:pt>
                <c:pt idx="673">
                  <c:v>-282918</c:v>
                </c:pt>
                <c:pt idx="674">
                  <c:v>-116729</c:v>
                </c:pt>
                <c:pt idx="675">
                  <c:v>-20736</c:v>
                </c:pt>
                <c:pt idx="676">
                  <c:v>87243</c:v>
                </c:pt>
                <c:pt idx="677">
                  <c:v>111212</c:v>
                </c:pt>
                <c:pt idx="678">
                  <c:v>143515</c:v>
                </c:pt>
                <c:pt idx="679">
                  <c:v>187929</c:v>
                </c:pt>
                <c:pt idx="680">
                  <c:v>181648</c:v>
                </c:pt>
                <c:pt idx="681">
                  <c:v>187168</c:v>
                </c:pt>
                <c:pt idx="682">
                  <c:v>187260</c:v>
                </c:pt>
                <c:pt idx="683">
                  <c:v>153216</c:v>
                </c:pt>
                <c:pt idx="684">
                  <c:v>111952</c:v>
                </c:pt>
                <c:pt idx="685">
                  <c:v>79507</c:v>
                </c:pt>
                <c:pt idx="686">
                  <c:v>44513</c:v>
                </c:pt>
                <c:pt idx="687">
                  <c:v>-56441</c:v>
                </c:pt>
                <c:pt idx="688">
                  <c:v>-94137</c:v>
                </c:pt>
                <c:pt idx="689">
                  <c:v>-119371</c:v>
                </c:pt>
                <c:pt idx="690">
                  <c:v>-136399</c:v>
                </c:pt>
                <c:pt idx="691">
                  <c:v>-170626</c:v>
                </c:pt>
                <c:pt idx="692">
                  <c:v>-159890</c:v>
                </c:pt>
                <c:pt idx="693">
                  <c:v>-126174</c:v>
                </c:pt>
                <c:pt idx="694">
                  <c:v>-90668</c:v>
                </c:pt>
                <c:pt idx="695">
                  <c:v>-66141</c:v>
                </c:pt>
                <c:pt idx="696">
                  <c:v>-76055</c:v>
                </c:pt>
                <c:pt idx="697">
                  <c:v>-85337</c:v>
                </c:pt>
                <c:pt idx="698">
                  <c:v>-104846</c:v>
                </c:pt>
                <c:pt idx="699">
                  <c:v>-110921</c:v>
                </c:pt>
                <c:pt idx="700">
                  <c:v>-123530</c:v>
                </c:pt>
                <c:pt idx="701">
                  <c:v>-116072</c:v>
                </c:pt>
                <c:pt idx="702">
                  <c:v>-85137</c:v>
                </c:pt>
                <c:pt idx="703">
                  <c:v>-114801</c:v>
                </c:pt>
                <c:pt idx="704">
                  <c:v>-94837</c:v>
                </c:pt>
                <c:pt idx="705">
                  <c:v>-84906</c:v>
                </c:pt>
                <c:pt idx="706">
                  <c:v>-82456</c:v>
                </c:pt>
                <c:pt idx="707">
                  <c:v>-80887</c:v>
                </c:pt>
                <c:pt idx="708">
                  <c:v>-78442</c:v>
                </c:pt>
                <c:pt idx="709">
                  <c:v>-67804</c:v>
                </c:pt>
                <c:pt idx="710">
                  <c:v>-29476</c:v>
                </c:pt>
                <c:pt idx="711">
                  <c:v>-55990</c:v>
                </c:pt>
                <c:pt idx="712">
                  <c:v>-72084</c:v>
                </c:pt>
                <c:pt idx="713">
                  <c:v>-61461</c:v>
                </c:pt>
                <c:pt idx="714">
                  <c:v>-95510</c:v>
                </c:pt>
                <c:pt idx="715">
                  <c:v>-84939</c:v>
                </c:pt>
                <c:pt idx="716">
                  <c:v>-60370</c:v>
                </c:pt>
                <c:pt idx="717">
                  <c:v>-91846</c:v>
                </c:pt>
                <c:pt idx="718">
                  <c:v>-108549</c:v>
                </c:pt>
                <c:pt idx="719">
                  <c:v>-100332</c:v>
                </c:pt>
                <c:pt idx="720">
                  <c:v>-110402</c:v>
                </c:pt>
                <c:pt idx="721">
                  <c:v>-137571</c:v>
                </c:pt>
                <c:pt idx="722">
                  <c:v>-161057</c:v>
                </c:pt>
                <c:pt idx="723">
                  <c:v>-160975</c:v>
                </c:pt>
                <c:pt idx="724">
                  <c:v>-190152</c:v>
                </c:pt>
                <c:pt idx="725">
                  <c:v>-214054</c:v>
                </c:pt>
                <c:pt idx="726">
                  <c:v>-245386</c:v>
                </c:pt>
                <c:pt idx="727">
                  <c:v>-276203</c:v>
                </c:pt>
                <c:pt idx="728">
                  <c:v>-282266</c:v>
                </c:pt>
                <c:pt idx="729">
                  <c:v>-297312</c:v>
                </c:pt>
                <c:pt idx="730">
                  <c:v>-270751</c:v>
                </c:pt>
                <c:pt idx="731">
                  <c:v>-277479</c:v>
                </c:pt>
                <c:pt idx="732">
                  <c:v>-201648</c:v>
                </c:pt>
                <c:pt idx="733">
                  <c:v>-141741</c:v>
                </c:pt>
                <c:pt idx="734">
                  <c:v>-133625</c:v>
                </c:pt>
                <c:pt idx="735">
                  <c:v>-137770</c:v>
                </c:pt>
                <c:pt idx="736">
                  <c:v>-143280</c:v>
                </c:pt>
                <c:pt idx="737">
                  <c:v>-172820</c:v>
                </c:pt>
                <c:pt idx="738">
                  <c:v>-172361</c:v>
                </c:pt>
                <c:pt idx="739">
                  <c:v>-110499</c:v>
                </c:pt>
                <c:pt idx="740">
                  <c:v>-61489</c:v>
                </c:pt>
                <c:pt idx="741">
                  <c:v>18659</c:v>
                </c:pt>
                <c:pt idx="742">
                  <c:v>33494</c:v>
                </c:pt>
                <c:pt idx="743">
                  <c:v>58556</c:v>
                </c:pt>
                <c:pt idx="744">
                  <c:v>95912</c:v>
                </c:pt>
                <c:pt idx="745">
                  <c:v>106820</c:v>
                </c:pt>
                <c:pt idx="746">
                  <c:v>134466</c:v>
                </c:pt>
                <c:pt idx="747">
                  <c:v>170869</c:v>
                </c:pt>
                <c:pt idx="748">
                  <c:v>218825</c:v>
                </c:pt>
                <c:pt idx="749">
                  <c:v>276235</c:v>
                </c:pt>
                <c:pt idx="750">
                  <c:v>290080</c:v>
                </c:pt>
                <c:pt idx="751">
                  <c:v>280835</c:v>
                </c:pt>
                <c:pt idx="752">
                  <c:v>278889</c:v>
                </c:pt>
                <c:pt idx="753">
                  <c:v>287599</c:v>
                </c:pt>
                <c:pt idx="754">
                  <c:v>270633</c:v>
                </c:pt>
                <c:pt idx="755">
                  <c:v>269583</c:v>
                </c:pt>
                <c:pt idx="756">
                  <c:v>250260</c:v>
                </c:pt>
                <c:pt idx="757">
                  <c:v>265713</c:v>
                </c:pt>
                <c:pt idx="758">
                  <c:v>332045</c:v>
                </c:pt>
                <c:pt idx="759">
                  <c:v>349888</c:v>
                </c:pt>
                <c:pt idx="760">
                  <c:v>374714</c:v>
                </c:pt>
                <c:pt idx="761">
                  <c:v>349495</c:v>
                </c:pt>
                <c:pt idx="762">
                  <c:v>364229</c:v>
                </c:pt>
                <c:pt idx="763">
                  <c:v>345147</c:v>
                </c:pt>
                <c:pt idx="764">
                  <c:v>358807</c:v>
                </c:pt>
                <c:pt idx="765">
                  <c:v>365785</c:v>
                </c:pt>
                <c:pt idx="766">
                  <c:v>361151</c:v>
                </c:pt>
                <c:pt idx="767">
                  <c:v>348546</c:v>
                </c:pt>
                <c:pt idx="768">
                  <c:v>356514</c:v>
                </c:pt>
                <c:pt idx="769">
                  <c:v>370900</c:v>
                </c:pt>
                <c:pt idx="770">
                  <c:v>388175</c:v>
                </c:pt>
                <c:pt idx="771">
                  <c:v>395584</c:v>
                </c:pt>
                <c:pt idx="772">
                  <c:v>386619</c:v>
                </c:pt>
                <c:pt idx="773">
                  <c:v>401993</c:v>
                </c:pt>
                <c:pt idx="774">
                  <c:v>383998</c:v>
                </c:pt>
                <c:pt idx="775">
                  <c:v>378663</c:v>
                </c:pt>
                <c:pt idx="776">
                  <c:v>372548</c:v>
                </c:pt>
                <c:pt idx="777">
                  <c:v>316336</c:v>
                </c:pt>
                <c:pt idx="778">
                  <c:v>291025</c:v>
                </c:pt>
                <c:pt idx="779">
                  <c:v>268091</c:v>
                </c:pt>
                <c:pt idx="780">
                  <c:v>289936</c:v>
                </c:pt>
                <c:pt idx="781">
                  <c:v>275599</c:v>
                </c:pt>
                <c:pt idx="782">
                  <c:v>252730</c:v>
                </c:pt>
                <c:pt idx="783">
                  <c:v>243465</c:v>
                </c:pt>
                <c:pt idx="784">
                  <c:v>245434</c:v>
                </c:pt>
                <c:pt idx="785">
                  <c:v>219371</c:v>
                </c:pt>
                <c:pt idx="786">
                  <c:v>208799</c:v>
                </c:pt>
                <c:pt idx="787">
                  <c:v>223302</c:v>
                </c:pt>
                <c:pt idx="788">
                  <c:v>228009</c:v>
                </c:pt>
                <c:pt idx="789">
                  <c:v>246500</c:v>
                </c:pt>
                <c:pt idx="790">
                  <c:v>254044</c:v>
                </c:pt>
                <c:pt idx="791">
                  <c:v>278911</c:v>
                </c:pt>
                <c:pt idx="792">
                  <c:v>270994</c:v>
                </c:pt>
                <c:pt idx="793">
                  <c:v>258785</c:v>
                </c:pt>
                <c:pt idx="794">
                  <c:v>215172</c:v>
                </c:pt>
                <c:pt idx="795">
                  <c:v>212229</c:v>
                </c:pt>
                <c:pt idx="796">
                  <c:v>214350</c:v>
                </c:pt>
                <c:pt idx="797">
                  <c:v>244741</c:v>
                </c:pt>
                <c:pt idx="798">
                  <c:v>250596</c:v>
                </c:pt>
                <c:pt idx="799">
                  <c:v>227931</c:v>
                </c:pt>
                <c:pt idx="800">
                  <c:v>219568</c:v>
                </c:pt>
                <c:pt idx="801">
                  <c:v>244790</c:v>
                </c:pt>
                <c:pt idx="802">
                  <c:v>324560</c:v>
                </c:pt>
                <c:pt idx="803">
                  <c:v>319609</c:v>
                </c:pt>
                <c:pt idx="804">
                  <c:v>341135</c:v>
                </c:pt>
                <c:pt idx="805">
                  <c:v>366691</c:v>
                </c:pt>
                <c:pt idx="806">
                  <c:v>315269</c:v>
                </c:pt>
                <c:pt idx="807">
                  <c:v>332501</c:v>
                </c:pt>
                <c:pt idx="808">
                  <c:v>345980</c:v>
                </c:pt>
                <c:pt idx="809">
                  <c:v>360416</c:v>
                </c:pt>
                <c:pt idx="810">
                  <c:v>373345</c:v>
                </c:pt>
                <c:pt idx="811">
                  <c:v>365905</c:v>
                </c:pt>
                <c:pt idx="812">
                  <c:v>344379</c:v>
                </c:pt>
                <c:pt idx="813">
                  <c:v>326523</c:v>
                </c:pt>
                <c:pt idx="814">
                  <c:v>365605</c:v>
                </c:pt>
                <c:pt idx="815">
                  <c:v>372551</c:v>
                </c:pt>
                <c:pt idx="816">
                  <c:v>337332</c:v>
                </c:pt>
                <c:pt idx="817">
                  <c:v>325514</c:v>
                </c:pt>
                <c:pt idx="818">
                  <c:v>354436</c:v>
                </c:pt>
                <c:pt idx="819">
                  <c:v>349222</c:v>
                </c:pt>
                <c:pt idx="820">
                  <c:v>368784</c:v>
                </c:pt>
                <c:pt idx="821">
                  <c:v>372909</c:v>
                </c:pt>
                <c:pt idx="822">
                  <c:v>384101</c:v>
                </c:pt>
                <c:pt idx="823">
                  <c:v>354604</c:v>
                </c:pt>
                <c:pt idx="824">
                  <c:v>362306</c:v>
                </c:pt>
                <c:pt idx="825">
                  <c:v>369952</c:v>
                </c:pt>
                <c:pt idx="826">
                  <c:v>379110</c:v>
                </c:pt>
                <c:pt idx="827">
                  <c:v>360655</c:v>
                </c:pt>
                <c:pt idx="828">
                  <c:v>353518</c:v>
                </c:pt>
                <c:pt idx="829">
                  <c:v>338562</c:v>
                </c:pt>
                <c:pt idx="830">
                  <c:v>339711</c:v>
                </c:pt>
                <c:pt idx="831">
                  <c:v>291469</c:v>
                </c:pt>
                <c:pt idx="832">
                  <c:v>268964</c:v>
                </c:pt>
                <c:pt idx="833">
                  <c:v>264327</c:v>
                </c:pt>
                <c:pt idx="834">
                  <c:v>278185</c:v>
                </c:pt>
                <c:pt idx="835">
                  <c:v>265264</c:v>
                </c:pt>
                <c:pt idx="836">
                  <c:v>228615</c:v>
                </c:pt>
                <c:pt idx="837">
                  <c:v>172867</c:v>
                </c:pt>
                <c:pt idx="838">
                  <c:v>151174</c:v>
                </c:pt>
                <c:pt idx="839">
                  <c:v>125303</c:v>
                </c:pt>
                <c:pt idx="840">
                  <c:v>120788</c:v>
                </c:pt>
                <c:pt idx="841">
                  <c:v>129921</c:v>
                </c:pt>
                <c:pt idx="842">
                  <c:v>142062</c:v>
                </c:pt>
                <c:pt idx="843">
                  <c:v>153840</c:v>
                </c:pt>
                <c:pt idx="844">
                  <c:v>182216</c:v>
                </c:pt>
                <c:pt idx="845">
                  <c:v>221467</c:v>
                </c:pt>
                <c:pt idx="846">
                  <c:v>226479</c:v>
                </c:pt>
                <c:pt idx="847">
                  <c:v>240643</c:v>
                </c:pt>
                <c:pt idx="848">
                  <c:v>247909</c:v>
                </c:pt>
                <c:pt idx="849">
                  <c:v>237854</c:v>
                </c:pt>
                <c:pt idx="850">
                  <c:v>243728</c:v>
                </c:pt>
                <c:pt idx="851">
                  <c:v>267377</c:v>
                </c:pt>
                <c:pt idx="852">
                  <c:v>254261</c:v>
                </c:pt>
                <c:pt idx="853">
                  <c:v>264374</c:v>
                </c:pt>
                <c:pt idx="854">
                  <c:v>271960</c:v>
                </c:pt>
                <c:pt idx="855">
                  <c:v>237662</c:v>
                </c:pt>
                <c:pt idx="856">
                  <c:v>176831</c:v>
                </c:pt>
                <c:pt idx="857">
                  <c:v>170767</c:v>
                </c:pt>
                <c:pt idx="858">
                  <c:v>191631</c:v>
                </c:pt>
                <c:pt idx="859">
                  <c:v>120213</c:v>
                </c:pt>
                <c:pt idx="860">
                  <c:v>127106</c:v>
                </c:pt>
                <c:pt idx="861">
                  <c:v>113815</c:v>
                </c:pt>
                <c:pt idx="862">
                  <c:v>159315</c:v>
                </c:pt>
                <c:pt idx="863">
                  <c:v>196457</c:v>
                </c:pt>
                <c:pt idx="864">
                  <c:v>149605</c:v>
                </c:pt>
                <c:pt idx="865">
                  <c:v>192137</c:v>
                </c:pt>
                <c:pt idx="866">
                  <c:v>201797</c:v>
                </c:pt>
                <c:pt idx="867">
                  <c:v>219924</c:v>
                </c:pt>
                <c:pt idx="868">
                  <c:v>202018</c:v>
                </c:pt>
                <c:pt idx="869">
                  <c:v>234865</c:v>
                </c:pt>
                <c:pt idx="870">
                  <c:v>215928</c:v>
                </c:pt>
                <c:pt idx="871">
                  <c:v>68635</c:v>
                </c:pt>
                <c:pt idx="872">
                  <c:v>21058</c:v>
                </c:pt>
                <c:pt idx="873">
                  <c:v>-54134</c:v>
                </c:pt>
                <c:pt idx="874">
                  <c:v>-41896</c:v>
                </c:pt>
                <c:pt idx="875">
                  <c:v>-13288</c:v>
                </c:pt>
                <c:pt idx="876">
                  <c:v>21547</c:v>
                </c:pt>
                <c:pt idx="877">
                  <c:v>27112</c:v>
                </c:pt>
                <c:pt idx="878">
                  <c:v>49434</c:v>
                </c:pt>
                <c:pt idx="879">
                  <c:v>-15297</c:v>
                </c:pt>
                <c:pt idx="880">
                  <c:v>-118146</c:v>
                </c:pt>
                <c:pt idx="881">
                  <c:v>-109643</c:v>
                </c:pt>
                <c:pt idx="882">
                  <c:v>-91985</c:v>
                </c:pt>
                <c:pt idx="883">
                  <c:v>-98027</c:v>
                </c:pt>
                <c:pt idx="884">
                  <c:v>-51065</c:v>
                </c:pt>
                <c:pt idx="885">
                  <c:v>-44492</c:v>
                </c:pt>
                <c:pt idx="886">
                  <c:v>2145</c:v>
                </c:pt>
                <c:pt idx="887">
                  <c:v>58299</c:v>
                </c:pt>
                <c:pt idx="888">
                  <c:v>52845</c:v>
                </c:pt>
                <c:pt idx="889">
                  <c:v>-18209</c:v>
                </c:pt>
                <c:pt idx="890">
                  <c:v>-63052</c:v>
                </c:pt>
                <c:pt idx="891">
                  <c:v>-46926</c:v>
                </c:pt>
                <c:pt idx="892">
                  <c:v>26603</c:v>
                </c:pt>
                <c:pt idx="893">
                  <c:v>16741</c:v>
                </c:pt>
                <c:pt idx="894">
                  <c:v>-26656</c:v>
                </c:pt>
                <c:pt idx="895">
                  <c:v>-72580</c:v>
                </c:pt>
                <c:pt idx="896">
                  <c:v>-106135</c:v>
                </c:pt>
                <c:pt idx="897">
                  <c:v>-87348</c:v>
                </c:pt>
                <c:pt idx="898">
                  <c:v>-93913</c:v>
                </c:pt>
                <c:pt idx="899">
                  <c:v>-134909</c:v>
                </c:pt>
                <c:pt idx="900">
                  <c:v>-144815</c:v>
                </c:pt>
                <c:pt idx="901">
                  <c:v>-168606</c:v>
                </c:pt>
                <c:pt idx="902">
                  <c:v>-159433</c:v>
                </c:pt>
                <c:pt idx="903">
                  <c:v>-112691</c:v>
                </c:pt>
                <c:pt idx="904">
                  <c:v>-108870</c:v>
                </c:pt>
                <c:pt idx="905">
                  <c:v>-100430</c:v>
                </c:pt>
                <c:pt idx="906">
                  <c:v>-144432</c:v>
                </c:pt>
                <c:pt idx="907">
                  <c:v>-168588</c:v>
                </c:pt>
                <c:pt idx="908">
                  <c:v>-163486</c:v>
                </c:pt>
                <c:pt idx="909">
                  <c:v>-185502</c:v>
                </c:pt>
                <c:pt idx="910">
                  <c:v>-206478</c:v>
                </c:pt>
                <c:pt idx="911">
                  <c:v>-160533</c:v>
                </c:pt>
                <c:pt idx="912">
                  <c:v>-151570</c:v>
                </c:pt>
                <c:pt idx="913">
                  <c:v>-180724</c:v>
                </c:pt>
                <c:pt idx="914">
                  <c:v>-177626</c:v>
                </c:pt>
                <c:pt idx="915">
                  <c:v>-197326</c:v>
                </c:pt>
                <c:pt idx="916">
                  <c:v>-230723</c:v>
                </c:pt>
                <c:pt idx="917">
                  <c:v>-260542</c:v>
                </c:pt>
                <c:pt idx="918">
                  <c:v>-265285</c:v>
                </c:pt>
                <c:pt idx="919">
                  <c:v>-280151</c:v>
                </c:pt>
                <c:pt idx="920">
                  <c:v>-297744</c:v>
                </c:pt>
                <c:pt idx="921">
                  <c:v>-314341</c:v>
                </c:pt>
                <c:pt idx="922">
                  <c:v>-340732</c:v>
                </c:pt>
                <c:pt idx="923">
                  <c:v>-295258</c:v>
                </c:pt>
                <c:pt idx="924">
                  <c:v>-296795</c:v>
                </c:pt>
                <c:pt idx="925">
                  <c:v>-255928</c:v>
                </c:pt>
                <c:pt idx="926">
                  <c:v>-242988</c:v>
                </c:pt>
                <c:pt idx="927">
                  <c:v>-251730</c:v>
                </c:pt>
                <c:pt idx="928">
                  <c:v>-259556</c:v>
                </c:pt>
                <c:pt idx="929">
                  <c:v>-263554</c:v>
                </c:pt>
                <c:pt idx="930">
                  <c:v>-279570</c:v>
                </c:pt>
                <c:pt idx="931">
                  <c:v>-238546</c:v>
                </c:pt>
                <c:pt idx="932">
                  <c:v>-218040</c:v>
                </c:pt>
                <c:pt idx="933">
                  <c:v>-102513</c:v>
                </c:pt>
                <c:pt idx="934">
                  <c:v>-71171</c:v>
                </c:pt>
                <c:pt idx="935">
                  <c:v>-121162</c:v>
                </c:pt>
                <c:pt idx="936">
                  <c:v>-133477</c:v>
                </c:pt>
                <c:pt idx="937">
                  <c:v>-212706</c:v>
                </c:pt>
                <c:pt idx="938">
                  <c:v>-212279</c:v>
                </c:pt>
                <c:pt idx="939">
                  <c:v>-191462</c:v>
                </c:pt>
                <c:pt idx="940">
                  <c:v>-277666</c:v>
                </c:pt>
                <c:pt idx="941">
                  <c:v>-336538</c:v>
                </c:pt>
                <c:pt idx="942">
                  <c:v>-353983</c:v>
                </c:pt>
                <c:pt idx="943">
                  <c:v>-343396</c:v>
                </c:pt>
                <c:pt idx="944">
                  <c:v>-318549</c:v>
                </c:pt>
                <c:pt idx="945">
                  <c:v>-295096</c:v>
                </c:pt>
                <c:pt idx="946">
                  <c:v>-242545</c:v>
                </c:pt>
                <c:pt idx="947">
                  <c:v>-249007</c:v>
                </c:pt>
                <c:pt idx="948">
                  <c:v>-257896</c:v>
                </c:pt>
                <c:pt idx="949">
                  <c:v>-241908</c:v>
                </c:pt>
                <c:pt idx="950">
                  <c:v>-176211</c:v>
                </c:pt>
                <c:pt idx="951">
                  <c:v>-132134</c:v>
                </c:pt>
                <c:pt idx="952">
                  <c:v>-134814</c:v>
                </c:pt>
                <c:pt idx="953">
                  <c:v>-130699</c:v>
                </c:pt>
                <c:pt idx="954">
                  <c:v>-67699</c:v>
                </c:pt>
                <c:pt idx="955">
                  <c:v>-23729</c:v>
                </c:pt>
                <c:pt idx="956">
                  <c:v>-86988</c:v>
                </c:pt>
                <c:pt idx="957">
                  <c:v>-71499</c:v>
                </c:pt>
                <c:pt idx="958">
                  <c:v>-17703</c:v>
                </c:pt>
                <c:pt idx="959">
                  <c:v>22043</c:v>
                </c:pt>
                <c:pt idx="960">
                  <c:v>109989</c:v>
                </c:pt>
                <c:pt idx="961">
                  <c:v>114628</c:v>
                </c:pt>
                <c:pt idx="962">
                  <c:v>97442</c:v>
                </c:pt>
                <c:pt idx="963">
                  <c:v>88220</c:v>
                </c:pt>
                <c:pt idx="964">
                  <c:v>165890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10-435E-BAA5-EC2595772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598664"/>
        <c:axId val="815598992"/>
      </c:lineChart>
      <c:catAx>
        <c:axId val="81559866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815598992"/>
        <c:crosses val="autoZero"/>
        <c:auto val="1"/>
        <c:lblAlgn val="ctr"/>
        <c:lblOffset val="100"/>
        <c:noMultiLvlLbl val="1"/>
      </c:catAx>
      <c:valAx>
        <c:axId val="815598992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Helvetica" panose="020B060402020203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Helvetica" panose="020B0604020202030204" pitchFamily="34" charset="0"/>
                  </a:rPr>
                  <a:t>contracts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Helvetica" panose="020B0604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5598664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  <a:latin typeface="Helvetica" panose="020B0604020202030204" pitchFamily="34" charset="0"/>
              </a:rPr>
              <a:t>Corn Commercial Net Futures and Options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Helvetica" panose="020B0604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26871427932088"/>
          <c:y val="8.7551436601398275E-2"/>
          <c:w val="0.87528180341549577"/>
          <c:h val="0.80489313172136667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335163"/>
              </a:solidFill>
              <a:round/>
            </a:ln>
            <a:effectLst/>
          </c:spPr>
          <c:marker>
            <c:symbol val="none"/>
          </c:marker>
          <c:cat>
            <c:strRef>
              <c:f>Data!$A$3:$A$1000</c:f>
              <c:strCache>
                <c:ptCount val="998"/>
                <c:pt idx="0">
                  <c:v>13-Jun-06</c:v>
                </c:pt>
                <c:pt idx="1">
                  <c:v>20-Jun-06</c:v>
                </c:pt>
                <c:pt idx="2">
                  <c:v>27-Jun-06</c:v>
                </c:pt>
                <c:pt idx="3">
                  <c:v>4-Jul-06</c:v>
                </c:pt>
                <c:pt idx="4">
                  <c:v>11-Jul-06</c:v>
                </c:pt>
                <c:pt idx="5">
                  <c:v>18-Jul-06</c:v>
                </c:pt>
                <c:pt idx="6">
                  <c:v>25-Jul-06</c:v>
                </c:pt>
                <c:pt idx="7">
                  <c:v>1-Aug-06</c:v>
                </c:pt>
                <c:pt idx="8">
                  <c:v>8-Aug-06</c:v>
                </c:pt>
                <c:pt idx="9">
                  <c:v>15-Aug-06</c:v>
                </c:pt>
                <c:pt idx="10">
                  <c:v>22-Aug-06</c:v>
                </c:pt>
                <c:pt idx="11">
                  <c:v>29-Aug-06</c:v>
                </c:pt>
                <c:pt idx="12">
                  <c:v>5-Sep-06</c:v>
                </c:pt>
                <c:pt idx="13">
                  <c:v>12-Sep-06</c:v>
                </c:pt>
                <c:pt idx="14">
                  <c:v>19-Sep-06</c:v>
                </c:pt>
                <c:pt idx="15">
                  <c:v>26-Sep-06</c:v>
                </c:pt>
                <c:pt idx="16">
                  <c:v>3-Oct-06</c:v>
                </c:pt>
                <c:pt idx="17">
                  <c:v>10-Oct-06</c:v>
                </c:pt>
                <c:pt idx="18">
                  <c:v>17-Oct-06</c:v>
                </c:pt>
                <c:pt idx="19">
                  <c:v>24-Oct-06</c:v>
                </c:pt>
                <c:pt idx="20">
                  <c:v>31-Oct-06</c:v>
                </c:pt>
                <c:pt idx="21">
                  <c:v>7-Nov-06</c:v>
                </c:pt>
                <c:pt idx="22">
                  <c:v>14-Nov-06</c:v>
                </c:pt>
                <c:pt idx="23">
                  <c:v>21-Nov-06</c:v>
                </c:pt>
                <c:pt idx="24">
                  <c:v>28-Nov-06</c:v>
                </c:pt>
                <c:pt idx="25">
                  <c:v>5-Dec-06</c:v>
                </c:pt>
                <c:pt idx="26">
                  <c:v>12-Dec-06</c:v>
                </c:pt>
                <c:pt idx="27">
                  <c:v>19-Dec-06</c:v>
                </c:pt>
                <c:pt idx="28">
                  <c:v>26-Dec-06</c:v>
                </c:pt>
                <c:pt idx="29">
                  <c:v>9-Jan-07</c:v>
                </c:pt>
                <c:pt idx="30">
                  <c:v>16-Jan-07</c:v>
                </c:pt>
                <c:pt idx="31">
                  <c:v>23-Jan-07</c:v>
                </c:pt>
                <c:pt idx="32">
                  <c:v>30-Jan-07</c:v>
                </c:pt>
                <c:pt idx="33">
                  <c:v>6-Feb-07</c:v>
                </c:pt>
                <c:pt idx="34">
                  <c:v>13-Feb-07</c:v>
                </c:pt>
                <c:pt idx="35">
                  <c:v>20-Feb-07</c:v>
                </c:pt>
                <c:pt idx="36">
                  <c:v>27-Feb-07</c:v>
                </c:pt>
                <c:pt idx="37">
                  <c:v>6-Mar-07</c:v>
                </c:pt>
                <c:pt idx="38">
                  <c:v>13-Mar-07</c:v>
                </c:pt>
                <c:pt idx="39">
                  <c:v>20-Mar-07</c:v>
                </c:pt>
                <c:pt idx="40">
                  <c:v>27-Mar-07</c:v>
                </c:pt>
                <c:pt idx="41">
                  <c:v>3-Apr-07</c:v>
                </c:pt>
                <c:pt idx="42">
                  <c:v>10-Apr-07</c:v>
                </c:pt>
                <c:pt idx="43">
                  <c:v>17-Apr-07</c:v>
                </c:pt>
                <c:pt idx="44">
                  <c:v>24-Apr-07</c:v>
                </c:pt>
                <c:pt idx="45">
                  <c:v>1-May-07</c:v>
                </c:pt>
                <c:pt idx="46">
                  <c:v>8-May-07</c:v>
                </c:pt>
                <c:pt idx="47">
                  <c:v>15-May-07</c:v>
                </c:pt>
                <c:pt idx="48">
                  <c:v>22-May-07</c:v>
                </c:pt>
                <c:pt idx="49">
                  <c:v>29-May-07</c:v>
                </c:pt>
                <c:pt idx="50">
                  <c:v>5-Jun-07</c:v>
                </c:pt>
                <c:pt idx="51">
                  <c:v>12-Jun-07</c:v>
                </c:pt>
                <c:pt idx="52">
                  <c:v>19-Jun-07</c:v>
                </c:pt>
                <c:pt idx="53">
                  <c:v>26-Jun-07</c:v>
                </c:pt>
                <c:pt idx="54">
                  <c:v>3-Jul-07</c:v>
                </c:pt>
                <c:pt idx="55">
                  <c:v>10-Jul-07</c:v>
                </c:pt>
                <c:pt idx="56">
                  <c:v>17-Jul-07</c:v>
                </c:pt>
                <c:pt idx="57">
                  <c:v>24-Jul-07</c:v>
                </c:pt>
                <c:pt idx="58">
                  <c:v>31-Jul-07</c:v>
                </c:pt>
                <c:pt idx="59">
                  <c:v>7-Aug-07</c:v>
                </c:pt>
                <c:pt idx="60">
                  <c:v>14-Aug-07</c:v>
                </c:pt>
                <c:pt idx="61">
                  <c:v>21-Aug-07</c:v>
                </c:pt>
                <c:pt idx="62">
                  <c:v>28-Aug-07</c:v>
                </c:pt>
                <c:pt idx="63">
                  <c:v>4-Sep-07</c:v>
                </c:pt>
                <c:pt idx="64">
                  <c:v>11-Sep-07</c:v>
                </c:pt>
                <c:pt idx="65">
                  <c:v>18-Sep-07</c:v>
                </c:pt>
                <c:pt idx="66">
                  <c:v>25-Sep-07</c:v>
                </c:pt>
                <c:pt idx="67">
                  <c:v>2-Oct-07</c:v>
                </c:pt>
                <c:pt idx="68">
                  <c:v>9-Oct-07</c:v>
                </c:pt>
                <c:pt idx="69">
                  <c:v>16-Oct-07</c:v>
                </c:pt>
                <c:pt idx="70">
                  <c:v>23-Oct-07</c:v>
                </c:pt>
                <c:pt idx="71">
                  <c:v>30-Oct-07</c:v>
                </c:pt>
                <c:pt idx="72">
                  <c:v>6-Nov-07</c:v>
                </c:pt>
                <c:pt idx="73">
                  <c:v>13-Nov-07</c:v>
                </c:pt>
                <c:pt idx="74">
                  <c:v>20-Nov-07</c:v>
                </c:pt>
                <c:pt idx="75">
                  <c:v>27-Nov-07</c:v>
                </c:pt>
                <c:pt idx="76">
                  <c:v>4-Dec-07</c:v>
                </c:pt>
                <c:pt idx="77">
                  <c:v>11-Dec-07</c:v>
                </c:pt>
                <c:pt idx="78">
                  <c:v>18-Dec-07</c:v>
                </c:pt>
                <c:pt idx="79">
                  <c:v>25-Dec-07</c:v>
                </c:pt>
                <c:pt idx="80">
                  <c:v>1-Jan-08</c:v>
                </c:pt>
                <c:pt idx="81">
                  <c:v>8-Jan-08</c:v>
                </c:pt>
                <c:pt idx="82">
                  <c:v>15-Jan-08</c:v>
                </c:pt>
                <c:pt idx="83">
                  <c:v>22-Jan-08</c:v>
                </c:pt>
                <c:pt idx="84">
                  <c:v>29-Jan-08</c:v>
                </c:pt>
                <c:pt idx="85">
                  <c:v>5-Feb-08</c:v>
                </c:pt>
                <c:pt idx="86">
                  <c:v>12-Feb-08</c:v>
                </c:pt>
                <c:pt idx="87">
                  <c:v>19-Feb-08</c:v>
                </c:pt>
                <c:pt idx="88">
                  <c:v>26-Feb-08</c:v>
                </c:pt>
                <c:pt idx="89">
                  <c:v>4-Mar-08</c:v>
                </c:pt>
                <c:pt idx="90">
                  <c:v>11-Mar-08</c:v>
                </c:pt>
                <c:pt idx="91">
                  <c:v>18-Mar-08</c:v>
                </c:pt>
                <c:pt idx="92">
                  <c:v>25-Mar-08</c:v>
                </c:pt>
                <c:pt idx="93">
                  <c:v>1-Apr-08</c:v>
                </c:pt>
                <c:pt idx="94">
                  <c:v>8-Apr-08</c:v>
                </c:pt>
                <c:pt idx="95">
                  <c:v>15-Apr-08</c:v>
                </c:pt>
                <c:pt idx="96">
                  <c:v>22-Apr-08</c:v>
                </c:pt>
                <c:pt idx="97">
                  <c:v>29-Apr-08</c:v>
                </c:pt>
                <c:pt idx="98">
                  <c:v>6-May-08</c:v>
                </c:pt>
                <c:pt idx="99">
                  <c:v>13-May-08</c:v>
                </c:pt>
                <c:pt idx="100">
                  <c:v>20-May-08</c:v>
                </c:pt>
                <c:pt idx="101">
                  <c:v>27-May-08</c:v>
                </c:pt>
                <c:pt idx="102">
                  <c:v>3-Jun-08</c:v>
                </c:pt>
                <c:pt idx="103">
                  <c:v>10-Jun-08</c:v>
                </c:pt>
                <c:pt idx="104">
                  <c:v>17-Jun-08</c:v>
                </c:pt>
                <c:pt idx="105">
                  <c:v>24-Jun-08</c:v>
                </c:pt>
                <c:pt idx="106">
                  <c:v>1-Jul-08</c:v>
                </c:pt>
                <c:pt idx="107">
                  <c:v>8-Jul-08</c:v>
                </c:pt>
                <c:pt idx="108">
                  <c:v>15-Jul-08</c:v>
                </c:pt>
                <c:pt idx="109">
                  <c:v>22-Jul-08</c:v>
                </c:pt>
                <c:pt idx="110">
                  <c:v>29-Jul-08</c:v>
                </c:pt>
                <c:pt idx="111">
                  <c:v>5-Aug-08</c:v>
                </c:pt>
                <c:pt idx="112">
                  <c:v>12-Aug-08</c:v>
                </c:pt>
                <c:pt idx="113">
                  <c:v>19-Aug-08</c:v>
                </c:pt>
                <c:pt idx="114">
                  <c:v>26-Aug-08</c:v>
                </c:pt>
                <c:pt idx="115">
                  <c:v>2-Sep-08</c:v>
                </c:pt>
                <c:pt idx="116">
                  <c:v>9-Sep-08</c:v>
                </c:pt>
                <c:pt idx="117">
                  <c:v>16-Sep-08</c:v>
                </c:pt>
                <c:pt idx="118">
                  <c:v>23-Sep-08</c:v>
                </c:pt>
                <c:pt idx="119">
                  <c:v>30-Sep-08</c:v>
                </c:pt>
                <c:pt idx="120">
                  <c:v>7-Oct-08</c:v>
                </c:pt>
                <c:pt idx="121">
                  <c:v>14-Oct-08</c:v>
                </c:pt>
                <c:pt idx="122">
                  <c:v>21-Oct-08</c:v>
                </c:pt>
                <c:pt idx="123">
                  <c:v>28-Oct-08</c:v>
                </c:pt>
                <c:pt idx="124">
                  <c:v>4-Nov-08</c:v>
                </c:pt>
                <c:pt idx="125">
                  <c:v>11-Nov-08</c:v>
                </c:pt>
                <c:pt idx="126">
                  <c:v>18-Nov-08</c:v>
                </c:pt>
                <c:pt idx="127">
                  <c:v>25-Nov-08</c:v>
                </c:pt>
                <c:pt idx="128">
                  <c:v>2-Dec-08</c:v>
                </c:pt>
                <c:pt idx="129">
                  <c:v>9-Dec-08</c:v>
                </c:pt>
                <c:pt idx="130">
                  <c:v>16-Dec-08</c:v>
                </c:pt>
                <c:pt idx="131">
                  <c:v>23-Dec-08</c:v>
                </c:pt>
                <c:pt idx="132">
                  <c:v>30-Dec-08</c:v>
                </c:pt>
                <c:pt idx="133">
                  <c:v>6-Jan-09</c:v>
                </c:pt>
                <c:pt idx="134">
                  <c:v>13-Jan-09</c:v>
                </c:pt>
                <c:pt idx="135">
                  <c:v>20-Jan-09</c:v>
                </c:pt>
                <c:pt idx="136">
                  <c:v>27-Jan-09</c:v>
                </c:pt>
                <c:pt idx="137">
                  <c:v>3-Feb-09</c:v>
                </c:pt>
                <c:pt idx="138">
                  <c:v>10-Feb-09</c:v>
                </c:pt>
                <c:pt idx="139">
                  <c:v>17-Feb-09</c:v>
                </c:pt>
                <c:pt idx="140">
                  <c:v>24-Feb-09</c:v>
                </c:pt>
                <c:pt idx="141">
                  <c:v>3-Mar-09</c:v>
                </c:pt>
                <c:pt idx="142">
                  <c:v>10-Mar-09</c:v>
                </c:pt>
                <c:pt idx="143">
                  <c:v>17-Mar-09</c:v>
                </c:pt>
                <c:pt idx="144">
                  <c:v>24-Mar-09</c:v>
                </c:pt>
                <c:pt idx="145">
                  <c:v>31-Mar-09</c:v>
                </c:pt>
                <c:pt idx="146">
                  <c:v>7-Apr-09</c:v>
                </c:pt>
                <c:pt idx="147">
                  <c:v>14-Apr-09</c:v>
                </c:pt>
                <c:pt idx="148">
                  <c:v>21-Apr-09</c:v>
                </c:pt>
                <c:pt idx="149">
                  <c:v>28-Apr-09</c:v>
                </c:pt>
                <c:pt idx="150">
                  <c:v>5-May-09</c:v>
                </c:pt>
                <c:pt idx="151">
                  <c:v>12-May-09</c:v>
                </c:pt>
                <c:pt idx="152">
                  <c:v>19-May-09</c:v>
                </c:pt>
                <c:pt idx="153">
                  <c:v>26-May-09</c:v>
                </c:pt>
                <c:pt idx="154">
                  <c:v>2-Jun-09</c:v>
                </c:pt>
                <c:pt idx="155">
                  <c:v>9-Jun-09</c:v>
                </c:pt>
                <c:pt idx="156">
                  <c:v>16-Jun-09</c:v>
                </c:pt>
                <c:pt idx="157">
                  <c:v>23-Jun-09</c:v>
                </c:pt>
                <c:pt idx="158">
                  <c:v>30-Jun-09</c:v>
                </c:pt>
                <c:pt idx="159">
                  <c:v>7-Jul-09</c:v>
                </c:pt>
                <c:pt idx="160">
                  <c:v>14-Jul-09</c:v>
                </c:pt>
                <c:pt idx="161">
                  <c:v>21-Jul-09</c:v>
                </c:pt>
                <c:pt idx="162">
                  <c:v>28-Jul-09</c:v>
                </c:pt>
                <c:pt idx="163">
                  <c:v>4-Aug-09</c:v>
                </c:pt>
                <c:pt idx="164">
                  <c:v>11-Aug-09</c:v>
                </c:pt>
                <c:pt idx="165">
                  <c:v>18-Aug-09</c:v>
                </c:pt>
                <c:pt idx="166">
                  <c:v>25-Aug-09</c:v>
                </c:pt>
                <c:pt idx="167">
                  <c:v>1-Sep-09</c:v>
                </c:pt>
                <c:pt idx="168">
                  <c:v>8-Sep-09</c:v>
                </c:pt>
                <c:pt idx="169">
                  <c:v>15-Sep-09</c:v>
                </c:pt>
                <c:pt idx="170">
                  <c:v>22-Sep-09</c:v>
                </c:pt>
                <c:pt idx="171">
                  <c:v>29-Sep-09</c:v>
                </c:pt>
                <c:pt idx="172">
                  <c:v>6-Oct-09</c:v>
                </c:pt>
                <c:pt idx="173">
                  <c:v>13-Oct-09</c:v>
                </c:pt>
                <c:pt idx="174">
                  <c:v>20-Oct-09</c:v>
                </c:pt>
                <c:pt idx="175">
                  <c:v>27-Oct-09</c:v>
                </c:pt>
                <c:pt idx="176">
                  <c:v>3-Nov-09</c:v>
                </c:pt>
                <c:pt idx="177">
                  <c:v>10-Nov-09</c:v>
                </c:pt>
                <c:pt idx="178">
                  <c:v>17-Nov-09</c:v>
                </c:pt>
                <c:pt idx="179">
                  <c:v>24-Nov-09</c:v>
                </c:pt>
                <c:pt idx="180">
                  <c:v>1-Dec-09</c:v>
                </c:pt>
                <c:pt idx="181">
                  <c:v>8-Dec-09</c:v>
                </c:pt>
                <c:pt idx="182">
                  <c:v>15-Dec-09</c:v>
                </c:pt>
                <c:pt idx="183">
                  <c:v>22-Dec-09</c:v>
                </c:pt>
                <c:pt idx="184">
                  <c:v>29-Dec-09</c:v>
                </c:pt>
                <c:pt idx="185">
                  <c:v>5-Jan-10</c:v>
                </c:pt>
                <c:pt idx="186">
                  <c:v>12-Jan-10</c:v>
                </c:pt>
                <c:pt idx="187">
                  <c:v>19-Jan-10</c:v>
                </c:pt>
                <c:pt idx="188">
                  <c:v>26-Jan-10</c:v>
                </c:pt>
                <c:pt idx="189">
                  <c:v>2-Feb-10</c:v>
                </c:pt>
                <c:pt idx="190">
                  <c:v>9-Feb-10</c:v>
                </c:pt>
                <c:pt idx="191">
                  <c:v>16-Feb-10</c:v>
                </c:pt>
                <c:pt idx="192">
                  <c:v>23-Feb-10</c:v>
                </c:pt>
                <c:pt idx="193">
                  <c:v>2-Mar-10</c:v>
                </c:pt>
                <c:pt idx="194">
                  <c:v>9-Mar-10</c:v>
                </c:pt>
                <c:pt idx="195">
                  <c:v>16-Mar-10</c:v>
                </c:pt>
                <c:pt idx="196">
                  <c:v>23-Mar-10</c:v>
                </c:pt>
                <c:pt idx="197">
                  <c:v>30-Mar-10</c:v>
                </c:pt>
                <c:pt idx="198">
                  <c:v>6-Apr-10</c:v>
                </c:pt>
                <c:pt idx="199">
                  <c:v>13-Apr-10</c:v>
                </c:pt>
                <c:pt idx="200">
                  <c:v>20-Apr-10</c:v>
                </c:pt>
                <c:pt idx="201">
                  <c:v>27-Apr-10</c:v>
                </c:pt>
                <c:pt idx="202">
                  <c:v>4-May-10</c:v>
                </c:pt>
                <c:pt idx="203">
                  <c:v>11-May-10</c:v>
                </c:pt>
                <c:pt idx="204">
                  <c:v>18-May-10</c:v>
                </c:pt>
                <c:pt idx="205">
                  <c:v>25-May-10</c:v>
                </c:pt>
                <c:pt idx="206">
                  <c:v>1-Jun-10</c:v>
                </c:pt>
                <c:pt idx="207">
                  <c:v>8-Jun-10</c:v>
                </c:pt>
                <c:pt idx="208">
                  <c:v>15-Jun-10</c:v>
                </c:pt>
                <c:pt idx="209">
                  <c:v>22-Jun-10</c:v>
                </c:pt>
                <c:pt idx="210">
                  <c:v>29-Jun-10</c:v>
                </c:pt>
                <c:pt idx="211">
                  <c:v>6-Jul-10</c:v>
                </c:pt>
                <c:pt idx="212">
                  <c:v>13-Jul-10</c:v>
                </c:pt>
                <c:pt idx="213">
                  <c:v>20-Jul-10</c:v>
                </c:pt>
                <c:pt idx="214">
                  <c:v>27-Jul-10</c:v>
                </c:pt>
                <c:pt idx="215">
                  <c:v>3-Aug-10</c:v>
                </c:pt>
                <c:pt idx="216">
                  <c:v>10-Aug-10</c:v>
                </c:pt>
                <c:pt idx="217">
                  <c:v>17-Aug-10</c:v>
                </c:pt>
                <c:pt idx="218">
                  <c:v>24-Aug-10</c:v>
                </c:pt>
                <c:pt idx="219">
                  <c:v>31-Aug-10</c:v>
                </c:pt>
                <c:pt idx="220">
                  <c:v>7-Sep-10</c:v>
                </c:pt>
                <c:pt idx="221">
                  <c:v>14-Sep-10</c:v>
                </c:pt>
                <c:pt idx="222">
                  <c:v>21-Sep-10</c:v>
                </c:pt>
                <c:pt idx="223">
                  <c:v>28-Sep-10</c:v>
                </c:pt>
                <c:pt idx="224">
                  <c:v>5-Oct-10</c:v>
                </c:pt>
                <c:pt idx="225">
                  <c:v>12-Oct-10</c:v>
                </c:pt>
                <c:pt idx="226">
                  <c:v>19-Oct-10</c:v>
                </c:pt>
                <c:pt idx="227">
                  <c:v>26-Oct-10</c:v>
                </c:pt>
                <c:pt idx="228">
                  <c:v>2-Nov-10</c:v>
                </c:pt>
                <c:pt idx="229">
                  <c:v>9-Nov-10</c:v>
                </c:pt>
                <c:pt idx="230">
                  <c:v>16-Nov-10</c:v>
                </c:pt>
                <c:pt idx="231">
                  <c:v>23-Nov-10</c:v>
                </c:pt>
                <c:pt idx="232">
                  <c:v>30-Nov-10</c:v>
                </c:pt>
                <c:pt idx="233">
                  <c:v>7-Dec-10</c:v>
                </c:pt>
                <c:pt idx="234">
                  <c:v>14-Dec-10</c:v>
                </c:pt>
                <c:pt idx="235">
                  <c:v>21-Dec-10</c:v>
                </c:pt>
                <c:pt idx="236">
                  <c:v>28-Dec-10</c:v>
                </c:pt>
                <c:pt idx="237">
                  <c:v>4-Jan-11</c:v>
                </c:pt>
                <c:pt idx="238">
                  <c:v>11-Jan-11</c:v>
                </c:pt>
                <c:pt idx="239">
                  <c:v>18-Jan-11</c:v>
                </c:pt>
                <c:pt idx="240">
                  <c:v>25-Jan-11</c:v>
                </c:pt>
                <c:pt idx="241">
                  <c:v>1-Feb-11</c:v>
                </c:pt>
                <c:pt idx="242">
                  <c:v>8-Feb-11</c:v>
                </c:pt>
                <c:pt idx="243">
                  <c:v>15-Feb-11</c:v>
                </c:pt>
                <c:pt idx="244">
                  <c:v>22-Feb-11</c:v>
                </c:pt>
                <c:pt idx="245">
                  <c:v>1-Mar-11</c:v>
                </c:pt>
                <c:pt idx="246">
                  <c:v>8-Mar-11</c:v>
                </c:pt>
                <c:pt idx="247">
                  <c:v>15-Mar-11</c:v>
                </c:pt>
                <c:pt idx="248">
                  <c:v>22-Mar-11</c:v>
                </c:pt>
                <c:pt idx="249">
                  <c:v>29-Mar-11</c:v>
                </c:pt>
                <c:pt idx="250">
                  <c:v>5-Apr-11</c:v>
                </c:pt>
                <c:pt idx="251">
                  <c:v>12-Apr-11</c:v>
                </c:pt>
                <c:pt idx="252">
                  <c:v>19-Apr-11</c:v>
                </c:pt>
                <c:pt idx="253">
                  <c:v>26-Apr-11</c:v>
                </c:pt>
                <c:pt idx="254">
                  <c:v>3-May-11</c:v>
                </c:pt>
                <c:pt idx="255">
                  <c:v>10-May-11</c:v>
                </c:pt>
                <c:pt idx="256">
                  <c:v>17-May-11</c:v>
                </c:pt>
                <c:pt idx="257">
                  <c:v>24-May-11</c:v>
                </c:pt>
                <c:pt idx="258">
                  <c:v>31-May-11</c:v>
                </c:pt>
                <c:pt idx="259">
                  <c:v>7-Jun-11</c:v>
                </c:pt>
                <c:pt idx="260">
                  <c:v>14-Jun-11</c:v>
                </c:pt>
                <c:pt idx="261">
                  <c:v>21-Jun-11</c:v>
                </c:pt>
                <c:pt idx="262">
                  <c:v>28-Jun-11</c:v>
                </c:pt>
                <c:pt idx="263">
                  <c:v>5-Jul-11</c:v>
                </c:pt>
                <c:pt idx="264">
                  <c:v>12-Jul-11</c:v>
                </c:pt>
                <c:pt idx="265">
                  <c:v>19-Jul-11</c:v>
                </c:pt>
                <c:pt idx="266">
                  <c:v>26-Jul-11</c:v>
                </c:pt>
                <c:pt idx="267">
                  <c:v>2-Aug-11</c:v>
                </c:pt>
                <c:pt idx="268">
                  <c:v>9-Aug-11</c:v>
                </c:pt>
                <c:pt idx="269">
                  <c:v>16-Aug-11</c:v>
                </c:pt>
                <c:pt idx="270">
                  <c:v>23-Aug-11</c:v>
                </c:pt>
                <c:pt idx="271">
                  <c:v>30-Aug-11</c:v>
                </c:pt>
                <c:pt idx="272">
                  <c:v>6-Sep-11</c:v>
                </c:pt>
                <c:pt idx="273">
                  <c:v>13-Sep-11</c:v>
                </c:pt>
                <c:pt idx="274">
                  <c:v>20-Sep-11</c:v>
                </c:pt>
                <c:pt idx="275">
                  <c:v>27-Sep-11</c:v>
                </c:pt>
                <c:pt idx="276">
                  <c:v>4-Oct-11</c:v>
                </c:pt>
                <c:pt idx="277">
                  <c:v>11-Oct-11</c:v>
                </c:pt>
                <c:pt idx="278">
                  <c:v>18-Oct-11</c:v>
                </c:pt>
                <c:pt idx="279">
                  <c:v>25-Oct-11</c:v>
                </c:pt>
                <c:pt idx="280">
                  <c:v>1-Nov-11</c:v>
                </c:pt>
                <c:pt idx="281">
                  <c:v>8-Nov-11</c:v>
                </c:pt>
                <c:pt idx="282">
                  <c:v>15-Nov-11</c:v>
                </c:pt>
                <c:pt idx="283">
                  <c:v>22-Nov-11</c:v>
                </c:pt>
                <c:pt idx="284">
                  <c:v>29-Nov-11</c:v>
                </c:pt>
                <c:pt idx="285">
                  <c:v>6-Dec-11</c:v>
                </c:pt>
                <c:pt idx="286">
                  <c:v>13-Dec-11</c:v>
                </c:pt>
                <c:pt idx="287">
                  <c:v>20-Dec-11</c:v>
                </c:pt>
                <c:pt idx="288">
                  <c:v>27-Dec-11</c:v>
                </c:pt>
                <c:pt idx="289">
                  <c:v>3-Jan-12</c:v>
                </c:pt>
                <c:pt idx="290">
                  <c:v>10-Jan-12</c:v>
                </c:pt>
                <c:pt idx="291">
                  <c:v>17-Jan-12</c:v>
                </c:pt>
                <c:pt idx="292">
                  <c:v>24-Jan-12</c:v>
                </c:pt>
                <c:pt idx="293">
                  <c:v>31-Jan-12</c:v>
                </c:pt>
                <c:pt idx="294">
                  <c:v>7-Feb-12</c:v>
                </c:pt>
                <c:pt idx="295">
                  <c:v>14-Feb-12</c:v>
                </c:pt>
                <c:pt idx="296">
                  <c:v>21-Feb-12</c:v>
                </c:pt>
                <c:pt idx="297">
                  <c:v>28-Feb-12</c:v>
                </c:pt>
                <c:pt idx="298">
                  <c:v>6-Mar-12</c:v>
                </c:pt>
                <c:pt idx="299">
                  <c:v>13-Mar-12</c:v>
                </c:pt>
                <c:pt idx="300">
                  <c:v>20-Mar-12</c:v>
                </c:pt>
                <c:pt idx="301">
                  <c:v>27-Mar-12</c:v>
                </c:pt>
                <c:pt idx="302">
                  <c:v>3-Apr-12</c:v>
                </c:pt>
                <c:pt idx="303">
                  <c:v>10-Apr-12</c:v>
                </c:pt>
                <c:pt idx="304">
                  <c:v>17-Apr-12</c:v>
                </c:pt>
                <c:pt idx="305">
                  <c:v>24-Apr-12</c:v>
                </c:pt>
                <c:pt idx="306">
                  <c:v>1-May-12</c:v>
                </c:pt>
                <c:pt idx="307">
                  <c:v>8-May-12</c:v>
                </c:pt>
                <c:pt idx="308">
                  <c:v>15-May-12</c:v>
                </c:pt>
                <c:pt idx="309">
                  <c:v>22-May-12</c:v>
                </c:pt>
                <c:pt idx="310">
                  <c:v>29-May-12</c:v>
                </c:pt>
                <c:pt idx="311">
                  <c:v>5-Jun-12</c:v>
                </c:pt>
                <c:pt idx="312">
                  <c:v>12-Jun-12</c:v>
                </c:pt>
                <c:pt idx="313">
                  <c:v>19-Jun-12</c:v>
                </c:pt>
                <c:pt idx="314">
                  <c:v>26-Jun-12</c:v>
                </c:pt>
                <c:pt idx="315">
                  <c:v>3-Jul-12</c:v>
                </c:pt>
                <c:pt idx="316">
                  <c:v>10-Jul-12</c:v>
                </c:pt>
                <c:pt idx="317">
                  <c:v>17-Jul-12</c:v>
                </c:pt>
                <c:pt idx="318">
                  <c:v>24-Jul-12</c:v>
                </c:pt>
                <c:pt idx="319">
                  <c:v>31-Jul-12</c:v>
                </c:pt>
                <c:pt idx="320">
                  <c:v>7-Aug-12</c:v>
                </c:pt>
                <c:pt idx="321">
                  <c:v>14-Aug-12</c:v>
                </c:pt>
                <c:pt idx="322">
                  <c:v>21-Aug-12</c:v>
                </c:pt>
                <c:pt idx="323">
                  <c:v>28-Aug-12</c:v>
                </c:pt>
                <c:pt idx="324">
                  <c:v>4-Sep-12</c:v>
                </c:pt>
                <c:pt idx="325">
                  <c:v>11-Sep-12</c:v>
                </c:pt>
                <c:pt idx="326">
                  <c:v>18-Sep-12</c:v>
                </c:pt>
                <c:pt idx="327">
                  <c:v>25-Sep-12</c:v>
                </c:pt>
                <c:pt idx="328">
                  <c:v>2-Oct-12</c:v>
                </c:pt>
                <c:pt idx="329">
                  <c:v>9-Oct-12</c:v>
                </c:pt>
                <c:pt idx="330">
                  <c:v>16-Oct-12</c:v>
                </c:pt>
                <c:pt idx="331">
                  <c:v>23-Oct-12</c:v>
                </c:pt>
                <c:pt idx="332">
                  <c:v>30-Oct-12</c:v>
                </c:pt>
                <c:pt idx="333">
                  <c:v>6-Nov-12</c:v>
                </c:pt>
                <c:pt idx="334">
                  <c:v>13-Nov-12</c:v>
                </c:pt>
                <c:pt idx="335">
                  <c:v>20-Nov-12</c:v>
                </c:pt>
                <c:pt idx="336">
                  <c:v>27-Nov-12</c:v>
                </c:pt>
                <c:pt idx="337">
                  <c:v>4-Dec-12</c:v>
                </c:pt>
                <c:pt idx="338">
                  <c:v>11-Dec-12</c:v>
                </c:pt>
                <c:pt idx="339">
                  <c:v>18-Dec-12</c:v>
                </c:pt>
                <c:pt idx="340">
                  <c:v>25-Dec-12</c:v>
                </c:pt>
                <c:pt idx="341">
                  <c:v>1-Jan-13</c:v>
                </c:pt>
                <c:pt idx="342">
                  <c:v>8-Jan-13</c:v>
                </c:pt>
                <c:pt idx="343">
                  <c:v>15-Jan-13</c:v>
                </c:pt>
                <c:pt idx="344">
                  <c:v>22-Jan-13</c:v>
                </c:pt>
                <c:pt idx="345">
                  <c:v>29-Jan-13</c:v>
                </c:pt>
                <c:pt idx="346">
                  <c:v>5-Feb-13</c:v>
                </c:pt>
                <c:pt idx="347">
                  <c:v>12-Feb-13</c:v>
                </c:pt>
                <c:pt idx="348">
                  <c:v>19-Feb-13</c:v>
                </c:pt>
                <c:pt idx="349">
                  <c:v>26-Feb-13</c:v>
                </c:pt>
                <c:pt idx="350">
                  <c:v>5-Mar-13</c:v>
                </c:pt>
                <c:pt idx="351">
                  <c:v>12-Mar-13</c:v>
                </c:pt>
                <c:pt idx="352">
                  <c:v>19-Mar-13</c:v>
                </c:pt>
                <c:pt idx="353">
                  <c:v>26-Mar-13</c:v>
                </c:pt>
                <c:pt idx="354">
                  <c:v>2-Apr-13</c:v>
                </c:pt>
                <c:pt idx="355">
                  <c:v>9-Apr-13</c:v>
                </c:pt>
                <c:pt idx="356">
                  <c:v>16-Apr-13</c:v>
                </c:pt>
                <c:pt idx="357">
                  <c:v>23-Apr-13</c:v>
                </c:pt>
                <c:pt idx="358">
                  <c:v>30-Apr-13</c:v>
                </c:pt>
                <c:pt idx="359">
                  <c:v>7-May-13</c:v>
                </c:pt>
                <c:pt idx="360">
                  <c:v>14-May-13</c:v>
                </c:pt>
                <c:pt idx="361">
                  <c:v>21-May-13</c:v>
                </c:pt>
                <c:pt idx="362">
                  <c:v>28-May-13</c:v>
                </c:pt>
                <c:pt idx="363">
                  <c:v>4-Jun-13</c:v>
                </c:pt>
                <c:pt idx="364">
                  <c:v>11-Jun-13</c:v>
                </c:pt>
                <c:pt idx="365">
                  <c:v>18-Jun-13</c:v>
                </c:pt>
                <c:pt idx="366">
                  <c:v>25-Jun-13</c:v>
                </c:pt>
                <c:pt idx="367">
                  <c:v>2-Jul-13</c:v>
                </c:pt>
                <c:pt idx="368">
                  <c:v>9-Jul-13</c:v>
                </c:pt>
                <c:pt idx="369">
                  <c:v>16-Jul-13</c:v>
                </c:pt>
                <c:pt idx="370">
                  <c:v>23-Jul-13</c:v>
                </c:pt>
                <c:pt idx="371">
                  <c:v>30-Jul-13</c:v>
                </c:pt>
                <c:pt idx="372">
                  <c:v>6-Aug-13</c:v>
                </c:pt>
                <c:pt idx="373">
                  <c:v>13-Aug-13</c:v>
                </c:pt>
                <c:pt idx="374">
                  <c:v>20-Aug-13</c:v>
                </c:pt>
                <c:pt idx="375">
                  <c:v>27-Aug-13</c:v>
                </c:pt>
                <c:pt idx="376">
                  <c:v>3-Sep-13</c:v>
                </c:pt>
                <c:pt idx="377">
                  <c:v>10-Sep-13</c:v>
                </c:pt>
                <c:pt idx="378">
                  <c:v>17-Sep-13</c:v>
                </c:pt>
                <c:pt idx="379">
                  <c:v>24-Sep-13</c:v>
                </c:pt>
                <c:pt idx="380">
                  <c:v>1-Oct-13</c:v>
                </c:pt>
                <c:pt idx="381">
                  <c:v>8-Oct-13</c:v>
                </c:pt>
                <c:pt idx="382">
                  <c:v>15-Oct-13</c:v>
                </c:pt>
                <c:pt idx="383">
                  <c:v>22-Oct-13</c:v>
                </c:pt>
                <c:pt idx="384">
                  <c:v>29-Oct-13</c:v>
                </c:pt>
                <c:pt idx="385">
                  <c:v>5-Nov-13</c:v>
                </c:pt>
                <c:pt idx="386">
                  <c:v>12-Nov-13</c:v>
                </c:pt>
                <c:pt idx="387">
                  <c:v>19-Nov-13</c:v>
                </c:pt>
                <c:pt idx="388">
                  <c:v>26-Nov-13</c:v>
                </c:pt>
                <c:pt idx="389">
                  <c:v>3-Dec-13</c:v>
                </c:pt>
                <c:pt idx="390">
                  <c:v>10-Dec-13</c:v>
                </c:pt>
                <c:pt idx="391">
                  <c:v>17-Dec-13</c:v>
                </c:pt>
                <c:pt idx="392">
                  <c:v>24-Dec-13</c:v>
                </c:pt>
                <c:pt idx="393">
                  <c:v>31-Dec-13</c:v>
                </c:pt>
                <c:pt idx="394">
                  <c:v>7-Jan-14</c:v>
                </c:pt>
                <c:pt idx="395">
                  <c:v>14-Jan-14</c:v>
                </c:pt>
                <c:pt idx="396">
                  <c:v>21-Jan-14</c:v>
                </c:pt>
                <c:pt idx="397">
                  <c:v>28-Jan-14</c:v>
                </c:pt>
                <c:pt idx="398">
                  <c:v>4-Feb-14</c:v>
                </c:pt>
                <c:pt idx="399">
                  <c:v>11-Feb-14</c:v>
                </c:pt>
                <c:pt idx="400">
                  <c:v>18-Feb-14</c:v>
                </c:pt>
                <c:pt idx="401">
                  <c:v>25-Feb-14</c:v>
                </c:pt>
                <c:pt idx="402">
                  <c:v>4-Mar-14</c:v>
                </c:pt>
                <c:pt idx="403">
                  <c:v>11-Mar-14</c:v>
                </c:pt>
                <c:pt idx="404">
                  <c:v>18-Mar-14</c:v>
                </c:pt>
                <c:pt idx="405">
                  <c:v>25-Mar-14</c:v>
                </c:pt>
                <c:pt idx="406">
                  <c:v>1-Apr-14</c:v>
                </c:pt>
                <c:pt idx="407">
                  <c:v>8-Apr-14</c:v>
                </c:pt>
                <c:pt idx="408">
                  <c:v>15-Apr-14</c:v>
                </c:pt>
                <c:pt idx="409">
                  <c:v>22-Apr-14</c:v>
                </c:pt>
                <c:pt idx="410">
                  <c:v>29-Apr-14</c:v>
                </c:pt>
                <c:pt idx="411">
                  <c:v>6-May-14</c:v>
                </c:pt>
                <c:pt idx="412">
                  <c:v>13-May-14</c:v>
                </c:pt>
                <c:pt idx="413">
                  <c:v>20-May-14</c:v>
                </c:pt>
                <c:pt idx="414">
                  <c:v>27-May-14</c:v>
                </c:pt>
                <c:pt idx="415">
                  <c:v>3-Jun-14</c:v>
                </c:pt>
                <c:pt idx="416">
                  <c:v>10-Jun-14</c:v>
                </c:pt>
                <c:pt idx="417">
                  <c:v>17-Jun-14</c:v>
                </c:pt>
                <c:pt idx="418">
                  <c:v>24-Jun-14</c:v>
                </c:pt>
                <c:pt idx="419">
                  <c:v>1-Jul-14</c:v>
                </c:pt>
                <c:pt idx="420">
                  <c:v>8-Jul-14</c:v>
                </c:pt>
                <c:pt idx="421">
                  <c:v>15-Jul-14</c:v>
                </c:pt>
                <c:pt idx="422">
                  <c:v>22-Jul-14</c:v>
                </c:pt>
                <c:pt idx="423">
                  <c:v>29-Jul-14</c:v>
                </c:pt>
                <c:pt idx="424">
                  <c:v>5-Aug-14</c:v>
                </c:pt>
                <c:pt idx="425">
                  <c:v>12-Aug-14</c:v>
                </c:pt>
                <c:pt idx="426">
                  <c:v>19-Aug-14</c:v>
                </c:pt>
                <c:pt idx="427">
                  <c:v>26-Aug-14</c:v>
                </c:pt>
                <c:pt idx="428">
                  <c:v>2-Sep-14</c:v>
                </c:pt>
                <c:pt idx="429">
                  <c:v>9-Sep-14</c:v>
                </c:pt>
                <c:pt idx="430">
                  <c:v>16-Sep-14</c:v>
                </c:pt>
                <c:pt idx="431">
                  <c:v>23-Sep-14</c:v>
                </c:pt>
                <c:pt idx="432">
                  <c:v>30-Sep-14</c:v>
                </c:pt>
                <c:pt idx="433">
                  <c:v>7-Oct-14</c:v>
                </c:pt>
                <c:pt idx="434">
                  <c:v>14-Oct-14</c:v>
                </c:pt>
                <c:pt idx="435">
                  <c:v>21-Oct-14</c:v>
                </c:pt>
                <c:pt idx="436">
                  <c:v>28-Oct-14</c:v>
                </c:pt>
                <c:pt idx="437">
                  <c:v>4-Nov-14</c:v>
                </c:pt>
                <c:pt idx="438">
                  <c:v>11-Nov-14</c:v>
                </c:pt>
                <c:pt idx="439">
                  <c:v>18-Nov-14</c:v>
                </c:pt>
                <c:pt idx="440">
                  <c:v>25-Nov-14</c:v>
                </c:pt>
                <c:pt idx="441">
                  <c:v>2-Dec-14</c:v>
                </c:pt>
                <c:pt idx="442">
                  <c:v>9-Dec-14</c:v>
                </c:pt>
                <c:pt idx="443">
                  <c:v>16-Dec-14</c:v>
                </c:pt>
                <c:pt idx="444">
                  <c:v>23-Dec-14</c:v>
                </c:pt>
                <c:pt idx="445">
                  <c:v>30-Dec-14</c:v>
                </c:pt>
                <c:pt idx="446">
                  <c:v>6-Jan-15</c:v>
                </c:pt>
                <c:pt idx="447">
                  <c:v>13-Jan-15</c:v>
                </c:pt>
                <c:pt idx="448">
                  <c:v>20-Jan-15</c:v>
                </c:pt>
                <c:pt idx="449">
                  <c:v>27-Jan-15</c:v>
                </c:pt>
                <c:pt idx="450">
                  <c:v>3-Feb-15</c:v>
                </c:pt>
                <c:pt idx="451">
                  <c:v>10-Feb-15</c:v>
                </c:pt>
                <c:pt idx="452">
                  <c:v>17-Feb-15</c:v>
                </c:pt>
                <c:pt idx="453">
                  <c:v>24-Feb-15</c:v>
                </c:pt>
                <c:pt idx="454">
                  <c:v>3-Mar-15</c:v>
                </c:pt>
                <c:pt idx="455">
                  <c:v>10-Mar-15</c:v>
                </c:pt>
                <c:pt idx="456">
                  <c:v>17-Mar-15</c:v>
                </c:pt>
                <c:pt idx="457">
                  <c:v>24-Mar-15</c:v>
                </c:pt>
                <c:pt idx="458">
                  <c:v>31-Mar-15</c:v>
                </c:pt>
                <c:pt idx="459">
                  <c:v>7-Apr-15</c:v>
                </c:pt>
                <c:pt idx="460">
                  <c:v>14-Apr-15</c:v>
                </c:pt>
                <c:pt idx="461">
                  <c:v>21-Apr-15</c:v>
                </c:pt>
                <c:pt idx="462">
                  <c:v>28-Apr-15</c:v>
                </c:pt>
                <c:pt idx="463">
                  <c:v>5-May-15</c:v>
                </c:pt>
                <c:pt idx="464">
                  <c:v>12-May-15</c:v>
                </c:pt>
                <c:pt idx="465">
                  <c:v>19-May-15</c:v>
                </c:pt>
                <c:pt idx="466">
                  <c:v>26-May-15</c:v>
                </c:pt>
                <c:pt idx="467">
                  <c:v>2-Jun-15</c:v>
                </c:pt>
                <c:pt idx="468">
                  <c:v>9-Jun-15</c:v>
                </c:pt>
                <c:pt idx="469">
                  <c:v>16-Jun-15</c:v>
                </c:pt>
                <c:pt idx="470">
                  <c:v>23-Jun-15</c:v>
                </c:pt>
                <c:pt idx="471">
                  <c:v>30-Jun-15</c:v>
                </c:pt>
                <c:pt idx="472">
                  <c:v>7-Jul-15</c:v>
                </c:pt>
                <c:pt idx="473">
                  <c:v>14-Jul-15</c:v>
                </c:pt>
                <c:pt idx="474">
                  <c:v>21-Jul-15</c:v>
                </c:pt>
                <c:pt idx="475">
                  <c:v>28-Jul-15</c:v>
                </c:pt>
                <c:pt idx="476">
                  <c:v>4-Aug-15</c:v>
                </c:pt>
                <c:pt idx="477">
                  <c:v>11-Aug-15</c:v>
                </c:pt>
                <c:pt idx="478">
                  <c:v>18-Aug-15</c:v>
                </c:pt>
                <c:pt idx="479">
                  <c:v>25-Aug-15</c:v>
                </c:pt>
                <c:pt idx="480">
                  <c:v>1-Sep-15</c:v>
                </c:pt>
                <c:pt idx="481">
                  <c:v>8-Sep-15</c:v>
                </c:pt>
                <c:pt idx="482">
                  <c:v>15-Sep-15</c:v>
                </c:pt>
                <c:pt idx="483">
                  <c:v>22-Sep-15</c:v>
                </c:pt>
                <c:pt idx="484">
                  <c:v>29-Sep-15</c:v>
                </c:pt>
                <c:pt idx="485">
                  <c:v>6-Oct-15</c:v>
                </c:pt>
                <c:pt idx="486">
                  <c:v>13-Oct-15</c:v>
                </c:pt>
                <c:pt idx="487">
                  <c:v>20-Oct-15</c:v>
                </c:pt>
                <c:pt idx="488">
                  <c:v>27-Oct-15</c:v>
                </c:pt>
                <c:pt idx="489">
                  <c:v>3-Nov-15</c:v>
                </c:pt>
                <c:pt idx="490">
                  <c:v>10-Nov-15</c:v>
                </c:pt>
                <c:pt idx="491">
                  <c:v>17-Nov-15</c:v>
                </c:pt>
                <c:pt idx="492">
                  <c:v>24-Nov-15</c:v>
                </c:pt>
                <c:pt idx="493">
                  <c:v>1-Dec-15</c:v>
                </c:pt>
                <c:pt idx="494">
                  <c:v>8-Dec-15</c:v>
                </c:pt>
                <c:pt idx="495">
                  <c:v>15-Dec-15</c:v>
                </c:pt>
                <c:pt idx="496">
                  <c:v>22-Dec-15</c:v>
                </c:pt>
                <c:pt idx="497">
                  <c:v>29-Dec-15</c:v>
                </c:pt>
                <c:pt idx="498">
                  <c:v>5-Jan-16</c:v>
                </c:pt>
                <c:pt idx="499">
                  <c:v>12-Jan-16</c:v>
                </c:pt>
                <c:pt idx="500">
                  <c:v>19-Jan-16</c:v>
                </c:pt>
                <c:pt idx="501">
                  <c:v>26-Jan-16</c:v>
                </c:pt>
                <c:pt idx="502">
                  <c:v>2-Feb-16</c:v>
                </c:pt>
                <c:pt idx="503">
                  <c:v>9-Feb-16</c:v>
                </c:pt>
                <c:pt idx="504">
                  <c:v>16-Feb-16</c:v>
                </c:pt>
                <c:pt idx="505">
                  <c:v>23-Feb-16</c:v>
                </c:pt>
                <c:pt idx="506">
                  <c:v>1-Mar-16</c:v>
                </c:pt>
                <c:pt idx="507">
                  <c:v>8-Mar-16</c:v>
                </c:pt>
                <c:pt idx="508">
                  <c:v>15-Mar-16</c:v>
                </c:pt>
                <c:pt idx="509">
                  <c:v>22-Mar-16</c:v>
                </c:pt>
                <c:pt idx="510">
                  <c:v>29-Mar-16</c:v>
                </c:pt>
                <c:pt idx="511">
                  <c:v>5-Apr-16</c:v>
                </c:pt>
                <c:pt idx="512">
                  <c:v>12-Apr-16</c:v>
                </c:pt>
                <c:pt idx="513">
                  <c:v>19-Apr-16</c:v>
                </c:pt>
                <c:pt idx="514">
                  <c:v>26-Apr-16</c:v>
                </c:pt>
                <c:pt idx="515">
                  <c:v>3-May-16</c:v>
                </c:pt>
                <c:pt idx="516">
                  <c:v>10-May-16</c:v>
                </c:pt>
                <c:pt idx="517">
                  <c:v>17-May-16</c:v>
                </c:pt>
                <c:pt idx="518">
                  <c:v>24-May-16</c:v>
                </c:pt>
                <c:pt idx="519">
                  <c:v>31-May-16</c:v>
                </c:pt>
                <c:pt idx="520">
                  <c:v>7-Jun-16</c:v>
                </c:pt>
                <c:pt idx="521">
                  <c:v>14-Jun-16</c:v>
                </c:pt>
                <c:pt idx="522">
                  <c:v>21-Jun-16</c:v>
                </c:pt>
                <c:pt idx="523">
                  <c:v>28-Jun-16</c:v>
                </c:pt>
                <c:pt idx="524">
                  <c:v>5-Jul-16</c:v>
                </c:pt>
                <c:pt idx="525">
                  <c:v>12-Jul-16</c:v>
                </c:pt>
                <c:pt idx="526">
                  <c:v>19-Jul-16</c:v>
                </c:pt>
                <c:pt idx="527">
                  <c:v>26-Jul-16</c:v>
                </c:pt>
                <c:pt idx="528">
                  <c:v>2-Aug-16</c:v>
                </c:pt>
                <c:pt idx="529">
                  <c:v>9-Aug-16</c:v>
                </c:pt>
                <c:pt idx="530">
                  <c:v>16-Aug-16</c:v>
                </c:pt>
                <c:pt idx="531">
                  <c:v>23-Aug-16</c:v>
                </c:pt>
                <c:pt idx="532">
                  <c:v>30-Aug-16</c:v>
                </c:pt>
                <c:pt idx="533">
                  <c:v>6-Sep-16</c:v>
                </c:pt>
                <c:pt idx="534">
                  <c:v>13-Sep-16</c:v>
                </c:pt>
                <c:pt idx="535">
                  <c:v>20-Sep-16</c:v>
                </c:pt>
                <c:pt idx="536">
                  <c:v>27-Sep-16</c:v>
                </c:pt>
                <c:pt idx="537">
                  <c:v>4-Oct-16</c:v>
                </c:pt>
                <c:pt idx="538">
                  <c:v>11-Oct-16</c:v>
                </c:pt>
                <c:pt idx="539">
                  <c:v>18-Oct-16</c:v>
                </c:pt>
                <c:pt idx="540">
                  <c:v>25-Oct-16</c:v>
                </c:pt>
                <c:pt idx="541">
                  <c:v>1-Nov-16</c:v>
                </c:pt>
                <c:pt idx="542">
                  <c:v>8-Nov-16</c:v>
                </c:pt>
                <c:pt idx="543">
                  <c:v>15-Nov-16</c:v>
                </c:pt>
                <c:pt idx="544">
                  <c:v>22-Nov-16</c:v>
                </c:pt>
                <c:pt idx="545">
                  <c:v>29-Nov-16</c:v>
                </c:pt>
                <c:pt idx="546">
                  <c:v>6-Dec-16</c:v>
                </c:pt>
                <c:pt idx="547">
                  <c:v>13-Dec-16</c:v>
                </c:pt>
                <c:pt idx="548">
                  <c:v>20-Dec-16</c:v>
                </c:pt>
                <c:pt idx="549">
                  <c:v>27-Dec-16</c:v>
                </c:pt>
                <c:pt idx="550">
                  <c:v>3-Jan-17</c:v>
                </c:pt>
                <c:pt idx="551">
                  <c:v>10-Jan-17</c:v>
                </c:pt>
                <c:pt idx="552">
                  <c:v>17-Jan-17</c:v>
                </c:pt>
                <c:pt idx="553">
                  <c:v>24-Jan-17</c:v>
                </c:pt>
                <c:pt idx="554">
                  <c:v>31-Jan-17</c:v>
                </c:pt>
                <c:pt idx="555">
                  <c:v>7-Feb-17</c:v>
                </c:pt>
                <c:pt idx="556">
                  <c:v>14-Feb-17</c:v>
                </c:pt>
                <c:pt idx="557">
                  <c:v>21-Feb-17</c:v>
                </c:pt>
                <c:pt idx="558">
                  <c:v>28-Feb-17</c:v>
                </c:pt>
                <c:pt idx="559">
                  <c:v>7-Mar-17</c:v>
                </c:pt>
                <c:pt idx="560">
                  <c:v>14-Mar-17</c:v>
                </c:pt>
                <c:pt idx="561">
                  <c:v>21-Mar-17</c:v>
                </c:pt>
                <c:pt idx="562">
                  <c:v>28-Mar-17</c:v>
                </c:pt>
                <c:pt idx="563">
                  <c:v>4-Apr-17</c:v>
                </c:pt>
                <c:pt idx="564">
                  <c:v>11-Apr-17</c:v>
                </c:pt>
                <c:pt idx="565">
                  <c:v>18-Apr-17</c:v>
                </c:pt>
                <c:pt idx="566">
                  <c:v>25-Apr-17</c:v>
                </c:pt>
                <c:pt idx="567">
                  <c:v>2-May-17</c:v>
                </c:pt>
                <c:pt idx="568">
                  <c:v>9-May-17</c:v>
                </c:pt>
                <c:pt idx="569">
                  <c:v>16-May-17</c:v>
                </c:pt>
                <c:pt idx="570">
                  <c:v>23-May-17</c:v>
                </c:pt>
                <c:pt idx="571">
                  <c:v>30-May-17</c:v>
                </c:pt>
                <c:pt idx="572">
                  <c:v>6-Jun-17</c:v>
                </c:pt>
                <c:pt idx="573">
                  <c:v>13-Jun-17</c:v>
                </c:pt>
                <c:pt idx="574">
                  <c:v>20-Jun-17</c:v>
                </c:pt>
                <c:pt idx="575">
                  <c:v>27-Jun-17</c:v>
                </c:pt>
                <c:pt idx="576">
                  <c:v>4-Jul-17</c:v>
                </c:pt>
                <c:pt idx="577">
                  <c:v>11-Jul-17</c:v>
                </c:pt>
                <c:pt idx="578">
                  <c:v>18-Jul-17</c:v>
                </c:pt>
                <c:pt idx="579">
                  <c:v>25-Jul-17</c:v>
                </c:pt>
                <c:pt idx="580">
                  <c:v>1-Aug-17</c:v>
                </c:pt>
                <c:pt idx="581">
                  <c:v>8-Aug-17</c:v>
                </c:pt>
                <c:pt idx="582">
                  <c:v>15-Aug-17</c:v>
                </c:pt>
                <c:pt idx="583">
                  <c:v>22-Aug-17</c:v>
                </c:pt>
                <c:pt idx="584">
                  <c:v>29-Aug-17</c:v>
                </c:pt>
                <c:pt idx="585">
                  <c:v>5-Sep-17</c:v>
                </c:pt>
                <c:pt idx="586">
                  <c:v>12-Sep-17</c:v>
                </c:pt>
                <c:pt idx="587">
                  <c:v>19-Sep-17</c:v>
                </c:pt>
                <c:pt idx="588">
                  <c:v>26-Sep-17</c:v>
                </c:pt>
                <c:pt idx="589">
                  <c:v>3-Oct-17</c:v>
                </c:pt>
                <c:pt idx="590">
                  <c:v>10-Oct-17</c:v>
                </c:pt>
                <c:pt idx="591">
                  <c:v>17-Oct-17</c:v>
                </c:pt>
                <c:pt idx="592">
                  <c:v>24-Oct-17</c:v>
                </c:pt>
                <c:pt idx="593">
                  <c:v>31-Oct-17</c:v>
                </c:pt>
                <c:pt idx="594">
                  <c:v>7-Nov-17</c:v>
                </c:pt>
                <c:pt idx="595">
                  <c:v>14-Nov-17</c:v>
                </c:pt>
                <c:pt idx="596">
                  <c:v>21-Nov-17</c:v>
                </c:pt>
                <c:pt idx="597">
                  <c:v>28-Nov-17</c:v>
                </c:pt>
                <c:pt idx="598">
                  <c:v>5-Dec-17</c:v>
                </c:pt>
                <c:pt idx="599">
                  <c:v>12-Dec-17</c:v>
                </c:pt>
                <c:pt idx="600">
                  <c:v>19-Dec-17</c:v>
                </c:pt>
                <c:pt idx="601">
                  <c:v>26-Dec-17</c:v>
                </c:pt>
                <c:pt idx="602">
                  <c:v>2-Jan-18</c:v>
                </c:pt>
                <c:pt idx="603">
                  <c:v>9-Jan-18</c:v>
                </c:pt>
                <c:pt idx="604">
                  <c:v>16-Jan-18</c:v>
                </c:pt>
                <c:pt idx="605">
                  <c:v>23-Jan-18</c:v>
                </c:pt>
                <c:pt idx="606">
                  <c:v>30-Jan-18</c:v>
                </c:pt>
                <c:pt idx="607">
                  <c:v>6-Feb-18</c:v>
                </c:pt>
                <c:pt idx="608">
                  <c:v>13-Feb-18</c:v>
                </c:pt>
                <c:pt idx="609">
                  <c:v>20-Feb-18</c:v>
                </c:pt>
                <c:pt idx="610">
                  <c:v>27-Feb-18</c:v>
                </c:pt>
                <c:pt idx="611">
                  <c:v>6-Mar-18</c:v>
                </c:pt>
                <c:pt idx="612">
                  <c:v>13-Mar-18</c:v>
                </c:pt>
                <c:pt idx="613">
                  <c:v>20-Mar-18</c:v>
                </c:pt>
                <c:pt idx="614">
                  <c:v>27-Mar-18</c:v>
                </c:pt>
                <c:pt idx="615">
                  <c:v>3-Apr-18</c:v>
                </c:pt>
                <c:pt idx="616">
                  <c:v>10-Apr-18</c:v>
                </c:pt>
                <c:pt idx="617">
                  <c:v>17-Apr-18</c:v>
                </c:pt>
                <c:pt idx="618">
                  <c:v>24-Apr-18</c:v>
                </c:pt>
                <c:pt idx="619">
                  <c:v>1-May-18</c:v>
                </c:pt>
                <c:pt idx="620">
                  <c:v>8-May-18</c:v>
                </c:pt>
                <c:pt idx="621">
                  <c:v>15-May-18</c:v>
                </c:pt>
                <c:pt idx="622">
                  <c:v>22-May-18</c:v>
                </c:pt>
                <c:pt idx="623">
                  <c:v>29-May-18</c:v>
                </c:pt>
                <c:pt idx="624">
                  <c:v>5-Jun-18</c:v>
                </c:pt>
                <c:pt idx="625">
                  <c:v>12-Jun-18</c:v>
                </c:pt>
                <c:pt idx="626">
                  <c:v>19-Jun-18</c:v>
                </c:pt>
                <c:pt idx="627">
                  <c:v>26-Jun-18</c:v>
                </c:pt>
                <c:pt idx="628">
                  <c:v>3-Jul-18</c:v>
                </c:pt>
                <c:pt idx="629">
                  <c:v>10-Jul-18</c:v>
                </c:pt>
                <c:pt idx="630">
                  <c:v>17-Jul-18</c:v>
                </c:pt>
                <c:pt idx="631">
                  <c:v>24-Jul-18</c:v>
                </c:pt>
                <c:pt idx="632">
                  <c:v>31-Jul-18</c:v>
                </c:pt>
                <c:pt idx="633">
                  <c:v>7-Aug-18</c:v>
                </c:pt>
                <c:pt idx="634">
                  <c:v>14-Aug-18</c:v>
                </c:pt>
                <c:pt idx="635">
                  <c:v>21-Aug-18</c:v>
                </c:pt>
                <c:pt idx="636">
                  <c:v>28-Aug-18</c:v>
                </c:pt>
                <c:pt idx="637">
                  <c:v>4-Sep-18</c:v>
                </c:pt>
                <c:pt idx="638">
                  <c:v>11-Sep-18</c:v>
                </c:pt>
                <c:pt idx="639">
                  <c:v>18-Sep-18</c:v>
                </c:pt>
                <c:pt idx="640">
                  <c:v>25-Sep-18</c:v>
                </c:pt>
                <c:pt idx="641">
                  <c:v>2-Oct-18</c:v>
                </c:pt>
                <c:pt idx="642">
                  <c:v>9-Oct-18</c:v>
                </c:pt>
                <c:pt idx="643">
                  <c:v>16-Oct-18</c:v>
                </c:pt>
                <c:pt idx="644">
                  <c:v>23-Oct-18</c:v>
                </c:pt>
                <c:pt idx="645">
                  <c:v>30-Oct-18</c:v>
                </c:pt>
                <c:pt idx="646">
                  <c:v>6-Nov-18</c:v>
                </c:pt>
                <c:pt idx="647">
                  <c:v>13-Nov-18</c:v>
                </c:pt>
                <c:pt idx="648">
                  <c:v>20-Nov-18</c:v>
                </c:pt>
                <c:pt idx="649">
                  <c:v>27-Nov-18</c:v>
                </c:pt>
                <c:pt idx="650">
                  <c:v>4-Dec-18</c:v>
                </c:pt>
                <c:pt idx="651">
                  <c:v>11-Dec-18</c:v>
                </c:pt>
                <c:pt idx="652">
                  <c:v>18-Dec-18</c:v>
                </c:pt>
                <c:pt idx="653">
                  <c:v>25-Dec-18</c:v>
                </c:pt>
                <c:pt idx="654">
                  <c:v>1-Jan-19</c:v>
                </c:pt>
                <c:pt idx="655">
                  <c:v>8-Jan-19</c:v>
                </c:pt>
                <c:pt idx="656">
                  <c:v>15-Jan-19</c:v>
                </c:pt>
                <c:pt idx="657">
                  <c:v>22-Jan-19</c:v>
                </c:pt>
                <c:pt idx="658">
                  <c:v>29-Jan-19</c:v>
                </c:pt>
                <c:pt idx="659">
                  <c:v>5-Feb-19</c:v>
                </c:pt>
                <c:pt idx="660">
                  <c:v>12-Feb-19</c:v>
                </c:pt>
                <c:pt idx="661">
                  <c:v>19-Feb-19</c:v>
                </c:pt>
                <c:pt idx="662">
                  <c:v>26-Feb-19</c:v>
                </c:pt>
                <c:pt idx="663">
                  <c:v>5-Mar-19</c:v>
                </c:pt>
                <c:pt idx="664">
                  <c:v>12-Mar-19</c:v>
                </c:pt>
                <c:pt idx="665">
                  <c:v>19-Mar-19</c:v>
                </c:pt>
                <c:pt idx="666">
                  <c:v>26-Mar-19</c:v>
                </c:pt>
                <c:pt idx="667">
                  <c:v>2-Apr-19</c:v>
                </c:pt>
                <c:pt idx="668">
                  <c:v>9-Apr-19</c:v>
                </c:pt>
                <c:pt idx="669">
                  <c:v>16-Apr-19</c:v>
                </c:pt>
                <c:pt idx="670">
                  <c:v>23-Apr-19</c:v>
                </c:pt>
                <c:pt idx="671">
                  <c:v>30-Apr-19</c:v>
                </c:pt>
                <c:pt idx="672">
                  <c:v>7-May-19</c:v>
                </c:pt>
                <c:pt idx="673">
                  <c:v>14-May-19</c:v>
                </c:pt>
                <c:pt idx="674">
                  <c:v>21-May-19</c:v>
                </c:pt>
                <c:pt idx="675">
                  <c:v>28-May-19</c:v>
                </c:pt>
                <c:pt idx="676">
                  <c:v>4-Jun-19</c:v>
                </c:pt>
                <c:pt idx="677">
                  <c:v>11-Jun-19</c:v>
                </c:pt>
                <c:pt idx="678">
                  <c:v>18-Jun-19</c:v>
                </c:pt>
                <c:pt idx="679">
                  <c:v>25-Jun-19</c:v>
                </c:pt>
                <c:pt idx="680">
                  <c:v>2-Jul-19</c:v>
                </c:pt>
                <c:pt idx="681">
                  <c:v>9-Jul-19</c:v>
                </c:pt>
                <c:pt idx="682">
                  <c:v>16-Jul-19</c:v>
                </c:pt>
                <c:pt idx="683">
                  <c:v>23-Jul-19</c:v>
                </c:pt>
                <c:pt idx="684">
                  <c:v>30-Jul-19</c:v>
                </c:pt>
                <c:pt idx="685">
                  <c:v>6-Aug-19</c:v>
                </c:pt>
                <c:pt idx="686">
                  <c:v>13-Aug-19</c:v>
                </c:pt>
                <c:pt idx="687">
                  <c:v>20-Aug-19</c:v>
                </c:pt>
                <c:pt idx="688">
                  <c:v>27-Aug-19</c:v>
                </c:pt>
                <c:pt idx="689">
                  <c:v>3-Sep-19</c:v>
                </c:pt>
                <c:pt idx="690">
                  <c:v>10-Sep-19</c:v>
                </c:pt>
                <c:pt idx="691">
                  <c:v>17-Sep-19</c:v>
                </c:pt>
                <c:pt idx="692">
                  <c:v>24-Sep-19</c:v>
                </c:pt>
                <c:pt idx="693">
                  <c:v>1-Oct-19</c:v>
                </c:pt>
                <c:pt idx="694">
                  <c:v>8-Oct-19</c:v>
                </c:pt>
                <c:pt idx="695">
                  <c:v>15-Oct-19</c:v>
                </c:pt>
                <c:pt idx="696">
                  <c:v>22-Oct-19</c:v>
                </c:pt>
                <c:pt idx="697">
                  <c:v>29-Oct-19</c:v>
                </c:pt>
                <c:pt idx="698">
                  <c:v>5-Nov-19</c:v>
                </c:pt>
                <c:pt idx="699">
                  <c:v>12-Nov-19</c:v>
                </c:pt>
                <c:pt idx="700">
                  <c:v>19-Nov-19</c:v>
                </c:pt>
                <c:pt idx="701">
                  <c:v>26-Nov-19</c:v>
                </c:pt>
                <c:pt idx="702">
                  <c:v>3-Dec-19</c:v>
                </c:pt>
                <c:pt idx="703">
                  <c:v>10-Dec-19</c:v>
                </c:pt>
                <c:pt idx="704">
                  <c:v>17-Dec-19</c:v>
                </c:pt>
                <c:pt idx="705">
                  <c:v>24-Dec-19</c:v>
                </c:pt>
                <c:pt idx="706">
                  <c:v>31-Dec-19</c:v>
                </c:pt>
                <c:pt idx="707">
                  <c:v>7-Jan-20</c:v>
                </c:pt>
                <c:pt idx="708">
                  <c:v>14-Jan-20</c:v>
                </c:pt>
                <c:pt idx="709">
                  <c:v>21-Jan-20</c:v>
                </c:pt>
                <c:pt idx="710">
                  <c:v>28-Jan-20</c:v>
                </c:pt>
                <c:pt idx="711">
                  <c:v>4-Feb-20</c:v>
                </c:pt>
                <c:pt idx="712">
                  <c:v>11-Feb-20</c:v>
                </c:pt>
                <c:pt idx="713">
                  <c:v>18-Feb-20</c:v>
                </c:pt>
                <c:pt idx="714">
                  <c:v>25-Feb-20</c:v>
                </c:pt>
                <c:pt idx="715">
                  <c:v>3-Mar-20</c:v>
                </c:pt>
                <c:pt idx="716">
                  <c:v>10-Mar-20</c:v>
                </c:pt>
                <c:pt idx="717">
                  <c:v>17-Mar-20</c:v>
                </c:pt>
                <c:pt idx="718">
                  <c:v>24-Mar-20</c:v>
                </c:pt>
                <c:pt idx="719">
                  <c:v>31-Mar-20</c:v>
                </c:pt>
                <c:pt idx="720">
                  <c:v>7-Apr-20</c:v>
                </c:pt>
                <c:pt idx="721">
                  <c:v>14-Apr-20</c:v>
                </c:pt>
                <c:pt idx="722">
                  <c:v>21-Apr-20</c:v>
                </c:pt>
                <c:pt idx="723">
                  <c:v>28-Apr-20</c:v>
                </c:pt>
                <c:pt idx="724">
                  <c:v>5-May-20</c:v>
                </c:pt>
                <c:pt idx="725">
                  <c:v>12-May-20</c:v>
                </c:pt>
                <c:pt idx="726">
                  <c:v>19-May-20</c:v>
                </c:pt>
                <c:pt idx="727">
                  <c:v>26-May-20</c:v>
                </c:pt>
                <c:pt idx="728">
                  <c:v>2-Jun-20</c:v>
                </c:pt>
                <c:pt idx="729">
                  <c:v>9-Jun-20</c:v>
                </c:pt>
                <c:pt idx="730">
                  <c:v>16-Jun-20</c:v>
                </c:pt>
                <c:pt idx="731">
                  <c:v>23-Jun-20</c:v>
                </c:pt>
                <c:pt idx="732">
                  <c:v>30-Jun-20</c:v>
                </c:pt>
                <c:pt idx="733">
                  <c:v>7-Jul-20</c:v>
                </c:pt>
                <c:pt idx="734">
                  <c:v>14-Jul-20</c:v>
                </c:pt>
                <c:pt idx="735">
                  <c:v>21-Jul-20</c:v>
                </c:pt>
                <c:pt idx="736">
                  <c:v>28-Jul-20</c:v>
                </c:pt>
                <c:pt idx="737">
                  <c:v>4-Aug-20</c:v>
                </c:pt>
                <c:pt idx="738">
                  <c:v>11-Aug-20</c:v>
                </c:pt>
                <c:pt idx="739">
                  <c:v>18-Aug-20</c:v>
                </c:pt>
                <c:pt idx="740">
                  <c:v>25-Aug-20</c:v>
                </c:pt>
                <c:pt idx="741">
                  <c:v>1-Sep-20</c:v>
                </c:pt>
                <c:pt idx="742">
                  <c:v>8-Sep-20</c:v>
                </c:pt>
                <c:pt idx="743">
                  <c:v>15-Sep-20</c:v>
                </c:pt>
                <c:pt idx="744">
                  <c:v>22-Sep-20</c:v>
                </c:pt>
                <c:pt idx="745">
                  <c:v>29-Sep-20</c:v>
                </c:pt>
                <c:pt idx="746">
                  <c:v>6-Oct-20</c:v>
                </c:pt>
                <c:pt idx="747">
                  <c:v>13-Oct-20</c:v>
                </c:pt>
                <c:pt idx="748">
                  <c:v>20-Oct-20</c:v>
                </c:pt>
                <c:pt idx="749">
                  <c:v>27-Oct-20</c:v>
                </c:pt>
                <c:pt idx="750">
                  <c:v>3-Nov-20</c:v>
                </c:pt>
                <c:pt idx="751">
                  <c:v>10-Nov-20</c:v>
                </c:pt>
                <c:pt idx="752">
                  <c:v>17-Nov-20</c:v>
                </c:pt>
                <c:pt idx="753">
                  <c:v>24-Nov-20</c:v>
                </c:pt>
                <c:pt idx="754">
                  <c:v>1-Dec-20</c:v>
                </c:pt>
                <c:pt idx="755">
                  <c:v>8-Dec-20</c:v>
                </c:pt>
                <c:pt idx="756">
                  <c:v>15-Dec-20</c:v>
                </c:pt>
                <c:pt idx="757">
                  <c:v>22-Dec-20</c:v>
                </c:pt>
                <c:pt idx="758">
                  <c:v>29-Dec-20</c:v>
                </c:pt>
                <c:pt idx="759">
                  <c:v>5-Jan-21</c:v>
                </c:pt>
                <c:pt idx="760">
                  <c:v>12-Jan-21</c:v>
                </c:pt>
                <c:pt idx="761">
                  <c:v>19-Jan-21</c:v>
                </c:pt>
                <c:pt idx="762">
                  <c:v>26-Jan-21</c:v>
                </c:pt>
                <c:pt idx="763">
                  <c:v>2-Feb-21</c:v>
                </c:pt>
                <c:pt idx="764">
                  <c:v>9-Feb-21</c:v>
                </c:pt>
                <c:pt idx="765">
                  <c:v>16-Feb-21</c:v>
                </c:pt>
                <c:pt idx="766">
                  <c:v>23-Feb-21</c:v>
                </c:pt>
                <c:pt idx="767">
                  <c:v>2-Mar-21</c:v>
                </c:pt>
                <c:pt idx="768">
                  <c:v>9-Mar-21</c:v>
                </c:pt>
                <c:pt idx="769">
                  <c:v>16-Mar-21</c:v>
                </c:pt>
                <c:pt idx="770">
                  <c:v>23-Mar-21</c:v>
                </c:pt>
                <c:pt idx="771">
                  <c:v>30-Mar-21</c:v>
                </c:pt>
                <c:pt idx="772">
                  <c:v>6-Apr-21</c:v>
                </c:pt>
                <c:pt idx="773">
                  <c:v>13-Apr-21</c:v>
                </c:pt>
                <c:pt idx="774">
                  <c:v>20-Apr-21</c:v>
                </c:pt>
                <c:pt idx="775">
                  <c:v>27-Apr-21</c:v>
                </c:pt>
                <c:pt idx="776">
                  <c:v>4-May-21</c:v>
                </c:pt>
                <c:pt idx="777">
                  <c:v>11-May-21</c:v>
                </c:pt>
                <c:pt idx="778">
                  <c:v>18-May-21</c:v>
                </c:pt>
                <c:pt idx="779">
                  <c:v>25-May-21</c:v>
                </c:pt>
                <c:pt idx="780">
                  <c:v>1-Jun-21</c:v>
                </c:pt>
                <c:pt idx="781">
                  <c:v>8-Jun-21</c:v>
                </c:pt>
                <c:pt idx="782">
                  <c:v>15-Jun-21</c:v>
                </c:pt>
                <c:pt idx="783">
                  <c:v>22-Jun-21</c:v>
                </c:pt>
                <c:pt idx="784">
                  <c:v>29-Jun-21</c:v>
                </c:pt>
                <c:pt idx="785">
                  <c:v>6-Jul-21</c:v>
                </c:pt>
                <c:pt idx="786">
                  <c:v>13-Jul-21</c:v>
                </c:pt>
                <c:pt idx="787">
                  <c:v>20-Jul-21</c:v>
                </c:pt>
                <c:pt idx="788">
                  <c:v>27-Jul-21</c:v>
                </c:pt>
                <c:pt idx="789">
                  <c:v>3-Aug-21</c:v>
                </c:pt>
                <c:pt idx="790">
                  <c:v>10-Aug-21</c:v>
                </c:pt>
                <c:pt idx="791">
                  <c:v>17-Aug-21</c:v>
                </c:pt>
                <c:pt idx="792">
                  <c:v>24-Aug-21</c:v>
                </c:pt>
                <c:pt idx="793">
                  <c:v>31-Aug-21</c:v>
                </c:pt>
                <c:pt idx="794">
                  <c:v>7-Sep-21</c:v>
                </c:pt>
                <c:pt idx="795">
                  <c:v>14-Sep-21</c:v>
                </c:pt>
                <c:pt idx="796">
                  <c:v>21-Sep-21</c:v>
                </c:pt>
                <c:pt idx="797">
                  <c:v>28-Sep-21</c:v>
                </c:pt>
                <c:pt idx="798">
                  <c:v>5-Oct-21</c:v>
                </c:pt>
                <c:pt idx="799">
                  <c:v>12-Oct-21</c:v>
                </c:pt>
                <c:pt idx="800">
                  <c:v>19-Oct-21</c:v>
                </c:pt>
                <c:pt idx="801">
                  <c:v>26-Oct-21</c:v>
                </c:pt>
                <c:pt idx="802">
                  <c:v>2-Nov-21</c:v>
                </c:pt>
                <c:pt idx="803">
                  <c:v>9-Nov-21</c:v>
                </c:pt>
                <c:pt idx="804">
                  <c:v>16-Nov-21</c:v>
                </c:pt>
                <c:pt idx="805">
                  <c:v>23-Nov-21</c:v>
                </c:pt>
                <c:pt idx="806">
                  <c:v>30-Nov-21</c:v>
                </c:pt>
                <c:pt idx="807">
                  <c:v>7-Dec-21</c:v>
                </c:pt>
                <c:pt idx="808">
                  <c:v>14-Dec-21</c:v>
                </c:pt>
                <c:pt idx="809">
                  <c:v>21-Dec-21</c:v>
                </c:pt>
                <c:pt idx="810">
                  <c:v>28-Dec-21</c:v>
                </c:pt>
                <c:pt idx="811">
                  <c:v>4-Jan-22</c:v>
                </c:pt>
                <c:pt idx="812">
                  <c:v>11-Jan-22</c:v>
                </c:pt>
                <c:pt idx="813">
                  <c:v>18-Jan-22</c:v>
                </c:pt>
                <c:pt idx="814">
                  <c:v>25-Jan-22</c:v>
                </c:pt>
                <c:pt idx="815">
                  <c:v>1-Feb-22</c:v>
                </c:pt>
                <c:pt idx="816">
                  <c:v>8-Feb-22</c:v>
                </c:pt>
                <c:pt idx="817">
                  <c:v>15-Feb-22</c:v>
                </c:pt>
                <c:pt idx="818">
                  <c:v>22-Feb-22</c:v>
                </c:pt>
                <c:pt idx="819">
                  <c:v>1-Mar-22</c:v>
                </c:pt>
                <c:pt idx="820">
                  <c:v>8-Mar-22</c:v>
                </c:pt>
                <c:pt idx="821">
                  <c:v>15-Mar-22</c:v>
                </c:pt>
                <c:pt idx="822">
                  <c:v>22-Mar-22</c:v>
                </c:pt>
                <c:pt idx="823">
                  <c:v>29-Mar-22</c:v>
                </c:pt>
                <c:pt idx="824">
                  <c:v>5-Apr-22</c:v>
                </c:pt>
                <c:pt idx="825">
                  <c:v>12-Apr-22</c:v>
                </c:pt>
                <c:pt idx="826">
                  <c:v>19-Apr-22</c:v>
                </c:pt>
                <c:pt idx="827">
                  <c:v>26-Apr-22</c:v>
                </c:pt>
                <c:pt idx="828">
                  <c:v>3-May-22</c:v>
                </c:pt>
                <c:pt idx="829">
                  <c:v>10-May-22</c:v>
                </c:pt>
                <c:pt idx="830">
                  <c:v>17-May-22</c:v>
                </c:pt>
                <c:pt idx="831">
                  <c:v>24-May-22</c:v>
                </c:pt>
                <c:pt idx="832">
                  <c:v>31-May-22</c:v>
                </c:pt>
                <c:pt idx="833">
                  <c:v>7-Jun-22</c:v>
                </c:pt>
                <c:pt idx="834">
                  <c:v>14-Jun-22</c:v>
                </c:pt>
                <c:pt idx="835">
                  <c:v>21-Jun-22</c:v>
                </c:pt>
                <c:pt idx="836">
                  <c:v>28-Jun-22</c:v>
                </c:pt>
                <c:pt idx="837">
                  <c:v>5-Jul-22</c:v>
                </c:pt>
                <c:pt idx="838">
                  <c:v>12-Jul-22</c:v>
                </c:pt>
                <c:pt idx="839">
                  <c:v>19-Jul-22</c:v>
                </c:pt>
                <c:pt idx="840">
                  <c:v>26-Jul-22</c:v>
                </c:pt>
                <c:pt idx="841">
                  <c:v>2-Aug-22</c:v>
                </c:pt>
                <c:pt idx="842">
                  <c:v>9-Aug-22</c:v>
                </c:pt>
                <c:pt idx="843">
                  <c:v>16-Aug-22</c:v>
                </c:pt>
                <c:pt idx="844">
                  <c:v>23-Aug-22</c:v>
                </c:pt>
                <c:pt idx="845">
                  <c:v>30-Aug-22</c:v>
                </c:pt>
                <c:pt idx="846">
                  <c:v>6-Sep-22</c:v>
                </c:pt>
                <c:pt idx="847">
                  <c:v>13-Sep-22</c:v>
                </c:pt>
                <c:pt idx="848">
                  <c:v>20-Sep-22</c:v>
                </c:pt>
                <c:pt idx="849">
                  <c:v>27-Sep-22</c:v>
                </c:pt>
                <c:pt idx="850">
                  <c:v>4-Oct-22</c:v>
                </c:pt>
                <c:pt idx="851">
                  <c:v>11-Oct-22</c:v>
                </c:pt>
                <c:pt idx="852">
                  <c:v>18-Oct-22</c:v>
                </c:pt>
                <c:pt idx="853">
                  <c:v>25-Oct-22</c:v>
                </c:pt>
                <c:pt idx="854">
                  <c:v>1-Nov-22</c:v>
                </c:pt>
                <c:pt idx="855">
                  <c:v>8-Nov-22</c:v>
                </c:pt>
                <c:pt idx="856">
                  <c:v>15-Nov-22</c:v>
                </c:pt>
                <c:pt idx="857">
                  <c:v>22-Nov-22</c:v>
                </c:pt>
                <c:pt idx="858">
                  <c:v>29-Nov-22</c:v>
                </c:pt>
                <c:pt idx="859">
                  <c:v>6-Dec-22</c:v>
                </c:pt>
                <c:pt idx="860">
                  <c:v>13-Dec-22</c:v>
                </c:pt>
                <c:pt idx="861">
                  <c:v>20-Dec-22</c:v>
                </c:pt>
                <c:pt idx="862">
                  <c:v>27-Dec-22</c:v>
                </c:pt>
                <c:pt idx="863">
                  <c:v>3-Jan-23</c:v>
                </c:pt>
                <c:pt idx="864">
                  <c:v>10-Jan-23</c:v>
                </c:pt>
                <c:pt idx="865">
                  <c:v>17-Jan-23</c:v>
                </c:pt>
                <c:pt idx="866">
                  <c:v>24-Jan-23</c:v>
                </c:pt>
                <c:pt idx="867">
                  <c:v>31-Jan-23</c:v>
                </c:pt>
                <c:pt idx="868">
                  <c:v>7-Feb-23</c:v>
                </c:pt>
                <c:pt idx="869">
                  <c:v>14-Feb-23</c:v>
                </c:pt>
                <c:pt idx="870">
                  <c:v>21-Feb-23</c:v>
                </c:pt>
                <c:pt idx="871">
                  <c:v>28-Feb-23</c:v>
                </c:pt>
                <c:pt idx="872">
                  <c:v>7-Mar-23</c:v>
                </c:pt>
                <c:pt idx="873">
                  <c:v>14-Mar-23</c:v>
                </c:pt>
                <c:pt idx="874">
                  <c:v>21-Mar-23</c:v>
                </c:pt>
                <c:pt idx="875">
                  <c:v>28-Mar-23</c:v>
                </c:pt>
                <c:pt idx="876">
                  <c:v>4-Apr-23</c:v>
                </c:pt>
                <c:pt idx="877">
                  <c:v>11-Apr-23</c:v>
                </c:pt>
                <c:pt idx="878">
                  <c:v>18-Apr-23</c:v>
                </c:pt>
                <c:pt idx="879">
                  <c:v>25-Apr-23</c:v>
                </c:pt>
                <c:pt idx="880">
                  <c:v>2-May-23</c:v>
                </c:pt>
                <c:pt idx="881">
                  <c:v>9-May-23</c:v>
                </c:pt>
                <c:pt idx="882">
                  <c:v>16-May-23</c:v>
                </c:pt>
                <c:pt idx="883">
                  <c:v>23-May-23</c:v>
                </c:pt>
                <c:pt idx="884">
                  <c:v>30-May-23</c:v>
                </c:pt>
                <c:pt idx="885">
                  <c:v>6-Jun-23</c:v>
                </c:pt>
                <c:pt idx="886">
                  <c:v>13-Jun-23</c:v>
                </c:pt>
                <c:pt idx="887">
                  <c:v>20-Jun-23</c:v>
                </c:pt>
                <c:pt idx="888">
                  <c:v>27-Jun-23</c:v>
                </c:pt>
                <c:pt idx="889">
                  <c:v>4-Jul-23</c:v>
                </c:pt>
                <c:pt idx="890">
                  <c:v>11-Jul-23</c:v>
                </c:pt>
                <c:pt idx="891">
                  <c:v>18-Jul-23</c:v>
                </c:pt>
                <c:pt idx="892">
                  <c:v>25-Jul-23</c:v>
                </c:pt>
                <c:pt idx="893">
                  <c:v>1-Aug-23</c:v>
                </c:pt>
                <c:pt idx="894">
                  <c:v>8-Aug-23</c:v>
                </c:pt>
                <c:pt idx="895">
                  <c:v>15-Aug-23</c:v>
                </c:pt>
                <c:pt idx="896">
                  <c:v>22-Aug-23</c:v>
                </c:pt>
                <c:pt idx="897">
                  <c:v>29-Aug-23</c:v>
                </c:pt>
                <c:pt idx="898">
                  <c:v>5-Sep-23</c:v>
                </c:pt>
                <c:pt idx="899">
                  <c:v>12-Sep-23</c:v>
                </c:pt>
                <c:pt idx="900">
                  <c:v>19-Sep-23</c:v>
                </c:pt>
                <c:pt idx="901">
                  <c:v>26-Sep-23</c:v>
                </c:pt>
                <c:pt idx="902">
                  <c:v>3-Oct-23</c:v>
                </c:pt>
                <c:pt idx="903">
                  <c:v>10-Oct-23</c:v>
                </c:pt>
                <c:pt idx="904">
                  <c:v>17-Oct-23</c:v>
                </c:pt>
                <c:pt idx="905">
                  <c:v>24-Oct-23</c:v>
                </c:pt>
                <c:pt idx="906">
                  <c:v>31-Oct-23</c:v>
                </c:pt>
                <c:pt idx="907">
                  <c:v>7-Nov-23</c:v>
                </c:pt>
                <c:pt idx="908">
                  <c:v>14-Nov-23</c:v>
                </c:pt>
                <c:pt idx="909">
                  <c:v>21-Nov-23</c:v>
                </c:pt>
                <c:pt idx="910">
                  <c:v>28-Nov-23</c:v>
                </c:pt>
                <c:pt idx="911">
                  <c:v>5-Dec-23</c:v>
                </c:pt>
                <c:pt idx="912">
                  <c:v>12-Dec-23</c:v>
                </c:pt>
                <c:pt idx="913">
                  <c:v>19-Dec-23</c:v>
                </c:pt>
                <c:pt idx="914">
                  <c:v>26-Dec-23</c:v>
                </c:pt>
                <c:pt idx="915">
                  <c:v>2-Jan-24</c:v>
                </c:pt>
                <c:pt idx="916">
                  <c:v>9-Jan-24</c:v>
                </c:pt>
                <c:pt idx="917">
                  <c:v>16-Jan-24</c:v>
                </c:pt>
                <c:pt idx="918">
                  <c:v>23-Jan-24</c:v>
                </c:pt>
                <c:pt idx="919">
                  <c:v>30-Jan-24</c:v>
                </c:pt>
                <c:pt idx="920">
                  <c:v>6-Feb-24</c:v>
                </c:pt>
                <c:pt idx="921">
                  <c:v>13-Feb-24</c:v>
                </c:pt>
                <c:pt idx="922">
                  <c:v>20-Feb-24</c:v>
                </c:pt>
                <c:pt idx="923">
                  <c:v>27-Feb-24</c:v>
                </c:pt>
                <c:pt idx="924">
                  <c:v>5-Mar-24</c:v>
                </c:pt>
                <c:pt idx="925">
                  <c:v>12-Mar-24</c:v>
                </c:pt>
                <c:pt idx="926">
                  <c:v>19-Mar-24</c:v>
                </c:pt>
                <c:pt idx="927">
                  <c:v>26-Mar-24</c:v>
                </c:pt>
                <c:pt idx="928">
                  <c:v>2-Apr-24</c:v>
                </c:pt>
                <c:pt idx="929">
                  <c:v>9-Apr-24</c:v>
                </c:pt>
                <c:pt idx="930">
                  <c:v>16-Apr-24</c:v>
                </c:pt>
                <c:pt idx="931">
                  <c:v>23-Apr-24</c:v>
                </c:pt>
                <c:pt idx="932">
                  <c:v>30-Apr-24</c:v>
                </c:pt>
                <c:pt idx="933">
                  <c:v>7-May-24</c:v>
                </c:pt>
                <c:pt idx="934">
                  <c:v>14-May-24</c:v>
                </c:pt>
                <c:pt idx="935">
                  <c:v>21-May-24</c:v>
                </c:pt>
                <c:pt idx="936">
                  <c:v>28-May-24</c:v>
                </c:pt>
                <c:pt idx="937">
                  <c:v>4-Jun-24</c:v>
                </c:pt>
                <c:pt idx="938">
                  <c:v>11-Jun-24</c:v>
                </c:pt>
                <c:pt idx="939">
                  <c:v>18-Jun-24</c:v>
                </c:pt>
                <c:pt idx="940">
                  <c:v>25-Jun-24</c:v>
                </c:pt>
                <c:pt idx="941">
                  <c:v>2-Jul-24</c:v>
                </c:pt>
                <c:pt idx="942">
                  <c:v>9-Jul-24</c:v>
                </c:pt>
                <c:pt idx="943">
                  <c:v>16-Jul-24</c:v>
                </c:pt>
                <c:pt idx="944">
                  <c:v>23-Jul-24</c:v>
                </c:pt>
                <c:pt idx="945">
                  <c:v>30-Jul-24</c:v>
                </c:pt>
                <c:pt idx="946">
                  <c:v>6-Aug-24</c:v>
                </c:pt>
                <c:pt idx="947">
                  <c:v>13-Aug-24</c:v>
                </c:pt>
                <c:pt idx="948">
                  <c:v>20-Aug-24</c:v>
                </c:pt>
                <c:pt idx="949">
                  <c:v>27-Aug-24</c:v>
                </c:pt>
                <c:pt idx="950">
                  <c:v>3-Sep-24</c:v>
                </c:pt>
                <c:pt idx="951">
                  <c:v>10-Sep-24</c:v>
                </c:pt>
                <c:pt idx="952">
                  <c:v>17-Sep-24</c:v>
                </c:pt>
                <c:pt idx="953">
                  <c:v>24-Sep-24</c:v>
                </c:pt>
                <c:pt idx="954">
                  <c:v>1-Oct-24</c:v>
                </c:pt>
                <c:pt idx="955">
                  <c:v>8-Oct-24</c:v>
                </c:pt>
                <c:pt idx="956">
                  <c:v>15-Oct-24</c:v>
                </c:pt>
                <c:pt idx="957">
                  <c:v>22-Oct-24</c:v>
                </c:pt>
                <c:pt idx="958">
                  <c:v>29-Oct-24</c:v>
                </c:pt>
                <c:pt idx="959">
                  <c:v>5-Nov-24</c:v>
                </c:pt>
                <c:pt idx="960">
                  <c:v>12-Nov-24</c:v>
                </c:pt>
                <c:pt idx="961">
                  <c:v>19-Nov-24</c:v>
                </c:pt>
                <c:pt idx="962">
                  <c:v>26-Nov-24</c:v>
                </c:pt>
                <c:pt idx="963">
                  <c:v>3-Dec-24</c:v>
                </c:pt>
                <c:pt idx="964">
                  <c:v>10-Dec-24</c:v>
                </c:pt>
                <c:pt idx="997">
                  <c:v>USE THE CONTINUOUS NEARBY CONTRACT FOR THE CHART DATA. </c:v>
                </c:pt>
              </c:strCache>
            </c:strRef>
          </c:cat>
          <c:val>
            <c:numRef>
              <c:f>Data!$BD$3:$BD$1000</c:f>
              <c:numCache>
                <c:formatCode>#,##0_);[Red]\(#,##0\)</c:formatCode>
                <c:ptCount val="998"/>
                <c:pt idx="0">
                  <c:v>-121160</c:v>
                </c:pt>
                <c:pt idx="1">
                  <c:v>-65149</c:v>
                </c:pt>
                <c:pt idx="2">
                  <c:v>-49587</c:v>
                </c:pt>
                <c:pt idx="3">
                  <c:v>-74317</c:v>
                </c:pt>
                <c:pt idx="4">
                  <c:v>-98198</c:v>
                </c:pt>
                <c:pt idx="5">
                  <c:v>-101176</c:v>
                </c:pt>
                <c:pt idx="6">
                  <c:v>-96184</c:v>
                </c:pt>
                <c:pt idx="7">
                  <c:v>-92789</c:v>
                </c:pt>
                <c:pt idx="8">
                  <c:v>-75958</c:v>
                </c:pt>
                <c:pt idx="9">
                  <c:v>-7854</c:v>
                </c:pt>
                <c:pt idx="10">
                  <c:v>14926</c:v>
                </c:pt>
                <c:pt idx="11">
                  <c:v>4798</c:v>
                </c:pt>
                <c:pt idx="12">
                  <c:v>-8828</c:v>
                </c:pt>
                <c:pt idx="13">
                  <c:v>22078</c:v>
                </c:pt>
                <c:pt idx="14">
                  <c:v>-4100</c:v>
                </c:pt>
                <c:pt idx="15">
                  <c:v>-57708</c:v>
                </c:pt>
                <c:pt idx="16">
                  <c:v>-80434</c:v>
                </c:pt>
                <c:pt idx="17">
                  <c:v>-111175</c:v>
                </c:pt>
                <c:pt idx="18">
                  <c:v>-147386</c:v>
                </c:pt>
                <c:pt idx="19">
                  <c:v>-167169</c:v>
                </c:pt>
                <c:pt idx="20">
                  <c:v>-138204</c:v>
                </c:pt>
                <c:pt idx="21">
                  <c:v>-179817</c:v>
                </c:pt>
                <c:pt idx="22">
                  <c:v>-187442</c:v>
                </c:pt>
                <c:pt idx="23">
                  <c:v>-215619</c:v>
                </c:pt>
                <c:pt idx="24">
                  <c:v>-201488</c:v>
                </c:pt>
                <c:pt idx="25">
                  <c:v>-187889</c:v>
                </c:pt>
                <c:pt idx="26">
                  <c:v>-190957</c:v>
                </c:pt>
                <c:pt idx="27">
                  <c:v>-187041</c:v>
                </c:pt>
                <c:pt idx="28">
                  <c:v>-203293</c:v>
                </c:pt>
                <c:pt idx="29">
                  <c:v>-131144</c:v>
                </c:pt>
                <c:pt idx="30">
                  <c:v>-224298</c:v>
                </c:pt>
                <c:pt idx="31">
                  <c:v>-252731</c:v>
                </c:pt>
                <c:pt idx="32">
                  <c:v>-247921</c:v>
                </c:pt>
                <c:pt idx="33">
                  <c:v>-235353</c:v>
                </c:pt>
                <c:pt idx="34">
                  <c:v>-273768</c:v>
                </c:pt>
                <c:pt idx="35">
                  <c:v>-286977</c:v>
                </c:pt>
                <c:pt idx="36">
                  <c:v>-273145</c:v>
                </c:pt>
                <c:pt idx="37">
                  <c:v>-236698</c:v>
                </c:pt>
                <c:pt idx="38">
                  <c:v>-205489</c:v>
                </c:pt>
                <c:pt idx="39">
                  <c:v>-207725</c:v>
                </c:pt>
                <c:pt idx="40">
                  <c:v>-185863</c:v>
                </c:pt>
                <c:pt idx="41">
                  <c:v>-114994</c:v>
                </c:pt>
                <c:pt idx="42">
                  <c:v>-131937</c:v>
                </c:pt>
                <c:pt idx="43">
                  <c:v>-99091</c:v>
                </c:pt>
                <c:pt idx="44">
                  <c:v>-101193</c:v>
                </c:pt>
                <c:pt idx="45">
                  <c:v>-117919</c:v>
                </c:pt>
                <c:pt idx="46">
                  <c:v>-105687</c:v>
                </c:pt>
                <c:pt idx="47">
                  <c:v>-104492</c:v>
                </c:pt>
                <c:pt idx="48">
                  <c:v>-95072</c:v>
                </c:pt>
                <c:pt idx="49">
                  <c:v>-78835</c:v>
                </c:pt>
                <c:pt idx="50">
                  <c:v>-128256</c:v>
                </c:pt>
                <c:pt idx="51">
                  <c:v>-151391</c:v>
                </c:pt>
                <c:pt idx="52">
                  <c:v>-181229</c:v>
                </c:pt>
                <c:pt idx="53">
                  <c:v>-129439</c:v>
                </c:pt>
                <c:pt idx="54">
                  <c:v>-65691</c:v>
                </c:pt>
                <c:pt idx="55">
                  <c:v>-78600</c:v>
                </c:pt>
                <c:pt idx="56">
                  <c:v>-36199</c:v>
                </c:pt>
                <c:pt idx="57">
                  <c:v>-24133</c:v>
                </c:pt>
                <c:pt idx="58">
                  <c:v>-38455</c:v>
                </c:pt>
                <c:pt idx="59">
                  <c:v>-48619</c:v>
                </c:pt>
                <c:pt idx="60">
                  <c:v>-45271</c:v>
                </c:pt>
                <c:pt idx="61">
                  <c:v>-50503</c:v>
                </c:pt>
                <c:pt idx="62">
                  <c:v>-45053</c:v>
                </c:pt>
                <c:pt idx="63">
                  <c:v>-31826</c:v>
                </c:pt>
                <c:pt idx="64">
                  <c:v>-24132</c:v>
                </c:pt>
                <c:pt idx="65">
                  <c:v>-50218</c:v>
                </c:pt>
                <c:pt idx="66">
                  <c:v>-93397</c:v>
                </c:pt>
                <c:pt idx="67">
                  <c:v>-62080</c:v>
                </c:pt>
                <c:pt idx="68">
                  <c:v>-19569</c:v>
                </c:pt>
                <c:pt idx="69">
                  <c:v>-33587</c:v>
                </c:pt>
                <c:pt idx="70">
                  <c:v>-42356</c:v>
                </c:pt>
                <c:pt idx="71">
                  <c:v>-59764</c:v>
                </c:pt>
                <c:pt idx="72">
                  <c:v>-96398</c:v>
                </c:pt>
                <c:pt idx="73">
                  <c:v>-93457</c:v>
                </c:pt>
                <c:pt idx="74">
                  <c:v>-105543</c:v>
                </c:pt>
                <c:pt idx="75">
                  <c:v>-106197</c:v>
                </c:pt>
                <c:pt idx="76">
                  <c:v>-124117</c:v>
                </c:pt>
                <c:pt idx="77">
                  <c:v>-146570</c:v>
                </c:pt>
                <c:pt idx="78">
                  <c:v>-169161</c:v>
                </c:pt>
                <c:pt idx="79">
                  <c:v>-178094</c:v>
                </c:pt>
                <c:pt idx="80">
                  <c:v>-183840</c:v>
                </c:pt>
                <c:pt idx="81">
                  <c:v>-198842</c:v>
                </c:pt>
                <c:pt idx="82">
                  <c:v>-199777</c:v>
                </c:pt>
                <c:pt idx="83">
                  <c:v>-171991</c:v>
                </c:pt>
                <c:pt idx="84">
                  <c:v>-179310</c:v>
                </c:pt>
                <c:pt idx="85">
                  <c:v>-204643</c:v>
                </c:pt>
                <c:pt idx="86">
                  <c:v>-200598</c:v>
                </c:pt>
                <c:pt idx="87">
                  <c:v>-229433</c:v>
                </c:pt>
                <c:pt idx="88">
                  <c:v>-240178</c:v>
                </c:pt>
                <c:pt idx="89">
                  <c:v>-237183</c:v>
                </c:pt>
                <c:pt idx="90">
                  <c:v>-217680</c:v>
                </c:pt>
                <c:pt idx="91">
                  <c:v>-170900</c:v>
                </c:pt>
                <c:pt idx="92">
                  <c:v>-133919</c:v>
                </c:pt>
                <c:pt idx="93">
                  <c:v>-143273</c:v>
                </c:pt>
                <c:pt idx="94">
                  <c:v>-167156</c:v>
                </c:pt>
                <c:pt idx="95">
                  <c:v>-178980</c:v>
                </c:pt>
                <c:pt idx="96">
                  <c:v>-163735</c:v>
                </c:pt>
                <c:pt idx="97">
                  <c:v>-138199</c:v>
                </c:pt>
                <c:pt idx="98">
                  <c:v>-141501</c:v>
                </c:pt>
                <c:pt idx="99">
                  <c:v>-144716</c:v>
                </c:pt>
                <c:pt idx="100">
                  <c:v>-144979</c:v>
                </c:pt>
                <c:pt idx="101">
                  <c:v>-138780</c:v>
                </c:pt>
                <c:pt idx="102">
                  <c:v>-137317</c:v>
                </c:pt>
                <c:pt idx="103">
                  <c:v>-190983</c:v>
                </c:pt>
                <c:pt idx="104">
                  <c:v>-175014</c:v>
                </c:pt>
                <c:pt idx="105">
                  <c:v>-154857</c:v>
                </c:pt>
                <c:pt idx="106">
                  <c:v>-153984</c:v>
                </c:pt>
                <c:pt idx="107">
                  <c:v>-115219</c:v>
                </c:pt>
                <c:pt idx="108">
                  <c:v>-63290</c:v>
                </c:pt>
                <c:pt idx="109">
                  <c:v>-33542</c:v>
                </c:pt>
                <c:pt idx="110">
                  <c:v>-53947</c:v>
                </c:pt>
                <c:pt idx="111">
                  <c:v>-19649</c:v>
                </c:pt>
                <c:pt idx="112">
                  <c:v>-13136</c:v>
                </c:pt>
                <c:pt idx="113">
                  <c:v>-29831</c:v>
                </c:pt>
                <c:pt idx="114">
                  <c:v>-29238</c:v>
                </c:pt>
                <c:pt idx="115">
                  <c:v>-16416</c:v>
                </c:pt>
                <c:pt idx="116">
                  <c:v>-3415</c:v>
                </c:pt>
                <c:pt idx="117">
                  <c:v>-4696</c:v>
                </c:pt>
                <c:pt idx="118">
                  <c:v>-30112</c:v>
                </c:pt>
                <c:pt idx="119">
                  <c:v>9432</c:v>
                </c:pt>
                <c:pt idx="120">
                  <c:v>33700</c:v>
                </c:pt>
                <c:pt idx="121">
                  <c:v>30258</c:v>
                </c:pt>
                <c:pt idx="122">
                  <c:v>35380</c:v>
                </c:pt>
                <c:pt idx="123">
                  <c:v>41744</c:v>
                </c:pt>
                <c:pt idx="124">
                  <c:v>33612</c:v>
                </c:pt>
                <c:pt idx="125">
                  <c:v>57032</c:v>
                </c:pt>
                <c:pt idx="126">
                  <c:v>47566</c:v>
                </c:pt>
                <c:pt idx="127">
                  <c:v>57012</c:v>
                </c:pt>
                <c:pt idx="128">
                  <c:v>58076</c:v>
                </c:pt>
                <c:pt idx="129">
                  <c:v>51318</c:v>
                </c:pt>
                <c:pt idx="130">
                  <c:v>26201</c:v>
                </c:pt>
                <c:pt idx="131">
                  <c:v>36703</c:v>
                </c:pt>
                <c:pt idx="132">
                  <c:v>26624</c:v>
                </c:pt>
                <c:pt idx="133">
                  <c:v>17036</c:v>
                </c:pt>
                <c:pt idx="134">
                  <c:v>49003</c:v>
                </c:pt>
                <c:pt idx="135">
                  <c:v>42332</c:v>
                </c:pt>
                <c:pt idx="136">
                  <c:v>54161</c:v>
                </c:pt>
                <c:pt idx="137">
                  <c:v>71714</c:v>
                </c:pt>
                <c:pt idx="138">
                  <c:v>64393</c:v>
                </c:pt>
                <c:pt idx="139">
                  <c:v>95085</c:v>
                </c:pt>
                <c:pt idx="140">
                  <c:v>85445</c:v>
                </c:pt>
                <c:pt idx="141">
                  <c:v>84484</c:v>
                </c:pt>
                <c:pt idx="142">
                  <c:v>41918</c:v>
                </c:pt>
                <c:pt idx="143">
                  <c:v>5398</c:v>
                </c:pt>
                <c:pt idx="144">
                  <c:v>-517</c:v>
                </c:pt>
                <c:pt idx="145">
                  <c:v>3277</c:v>
                </c:pt>
                <c:pt idx="146">
                  <c:v>2986</c:v>
                </c:pt>
                <c:pt idx="147">
                  <c:v>3019</c:v>
                </c:pt>
                <c:pt idx="148">
                  <c:v>54014</c:v>
                </c:pt>
                <c:pt idx="149">
                  <c:v>55372</c:v>
                </c:pt>
                <c:pt idx="150">
                  <c:v>10546</c:v>
                </c:pt>
                <c:pt idx="151">
                  <c:v>-39959</c:v>
                </c:pt>
                <c:pt idx="152">
                  <c:v>-56533</c:v>
                </c:pt>
                <c:pt idx="153">
                  <c:v>-67522</c:v>
                </c:pt>
                <c:pt idx="154">
                  <c:v>-97849</c:v>
                </c:pt>
                <c:pt idx="155">
                  <c:v>-97565</c:v>
                </c:pt>
                <c:pt idx="156">
                  <c:v>-43981</c:v>
                </c:pt>
                <c:pt idx="157">
                  <c:v>1156</c:v>
                </c:pt>
                <c:pt idx="158">
                  <c:v>6491</c:v>
                </c:pt>
                <c:pt idx="159">
                  <c:v>31565</c:v>
                </c:pt>
                <c:pt idx="160">
                  <c:v>44313</c:v>
                </c:pt>
                <c:pt idx="161">
                  <c:v>65164</c:v>
                </c:pt>
                <c:pt idx="162">
                  <c:v>39542</c:v>
                </c:pt>
                <c:pt idx="163">
                  <c:v>14346</c:v>
                </c:pt>
                <c:pt idx="164">
                  <c:v>17162</c:v>
                </c:pt>
                <c:pt idx="165">
                  <c:v>39963</c:v>
                </c:pt>
                <c:pt idx="166">
                  <c:v>55289</c:v>
                </c:pt>
                <c:pt idx="167">
                  <c:v>63602</c:v>
                </c:pt>
                <c:pt idx="168">
                  <c:v>80656</c:v>
                </c:pt>
                <c:pt idx="169">
                  <c:v>44116</c:v>
                </c:pt>
                <c:pt idx="170">
                  <c:v>52089</c:v>
                </c:pt>
                <c:pt idx="171">
                  <c:v>30590</c:v>
                </c:pt>
                <c:pt idx="172">
                  <c:v>1199</c:v>
                </c:pt>
                <c:pt idx="173">
                  <c:v>-23623</c:v>
                </c:pt>
                <c:pt idx="174">
                  <c:v>-33315</c:v>
                </c:pt>
                <c:pt idx="175">
                  <c:v>-31624</c:v>
                </c:pt>
                <c:pt idx="176">
                  <c:v>-35143</c:v>
                </c:pt>
                <c:pt idx="177">
                  <c:v>-30209</c:v>
                </c:pt>
                <c:pt idx="178">
                  <c:v>-48828</c:v>
                </c:pt>
                <c:pt idx="179">
                  <c:v>-39249</c:v>
                </c:pt>
                <c:pt idx="180">
                  <c:v>-71272</c:v>
                </c:pt>
                <c:pt idx="181">
                  <c:v>-41289</c:v>
                </c:pt>
                <c:pt idx="182">
                  <c:v>-58341</c:v>
                </c:pt>
                <c:pt idx="183">
                  <c:v>-55665</c:v>
                </c:pt>
                <c:pt idx="184">
                  <c:v>-79317</c:v>
                </c:pt>
                <c:pt idx="185">
                  <c:v>-108323</c:v>
                </c:pt>
                <c:pt idx="186">
                  <c:v>-101657</c:v>
                </c:pt>
                <c:pt idx="187">
                  <c:v>7246</c:v>
                </c:pt>
                <c:pt idx="188">
                  <c:v>47368</c:v>
                </c:pt>
                <c:pt idx="189">
                  <c:v>63290</c:v>
                </c:pt>
                <c:pt idx="190">
                  <c:v>88300</c:v>
                </c:pt>
                <c:pt idx="191">
                  <c:v>81412</c:v>
                </c:pt>
                <c:pt idx="192">
                  <c:v>55160</c:v>
                </c:pt>
                <c:pt idx="193">
                  <c:v>30758</c:v>
                </c:pt>
                <c:pt idx="194">
                  <c:v>37384</c:v>
                </c:pt>
                <c:pt idx="195">
                  <c:v>63164</c:v>
                </c:pt>
                <c:pt idx="196">
                  <c:v>85389</c:v>
                </c:pt>
                <c:pt idx="197">
                  <c:v>122794</c:v>
                </c:pt>
                <c:pt idx="198">
                  <c:v>142274</c:v>
                </c:pt>
                <c:pt idx="199">
                  <c:v>138858</c:v>
                </c:pt>
                <c:pt idx="200">
                  <c:v>111866</c:v>
                </c:pt>
                <c:pt idx="201">
                  <c:v>111897</c:v>
                </c:pt>
                <c:pt idx="202">
                  <c:v>56964</c:v>
                </c:pt>
                <c:pt idx="203">
                  <c:v>43635</c:v>
                </c:pt>
                <c:pt idx="204">
                  <c:v>52071</c:v>
                </c:pt>
                <c:pt idx="205">
                  <c:v>43427</c:v>
                </c:pt>
                <c:pt idx="206">
                  <c:v>64951</c:v>
                </c:pt>
                <c:pt idx="207">
                  <c:v>106109</c:v>
                </c:pt>
                <c:pt idx="208">
                  <c:v>95099</c:v>
                </c:pt>
                <c:pt idx="209">
                  <c:v>69884</c:v>
                </c:pt>
                <c:pt idx="210">
                  <c:v>118390</c:v>
                </c:pt>
                <c:pt idx="211">
                  <c:v>64803</c:v>
                </c:pt>
                <c:pt idx="212">
                  <c:v>-3519</c:v>
                </c:pt>
                <c:pt idx="213">
                  <c:v>-31784</c:v>
                </c:pt>
                <c:pt idx="214">
                  <c:v>-21089</c:v>
                </c:pt>
                <c:pt idx="215">
                  <c:v>-89584</c:v>
                </c:pt>
                <c:pt idx="216">
                  <c:v>-142847</c:v>
                </c:pt>
                <c:pt idx="217">
                  <c:v>-197813</c:v>
                </c:pt>
                <c:pt idx="218">
                  <c:v>-206946</c:v>
                </c:pt>
                <c:pt idx="219">
                  <c:v>-241403</c:v>
                </c:pt>
                <c:pt idx="220">
                  <c:v>-287611</c:v>
                </c:pt>
                <c:pt idx="221">
                  <c:v>-310136</c:v>
                </c:pt>
                <c:pt idx="222">
                  <c:v>-310136</c:v>
                </c:pt>
                <c:pt idx="223">
                  <c:v>-356479</c:v>
                </c:pt>
                <c:pt idx="224">
                  <c:v>-333525</c:v>
                </c:pt>
                <c:pt idx="225">
                  <c:v>-366546</c:v>
                </c:pt>
                <c:pt idx="226">
                  <c:v>-351290</c:v>
                </c:pt>
                <c:pt idx="227">
                  <c:v>-356971</c:v>
                </c:pt>
                <c:pt idx="228">
                  <c:v>-364020</c:v>
                </c:pt>
                <c:pt idx="229">
                  <c:v>-365295</c:v>
                </c:pt>
                <c:pt idx="230">
                  <c:v>-302751</c:v>
                </c:pt>
                <c:pt idx="231">
                  <c:v>-297351</c:v>
                </c:pt>
                <c:pt idx="232">
                  <c:v>-293082</c:v>
                </c:pt>
                <c:pt idx="233">
                  <c:v>-295545</c:v>
                </c:pt>
                <c:pt idx="234">
                  <c:v>-309822</c:v>
                </c:pt>
                <c:pt idx="235">
                  <c:v>-330784</c:v>
                </c:pt>
                <c:pt idx="236">
                  <c:v>-347859</c:v>
                </c:pt>
                <c:pt idx="237">
                  <c:v>-318172</c:v>
                </c:pt>
                <c:pt idx="238">
                  <c:v>-316503</c:v>
                </c:pt>
                <c:pt idx="239">
                  <c:v>-355662</c:v>
                </c:pt>
                <c:pt idx="240">
                  <c:v>-329498</c:v>
                </c:pt>
                <c:pt idx="241">
                  <c:v>-350185</c:v>
                </c:pt>
                <c:pt idx="242">
                  <c:v>-353694</c:v>
                </c:pt>
                <c:pt idx="243">
                  <c:v>-345246</c:v>
                </c:pt>
                <c:pt idx="244">
                  <c:v>-333425</c:v>
                </c:pt>
                <c:pt idx="245">
                  <c:v>-339420</c:v>
                </c:pt>
                <c:pt idx="246">
                  <c:v>-312413</c:v>
                </c:pt>
                <c:pt idx="247">
                  <c:v>-257505</c:v>
                </c:pt>
                <c:pt idx="248">
                  <c:v>-226385</c:v>
                </c:pt>
                <c:pt idx="249">
                  <c:v>-236094</c:v>
                </c:pt>
                <c:pt idx="250">
                  <c:v>-265072</c:v>
                </c:pt>
                <c:pt idx="251">
                  <c:v>-297160</c:v>
                </c:pt>
                <c:pt idx="252">
                  <c:v>-330508</c:v>
                </c:pt>
                <c:pt idx="253">
                  <c:v>-340179</c:v>
                </c:pt>
                <c:pt idx="254">
                  <c:v>-307507</c:v>
                </c:pt>
                <c:pt idx="255">
                  <c:v>-271759</c:v>
                </c:pt>
                <c:pt idx="256">
                  <c:v>-258430</c:v>
                </c:pt>
                <c:pt idx="257">
                  <c:v>-290332</c:v>
                </c:pt>
                <c:pt idx="258">
                  <c:v>-308787</c:v>
                </c:pt>
                <c:pt idx="259">
                  <c:v>-296413</c:v>
                </c:pt>
                <c:pt idx="260">
                  <c:v>-295547</c:v>
                </c:pt>
                <c:pt idx="261">
                  <c:v>-238806</c:v>
                </c:pt>
                <c:pt idx="262">
                  <c:v>-207373</c:v>
                </c:pt>
                <c:pt idx="263">
                  <c:v>-156310</c:v>
                </c:pt>
                <c:pt idx="264">
                  <c:v>-167652</c:v>
                </c:pt>
                <c:pt idx="265">
                  <c:v>-193061</c:v>
                </c:pt>
                <c:pt idx="266">
                  <c:v>-185971</c:v>
                </c:pt>
                <c:pt idx="267">
                  <c:v>-201963</c:v>
                </c:pt>
                <c:pt idx="268">
                  <c:v>-198576</c:v>
                </c:pt>
                <c:pt idx="269">
                  <c:v>-224045</c:v>
                </c:pt>
                <c:pt idx="270">
                  <c:v>-228947</c:v>
                </c:pt>
                <c:pt idx="271">
                  <c:v>-252594</c:v>
                </c:pt>
                <c:pt idx="272">
                  <c:v>-254538</c:v>
                </c:pt>
                <c:pt idx="273">
                  <c:v>-228553</c:v>
                </c:pt>
                <c:pt idx="274">
                  <c:v>-190637</c:v>
                </c:pt>
                <c:pt idx="275">
                  <c:v>-139981</c:v>
                </c:pt>
                <c:pt idx="276">
                  <c:v>-98940</c:v>
                </c:pt>
                <c:pt idx="277">
                  <c:v>-86817</c:v>
                </c:pt>
                <c:pt idx="278">
                  <c:v>-96767</c:v>
                </c:pt>
                <c:pt idx="279">
                  <c:v>-125410</c:v>
                </c:pt>
                <c:pt idx="280">
                  <c:v>-139710</c:v>
                </c:pt>
                <c:pt idx="281">
                  <c:v>-139710</c:v>
                </c:pt>
                <c:pt idx="282">
                  <c:v>-150577</c:v>
                </c:pt>
                <c:pt idx="283">
                  <c:v>-76813</c:v>
                </c:pt>
                <c:pt idx="284">
                  <c:v>-73170</c:v>
                </c:pt>
                <c:pt idx="285">
                  <c:v>-51588</c:v>
                </c:pt>
                <c:pt idx="286">
                  <c:v>-39071</c:v>
                </c:pt>
                <c:pt idx="287">
                  <c:v>-33189</c:v>
                </c:pt>
                <c:pt idx="288">
                  <c:v>-54932</c:v>
                </c:pt>
                <c:pt idx="289">
                  <c:v>-89805</c:v>
                </c:pt>
                <c:pt idx="290">
                  <c:v>-121414</c:v>
                </c:pt>
                <c:pt idx="291">
                  <c:v>-85080</c:v>
                </c:pt>
                <c:pt idx="292">
                  <c:v>-70730</c:v>
                </c:pt>
                <c:pt idx="293">
                  <c:v>-96869</c:v>
                </c:pt>
                <c:pt idx="294">
                  <c:v>-107249</c:v>
                </c:pt>
                <c:pt idx="295">
                  <c:v>-95430</c:v>
                </c:pt>
                <c:pt idx="296">
                  <c:v>-83839</c:v>
                </c:pt>
                <c:pt idx="297">
                  <c:v>-120317</c:v>
                </c:pt>
                <c:pt idx="298">
                  <c:v>-146116</c:v>
                </c:pt>
                <c:pt idx="299">
                  <c:v>-147212</c:v>
                </c:pt>
                <c:pt idx="300">
                  <c:v>-168386</c:v>
                </c:pt>
                <c:pt idx="301">
                  <c:v>-123612</c:v>
                </c:pt>
                <c:pt idx="302">
                  <c:v>-97228</c:v>
                </c:pt>
                <c:pt idx="303">
                  <c:v>-81097</c:v>
                </c:pt>
                <c:pt idx="304">
                  <c:v>-45312</c:v>
                </c:pt>
                <c:pt idx="305">
                  <c:v>-1197</c:v>
                </c:pt>
                <c:pt idx="306">
                  <c:v>-28600</c:v>
                </c:pt>
                <c:pt idx="307">
                  <c:v>-28410</c:v>
                </c:pt>
                <c:pt idx="308">
                  <c:v>12758</c:v>
                </c:pt>
                <c:pt idx="309">
                  <c:v>-20595</c:v>
                </c:pt>
                <c:pt idx="310">
                  <c:v>22598</c:v>
                </c:pt>
                <c:pt idx="311">
                  <c:v>32163</c:v>
                </c:pt>
                <c:pt idx="312">
                  <c:v>28895</c:v>
                </c:pt>
                <c:pt idx="313">
                  <c:v>-7512</c:v>
                </c:pt>
                <c:pt idx="314">
                  <c:v>-64468</c:v>
                </c:pt>
                <c:pt idx="315">
                  <c:v>-204929</c:v>
                </c:pt>
                <c:pt idx="316">
                  <c:v>-158694</c:v>
                </c:pt>
                <c:pt idx="317">
                  <c:v>-204929</c:v>
                </c:pt>
                <c:pt idx="318">
                  <c:v>-229907</c:v>
                </c:pt>
                <c:pt idx="319">
                  <c:v>-239870</c:v>
                </c:pt>
                <c:pt idx="320">
                  <c:v>-238812</c:v>
                </c:pt>
                <c:pt idx="321">
                  <c:v>-255206</c:v>
                </c:pt>
                <c:pt idx="322">
                  <c:v>-291523</c:v>
                </c:pt>
                <c:pt idx="323">
                  <c:v>-271138</c:v>
                </c:pt>
                <c:pt idx="324">
                  <c:v>-281808</c:v>
                </c:pt>
                <c:pt idx="325">
                  <c:v>-249153</c:v>
                </c:pt>
                <c:pt idx="326">
                  <c:v>-223003</c:v>
                </c:pt>
                <c:pt idx="327">
                  <c:v>-216877</c:v>
                </c:pt>
                <c:pt idx="328">
                  <c:v>-220930</c:v>
                </c:pt>
                <c:pt idx="329">
                  <c:v>-214273</c:v>
                </c:pt>
                <c:pt idx="330">
                  <c:v>-211486</c:v>
                </c:pt>
                <c:pt idx="331">
                  <c:v>-242992</c:v>
                </c:pt>
                <c:pt idx="332">
                  <c:v>-198659</c:v>
                </c:pt>
                <c:pt idx="333">
                  <c:v>-200376</c:v>
                </c:pt>
                <c:pt idx="334">
                  <c:v>-160155</c:v>
                </c:pt>
                <c:pt idx="335">
                  <c:v>-208834</c:v>
                </c:pt>
                <c:pt idx="336">
                  <c:v>-225308</c:v>
                </c:pt>
                <c:pt idx="337">
                  <c:v>-246575</c:v>
                </c:pt>
                <c:pt idx="338">
                  <c:v>-199747</c:v>
                </c:pt>
                <c:pt idx="339">
                  <c:v>-151971</c:v>
                </c:pt>
                <c:pt idx="340">
                  <c:v>-104573</c:v>
                </c:pt>
                <c:pt idx="341">
                  <c:v>-103955</c:v>
                </c:pt>
                <c:pt idx="342">
                  <c:v>-93033</c:v>
                </c:pt>
                <c:pt idx="343">
                  <c:v>-119090</c:v>
                </c:pt>
                <c:pt idx="344">
                  <c:v>-124657</c:v>
                </c:pt>
                <c:pt idx="345">
                  <c:v>-124103</c:v>
                </c:pt>
                <c:pt idx="346">
                  <c:v>-138327</c:v>
                </c:pt>
                <c:pt idx="347">
                  <c:v>-75832</c:v>
                </c:pt>
                <c:pt idx="348">
                  <c:v>-33689</c:v>
                </c:pt>
                <c:pt idx="349">
                  <c:v>-29065</c:v>
                </c:pt>
                <c:pt idx="350">
                  <c:v>-44331</c:v>
                </c:pt>
                <c:pt idx="351">
                  <c:v>-62623</c:v>
                </c:pt>
                <c:pt idx="352">
                  <c:v>-121796</c:v>
                </c:pt>
                <c:pt idx="353">
                  <c:v>-155224</c:v>
                </c:pt>
                <c:pt idx="354">
                  <c:v>-67164</c:v>
                </c:pt>
                <c:pt idx="355">
                  <c:v>-7291</c:v>
                </c:pt>
                <c:pt idx="356">
                  <c:v>-2289</c:v>
                </c:pt>
                <c:pt idx="357">
                  <c:v>20962</c:v>
                </c:pt>
                <c:pt idx="358">
                  <c:v>-16499</c:v>
                </c:pt>
                <c:pt idx="359">
                  <c:v>-18552</c:v>
                </c:pt>
                <c:pt idx="360">
                  <c:v>-11971</c:v>
                </c:pt>
                <c:pt idx="361">
                  <c:v>10018</c:v>
                </c:pt>
                <c:pt idx="362">
                  <c:v>-29818</c:v>
                </c:pt>
                <c:pt idx="363">
                  <c:v>-19330</c:v>
                </c:pt>
                <c:pt idx="364">
                  <c:v>-14303</c:v>
                </c:pt>
                <c:pt idx="365">
                  <c:v>-3726</c:v>
                </c:pt>
                <c:pt idx="366">
                  <c:v>-4949</c:v>
                </c:pt>
                <c:pt idx="367">
                  <c:v>102838</c:v>
                </c:pt>
                <c:pt idx="368">
                  <c:v>118186</c:v>
                </c:pt>
                <c:pt idx="369">
                  <c:v>121274</c:v>
                </c:pt>
                <c:pt idx="370">
                  <c:v>162980</c:v>
                </c:pt>
                <c:pt idx="371">
                  <c:v>185570</c:v>
                </c:pt>
                <c:pt idx="372">
                  <c:v>203358</c:v>
                </c:pt>
                <c:pt idx="373">
                  <c:v>196597</c:v>
                </c:pt>
                <c:pt idx="374">
                  <c:v>153470</c:v>
                </c:pt>
                <c:pt idx="375">
                  <c:v>118391</c:v>
                </c:pt>
                <c:pt idx="376">
                  <c:v>129124</c:v>
                </c:pt>
                <c:pt idx="377">
                  <c:v>140537</c:v>
                </c:pt>
                <c:pt idx="378">
                  <c:v>181465</c:v>
                </c:pt>
                <c:pt idx="379">
                  <c:v>206166</c:v>
                </c:pt>
                <c:pt idx="380">
                  <c:v>228784</c:v>
                </c:pt>
                <c:pt idx="381">
                  <c:v>233557</c:v>
                </c:pt>
                <c:pt idx="382">
                  <c:v>235594</c:v>
                </c:pt>
                <c:pt idx="383">
                  <c:v>247794</c:v>
                </c:pt>
                <c:pt idx="384">
                  <c:v>255612</c:v>
                </c:pt>
                <c:pt idx="385">
                  <c:v>255098</c:v>
                </c:pt>
                <c:pt idx="386">
                  <c:v>193669</c:v>
                </c:pt>
                <c:pt idx="387">
                  <c:v>209638</c:v>
                </c:pt>
                <c:pt idx="388">
                  <c:v>207611</c:v>
                </c:pt>
                <c:pt idx="389">
                  <c:v>186623</c:v>
                </c:pt>
                <c:pt idx="390">
                  <c:v>162903</c:v>
                </c:pt>
                <c:pt idx="391">
                  <c:v>174515</c:v>
                </c:pt>
                <c:pt idx="392">
                  <c:v>165139</c:v>
                </c:pt>
                <c:pt idx="393">
                  <c:v>179155</c:v>
                </c:pt>
                <c:pt idx="394">
                  <c:v>172938</c:v>
                </c:pt>
                <c:pt idx="395">
                  <c:v>155342</c:v>
                </c:pt>
                <c:pt idx="396">
                  <c:v>157090</c:v>
                </c:pt>
                <c:pt idx="397">
                  <c:v>142217</c:v>
                </c:pt>
                <c:pt idx="398">
                  <c:v>86610</c:v>
                </c:pt>
                <c:pt idx="399">
                  <c:v>55505</c:v>
                </c:pt>
                <c:pt idx="400">
                  <c:v>29068</c:v>
                </c:pt>
                <c:pt idx="401">
                  <c:v>-19986</c:v>
                </c:pt>
                <c:pt idx="402">
                  <c:v>-81677</c:v>
                </c:pt>
                <c:pt idx="403">
                  <c:v>-125122</c:v>
                </c:pt>
                <c:pt idx="404">
                  <c:v>-130677</c:v>
                </c:pt>
                <c:pt idx="405">
                  <c:v>-136901</c:v>
                </c:pt>
                <c:pt idx="406">
                  <c:v>-180765</c:v>
                </c:pt>
                <c:pt idx="407">
                  <c:v>-185406</c:v>
                </c:pt>
                <c:pt idx="408">
                  <c:v>-172415</c:v>
                </c:pt>
                <c:pt idx="409">
                  <c:v>-147553</c:v>
                </c:pt>
                <c:pt idx="410">
                  <c:v>-180823</c:v>
                </c:pt>
                <c:pt idx="411">
                  <c:v>-183217</c:v>
                </c:pt>
                <c:pt idx="412">
                  <c:v>-176016</c:v>
                </c:pt>
                <c:pt idx="413">
                  <c:v>-114995</c:v>
                </c:pt>
                <c:pt idx="414">
                  <c:v>-82031</c:v>
                </c:pt>
                <c:pt idx="415">
                  <c:v>-73971</c:v>
                </c:pt>
                <c:pt idx="416">
                  <c:v>-41615</c:v>
                </c:pt>
                <c:pt idx="417">
                  <c:v>-23794</c:v>
                </c:pt>
                <c:pt idx="418">
                  <c:v>-13098</c:v>
                </c:pt>
                <c:pt idx="419">
                  <c:v>1684</c:v>
                </c:pt>
                <c:pt idx="420">
                  <c:v>9993</c:v>
                </c:pt>
                <c:pt idx="421">
                  <c:v>31262</c:v>
                </c:pt>
                <c:pt idx="422">
                  <c:v>50151</c:v>
                </c:pt>
                <c:pt idx="423">
                  <c:v>55651</c:v>
                </c:pt>
                <c:pt idx="424">
                  <c:v>44439</c:v>
                </c:pt>
                <c:pt idx="425">
                  <c:v>42993</c:v>
                </c:pt>
                <c:pt idx="426">
                  <c:v>36495</c:v>
                </c:pt>
                <c:pt idx="427">
                  <c:v>45415</c:v>
                </c:pt>
                <c:pt idx="428">
                  <c:v>41546</c:v>
                </c:pt>
                <c:pt idx="429">
                  <c:v>54787</c:v>
                </c:pt>
                <c:pt idx="430">
                  <c:v>41380</c:v>
                </c:pt>
                <c:pt idx="431">
                  <c:v>54287</c:v>
                </c:pt>
                <c:pt idx="432">
                  <c:v>47507</c:v>
                </c:pt>
                <c:pt idx="433">
                  <c:v>25345</c:v>
                </c:pt>
                <c:pt idx="434">
                  <c:v>4502</c:v>
                </c:pt>
                <c:pt idx="435">
                  <c:v>-20654</c:v>
                </c:pt>
                <c:pt idx="436">
                  <c:v>-47682</c:v>
                </c:pt>
                <c:pt idx="437">
                  <c:v>-73755</c:v>
                </c:pt>
                <c:pt idx="438">
                  <c:v>-107682</c:v>
                </c:pt>
                <c:pt idx="439">
                  <c:v>-120936</c:v>
                </c:pt>
                <c:pt idx="440">
                  <c:v>-133180</c:v>
                </c:pt>
                <c:pt idx="441">
                  <c:v>-120642</c:v>
                </c:pt>
                <c:pt idx="442">
                  <c:v>-170378</c:v>
                </c:pt>
                <c:pt idx="443">
                  <c:v>-181788</c:v>
                </c:pt>
                <c:pt idx="444">
                  <c:v>-192945</c:v>
                </c:pt>
                <c:pt idx="445">
                  <c:v>-178430</c:v>
                </c:pt>
                <c:pt idx="446">
                  <c:v>-154778</c:v>
                </c:pt>
                <c:pt idx="447">
                  <c:v>-112263</c:v>
                </c:pt>
                <c:pt idx="448">
                  <c:v>-100211</c:v>
                </c:pt>
                <c:pt idx="449">
                  <c:v>-70286</c:v>
                </c:pt>
                <c:pt idx="450">
                  <c:v>-41307</c:v>
                </c:pt>
                <c:pt idx="451">
                  <c:v>-41200</c:v>
                </c:pt>
                <c:pt idx="452">
                  <c:v>-27128</c:v>
                </c:pt>
                <c:pt idx="453">
                  <c:v>-14647</c:v>
                </c:pt>
                <c:pt idx="454">
                  <c:v>-617</c:v>
                </c:pt>
                <c:pt idx="455">
                  <c:v>22244</c:v>
                </c:pt>
                <c:pt idx="456">
                  <c:v>89573</c:v>
                </c:pt>
                <c:pt idx="457">
                  <c:v>41178</c:v>
                </c:pt>
                <c:pt idx="458">
                  <c:v>41874</c:v>
                </c:pt>
                <c:pt idx="459">
                  <c:v>45677</c:v>
                </c:pt>
                <c:pt idx="460">
                  <c:v>99270</c:v>
                </c:pt>
                <c:pt idx="461">
                  <c:v>123898</c:v>
                </c:pt>
                <c:pt idx="462">
                  <c:v>143194</c:v>
                </c:pt>
                <c:pt idx="463">
                  <c:v>169046</c:v>
                </c:pt>
                <c:pt idx="464">
                  <c:v>159746</c:v>
                </c:pt>
                <c:pt idx="465">
                  <c:v>175294</c:v>
                </c:pt>
                <c:pt idx="466">
                  <c:v>181885</c:v>
                </c:pt>
                <c:pt idx="467">
                  <c:v>176225</c:v>
                </c:pt>
                <c:pt idx="468">
                  <c:v>140972</c:v>
                </c:pt>
                <c:pt idx="469">
                  <c:v>173221</c:v>
                </c:pt>
                <c:pt idx="470">
                  <c:v>126610</c:v>
                </c:pt>
                <c:pt idx="471">
                  <c:v>-8763</c:v>
                </c:pt>
                <c:pt idx="472">
                  <c:v>-97115</c:v>
                </c:pt>
                <c:pt idx="473">
                  <c:v>-153355</c:v>
                </c:pt>
                <c:pt idx="474">
                  <c:v>-199743</c:v>
                </c:pt>
                <c:pt idx="475">
                  <c:v>-168511</c:v>
                </c:pt>
                <c:pt idx="476">
                  <c:v>-104713</c:v>
                </c:pt>
                <c:pt idx="477">
                  <c:v>-71455</c:v>
                </c:pt>
                <c:pt idx="478">
                  <c:v>-35164</c:v>
                </c:pt>
                <c:pt idx="479">
                  <c:v>-34639</c:v>
                </c:pt>
                <c:pt idx="480">
                  <c:v>-38685</c:v>
                </c:pt>
                <c:pt idx="481">
                  <c:v>-7941</c:v>
                </c:pt>
                <c:pt idx="482">
                  <c:v>-56550</c:v>
                </c:pt>
                <c:pt idx="483">
                  <c:v>-52637</c:v>
                </c:pt>
                <c:pt idx="484">
                  <c:v>-61071</c:v>
                </c:pt>
                <c:pt idx="485">
                  <c:v>-116839</c:v>
                </c:pt>
                <c:pt idx="486">
                  <c:v>-78404</c:v>
                </c:pt>
                <c:pt idx="487">
                  <c:v>-24853</c:v>
                </c:pt>
                <c:pt idx="488">
                  <c:v>-38865</c:v>
                </c:pt>
                <c:pt idx="489">
                  <c:v>-37988</c:v>
                </c:pt>
                <c:pt idx="490">
                  <c:v>45029</c:v>
                </c:pt>
                <c:pt idx="491">
                  <c:v>68198</c:v>
                </c:pt>
                <c:pt idx="492">
                  <c:v>63976</c:v>
                </c:pt>
                <c:pt idx="493">
                  <c:v>41693</c:v>
                </c:pt>
                <c:pt idx="494">
                  <c:v>21033</c:v>
                </c:pt>
                <c:pt idx="495">
                  <c:v>-6470</c:v>
                </c:pt>
                <c:pt idx="496">
                  <c:v>33914</c:v>
                </c:pt>
                <c:pt idx="497">
                  <c:v>85479</c:v>
                </c:pt>
                <c:pt idx="498">
                  <c:v>113666</c:v>
                </c:pt>
                <c:pt idx="499">
                  <c:v>134307</c:v>
                </c:pt>
                <c:pt idx="500">
                  <c:v>107964</c:v>
                </c:pt>
                <c:pt idx="501">
                  <c:v>48349</c:v>
                </c:pt>
                <c:pt idx="502">
                  <c:v>24204</c:v>
                </c:pt>
                <c:pt idx="503">
                  <c:v>85226</c:v>
                </c:pt>
                <c:pt idx="504">
                  <c:v>107120</c:v>
                </c:pt>
                <c:pt idx="505">
                  <c:v>101874</c:v>
                </c:pt>
                <c:pt idx="506">
                  <c:v>157987</c:v>
                </c:pt>
                <c:pt idx="507">
                  <c:v>165866</c:v>
                </c:pt>
                <c:pt idx="508">
                  <c:v>125712</c:v>
                </c:pt>
                <c:pt idx="509">
                  <c:v>90504</c:v>
                </c:pt>
                <c:pt idx="510">
                  <c:v>53089</c:v>
                </c:pt>
                <c:pt idx="511">
                  <c:v>135628</c:v>
                </c:pt>
                <c:pt idx="512">
                  <c:v>94896</c:v>
                </c:pt>
                <c:pt idx="513">
                  <c:v>-34332</c:v>
                </c:pt>
                <c:pt idx="514">
                  <c:v>-123823</c:v>
                </c:pt>
                <c:pt idx="515">
                  <c:v>-114687</c:v>
                </c:pt>
                <c:pt idx="516">
                  <c:v>-79837</c:v>
                </c:pt>
                <c:pt idx="517">
                  <c:v>-101308</c:v>
                </c:pt>
                <c:pt idx="518">
                  <c:v>-126061</c:v>
                </c:pt>
                <c:pt idx="519">
                  <c:v>-182776</c:v>
                </c:pt>
                <c:pt idx="520">
                  <c:v>-258927</c:v>
                </c:pt>
                <c:pt idx="521">
                  <c:v>-298872</c:v>
                </c:pt>
                <c:pt idx="522">
                  <c:v>-242487</c:v>
                </c:pt>
                <c:pt idx="523">
                  <c:v>-205441</c:v>
                </c:pt>
                <c:pt idx="524">
                  <c:v>-115765</c:v>
                </c:pt>
                <c:pt idx="525">
                  <c:v>-45255</c:v>
                </c:pt>
                <c:pt idx="526">
                  <c:v>-23685</c:v>
                </c:pt>
                <c:pt idx="527">
                  <c:v>17439</c:v>
                </c:pt>
                <c:pt idx="528">
                  <c:v>53227</c:v>
                </c:pt>
                <c:pt idx="529">
                  <c:v>84223</c:v>
                </c:pt>
                <c:pt idx="530">
                  <c:v>94704</c:v>
                </c:pt>
                <c:pt idx="531">
                  <c:v>90103</c:v>
                </c:pt>
                <c:pt idx="532">
                  <c:v>116308</c:v>
                </c:pt>
                <c:pt idx="533">
                  <c:v>125578</c:v>
                </c:pt>
                <c:pt idx="534">
                  <c:v>106380</c:v>
                </c:pt>
                <c:pt idx="535">
                  <c:v>93875</c:v>
                </c:pt>
                <c:pt idx="536">
                  <c:v>125654</c:v>
                </c:pt>
                <c:pt idx="537">
                  <c:v>80770</c:v>
                </c:pt>
                <c:pt idx="538">
                  <c:v>56941</c:v>
                </c:pt>
                <c:pt idx="539">
                  <c:v>-4842</c:v>
                </c:pt>
                <c:pt idx="540">
                  <c:v>-2363</c:v>
                </c:pt>
                <c:pt idx="541">
                  <c:v>-11217</c:v>
                </c:pt>
                <c:pt idx="542">
                  <c:v>-57302</c:v>
                </c:pt>
                <c:pt idx="543">
                  <c:v>17265</c:v>
                </c:pt>
                <c:pt idx="544">
                  <c:v>-16246</c:v>
                </c:pt>
                <c:pt idx="545">
                  <c:v>-15273</c:v>
                </c:pt>
                <c:pt idx="546">
                  <c:v>-22457</c:v>
                </c:pt>
                <c:pt idx="547">
                  <c:v>-21176</c:v>
                </c:pt>
                <c:pt idx="548">
                  <c:v>14706</c:v>
                </c:pt>
                <c:pt idx="549">
                  <c:v>22968</c:v>
                </c:pt>
                <c:pt idx="550">
                  <c:v>-1561</c:v>
                </c:pt>
                <c:pt idx="551">
                  <c:v>-10636</c:v>
                </c:pt>
                <c:pt idx="552">
                  <c:v>-46717</c:v>
                </c:pt>
                <c:pt idx="553">
                  <c:v>-87194</c:v>
                </c:pt>
                <c:pt idx="554">
                  <c:v>-68035</c:v>
                </c:pt>
                <c:pt idx="555">
                  <c:v>-99041</c:v>
                </c:pt>
                <c:pt idx="556">
                  <c:v>-153315</c:v>
                </c:pt>
                <c:pt idx="557">
                  <c:v>-156996</c:v>
                </c:pt>
                <c:pt idx="558">
                  <c:v>-165240</c:v>
                </c:pt>
                <c:pt idx="559">
                  <c:v>-160925</c:v>
                </c:pt>
                <c:pt idx="560">
                  <c:v>-70543</c:v>
                </c:pt>
                <c:pt idx="561">
                  <c:v>-13109</c:v>
                </c:pt>
                <c:pt idx="562">
                  <c:v>58268</c:v>
                </c:pt>
                <c:pt idx="563">
                  <c:v>34199</c:v>
                </c:pt>
                <c:pt idx="564">
                  <c:v>38098</c:v>
                </c:pt>
                <c:pt idx="565">
                  <c:v>61460</c:v>
                </c:pt>
                <c:pt idx="566">
                  <c:v>92269</c:v>
                </c:pt>
                <c:pt idx="567">
                  <c:v>82875</c:v>
                </c:pt>
                <c:pt idx="568">
                  <c:v>112432</c:v>
                </c:pt>
                <c:pt idx="569">
                  <c:v>105168</c:v>
                </c:pt>
                <c:pt idx="570">
                  <c:v>78693</c:v>
                </c:pt>
                <c:pt idx="571">
                  <c:v>103695</c:v>
                </c:pt>
                <c:pt idx="572">
                  <c:v>39830</c:v>
                </c:pt>
                <c:pt idx="573">
                  <c:v>-66011</c:v>
                </c:pt>
                <c:pt idx="574">
                  <c:v>-23669</c:v>
                </c:pt>
                <c:pt idx="575">
                  <c:v>36275</c:v>
                </c:pt>
                <c:pt idx="576">
                  <c:v>-42867</c:v>
                </c:pt>
                <c:pt idx="577">
                  <c:v>-176912</c:v>
                </c:pt>
                <c:pt idx="578">
                  <c:v>-160187</c:v>
                </c:pt>
                <c:pt idx="579">
                  <c:v>-145831</c:v>
                </c:pt>
                <c:pt idx="580">
                  <c:v>-115581</c:v>
                </c:pt>
                <c:pt idx="581">
                  <c:v>-111230</c:v>
                </c:pt>
                <c:pt idx="582">
                  <c:v>-68099</c:v>
                </c:pt>
                <c:pt idx="583">
                  <c:v>-30180</c:v>
                </c:pt>
                <c:pt idx="584">
                  <c:v>2864</c:v>
                </c:pt>
                <c:pt idx="585">
                  <c:v>15449</c:v>
                </c:pt>
                <c:pt idx="586">
                  <c:v>23907</c:v>
                </c:pt>
                <c:pt idx="587">
                  <c:v>36138</c:v>
                </c:pt>
                <c:pt idx="588">
                  <c:v>31256</c:v>
                </c:pt>
                <c:pt idx="589">
                  <c:v>49578</c:v>
                </c:pt>
                <c:pt idx="590">
                  <c:v>64199</c:v>
                </c:pt>
                <c:pt idx="591">
                  <c:v>80125</c:v>
                </c:pt>
                <c:pt idx="592">
                  <c:v>94686</c:v>
                </c:pt>
                <c:pt idx="593">
                  <c:v>118206</c:v>
                </c:pt>
                <c:pt idx="594">
                  <c:v>118471</c:v>
                </c:pt>
                <c:pt idx="595">
                  <c:v>164897</c:v>
                </c:pt>
                <c:pt idx="596">
                  <c:v>135160</c:v>
                </c:pt>
                <c:pt idx="597">
                  <c:v>116795</c:v>
                </c:pt>
                <c:pt idx="598">
                  <c:v>88716</c:v>
                </c:pt>
                <c:pt idx="599">
                  <c:v>106637</c:v>
                </c:pt>
                <c:pt idx="600">
                  <c:v>119707</c:v>
                </c:pt>
                <c:pt idx="601">
                  <c:v>101931</c:v>
                </c:pt>
                <c:pt idx="602">
                  <c:v>93020</c:v>
                </c:pt>
                <c:pt idx="603">
                  <c:v>117923</c:v>
                </c:pt>
                <c:pt idx="604">
                  <c:v>119982</c:v>
                </c:pt>
                <c:pt idx="605">
                  <c:v>109312</c:v>
                </c:pt>
                <c:pt idx="606">
                  <c:v>19064</c:v>
                </c:pt>
                <c:pt idx="607">
                  <c:v>-12807</c:v>
                </c:pt>
                <c:pt idx="608">
                  <c:v>-87196</c:v>
                </c:pt>
                <c:pt idx="609">
                  <c:v>-104208</c:v>
                </c:pt>
                <c:pt idx="610">
                  <c:v>-145802</c:v>
                </c:pt>
                <c:pt idx="611">
                  <c:v>-234424</c:v>
                </c:pt>
                <c:pt idx="612">
                  <c:v>-296377</c:v>
                </c:pt>
                <c:pt idx="613">
                  <c:v>-232763</c:v>
                </c:pt>
                <c:pt idx="614">
                  <c:v>-155845</c:v>
                </c:pt>
                <c:pt idx="615">
                  <c:v>-226841</c:v>
                </c:pt>
                <c:pt idx="616">
                  <c:v>-251605</c:v>
                </c:pt>
                <c:pt idx="617">
                  <c:v>-197077</c:v>
                </c:pt>
                <c:pt idx="618">
                  <c:v>-203505</c:v>
                </c:pt>
                <c:pt idx="619">
                  <c:v>-270974</c:v>
                </c:pt>
                <c:pt idx="620">
                  <c:v>-275847</c:v>
                </c:pt>
                <c:pt idx="621">
                  <c:v>-258386</c:v>
                </c:pt>
                <c:pt idx="622">
                  <c:v>-267704</c:v>
                </c:pt>
                <c:pt idx="623">
                  <c:v>-244696</c:v>
                </c:pt>
                <c:pt idx="624">
                  <c:v>-168659</c:v>
                </c:pt>
                <c:pt idx="625">
                  <c:v>-121883</c:v>
                </c:pt>
                <c:pt idx="626">
                  <c:v>-73993</c:v>
                </c:pt>
                <c:pt idx="627">
                  <c:v>-34643</c:v>
                </c:pt>
                <c:pt idx="628">
                  <c:v>-14366</c:v>
                </c:pt>
                <c:pt idx="629">
                  <c:v>30344</c:v>
                </c:pt>
                <c:pt idx="630">
                  <c:v>52524</c:v>
                </c:pt>
                <c:pt idx="631">
                  <c:v>59656</c:v>
                </c:pt>
                <c:pt idx="632">
                  <c:v>-24806</c:v>
                </c:pt>
                <c:pt idx="633">
                  <c:v>-33333</c:v>
                </c:pt>
                <c:pt idx="634">
                  <c:v>-18888</c:v>
                </c:pt>
                <c:pt idx="635">
                  <c:v>-22683</c:v>
                </c:pt>
                <c:pt idx="636">
                  <c:v>24045</c:v>
                </c:pt>
                <c:pt idx="637">
                  <c:v>11607</c:v>
                </c:pt>
                <c:pt idx="638">
                  <c:v>14685</c:v>
                </c:pt>
                <c:pt idx="639">
                  <c:v>99890</c:v>
                </c:pt>
                <c:pt idx="640">
                  <c:v>59638</c:v>
                </c:pt>
                <c:pt idx="641">
                  <c:v>8802</c:v>
                </c:pt>
                <c:pt idx="642">
                  <c:v>-441</c:v>
                </c:pt>
                <c:pt idx="643">
                  <c:v>-61402</c:v>
                </c:pt>
                <c:pt idx="644">
                  <c:v>-54034</c:v>
                </c:pt>
                <c:pt idx="645">
                  <c:v>-37046</c:v>
                </c:pt>
                <c:pt idx="646">
                  <c:v>-67193</c:v>
                </c:pt>
                <c:pt idx="647">
                  <c:v>-51737</c:v>
                </c:pt>
                <c:pt idx="648">
                  <c:v>-35841</c:v>
                </c:pt>
                <c:pt idx="649">
                  <c:v>-26357</c:v>
                </c:pt>
                <c:pt idx="650">
                  <c:v>-108932</c:v>
                </c:pt>
                <c:pt idx="651">
                  <c:v>-151669</c:v>
                </c:pt>
                <c:pt idx="652">
                  <c:v>-176549</c:v>
                </c:pt>
                <c:pt idx="653">
                  <c:v>-139452</c:v>
                </c:pt>
                <c:pt idx="654">
                  <c:v>-110412</c:v>
                </c:pt>
                <c:pt idx="655">
                  <c:v>-134198</c:v>
                </c:pt>
                <c:pt idx="656">
                  <c:v>-90019</c:v>
                </c:pt>
                <c:pt idx="657">
                  <c:v>-104953</c:v>
                </c:pt>
                <c:pt idx="658">
                  <c:v>-71654</c:v>
                </c:pt>
                <c:pt idx="659">
                  <c:v>-80324</c:v>
                </c:pt>
                <c:pt idx="660">
                  <c:v>-41039</c:v>
                </c:pt>
                <c:pt idx="661">
                  <c:v>29144</c:v>
                </c:pt>
                <c:pt idx="662">
                  <c:v>8075</c:v>
                </c:pt>
                <c:pt idx="663">
                  <c:v>73785</c:v>
                </c:pt>
                <c:pt idx="664">
                  <c:v>135036</c:v>
                </c:pt>
                <c:pt idx="665">
                  <c:v>127783</c:v>
                </c:pt>
                <c:pt idx="666">
                  <c:v>59996</c:v>
                </c:pt>
                <c:pt idx="667">
                  <c:v>108541</c:v>
                </c:pt>
                <c:pt idx="668">
                  <c:v>140057</c:v>
                </c:pt>
                <c:pt idx="669">
                  <c:v>166476</c:v>
                </c:pt>
                <c:pt idx="670">
                  <c:v>190105</c:v>
                </c:pt>
                <c:pt idx="671">
                  <c:v>171323</c:v>
                </c:pt>
                <c:pt idx="672">
                  <c:v>140533</c:v>
                </c:pt>
                <c:pt idx="673">
                  <c:v>130172</c:v>
                </c:pt>
                <c:pt idx="674">
                  <c:v>-58950</c:v>
                </c:pt>
                <c:pt idx="675">
                  <c:v>-178326</c:v>
                </c:pt>
                <c:pt idx="676">
                  <c:v>-273209</c:v>
                </c:pt>
                <c:pt idx="677">
                  <c:v>-285690</c:v>
                </c:pt>
                <c:pt idx="678">
                  <c:v>-337253</c:v>
                </c:pt>
                <c:pt idx="679">
                  <c:v>-380361</c:v>
                </c:pt>
                <c:pt idx="680">
                  <c:v>-370390</c:v>
                </c:pt>
                <c:pt idx="681">
                  <c:v>-381005</c:v>
                </c:pt>
                <c:pt idx="682">
                  <c:v>-390944</c:v>
                </c:pt>
                <c:pt idx="683">
                  <c:v>-348919</c:v>
                </c:pt>
                <c:pt idx="684">
                  <c:v>-317371</c:v>
                </c:pt>
                <c:pt idx="685">
                  <c:v>-295032</c:v>
                </c:pt>
                <c:pt idx="686">
                  <c:v>-217627</c:v>
                </c:pt>
                <c:pt idx="687">
                  <c:v>-138801</c:v>
                </c:pt>
                <c:pt idx="688">
                  <c:v>-93492</c:v>
                </c:pt>
                <c:pt idx="689">
                  <c:v>-71315</c:v>
                </c:pt>
                <c:pt idx="690">
                  <c:v>-40038</c:v>
                </c:pt>
                <c:pt idx="691">
                  <c:v>-13521</c:v>
                </c:pt>
                <c:pt idx="692">
                  <c:v>-18234</c:v>
                </c:pt>
                <c:pt idx="693">
                  <c:v>-65973</c:v>
                </c:pt>
                <c:pt idx="694">
                  <c:v>-87132</c:v>
                </c:pt>
                <c:pt idx="695">
                  <c:v>-76565</c:v>
                </c:pt>
                <c:pt idx="696">
                  <c:v>-54636</c:v>
                </c:pt>
                <c:pt idx="697">
                  <c:v>-45770</c:v>
                </c:pt>
                <c:pt idx="698">
                  <c:v>-23241</c:v>
                </c:pt>
                <c:pt idx="699">
                  <c:v>-7756</c:v>
                </c:pt>
                <c:pt idx="700">
                  <c:v>-19</c:v>
                </c:pt>
                <c:pt idx="701">
                  <c:v>-24030</c:v>
                </c:pt>
                <c:pt idx="702">
                  <c:v>-55197</c:v>
                </c:pt>
                <c:pt idx="703">
                  <c:v>-39248</c:v>
                </c:pt>
                <c:pt idx="704">
                  <c:v>-66262</c:v>
                </c:pt>
                <c:pt idx="705">
                  <c:v>-84087</c:v>
                </c:pt>
                <c:pt idx="706">
                  <c:v>-85462</c:v>
                </c:pt>
                <c:pt idx="707">
                  <c:v>-87234</c:v>
                </c:pt>
                <c:pt idx="708">
                  <c:v>-76206</c:v>
                </c:pt>
                <c:pt idx="709">
                  <c:v>-81652</c:v>
                </c:pt>
                <c:pt idx="710">
                  <c:v>-108462</c:v>
                </c:pt>
                <c:pt idx="711">
                  <c:v>-77061</c:v>
                </c:pt>
                <c:pt idx="712">
                  <c:v>-63544</c:v>
                </c:pt>
                <c:pt idx="713">
                  <c:v>-67979</c:v>
                </c:pt>
                <c:pt idx="714">
                  <c:v>-18515</c:v>
                </c:pt>
                <c:pt idx="715">
                  <c:v>-25901</c:v>
                </c:pt>
                <c:pt idx="716">
                  <c:v>-37722</c:v>
                </c:pt>
                <c:pt idx="717">
                  <c:v>31205</c:v>
                </c:pt>
                <c:pt idx="718">
                  <c:v>52760</c:v>
                </c:pt>
                <c:pt idx="719">
                  <c:v>64892</c:v>
                </c:pt>
                <c:pt idx="720">
                  <c:v>74683</c:v>
                </c:pt>
                <c:pt idx="721">
                  <c:v>93925</c:v>
                </c:pt>
                <c:pt idx="722">
                  <c:v>122067</c:v>
                </c:pt>
                <c:pt idx="723">
                  <c:v>123264</c:v>
                </c:pt>
                <c:pt idx="724">
                  <c:v>153800</c:v>
                </c:pt>
                <c:pt idx="725">
                  <c:v>171168</c:v>
                </c:pt>
                <c:pt idx="726">
                  <c:v>189602</c:v>
                </c:pt>
                <c:pt idx="727">
                  <c:v>206961</c:v>
                </c:pt>
                <c:pt idx="728">
                  <c:v>199779</c:v>
                </c:pt>
                <c:pt idx="729">
                  <c:v>216924</c:v>
                </c:pt>
                <c:pt idx="730">
                  <c:v>195631</c:v>
                </c:pt>
                <c:pt idx="731">
                  <c:v>209378</c:v>
                </c:pt>
                <c:pt idx="732">
                  <c:v>169053</c:v>
                </c:pt>
                <c:pt idx="733">
                  <c:v>115218</c:v>
                </c:pt>
                <c:pt idx="734">
                  <c:v>108639</c:v>
                </c:pt>
                <c:pt idx="735">
                  <c:v>110655</c:v>
                </c:pt>
                <c:pt idx="736">
                  <c:v>109798</c:v>
                </c:pt>
                <c:pt idx="737">
                  <c:v>146828</c:v>
                </c:pt>
                <c:pt idx="738">
                  <c:v>140454</c:v>
                </c:pt>
                <c:pt idx="739">
                  <c:v>65511</c:v>
                </c:pt>
                <c:pt idx="740">
                  <c:v>8674</c:v>
                </c:pt>
                <c:pt idx="741">
                  <c:v>-46963</c:v>
                </c:pt>
                <c:pt idx="742">
                  <c:v>-63183</c:v>
                </c:pt>
                <c:pt idx="743">
                  <c:v>-90615</c:v>
                </c:pt>
                <c:pt idx="744">
                  <c:v>-120094</c:v>
                </c:pt>
                <c:pt idx="745">
                  <c:v>-129862</c:v>
                </c:pt>
                <c:pt idx="746">
                  <c:v>-188282</c:v>
                </c:pt>
                <c:pt idx="747">
                  <c:v>-222280</c:v>
                </c:pt>
                <c:pt idx="748">
                  <c:v>-295527</c:v>
                </c:pt>
                <c:pt idx="749">
                  <c:v>-369553</c:v>
                </c:pt>
                <c:pt idx="750">
                  <c:v>-363223</c:v>
                </c:pt>
                <c:pt idx="751">
                  <c:v>-377541</c:v>
                </c:pt>
                <c:pt idx="752">
                  <c:v>-382719</c:v>
                </c:pt>
                <c:pt idx="753">
                  <c:v>-407705</c:v>
                </c:pt>
                <c:pt idx="754">
                  <c:v>-386664</c:v>
                </c:pt>
                <c:pt idx="755">
                  <c:v>-386903</c:v>
                </c:pt>
                <c:pt idx="756">
                  <c:v>-376140</c:v>
                </c:pt>
                <c:pt idx="757">
                  <c:v>-397609</c:v>
                </c:pt>
                <c:pt idx="758">
                  <c:v>-474642</c:v>
                </c:pt>
                <c:pt idx="759">
                  <c:v>-513160</c:v>
                </c:pt>
                <c:pt idx="760">
                  <c:v>-531098</c:v>
                </c:pt>
                <c:pt idx="761">
                  <c:v>-520764</c:v>
                </c:pt>
                <c:pt idx="762">
                  <c:v>-504064</c:v>
                </c:pt>
                <c:pt idx="763">
                  <c:v>-495975</c:v>
                </c:pt>
                <c:pt idx="764">
                  <c:v>-504006</c:v>
                </c:pt>
                <c:pt idx="765">
                  <c:v>-499665</c:v>
                </c:pt>
                <c:pt idx="766">
                  <c:v>-488288</c:v>
                </c:pt>
                <c:pt idx="767">
                  <c:v>-465957</c:v>
                </c:pt>
                <c:pt idx="768">
                  <c:v>-462515</c:v>
                </c:pt>
                <c:pt idx="769">
                  <c:v>-460987</c:v>
                </c:pt>
                <c:pt idx="770">
                  <c:v>-479851</c:v>
                </c:pt>
                <c:pt idx="771">
                  <c:v>-477775</c:v>
                </c:pt>
                <c:pt idx="772">
                  <c:v>-478573</c:v>
                </c:pt>
                <c:pt idx="773">
                  <c:v>-495003</c:v>
                </c:pt>
                <c:pt idx="774">
                  <c:v>-487561</c:v>
                </c:pt>
                <c:pt idx="775">
                  <c:v>-470823</c:v>
                </c:pt>
                <c:pt idx="776">
                  <c:v>-483113</c:v>
                </c:pt>
                <c:pt idx="777">
                  <c:v>-438836</c:v>
                </c:pt>
                <c:pt idx="778">
                  <c:v>-388329</c:v>
                </c:pt>
                <c:pt idx="779">
                  <c:v>-345411</c:v>
                </c:pt>
                <c:pt idx="780">
                  <c:v>-383323</c:v>
                </c:pt>
                <c:pt idx="781">
                  <c:v>-367853</c:v>
                </c:pt>
                <c:pt idx="782">
                  <c:v>-328240</c:v>
                </c:pt>
                <c:pt idx="783">
                  <c:v>-296158</c:v>
                </c:pt>
                <c:pt idx="784">
                  <c:v>-286874</c:v>
                </c:pt>
                <c:pt idx="785">
                  <c:v>-262125</c:v>
                </c:pt>
                <c:pt idx="786">
                  <c:v>-244120</c:v>
                </c:pt>
                <c:pt idx="787">
                  <c:v>-256783</c:v>
                </c:pt>
                <c:pt idx="788">
                  <c:v>-247723</c:v>
                </c:pt>
                <c:pt idx="789">
                  <c:v>-256887</c:v>
                </c:pt>
                <c:pt idx="790">
                  <c:v>-254438</c:v>
                </c:pt>
                <c:pt idx="791">
                  <c:v>-275644</c:v>
                </c:pt>
                <c:pt idx="792">
                  <c:v>-257502</c:v>
                </c:pt>
                <c:pt idx="793">
                  <c:v>-236624</c:v>
                </c:pt>
                <c:pt idx="794">
                  <c:v>-201894</c:v>
                </c:pt>
                <c:pt idx="795">
                  <c:v>-202382</c:v>
                </c:pt>
                <c:pt idx="796">
                  <c:v>-206671</c:v>
                </c:pt>
                <c:pt idx="797">
                  <c:v>-231911</c:v>
                </c:pt>
                <c:pt idx="798">
                  <c:v>-252166</c:v>
                </c:pt>
                <c:pt idx="799">
                  <c:v>-230323</c:v>
                </c:pt>
                <c:pt idx="800">
                  <c:v>-228230</c:v>
                </c:pt>
                <c:pt idx="801">
                  <c:v>-266871</c:v>
                </c:pt>
                <c:pt idx="802">
                  <c:v>-338819</c:v>
                </c:pt>
                <c:pt idx="803">
                  <c:v>-335058</c:v>
                </c:pt>
                <c:pt idx="804">
                  <c:v>-356699</c:v>
                </c:pt>
                <c:pt idx="805">
                  <c:v>-382683</c:v>
                </c:pt>
                <c:pt idx="806">
                  <c:v>-335679</c:v>
                </c:pt>
                <c:pt idx="807">
                  <c:v>-366906</c:v>
                </c:pt>
                <c:pt idx="808">
                  <c:v>-380216</c:v>
                </c:pt>
                <c:pt idx="809">
                  <c:v>-400034</c:v>
                </c:pt>
                <c:pt idx="810">
                  <c:v>-414077</c:v>
                </c:pt>
                <c:pt idx="811">
                  <c:v>-387688</c:v>
                </c:pt>
                <c:pt idx="812">
                  <c:v>-365480</c:v>
                </c:pt>
                <c:pt idx="813">
                  <c:v>-339081</c:v>
                </c:pt>
                <c:pt idx="814">
                  <c:v>-386929</c:v>
                </c:pt>
                <c:pt idx="815">
                  <c:v>-409399</c:v>
                </c:pt>
                <c:pt idx="816">
                  <c:v>-384247</c:v>
                </c:pt>
                <c:pt idx="817">
                  <c:v>-377125</c:v>
                </c:pt>
                <c:pt idx="818">
                  <c:v>-405248</c:v>
                </c:pt>
                <c:pt idx="819">
                  <c:v>-415523</c:v>
                </c:pt>
                <c:pt idx="820">
                  <c:v>-435805</c:v>
                </c:pt>
                <c:pt idx="821">
                  <c:v>-450917</c:v>
                </c:pt>
                <c:pt idx="822">
                  <c:v>-454778</c:v>
                </c:pt>
                <c:pt idx="823">
                  <c:v>-403966</c:v>
                </c:pt>
                <c:pt idx="824">
                  <c:v>-409955</c:v>
                </c:pt>
                <c:pt idx="825">
                  <c:v>-428605</c:v>
                </c:pt>
                <c:pt idx="826">
                  <c:v>-449189</c:v>
                </c:pt>
                <c:pt idx="827">
                  <c:v>-426653</c:v>
                </c:pt>
                <c:pt idx="828">
                  <c:v>-427136</c:v>
                </c:pt>
                <c:pt idx="829">
                  <c:v>-389265</c:v>
                </c:pt>
                <c:pt idx="830">
                  <c:v>-403873</c:v>
                </c:pt>
                <c:pt idx="831">
                  <c:v>-351087</c:v>
                </c:pt>
                <c:pt idx="832">
                  <c:v>-334045</c:v>
                </c:pt>
                <c:pt idx="833">
                  <c:v>-318753</c:v>
                </c:pt>
                <c:pt idx="834">
                  <c:v>-319723</c:v>
                </c:pt>
                <c:pt idx="835">
                  <c:v>-298490</c:v>
                </c:pt>
                <c:pt idx="836">
                  <c:v>-243301</c:v>
                </c:pt>
                <c:pt idx="837">
                  <c:v>-158744</c:v>
                </c:pt>
                <c:pt idx="838">
                  <c:v>-148696</c:v>
                </c:pt>
                <c:pt idx="839">
                  <c:v>-119320</c:v>
                </c:pt>
                <c:pt idx="840">
                  <c:v>-104389</c:v>
                </c:pt>
                <c:pt idx="841">
                  <c:v>-111493</c:v>
                </c:pt>
                <c:pt idx="842">
                  <c:v>-130575</c:v>
                </c:pt>
                <c:pt idx="843">
                  <c:v>-141807</c:v>
                </c:pt>
                <c:pt idx="844">
                  <c:v>-191457</c:v>
                </c:pt>
                <c:pt idx="845">
                  <c:v>-219713</c:v>
                </c:pt>
                <c:pt idx="846">
                  <c:v>-223371</c:v>
                </c:pt>
                <c:pt idx="847">
                  <c:v>-225678</c:v>
                </c:pt>
                <c:pt idx="848">
                  <c:v>-235717</c:v>
                </c:pt>
                <c:pt idx="849">
                  <c:v>-213471</c:v>
                </c:pt>
                <c:pt idx="850">
                  <c:v>-227273</c:v>
                </c:pt>
                <c:pt idx="851">
                  <c:v>-247575</c:v>
                </c:pt>
                <c:pt idx="852">
                  <c:v>-235461</c:v>
                </c:pt>
                <c:pt idx="853">
                  <c:v>-257722</c:v>
                </c:pt>
                <c:pt idx="854">
                  <c:v>-268835</c:v>
                </c:pt>
                <c:pt idx="855">
                  <c:v>-227271</c:v>
                </c:pt>
                <c:pt idx="856">
                  <c:v>-186459</c:v>
                </c:pt>
                <c:pt idx="857">
                  <c:v>-183818</c:v>
                </c:pt>
                <c:pt idx="858">
                  <c:v>-203121</c:v>
                </c:pt>
                <c:pt idx="859">
                  <c:v>-119983</c:v>
                </c:pt>
                <c:pt idx="860">
                  <c:v>-138236</c:v>
                </c:pt>
                <c:pt idx="861">
                  <c:v>-121735</c:v>
                </c:pt>
                <c:pt idx="862">
                  <c:v>-167321</c:v>
                </c:pt>
                <c:pt idx="863">
                  <c:v>-195686</c:v>
                </c:pt>
                <c:pt idx="864">
                  <c:v>-153908</c:v>
                </c:pt>
                <c:pt idx="865">
                  <c:v>-187343</c:v>
                </c:pt>
                <c:pt idx="866">
                  <c:v>-181132</c:v>
                </c:pt>
                <c:pt idx="867">
                  <c:v>-201550</c:v>
                </c:pt>
                <c:pt idx="868">
                  <c:v>-181193</c:v>
                </c:pt>
                <c:pt idx="869">
                  <c:v>-201662</c:v>
                </c:pt>
                <c:pt idx="870">
                  <c:v>-184860</c:v>
                </c:pt>
                <c:pt idx="871">
                  <c:v>-42914</c:v>
                </c:pt>
                <c:pt idx="872">
                  <c:v>-9618</c:v>
                </c:pt>
                <c:pt idx="873">
                  <c:v>64996</c:v>
                </c:pt>
                <c:pt idx="874">
                  <c:v>51237</c:v>
                </c:pt>
                <c:pt idx="875">
                  <c:v>25328</c:v>
                </c:pt>
                <c:pt idx="876">
                  <c:v>-15724</c:v>
                </c:pt>
                <c:pt idx="877">
                  <c:v>-11687</c:v>
                </c:pt>
                <c:pt idx="878">
                  <c:v>-16205</c:v>
                </c:pt>
                <c:pt idx="879">
                  <c:v>56339</c:v>
                </c:pt>
                <c:pt idx="880">
                  <c:v>146002</c:v>
                </c:pt>
                <c:pt idx="881">
                  <c:v>133658</c:v>
                </c:pt>
                <c:pt idx="882">
                  <c:v>132747</c:v>
                </c:pt>
                <c:pt idx="883">
                  <c:v>145096</c:v>
                </c:pt>
                <c:pt idx="884">
                  <c:v>98448</c:v>
                </c:pt>
                <c:pt idx="885">
                  <c:v>82963</c:v>
                </c:pt>
                <c:pt idx="886">
                  <c:v>25667</c:v>
                </c:pt>
                <c:pt idx="887">
                  <c:v>-56695</c:v>
                </c:pt>
                <c:pt idx="888">
                  <c:v>-56060</c:v>
                </c:pt>
                <c:pt idx="889">
                  <c:v>19712</c:v>
                </c:pt>
                <c:pt idx="890">
                  <c:v>60739</c:v>
                </c:pt>
                <c:pt idx="891">
                  <c:v>45303</c:v>
                </c:pt>
                <c:pt idx="892">
                  <c:v>-11803</c:v>
                </c:pt>
                <c:pt idx="893">
                  <c:v>48</c:v>
                </c:pt>
                <c:pt idx="894">
                  <c:v>54657</c:v>
                </c:pt>
                <c:pt idx="895">
                  <c:v>103209</c:v>
                </c:pt>
                <c:pt idx="896">
                  <c:v>127864</c:v>
                </c:pt>
                <c:pt idx="897">
                  <c:v>97462</c:v>
                </c:pt>
                <c:pt idx="898">
                  <c:v>98544</c:v>
                </c:pt>
                <c:pt idx="899">
                  <c:v>142652</c:v>
                </c:pt>
                <c:pt idx="900">
                  <c:v>161771</c:v>
                </c:pt>
                <c:pt idx="901">
                  <c:v>180384</c:v>
                </c:pt>
                <c:pt idx="902">
                  <c:v>164821</c:v>
                </c:pt>
                <c:pt idx="903">
                  <c:v>117409</c:v>
                </c:pt>
                <c:pt idx="904">
                  <c:v>122164</c:v>
                </c:pt>
                <c:pt idx="905">
                  <c:v>111510</c:v>
                </c:pt>
                <c:pt idx="906">
                  <c:v>148140</c:v>
                </c:pt>
                <c:pt idx="907">
                  <c:v>166292</c:v>
                </c:pt>
                <c:pt idx="908">
                  <c:v>165761</c:v>
                </c:pt>
                <c:pt idx="909">
                  <c:v>175244</c:v>
                </c:pt>
                <c:pt idx="910">
                  <c:v>192799</c:v>
                </c:pt>
                <c:pt idx="911">
                  <c:v>155221</c:v>
                </c:pt>
                <c:pt idx="912">
                  <c:v>149206</c:v>
                </c:pt>
                <c:pt idx="913">
                  <c:v>168158</c:v>
                </c:pt>
                <c:pt idx="914">
                  <c:v>168071</c:v>
                </c:pt>
                <c:pt idx="915">
                  <c:v>198396</c:v>
                </c:pt>
                <c:pt idx="916">
                  <c:v>217736</c:v>
                </c:pt>
                <c:pt idx="917">
                  <c:v>264054</c:v>
                </c:pt>
                <c:pt idx="918">
                  <c:v>262937</c:v>
                </c:pt>
                <c:pt idx="919">
                  <c:v>267696</c:v>
                </c:pt>
                <c:pt idx="920">
                  <c:v>272122</c:v>
                </c:pt>
                <c:pt idx="921">
                  <c:v>290388</c:v>
                </c:pt>
                <c:pt idx="922">
                  <c:v>306773</c:v>
                </c:pt>
                <c:pt idx="923">
                  <c:v>269938</c:v>
                </c:pt>
                <c:pt idx="924">
                  <c:v>260969</c:v>
                </c:pt>
                <c:pt idx="925">
                  <c:v>213851</c:v>
                </c:pt>
                <c:pt idx="926">
                  <c:v>197084</c:v>
                </c:pt>
                <c:pt idx="927">
                  <c:v>213688</c:v>
                </c:pt>
                <c:pt idx="928">
                  <c:v>219916</c:v>
                </c:pt>
                <c:pt idx="929">
                  <c:v>224890</c:v>
                </c:pt>
                <c:pt idx="930">
                  <c:v>242572</c:v>
                </c:pt>
                <c:pt idx="931">
                  <c:v>199667</c:v>
                </c:pt>
                <c:pt idx="932">
                  <c:v>184044</c:v>
                </c:pt>
                <c:pt idx="933">
                  <c:v>75972</c:v>
                </c:pt>
                <c:pt idx="934">
                  <c:v>57544</c:v>
                </c:pt>
                <c:pt idx="935">
                  <c:v>97360</c:v>
                </c:pt>
                <c:pt idx="936">
                  <c:v>113638</c:v>
                </c:pt>
                <c:pt idx="937">
                  <c:v>193505</c:v>
                </c:pt>
                <c:pt idx="938">
                  <c:v>180056</c:v>
                </c:pt>
                <c:pt idx="939">
                  <c:v>158296</c:v>
                </c:pt>
                <c:pt idx="940">
                  <c:v>239000</c:v>
                </c:pt>
                <c:pt idx="941">
                  <c:v>289180</c:v>
                </c:pt>
                <c:pt idx="942">
                  <c:v>305719</c:v>
                </c:pt>
                <c:pt idx="943">
                  <c:v>298305</c:v>
                </c:pt>
                <c:pt idx="944">
                  <c:v>281066</c:v>
                </c:pt>
                <c:pt idx="945">
                  <c:v>266808</c:v>
                </c:pt>
                <c:pt idx="946">
                  <c:v>212412</c:v>
                </c:pt>
                <c:pt idx="947">
                  <c:v>225166</c:v>
                </c:pt>
                <c:pt idx="948">
                  <c:v>236865</c:v>
                </c:pt>
                <c:pt idx="949">
                  <c:v>201129</c:v>
                </c:pt>
                <c:pt idx="950">
                  <c:v>141467</c:v>
                </c:pt>
                <c:pt idx="951">
                  <c:v>111858</c:v>
                </c:pt>
                <c:pt idx="952">
                  <c:v>113151</c:v>
                </c:pt>
                <c:pt idx="953">
                  <c:v>116657</c:v>
                </c:pt>
                <c:pt idx="954">
                  <c:v>72711</c:v>
                </c:pt>
                <c:pt idx="955">
                  <c:v>42563</c:v>
                </c:pt>
                <c:pt idx="956">
                  <c:v>101896</c:v>
                </c:pt>
                <c:pt idx="957">
                  <c:v>73230</c:v>
                </c:pt>
                <c:pt idx="958">
                  <c:v>17600</c:v>
                </c:pt>
                <c:pt idx="959">
                  <c:v>-12607</c:v>
                </c:pt>
                <c:pt idx="960">
                  <c:v>-83633</c:v>
                </c:pt>
                <c:pt idx="961">
                  <c:v>-73781</c:v>
                </c:pt>
                <c:pt idx="962">
                  <c:v>-47181</c:v>
                </c:pt>
                <c:pt idx="963">
                  <c:v>-51500</c:v>
                </c:pt>
                <c:pt idx="964">
                  <c:v>-132977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52-4686-97CF-14A01CC9C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598664"/>
        <c:axId val="815598992"/>
      </c:lineChart>
      <c:catAx>
        <c:axId val="81559866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815598992"/>
        <c:crosses val="autoZero"/>
        <c:auto val="1"/>
        <c:lblAlgn val="ctr"/>
        <c:lblOffset val="100"/>
        <c:noMultiLvlLbl val="1"/>
      </c:catAx>
      <c:valAx>
        <c:axId val="815598992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Helvetica" panose="020B060402020203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Helvetica" panose="020B0604020202030204" pitchFamily="34" charset="0"/>
                  </a:rPr>
                  <a:t>contracts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Helvetica" panose="020B0604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5598664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  <a:latin typeface="Helvetica" panose="020B0604020202030204" pitchFamily="34" charset="0"/>
              </a:rPr>
              <a:t>Corn Producers Net Futures and Options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Helvetica" panose="020B0604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26871427932088"/>
          <c:y val="8.7551436601398275E-2"/>
          <c:w val="0.87528180341549577"/>
          <c:h val="0.80489313172136667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strRef>
              <c:f>Data!$A$3:$A$1000</c:f>
              <c:strCache>
                <c:ptCount val="998"/>
                <c:pt idx="0">
                  <c:v>13-Jun-06</c:v>
                </c:pt>
                <c:pt idx="1">
                  <c:v>20-Jun-06</c:v>
                </c:pt>
                <c:pt idx="2">
                  <c:v>27-Jun-06</c:v>
                </c:pt>
                <c:pt idx="3">
                  <c:v>4-Jul-06</c:v>
                </c:pt>
                <c:pt idx="4">
                  <c:v>11-Jul-06</c:v>
                </c:pt>
                <c:pt idx="5">
                  <c:v>18-Jul-06</c:v>
                </c:pt>
                <c:pt idx="6">
                  <c:v>25-Jul-06</c:v>
                </c:pt>
                <c:pt idx="7">
                  <c:v>1-Aug-06</c:v>
                </c:pt>
                <c:pt idx="8">
                  <c:v>8-Aug-06</c:v>
                </c:pt>
                <c:pt idx="9">
                  <c:v>15-Aug-06</c:v>
                </c:pt>
                <c:pt idx="10">
                  <c:v>22-Aug-06</c:v>
                </c:pt>
                <c:pt idx="11">
                  <c:v>29-Aug-06</c:v>
                </c:pt>
                <c:pt idx="12">
                  <c:v>5-Sep-06</c:v>
                </c:pt>
                <c:pt idx="13">
                  <c:v>12-Sep-06</c:v>
                </c:pt>
                <c:pt idx="14">
                  <c:v>19-Sep-06</c:v>
                </c:pt>
                <c:pt idx="15">
                  <c:v>26-Sep-06</c:v>
                </c:pt>
                <c:pt idx="16">
                  <c:v>3-Oct-06</c:v>
                </c:pt>
                <c:pt idx="17">
                  <c:v>10-Oct-06</c:v>
                </c:pt>
                <c:pt idx="18">
                  <c:v>17-Oct-06</c:v>
                </c:pt>
                <c:pt idx="19">
                  <c:v>24-Oct-06</c:v>
                </c:pt>
                <c:pt idx="20">
                  <c:v>31-Oct-06</c:v>
                </c:pt>
                <c:pt idx="21">
                  <c:v>7-Nov-06</c:v>
                </c:pt>
                <c:pt idx="22">
                  <c:v>14-Nov-06</c:v>
                </c:pt>
                <c:pt idx="23">
                  <c:v>21-Nov-06</c:v>
                </c:pt>
                <c:pt idx="24">
                  <c:v>28-Nov-06</c:v>
                </c:pt>
                <c:pt idx="25">
                  <c:v>5-Dec-06</c:v>
                </c:pt>
                <c:pt idx="26">
                  <c:v>12-Dec-06</c:v>
                </c:pt>
                <c:pt idx="27">
                  <c:v>19-Dec-06</c:v>
                </c:pt>
                <c:pt idx="28">
                  <c:v>26-Dec-06</c:v>
                </c:pt>
                <c:pt idx="29">
                  <c:v>9-Jan-07</c:v>
                </c:pt>
                <c:pt idx="30">
                  <c:v>16-Jan-07</c:v>
                </c:pt>
                <c:pt idx="31">
                  <c:v>23-Jan-07</c:v>
                </c:pt>
                <c:pt idx="32">
                  <c:v>30-Jan-07</c:v>
                </c:pt>
                <c:pt idx="33">
                  <c:v>6-Feb-07</c:v>
                </c:pt>
                <c:pt idx="34">
                  <c:v>13-Feb-07</c:v>
                </c:pt>
                <c:pt idx="35">
                  <c:v>20-Feb-07</c:v>
                </c:pt>
                <c:pt idx="36">
                  <c:v>27-Feb-07</c:v>
                </c:pt>
                <c:pt idx="37">
                  <c:v>6-Mar-07</c:v>
                </c:pt>
                <c:pt idx="38">
                  <c:v>13-Mar-07</c:v>
                </c:pt>
                <c:pt idx="39">
                  <c:v>20-Mar-07</c:v>
                </c:pt>
                <c:pt idx="40">
                  <c:v>27-Mar-07</c:v>
                </c:pt>
                <c:pt idx="41">
                  <c:v>3-Apr-07</c:v>
                </c:pt>
                <c:pt idx="42">
                  <c:v>10-Apr-07</c:v>
                </c:pt>
                <c:pt idx="43">
                  <c:v>17-Apr-07</c:v>
                </c:pt>
                <c:pt idx="44">
                  <c:v>24-Apr-07</c:v>
                </c:pt>
                <c:pt idx="45">
                  <c:v>1-May-07</c:v>
                </c:pt>
                <c:pt idx="46">
                  <c:v>8-May-07</c:v>
                </c:pt>
                <c:pt idx="47">
                  <c:v>15-May-07</c:v>
                </c:pt>
                <c:pt idx="48">
                  <c:v>22-May-07</c:v>
                </c:pt>
                <c:pt idx="49">
                  <c:v>29-May-07</c:v>
                </c:pt>
                <c:pt idx="50">
                  <c:v>5-Jun-07</c:v>
                </c:pt>
                <c:pt idx="51">
                  <c:v>12-Jun-07</c:v>
                </c:pt>
                <c:pt idx="52">
                  <c:v>19-Jun-07</c:v>
                </c:pt>
                <c:pt idx="53">
                  <c:v>26-Jun-07</c:v>
                </c:pt>
                <c:pt idx="54">
                  <c:v>3-Jul-07</c:v>
                </c:pt>
                <c:pt idx="55">
                  <c:v>10-Jul-07</c:v>
                </c:pt>
                <c:pt idx="56">
                  <c:v>17-Jul-07</c:v>
                </c:pt>
                <c:pt idx="57">
                  <c:v>24-Jul-07</c:v>
                </c:pt>
                <c:pt idx="58">
                  <c:v>31-Jul-07</c:v>
                </c:pt>
                <c:pt idx="59">
                  <c:v>7-Aug-07</c:v>
                </c:pt>
                <c:pt idx="60">
                  <c:v>14-Aug-07</c:v>
                </c:pt>
                <c:pt idx="61">
                  <c:v>21-Aug-07</c:v>
                </c:pt>
                <c:pt idx="62">
                  <c:v>28-Aug-07</c:v>
                </c:pt>
                <c:pt idx="63">
                  <c:v>4-Sep-07</c:v>
                </c:pt>
                <c:pt idx="64">
                  <c:v>11-Sep-07</c:v>
                </c:pt>
                <c:pt idx="65">
                  <c:v>18-Sep-07</c:v>
                </c:pt>
                <c:pt idx="66">
                  <c:v>25-Sep-07</c:v>
                </c:pt>
                <c:pt idx="67">
                  <c:v>2-Oct-07</c:v>
                </c:pt>
                <c:pt idx="68">
                  <c:v>9-Oct-07</c:v>
                </c:pt>
                <c:pt idx="69">
                  <c:v>16-Oct-07</c:v>
                </c:pt>
                <c:pt idx="70">
                  <c:v>23-Oct-07</c:v>
                </c:pt>
                <c:pt idx="71">
                  <c:v>30-Oct-07</c:v>
                </c:pt>
                <c:pt idx="72">
                  <c:v>6-Nov-07</c:v>
                </c:pt>
                <c:pt idx="73">
                  <c:v>13-Nov-07</c:v>
                </c:pt>
                <c:pt idx="74">
                  <c:v>20-Nov-07</c:v>
                </c:pt>
                <c:pt idx="75">
                  <c:v>27-Nov-07</c:v>
                </c:pt>
                <c:pt idx="76">
                  <c:v>4-Dec-07</c:v>
                </c:pt>
                <c:pt idx="77">
                  <c:v>11-Dec-07</c:v>
                </c:pt>
                <c:pt idx="78">
                  <c:v>18-Dec-07</c:v>
                </c:pt>
                <c:pt idx="79">
                  <c:v>25-Dec-07</c:v>
                </c:pt>
                <c:pt idx="80">
                  <c:v>1-Jan-08</c:v>
                </c:pt>
                <c:pt idx="81">
                  <c:v>8-Jan-08</c:v>
                </c:pt>
                <c:pt idx="82">
                  <c:v>15-Jan-08</c:v>
                </c:pt>
                <c:pt idx="83">
                  <c:v>22-Jan-08</c:v>
                </c:pt>
                <c:pt idx="84">
                  <c:v>29-Jan-08</c:v>
                </c:pt>
                <c:pt idx="85">
                  <c:v>5-Feb-08</c:v>
                </c:pt>
                <c:pt idx="86">
                  <c:v>12-Feb-08</c:v>
                </c:pt>
                <c:pt idx="87">
                  <c:v>19-Feb-08</c:v>
                </c:pt>
                <c:pt idx="88">
                  <c:v>26-Feb-08</c:v>
                </c:pt>
                <c:pt idx="89">
                  <c:v>4-Mar-08</c:v>
                </c:pt>
                <c:pt idx="90">
                  <c:v>11-Mar-08</c:v>
                </c:pt>
                <c:pt idx="91">
                  <c:v>18-Mar-08</c:v>
                </c:pt>
                <c:pt idx="92">
                  <c:v>25-Mar-08</c:v>
                </c:pt>
                <c:pt idx="93">
                  <c:v>1-Apr-08</c:v>
                </c:pt>
                <c:pt idx="94">
                  <c:v>8-Apr-08</c:v>
                </c:pt>
                <c:pt idx="95">
                  <c:v>15-Apr-08</c:v>
                </c:pt>
                <c:pt idx="96">
                  <c:v>22-Apr-08</c:v>
                </c:pt>
                <c:pt idx="97">
                  <c:v>29-Apr-08</c:v>
                </c:pt>
                <c:pt idx="98">
                  <c:v>6-May-08</c:v>
                </c:pt>
                <c:pt idx="99">
                  <c:v>13-May-08</c:v>
                </c:pt>
                <c:pt idx="100">
                  <c:v>20-May-08</c:v>
                </c:pt>
                <c:pt idx="101">
                  <c:v>27-May-08</c:v>
                </c:pt>
                <c:pt idx="102">
                  <c:v>3-Jun-08</c:v>
                </c:pt>
                <c:pt idx="103">
                  <c:v>10-Jun-08</c:v>
                </c:pt>
                <c:pt idx="104">
                  <c:v>17-Jun-08</c:v>
                </c:pt>
                <c:pt idx="105">
                  <c:v>24-Jun-08</c:v>
                </c:pt>
                <c:pt idx="106">
                  <c:v>1-Jul-08</c:v>
                </c:pt>
                <c:pt idx="107">
                  <c:v>8-Jul-08</c:v>
                </c:pt>
                <c:pt idx="108">
                  <c:v>15-Jul-08</c:v>
                </c:pt>
                <c:pt idx="109">
                  <c:v>22-Jul-08</c:v>
                </c:pt>
                <c:pt idx="110">
                  <c:v>29-Jul-08</c:v>
                </c:pt>
                <c:pt idx="111">
                  <c:v>5-Aug-08</c:v>
                </c:pt>
                <c:pt idx="112">
                  <c:v>12-Aug-08</c:v>
                </c:pt>
                <c:pt idx="113">
                  <c:v>19-Aug-08</c:v>
                </c:pt>
                <c:pt idx="114">
                  <c:v>26-Aug-08</c:v>
                </c:pt>
                <c:pt idx="115">
                  <c:v>2-Sep-08</c:v>
                </c:pt>
                <c:pt idx="116">
                  <c:v>9-Sep-08</c:v>
                </c:pt>
                <c:pt idx="117">
                  <c:v>16-Sep-08</c:v>
                </c:pt>
                <c:pt idx="118">
                  <c:v>23-Sep-08</c:v>
                </c:pt>
                <c:pt idx="119">
                  <c:v>30-Sep-08</c:v>
                </c:pt>
                <c:pt idx="120">
                  <c:v>7-Oct-08</c:v>
                </c:pt>
                <c:pt idx="121">
                  <c:v>14-Oct-08</c:v>
                </c:pt>
                <c:pt idx="122">
                  <c:v>21-Oct-08</c:v>
                </c:pt>
                <c:pt idx="123">
                  <c:v>28-Oct-08</c:v>
                </c:pt>
                <c:pt idx="124">
                  <c:v>4-Nov-08</c:v>
                </c:pt>
                <c:pt idx="125">
                  <c:v>11-Nov-08</c:v>
                </c:pt>
                <c:pt idx="126">
                  <c:v>18-Nov-08</c:v>
                </c:pt>
                <c:pt idx="127">
                  <c:v>25-Nov-08</c:v>
                </c:pt>
                <c:pt idx="128">
                  <c:v>2-Dec-08</c:v>
                </c:pt>
                <c:pt idx="129">
                  <c:v>9-Dec-08</c:v>
                </c:pt>
                <c:pt idx="130">
                  <c:v>16-Dec-08</c:v>
                </c:pt>
                <c:pt idx="131">
                  <c:v>23-Dec-08</c:v>
                </c:pt>
                <c:pt idx="132">
                  <c:v>30-Dec-08</c:v>
                </c:pt>
                <c:pt idx="133">
                  <c:v>6-Jan-09</c:v>
                </c:pt>
                <c:pt idx="134">
                  <c:v>13-Jan-09</c:v>
                </c:pt>
                <c:pt idx="135">
                  <c:v>20-Jan-09</c:v>
                </c:pt>
                <c:pt idx="136">
                  <c:v>27-Jan-09</c:v>
                </c:pt>
                <c:pt idx="137">
                  <c:v>3-Feb-09</c:v>
                </c:pt>
                <c:pt idx="138">
                  <c:v>10-Feb-09</c:v>
                </c:pt>
                <c:pt idx="139">
                  <c:v>17-Feb-09</c:v>
                </c:pt>
                <c:pt idx="140">
                  <c:v>24-Feb-09</c:v>
                </c:pt>
                <c:pt idx="141">
                  <c:v>3-Mar-09</c:v>
                </c:pt>
                <c:pt idx="142">
                  <c:v>10-Mar-09</c:v>
                </c:pt>
                <c:pt idx="143">
                  <c:v>17-Mar-09</c:v>
                </c:pt>
                <c:pt idx="144">
                  <c:v>24-Mar-09</c:v>
                </c:pt>
                <c:pt idx="145">
                  <c:v>31-Mar-09</c:v>
                </c:pt>
                <c:pt idx="146">
                  <c:v>7-Apr-09</c:v>
                </c:pt>
                <c:pt idx="147">
                  <c:v>14-Apr-09</c:v>
                </c:pt>
                <c:pt idx="148">
                  <c:v>21-Apr-09</c:v>
                </c:pt>
                <c:pt idx="149">
                  <c:v>28-Apr-09</c:v>
                </c:pt>
                <c:pt idx="150">
                  <c:v>5-May-09</c:v>
                </c:pt>
                <c:pt idx="151">
                  <c:v>12-May-09</c:v>
                </c:pt>
                <c:pt idx="152">
                  <c:v>19-May-09</c:v>
                </c:pt>
                <c:pt idx="153">
                  <c:v>26-May-09</c:v>
                </c:pt>
                <c:pt idx="154">
                  <c:v>2-Jun-09</c:v>
                </c:pt>
                <c:pt idx="155">
                  <c:v>9-Jun-09</c:v>
                </c:pt>
                <c:pt idx="156">
                  <c:v>16-Jun-09</c:v>
                </c:pt>
                <c:pt idx="157">
                  <c:v>23-Jun-09</c:v>
                </c:pt>
                <c:pt idx="158">
                  <c:v>30-Jun-09</c:v>
                </c:pt>
                <c:pt idx="159">
                  <c:v>7-Jul-09</c:v>
                </c:pt>
                <c:pt idx="160">
                  <c:v>14-Jul-09</c:v>
                </c:pt>
                <c:pt idx="161">
                  <c:v>21-Jul-09</c:v>
                </c:pt>
                <c:pt idx="162">
                  <c:v>28-Jul-09</c:v>
                </c:pt>
                <c:pt idx="163">
                  <c:v>4-Aug-09</c:v>
                </c:pt>
                <c:pt idx="164">
                  <c:v>11-Aug-09</c:v>
                </c:pt>
                <c:pt idx="165">
                  <c:v>18-Aug-09</c:v>
                </c:pt>
                <c:pt idx="166">
                  <c:v>25-Aug-09</c:v>
                </c:pt>
                <c:pt idx="167">
                  <c:v>1-Sep-09</c:v>
                </c:pt>
                <c:pt idx="168">
                  <c:v>8-Sep-09</c:v>
                </c:pt>
                <c:pt idx="169">
                  <c:v>15-Sep-09</c:v>
                </c:pt>
                <c:pt idx="170">
                  <c:v>22-Sep-09</c:v>
                </c:pt>
                <c:pt idx="171">
                  <c:v>29-Sep-09</c:v>
                </c:pt>
                <c:pt idx="172">
                  <c:v>6-Oct-09</c:v>
                </c:pt>
                <c:pt idx="173">
                  <c:v>13-Oct-09</c:v>
                </c:pt>
                <c:pt idx="174">
                  <c:v>20-Oct-09</c:v>
                </c:pt>
                <c:pt idx="175">
                  <c:v>27-Oct-09</c:v>
                </c:pt>
                <c:pt idx="176">
                  <c:v>3-Nov-09</c:v>
                </c:pt>
                <c:pt idx="177">
                  <c:v>10-Nov-09</c:v>
                </c:pt>
                <c:pt idx="178">
                  <c:v>17-Nov-09</c:v>
                </c:pt>
                <c:pt idx="179">
                  <c:v>24-Nov-09</c:v>
                </c:pt>
                <c:pt idx="180">
                  <c:v>1-Dec-09</c:v>
                </c:pt>
                <c:pt idx="181">
                  <c:v>8-Dec-09</c:v>
                </c:pt>
                <c:pt idx="182">
                  <c:v>15-Dec-09</c:v>
                </c:pt>
                <c:pt idx="183">
                  <c:v>22-Dec-09</c:v>
                </c:pt>
                <c:pt idx="184">
                  <c:v>29-Dec-09</c:v>
                </c:pt>
                <c:pt idx="185">
                  <c:v>5-Jan-10</c:v>
                </c:pt>
                <c:pt idx="186">
                  <c:v>12-Jan-10</c:v>
                </c:pt>
                <c:pt idx="187">
                  <c:v>19-Jan-10</c:v>
                </c:pt>
                <c:pt idx="188">
                  <c:v>26-Jan-10</c:v>
                </c:pt>
                <c:pt idx="189">
                  <c:v>2-Feb-10</c:v>
                </c:pt>
                <c:pt idx="190">
                  <c:v>9-Feb-10</c:v>
                </c:pt>
                <c:pt idx="191">
                  <c:v>16-Feb-10</c:v>
                </c:pt>
                <c:pt idx="192">
                  <c:v>23-Feb-10</c:v>
                </c:pt>
                <c:pt idx="193">
                  <c:v>2-Mar-10</c:v>
                </c:pt>
                <c:pt idx="194">
                  <c:v>9-Mar-10</c:v>
                </c:pt>
                <c:pt idx="195">
                  <c:v>16-Mar-10</c:v>
                </c:pt>
                <c:pt idx="196">
                  <c:v>23-Mar-10</c:v>
                </c:pt>
                <c:pt idx="197">
                  <c:v>30-Mar-10</c:v>
                </c:pt>
                <c:pt idx="198">
                  <c:v>6-Apr-10</c:v>
                </c:pt>
                <c:pt idx="199">
                  <c:v>13-Apr-10</c:v>
                </c:pt>
                <c:pt idx="200">
                  <c:v>20-Apr-10</c:v>
                </c:pt>
                <c:pt idx="201">
                  <c:v>27-Apr-10</c:v>
                </c:pt>
                <c:pt idx="202">
                  <c:v>4-May-10</c:v>
                </c:pt>
                <c:pt idx="203">
                  <c:v>11-May-10</c:v>
                </c:pt>
                <c:pt idx="204">
                  <c:v>18-May-10</c:v>
                </c:pt>
                <c:pt idx="205">
                  <c:v>25-May-10</c:v>
                </c:pt>
                <c:pt idx="206">
                  <c:v>1-Jun-10</c:v>
                </c:pt>
                <c:pt idx="207">
                  <c:v>8-Jun-10</c:v>
                </c:pt>
                <c:pt idx="208">
                  <c:v>15-Jun-10</c:v>
                </c:pt>
                <c:pt idx="209">
                  <c:v>22-Jun-10</c:v>
                </c:pt>
                <c:pt idx="210">
                  <c:v>29-Jun-10</c:v>
                </c:pt>
                <c:pt idx="211">
                  <c:v>6-Jul-10</c:v>
                </c:pt>
                <c:pt idx="212">
                  <c:v>13-Jul-10</c:v>
                </c:pt>
                <c:pt idx="213">
                  <c:v>20-Jul-10</c:v>
                </c:pt>
                <c:pt idx="214">
                  <c:v>27-Jul-10</c:v>
                </c:pt>
                <c:pt idx="215">
                  <c:v>3-Aug-10</c:v>
                </c:pt>
                <c:pt idx="216">
                  <c:v>10-Aug-10</c:v>
                </c:pt>
                <c:pt idx="217">
                  <c:v>17-Aug-10</c:v>
                </c:pt>
                <c:pt idx="218">
                  <c:v>24-Aug-10</c:v>
                </c:pt>
                <c:pt idx="219">
                  <c:v>31-Aug-10</c:v>
                </c:pt>
                <c:pt idx="220">
                  <c:v>7-Sep-10</c:v>
                </c:pt>
                <c:pt idx="221">
                  <c:v>14-Sep-10</c:v>
                </c:pt>
                <c:pt idx="222">
                  <c:v>21-Sep-10</c:v>
                </c:pt>
                <c:pt idx="223">
                  <c:v>28-Sep-10</c:v>
                </c:pt>
                <c:pt idx="224">
                  <c:v>5-Oct-10</c:v>
                </c:pt>
                <c:pt idx="225">
                  <c:v>12-Oct-10</c:v>
                </c:pt>
                <c:pt idx="226">
                  <c:v>19-Oct-10</c:v>
                </c:pt>
                <c:pt idx="227">
                  <c:v>26-Oct-10</c:v>
                </c:pt>
                <c:pt idx="228">
                  <c:v>2-Nov-10</c:v>
                </c:pt>
                <c:pt idx="229">
                  <c:v>9-Nov-10</c:v>
                </c:pt>
                <c:pt idx="230">
                  <c:v>16-Nov-10</c:v>
                </c:pt>
                <c:pt idx="231">
                  <c:v>23-Nov-10</c:v>
                </c:pt>
                <c:pt idx="232">
                  <c:v>30-Nov-10</c:v>
                </c:pt>
                <c:pt idx="233">
                  <c:v>7-Dec-10</c:v>
                </c:pt>
                <c:pt idx="234">
                  <c:v>14-Dec-10</c:v>
                </c:pt>
                <c:pt idx="235">
                  <c:v>21-Dec-10</c:v>
                </c:pt>
                <c:pt idx="236">
                  <c:v>28-Dec-10</c:v>
                </c:pt>
                <c:pt idx="237">
                  <c:v>4-Jan-11</c:v>
                </c:pt>
                <c:pt idx="238">
                  <c:v>11-Jan-11</c:v>
                </c:pt>
                <c:pt idx="239">
                  <c:v>18-Jan-11</c:v>
                </c:pt>
                <c:pt idx="240">
                  <c:v>25-Jan-11</c:v>
                </c:pt>
                <c:pt idx="241">
                  <c:v>1-Feb-11</c:v>
                </c:pt>
                <c:pt idx="242">
                  <c:v>8-Feb-11</c:v>
                </c:pt>
                <c:pt idx="243">
                  <c:v>15-Feb-11</c:v>
                </c:pt>
                <c:pt idx="244">
                  <c:v>22-Feb-11</c:v>
                </c:pt>
                <c:pt idx="245">
                  <c:v>1-Mar-11</c:v>
                </c:pt>
                <c:pt idx="246">
                  <c:v>8-Mar-11</c:v>
                </c:pt>
                <c:pt idx="247">
                  <c:v>15-Mar-11</c:v>
                </c:pt>
                <c:pt idx="248">
                  <c:v>22-Mar-11</c:v>
                </c:pt>
                <c:pt idx="249">
                  <c:v>29-Mar-11</c:v>
                </c:pt>
                <c:pt idx="250">
                  <c:v>5-Apr-11</c:v>
                </c:pt>
                <c:pt idx="251">
                  <c:v>12-Apr-11</c:v>
                </c:pt>
                <c:pt idx="252">
                  <c:v>19-Apr-11</c:v>
                </c:pt>
                <c:pt idx="253">
                  <c:v>26-Apr-11</c:v>
                </c:pt>
                <c:pt idx="254">
                  <c:v>3-May-11</c:v>
                </c:pt>
                <c:pt idx="255">
                  <c:v>10-May-11</c:v>
                </c:pt>
                <c:pt idx="256">
                  <c:v>17-May-11</c:v>
                </c:pt>
                <c:pt idx="257">
                  <c:v>24-May-11</c:v>
                </c:pt>
                <c:pt idx="258">
                  <c:v>31-May-11</c:v>
                </c:pt>
                <c:pt idx="259">
                  <c:v>7-Jun-11</c:v>
                </c:pt>
                <c:pt idx="260">
                  <c:v>14-Jun-11</c:v>
                </c:pt>
                <c:pt idx="261">
                  <c:v>21-Jun-11</c:v>
                </c:pt>
                <c:pt idx="262">
                  <c:v>28-Jun-11</c:v>
                </c:pt>
                <c:pt idx="263">
                  <c:v>5-Jul-11</c:v>
                </c:pt>
                <c:pt idx="264">
                  <c:v>12-Jul-11</c:v>
                </c:pt>
                <c:pt idx="265">
                  <c:v>19-Jul-11</c:v>
                </c:pt>
                <c:pt idx="266">
                  <c:v>26-Jul-11</c:v>
                </c:pt>
                <c:pt idx="267">
                  <c:v>2-Aug-11</c:v>
                </c:pt>
                <c:pt idx="268">
                  <c:v>9-Aug-11</c:v>
                </c:pt>
                <c:pt idx="269">
                  <c:v>16-Aug-11</c:v>
                </c:pt>
                <c:pt idx="270">
                  <c:v>23-Aug-11</c:v>
                </c:pt>
                <c:pt idx="271">
                  <c:v>30-Aug-11</c:v>
                </c:pt>
                <c:pt idx="272">
                  <c:v>6-Sep-11</c:v>
                </c:pt>
                <c:pt idx="273">
                  <c:v>13-Sep-11</c:v>
                </c:pt>
                <c:pt idx="274">
                  <c:v>20-Sep-11</c:v>
                </c:pt>
                <c:pt idx="275">
                  <c:v>27-Sep-11</c:v>
                </c:pt>
                <c:pt idx="276">
                  <c:v>4-Oct-11</c:v>
                </c:pt>
                <c:pt idx="277">
                  <c:v>11-Oct-11</c:v>
                </c:pt>
                <c:pt idx="278">
                  <c:v>18-Oct-11</c:v>
                </c:pt>
                <c:pt idx="279">
                  <c:v>25-Oct-11</c:v>
                </c:pt>
                <c:pt idx="280">
                  <c:v>1-Nov-11</c:v>
                </c:pt>
                <c:pt idx="281">
                  <c:v>8-Nov-11</c:v>
                </c:pt>
                <c:pt idx="282">
                  <c:v>15-Nov-11</c:v>
                </c:pt>
                <c:pt idx="283">
                  <c:v>22-Nov-11</c:v>
                </c:pt>
                <c:pt idx="284">
                  <c:v>29-Nov-11</c:v>
                </c:pt>
                <c:pt idx="285">
                  <c:v>6-Dec-11</c:v>
                </c:pt>
                <c:pt idx="286">
                  <c:v>13-Dec-11</c:v>
                </c:pt>
                <c:pt idx="287">
                  <c:v>20-Dec-11</c:v>
                </c:pt>
                <c:pt idx="288">
                  <c:v>27-Dec-11</c:v>
                </c:pt>
                <c:pt idx="289">
                  <c:v>3-Jan-12</c:v>
                </c:pt>
                <c:pt idx="290">
                  <c:v>10-Jan-12</c:v>
                </c:pt>
                <c:pt idx="291">
                  <c:v>17-Jan-12</c:v>
                </c:pt>
                <c:pt idx="292">
                  <c:v>24-Jan-12</c:v>
                </c:pt>
                <c:pt idx="293">
                  <c:v>31-Jan-12</c:v>
                </c:pt>
                <c:pt idx="294">
                  <c:v>7-Feb-12</c:v>
                </c:pt>
                <c:pt idx="295">
                  <c:v>14-Feb-12</c:v>
                </c:pt>
                <c:pt idx="296">
                  <c:v>21-Feb-12</c:v>
                </c:pt>
                <c:pt idx="297">
                  <c:v>28-Feb-12</c:v>
                </c:pt>
                <c:pt idx="298">
                  <c:v>6-Mar-12</c:v>
                </c:pt>
                <c:pt idx="299">
                  <c:v>13-Mar-12</c:v>
                </c:pt>
                <c:pt idx="300">
                  <c:v>20-Mar-12</c:v>
                </c:pt>
                <c:pt idx="301">
                  <c:v>27-Mar-12</c:v>
                </c:pt>
                <c:pt idx="302">
                  <c:v>3-Apr-12</c:v>
                </c:pt>
                <c:pt idx="303">
                  <c:v>10-Apr-12</c:v>
                </c:pt>
                <c:pt idx="304">
                  <c:v>17-Apr-12</c:v>
                </c:pt>
                <c:pt idx="305">
                  <c:v>24-Apr-12</c:v>
                </c:pt>
                <c:pt idx="306">
                  <c:v>1-May-12</c:v>
                </c:pt>
                <c:pt idx="307">
                  <c:v>8-May-12</c:v>
                </c:pt>
                <c:pt idx="308">
                  <c:v>15-May-12</c:v>
                </c:pt>
                <c:pt idx="309">
                  <c:v>22-May-12</c:v>
                </c:pt>
                <c:pt idx="310">
                  <c:v>29-May-12</c:v>
                </c:pt>
                <c:pt idx="311">
                  <c:v>5-Jun-12</c:v>
                </c:pt>
                <c:pt idx="312">
                  <c:v>12-Jun-12</c:v>
                </c:pt>
                <c:pt idx="313">
                  <c:v>19-Jun-12</c:v>
                </c:pt>
                <c:pt idx="314">
                  <c:v>26-Jun-12</c:v>
                </c:pt>
                <c:pt idx="315">
                  <c:v>3-Jul-12</c:v>
                </c:pt>
                <c:pt idx="316">
                  <c:v>10-Jul-12</c:v>
                </c:pt>
                <c:pt idx="317">
                  <c:v>17-Jul-12</c:v>
                </c:pt>
                <c:pt idx="318">
                  <c:v>24-Jul-12</c:v>
                </c:pt>
                <c:pt idx="319">
                  <c:v>31-Jul-12</c:v>
                </c:pt>
                <c:pt idx="320">
                  <c:v>7-Aug-12</c:v>
                </c:pt>
                <c:pt idx="321">
                  <c:v>14-Aug-12</c:v>
                </c:pt>
                <c:pt idx="322">
                  <c:v>21-Aug-12</c:v>
                </c:pt>
                <c:pt idx="323">
                  <c:v>28-Aug-12</c:v>
                </c:pt>
                <c:pt idx="324">
                  <c:v>4-Sep-12</c:v>
                </c:pt>
                <c:pt idx="325">
                  <c:v>11-Sep-12</c:v>
                </c:pt>
                <c:pt idx="326">
                  <c:v>18-Sep-12</c:v>
                </c:pt>
                <c:pt idx="327">
                  <c:v>25-Sep-12</c:v>
                </c:pt>
                <c:pt idx="328">
                  <c:v>2-Oct-12</c:v>
                </c:pt>
                <c:pt idx="329">
                  <c:v>9-Oct-12</c:v>
                </c:pt>
                <c:pt idx="330">
                  <c:v>16-Oct-12</c:v>
                </c:pt>
                <c:pt idx="331">
                  <c:v>23-Oct-12</c:v>
                </c:pt>
                <c:pt idx="332">
                  <c:v>30-Oct-12</c:v>
                </c:pt>
                <c:pt idx="333">
                  <c:v>6-Nov-12</c:v>
                </c:pt>
                <c:pt idx="334">
                  <c:v>13-Nov-12</c:v>
                </c:pt>
                <c:pt idx="335">
                  <c:v>20-Nov-12</c:v>
                </c:pt>
                <c:pt idx="336">
                  <c:v>27-Nov-12</c:v>
                </c:pt>
                <c:pt idx="337">
                  <c:v>4-Dec-12</c:v>
                </c:pt>
                <c:pt idx="338">
                  <c:v>11-Dec-12</c:v>
                </c:pt>
                <c:pt idx="339">
                  <c:v>18-Dec-12</c:v>
                </c:pt>
                <c:pt idx="340">
                  <c:v>25-Dec-12</c:v>
                </c:pt>
                <c:pt idx="341">
                  <c:v>1-Jan-13</c:v>
                </c:pt>
                <c:pt idx="342">
                  <c:v>8-Jan-13</c:v>
                </c:pt>
                <c:pt idx="343">
                  <c:v>15-Jan-13</c:v>
                </c:pt>
                <c:pt idx="344">
                  <c:v>22-Jan-13</c:v>
                </c:pt>
                <c:pt idx="345">
                  <c:v>29-Jan-13</c:v>
                </c:pt>
                <c:pt idx="346">
                  <c:v>5-Feb-13</c:v>
                </c:pt>
                <c:pt idx="347">
                  <c:v>12-Feb-13</c:v>
                </c:pt>
                <c:pt idx="348">
                  <c:v>19-Feb-13</c:v>
                </c:pt>
                <c:pt idx="349">
                  <c:v>26-Feb-13</c:v>
                </c:pt>
                <c:pt idx="350">
                  <c:v>5-Mar-13</c:v>
                </c:pt>
                <c:pt idx="351">
                  <c:v>12-Mar-13</c:v>
                </c:pt>
                <c:pt idx="352">
                  <c:v>19-Mar-13</c:v>
                </c:pt>
                <c:pt idx="353">
                  <c:v>26-Mar-13</c:v>
                </c:pt>
                <c:pt idx="354">
                  <c:v>2-Apr-13</c:v>
                </c:pt>
                <c:pt idx="355">
                  <c:v>9-Apr-13</c:v>
                </c:pt>
                <c:pt idx="356">
                  <c:v>16-Apr-13</c:v>
                </c:pt>
                <c:pt idx="357">
                  <c:v>23-Apr-13</c:v>
                </c:pt>
                <c:pt idx="358">
                  <c:v>30-Apr-13</c:v>
                </c:pt>
                <c:pt idx="359">
                  <c:v>7-May-13</c:v>
                </c:pt>
                <c:pt idx="360">
                  <c:v>14-May-13</c:v>
                </c:pt>
                <c:pt idx="361">
                  <c:v>21-May-13</c:v>
                </c:pt>
                <c:pt idx="362">
                  <c:v>28-May-13</c:v>
                </c:pt>
                <c:pt idx="363">
                  <c:v>4-Jun-13</c:v>
                </c:pt>
                <c:pt idx="364">
                  <c:v>11-Jun-13</c:v>
                </c:pt>
                <c:pt idx="365">
                  <c:v>18-Jun-13</c:v>
                </c:pt>
                <c:pt idx="366">
                  <c:v>25-Jun-13</c:v>
                </c:pt>
                <c:pt idx="367">
                  <c:v>2-Jul-13</c:v>
                </c:pt>
                <c:pt idx="368">
                  <c:v>9-Jul-13</c:v>
                </c:pt>
                <c:pt idx="369">
                  <c:v>16-Jul-13</c:v>
                </c:pt>
                <c:pt idx="370">
                  <c:v>23-Jul-13</c:v>
                </c:pt>
                <c:pt idx="371">
                  <c:v>30-Jul-13</c:v>
                </c:pt>
                <c:pt idx="372">
                  <c:v>6-Aug-13</c:v>
                </c:pt>
                <c:pt idx="373">
                  <c:v>13-Aug-13</c:v>
                </c:pt>
                <c:pt idx="374">
                  <c:v>20-Aug-13</c:v>
                </c:pt>
                <c:pt idx="375">
                  <c:v>27-Aug-13</c:v>
                </c:pt>
                <c:pt idx="376">
                  <c:v>3-Sep-13</c:v>
                </c:pt>
                <c:pt idx="377">
                  <c:v>10-Sep-13</c:v>
                </c:pt>
                <c:pt idx="378">
                  <c:v>17-Sep-13</c:v>
                </c:pt>
                <c:pt idx="379">
                  <c:v>24-Sep-13</c:v>
                </c:pt>
                <c:pt idx="380">
                  <c:v>1-Oct-13</c:v>
                </c:pt>
                <c:pt idx="381">
                  <c:v>8-Oct-13</c:v>
                </c:pt>
                <c:pt idx="382">
                  <c:v>15-Oct-13</c:v>
                </c:pt>
                <c:pt idx="383">
                  <c:v>22-Oct-13</c:v>
                </c:pt>
                <c:pt idx="384">
                  <c:v>29-Oct-13</c:v>
                </c:pt>
                <c:pt idx="385">
                  <c:v>5-Nov-13</c:v>
                </c:pt>
                <c:pt idx="386">
                  <c:v>12-Nov-13</c:v>
                </c:pt>
                <c:pt idx="387">
                  <c:v>19-Nov-13</c:v>
                </c:pt>
                <c:pt idx="388">
                  <c:v>26-Nov-13</c:v>
                </c:pt>
                <c:pt idx="389">
                  <c:v>3-Dec-13</c:v>
                </c:pt>
                <c:pt idx="390">
                  <c:v>10-Dec-13</c:v>
                </c:pt>
                <c:pt idx="391">
                  <c:v>17-Dec-13</c:v>
                </c:pt>
                <c:pt idx="392">
                  <c:v>24-Dec-13</c:v>
                </c:pt>
                <c:pt idx="393">
                  <c:v>31-Dec-13</c:v>
                </c:pt>
                <c:pt idx="394">
                  <c:v>7-Jan-14</c:v>
                </c:pt>
                <c:pt idx="395">
                  <c:v>14-Jan-14</c:v>
                </c:pt>
                <c:pt idx="396">
                  <c:v>21-Jan-14</c:v>
                </c:pt>
                <c:pt idx="397">
                  <c:v>28-Jan-14</c:v>
                </c:pt>
                <c:pt idx="398">
                  <c:v>4-Feb-14</c:v>
                </c:pt>
                <c:pt idx="399">
                  <c:v>11-Feb-14</c:v>
                </c:pt>
                <c:pt idx="400">
                  <c:v>18-Feb-14</c:v>
                </c:pt>
                <c:pt idx="401">
                  <c:v>25-Feb-14</c:v>
                </c:pt>
                <c:pt idx="402">
                  <c:v>4-Mar-14</c:v>
                </c:pt>
                <c:pt idx="403">
                  <c:v>11-Mar-14</c:v>
                </c:pt>
                <c:pt idx="404">
                  <c:v>18-Mar-14</c:v>
                </c:pt>
                <c:pt idx="405">
                  <c:v>25-Mar-14</c:v>
                </c:pt>
                <c:pt idx="406">
                  <c:v>1-Apr-14</c:v>
                </c:pt>
                <c:pt idx="407">
                  <c:v>8-Apr-14</c:v>
                </c:pt>
                <c:pt idx="408">
                  <c:v>15-Apr-14</c:v>
                </c:pt>
                <c:pt idx="409">
                  <c:v>22-Apr-14</c:v>
                </c:pt>
                <c:pt idx="410">
                  <c:v>29-Apr-14</c:v>
                </c:pt>
                <c:pt idx="411">
                  <c:v>6-May-14</c:v>
                </c:pt>
                <c:pt idx="412">
                  <c:v>13-May-14</c:v>
                </c:pt>
                <c:pt idx="413">
                  <c:v>20-May-14</c:v>
                </c:pt>
                <c:pt idx="414">
                  <c:v>27-May-14</c:v>
                </c:pt>
                <c:pt idx="415">
                  <c:v>3-Jun-14</c:v>
                </c:pt>
                <c:pt idx="416">
                  <c:v>10-Jun-14</c:v>
                </c:pt>
                <c:pt idx="417">
                  <c:v>17-Jun-14</c:v>
                </c:pt>
                <c:pt idx="418">
                  <c:v>24-Jun-14</c:v>
                </c:pt>
                <c:pt idx="419">
                  <c:v>1-Jul-14</c:v>
                </c:pt>
                <c:pt idx="420">
                  <c:v>8-Jul-14</c:v>
                </c:pt>
                <c:pt idx="421">
                  <c:v>15-Jul-14</c:v>
                </c:pt>
                <c:pt idx="422">
                  <c:v>22-Jul-14</c:v>
                </c:pt>
                <c:pt idx="423">
                  <c:v>29-Jul-14</c:v>
                </c:pt>
                <c:pt idx="424">
                  <c:v>5-Aug-14</c:v>
                </c:pt>
                <c:pt idx="425">
                  <c:v>12-Aug-14</c:v>
                </c:pt>
                <c:pt idx="426">
                  <c:v>19-Aug-14</c:v>
                </c:pt>
                <c:pt idx="427">
                  <c:v>26-Aug-14</c:v>
                </c:pt>
                <c:pt idx="428">
                  <c:v>2-Sep-14</c:v>
                </c:pt>
                <c:pt idx="429">
                  <c:v>9-Sep-14</c:v>
                </c:pt>
                <c:pt idx="430">
                  <c:v>16-Sep-14</c:v>
                </c:pt>
                <c:pt idx="431">
                  <c:v>23-Sep-14</c:v>
                </c:pt>
                <c:pt idx="432">
                  <c:v>30-Sep-14</c:v>
                </c:pt>
                <c:pt idx="433">
                  <c:v>7-Oct-14</c:v>
                </c:pt>
                <c:pt idx="434">
                  <c:v>14-Oct-14</c:v>
                </c:pt>
                <c:pt idx="435">
                  <c:v>21-Oct-14</c:v>
                </c:pt>
                <c:pt idx="436">
                  <c:v>28-Oct-14</c:v>
                </c:pt>
                <c:pt idx="437">
                  <c:v>4-Nov-14</c:v>
                </c:pt>
                <c:pt idx="438">
                  <c:v>11-Nov-14</c:v>
                </c:pt>
                <c:pt idx="439">
                  <c:v>18-Nov-14</c:v>
                </c:pt>
                <c:pt idx="440">
                  <c:v>25-Nov-14</c:v>
                </c:pt>
                <c:pt idx="441">
                  <c:v>2-Dec-14</c:v>
                </c:pt>
                <c:pt idx="442">
                  <c:v>9-Dec-14</c:v>
                </c:pt>
                <c:pt idx="443">
                  <c:v>16-Dec-14</c:v>
                </c:pt>
                <c:pt idx="444">
                  <c:v>23-Dec-14</c:v>
                </c:pt>
                <c:pt idx="445">
                  <c:v>30-Dec-14</c:v>
                </c:pt>
                <c:pt idx="446">
                  <c:v>6-Jan-15</c:v>
                </c:pt>
                <c:pt idx="447">
                  <c:v>13-Jan-15</c:v>
                </c:pt>
                <c:pt idx="448">
                  <c:v>20-Jan-15</c:v>
                </c:pt>
                <c:pt idx="449">
                  <c:v>27-Jan-15</c:v>
                </c:pt>
                <c:pt idx="450">
                  <c:v>3-Feb-15</c:v>
                </c:pt>
                <c:pt idx="451">
                  <c:v>10-Feb-15</c:v>
                </c:pt>
                <c:pt idx="452">
                  <c:v>17-Feb-15</c:v>
                </c:pt>
                <c:pt idx="453">
                  <c:v>24-Feb-15</c:v>
                </c:pt>
                <c:pt idx="454">
                  <c:v>3-Mar-15</c:v>
                </c:pt>
                <c:pt idx="455">
                  <c:v>10-Mar-15</c:v>
                </c:pt>
                <c:pt idx="456">
                  <c:v>17-Mar-15</c:v>
                </c:pt>
                <c:pt idx="457">
                  <c:v>24-Mar-15</c:v>
                </c:pt>
                <c:pt idx="458">
                  <c:v>31-Mar-15</c:v>
                </c:pt>
                <c:pt idx="459">
                  <c:v>7-Apr-15</c:v>
                </c:pt>
                <c:pt idx="460">
                  <c:v>14-Apr-15</c:v>
                </c:pt>
                <c:pt idx="461">
                  <c:v>21-Apr-15</c:v>
                </c:pt>
                <c:pt idx="462">
                  <c:v>28-Apr-15</c:v>
                </c:pt>
                <c:pt idx="463">
                  <c:v>5-May-15</c:v>
                </c:pt>
                <c:pt idx="464">
                  <c:v>12-May-15</c:v>
                </c:pt>
                <c:pt idx="465">
                  <c:v>19-May-15</c:v>
                </c:pt>
                <c:pt idx="466">
                  <c:v>26-May-15</c:v>
                </c:pt>
                <c:pt idx="467">
                  <c:v>2-Jun-15</c:v>
                </c:pt>
                <c:pt idx="468">
                  <c:v>9-Jun-15</c:v>
                </c:pt>
                <c:pt idx="469">
                  <c:v>16-Jun-15</c:v>
                </c:pt>
                <c:pt idx="470">
                  <c:v>23-Jun-15</c:v>
                </c:pt>
                <c:pt idx="471">
                  <c:v>30-Jun-15</c:v>
                </c:pt>
                <c:pt idx="472">
                  <c:v>7-Jul-15</c:v>
                </c:pt>
                <c:pt idx="473">
                  <c:v>14-Jul-15</c:v>
                </c:pt>
                <c:pt idx="474">
                  <c:v>21-Jul-15</c:v>
                </c:pt>
                <c:pt idx="475">
                  <c:v>28-Jul-15</c:v>
                </c:pt>
                <c:pt idx="476">
                  <c:v>4-Aug-15</c:v>
                </c:pt>
                <c:pt idx="477">
                  <c:v>11-Aug-15</c:v>
                </c:pt>
                <c:pt idx="478">
                  <c:v>18-Aug-15</c:v>
                </c:pt>
                <c:pt idx="479">
                  <c:v>25-Aug-15</c:v>
                </c:pt>
                <c:pt idx="480">
                  <c:v>1-Sep-15</c:v>
                </c:pt>
                <c:pt idx="481">
                  <c:v>8-Sep-15</c:v>
                </c:pt>
                <c:pt idx="482">
                  <c:v>15-Sep-15</c:v>
                </c:pt>
                <c:pt idx="483">
                  <c:v>22-Sep-15</c:v>
                </c:pt>
                <c:pt idx="484">
                  <c:v>29-Sep-15</c:v>
                </c:pt>
                <c:pt idx="485">
                  <c:v>6-Oct-15</c:v>
                </c:pt>
                <c:pt idx="486">
                  <c:v>13-Oct-15</c:v>
                </c:pt>
                <c:pt idx="487">
                  <c:v>20-Oct-15</c:v>
                </c:pt>
                <c:pt idx="488">
                  <c:v>27-Oct-15</c:v>
                </c:pt>
                <c:pt idx="489">
                  <c:v>3-Nov-15</c:v>
                </c:pt>
                <c:pt idx="490">
                  <c:v>10-Nov-15</c:v>
                </c:pt>
                <c:pt idx="491">
                  <c:v>17-Nov-15</c:v>
                </c:pt>
                <c:pt idx="492">
                  <c:v>24-Nov-15</c:v>
                </c:pt>
                <c:pt idx="493">
                  <c:v>1-Dec-15</c:v>
                </c:pt>
                <c:pt idx="494">
                  <c:v>8-Dec-15</c:v>
                </c:pt>
                <c:pt idx="495">
                  <c:v>15-Dec-15</c:v>
                </c:pt>
                <c:pt idx="496">
                  <c:v>22-Dec-15</c:v>
                </c:pt>
                <c:pt idx="497">
                  <c:v>29-Dec-15</c:v>
                </c:pt>
                <c:pt idx="498">
                  <c:v>5-Jan-16</c:v>
                </c:pt>
                <c:pt idx="499">
                  <c:v>12-Jan-16</c:v>
                </c:pt>
                <c:pt idx="500">
                  <c:v>19-Jan-16</c:v>
                </c:pt>
                <c:pt idx="501">
                  <c:v>26-Jan-16</c:v>
                </c:pt>
                <c:pt idx="502">
                  <c:v>2-Feb-16</c:v>
                </c:pt>
                <c:pt idx="503">
                  <c:v>9-Feb-16</c:v>
                </c:pt>
                <c:pt idx="504">
                  <c:v>16-Feb-16</c:v>
                </c:pt>
                <c:pt idx="505">
                  <c:v>23-Feb-16</c:v>
                </c:pt>
                <c:pt idx="506">
                  <c:v>1-Mar-16</c:v>
                </c:pt>
                <c:pt idx="507">
                  <c:v>8-Mar-16</c:v>
                </c:pt>
                <c:pt idx="508">
                  <c:v>15-Mar-16</c:v>
                </c:pt>
                <c:pt idx="509">
                  <c:v>22-Mar-16</c:v>
                </c:pt>
                <c:pt idx="510">
                  <c:v>29-Mar-16</c:v>
                </c:pt>
                <c:pt idx="511">
                  <c:v>5-Apr-16</c:v>
                </c:pt>
                <c:pt idx="512">
                  <c:v>12-Apr-16</c:v>
                </c:pt>
                <c:pt idx="513">
                  <c:v>19-Apr-16</c:v>
                </c:pt>
                <c:pt idx="514">
                  <c:v>26-Apr-16</c:v>
                </c:pt>
                <c:pt idx="515">
                  <c:v>3-May-16</c:v>
                </c:pt>
                <c:pt idx="516">
                  <c:v>10-May-16</c:v>
                </c:pt>
                <c:pt idx="517">
                  <c:v>17-May-16</c:v>
                </c:pt>
                <c:pt idx="518">
                  <c:v>24-May-16</c:v>
                </c:pt>
                <c:pt idx="519">
                  <c:v>31-May-16</c:v>
                </c:pt>
                <c:pt idx="520">
                  <c:v>7-Jun-16</c:v>
                </c:pt>
                <c:pt idx="521">
                  <c:v>14-Jun-16</c:v>
                </c:pt>
                <c:pt idx="522">
                  <c:v>21-Jun-16</c:v>
                </c:pt>
                <c:pt idx="523">
                  <c:v>28-Jun-16</c:v>
                </c:pt>
                <c:pt idx="524">
                  <c:v>5-Jul-16</c:v>
                </c:pt>
                <c:pt idx="525">
                  <c:v>12-Jul-16</c:v>
                </c:pt>
                <c:pt idx="526">
                  <c:v>19-Jul-16</c:v>
                </c:pt>
                <c:pt idx="527">
                  <c:v>26-Jul-16</c:v>
                </c:pt>
                <c:pt idx="528">
                  <c:v>2-Aug-16</c:v>
                </c:pt>
                <c:pt idx="529">
                  <c:v>9-Aug-16</c:v>
                </c:pt>
                <c:pt idx="530">
                  <c:v>16-Aug-16</c:v>
                </c:pt>
                <c:pt idx="531">
                  <c:v>23-Aug-16</c:v>
                </c:pt>
                <c:pt idx="532">
                  <c:v>30-Aug-16</c:v>
                </c:pt>
                <c:pt idx="533">
                  <c:v>6-Sep-16</c:v>
                </c:pt>
                <c:pt idx="534">
                  <c:v>13-Sep-16</c:v>
                </c:pt>
                <c:pt idx="535">
                  <c:v>20-Sep-16</c:v>
                </c:pt>
                <c:pt idx="536">
                  <c:v>27-Sep-16</c:v>
                </c:pt>
                <c:pt idx="537">
                  <c:v>4-Oct-16</c:v>
                </c:pt>
                <c:pt idx="538">
                  <c:v>11-Oct-16</c:v>
                </c:pt>
                <c:pt idx="539">
                  <c:v>18-Oct-16</c:v>
                </c:pt>
                <c:pt idx="540">
                  <c:v>25-Oct-16</c:v>
                </c:pt>
                <c:pt idx="541">
                  <c:v>1-Nov-16</c:v>
                </c:pt>
                <c:pt idx="542">
                  <c:v>8-Nov-16</c:v>
                </c:pt>
                <c:pt idx="543">
                  <c:v>15-Nov-16</c:v>
                </c:pt>
                <c:pt idx="544">
                  <c:v>22-Nov-16</c:v>
                </c:pt>
                <c:pt idx="545">
                  <c:v>29-Nov-16</c:v>
                </c:pt>
                <c:pt idx="546">
                  <c:v>6-Dec-16</c:v>
                </c:pt>
                <c:pt idx="547">
                  <c:v>13-Dec-16</c:v>
                </c:pt>
                <c:pt idx="548">
                  <c:v>20-Dec-16</c:v>
                </c:pt>
                <c:pt idx="549">
                  <c:v>27-Dec-16</c:v>
                </c:pt>
                <c:pt idx="550">
                  <c:v>3-Jan-17</c:v>
                </c:pt>
                <c:pt idx="551">
                  <c:v>10-Jan-17</c:v>
                </c:pt>
                <c:pt idx="552">
                  <c:v>17-Jan-17</c:v>
                </c:pt>
                <c:pt idx="553">
                  <c:v>24-Jan-17</c:v>
                </c:pt>
                <c:pt idx="554">
                  <c:v>31-Jan-17</c:v>
                </c:pt>
                <c:pt idx="555">
                  <c:v>7-Feb-17</c:v>
                </c:pt>
                <c:pt idx="556">
                  <c:v>14-Feb-17</c:v>
                </c:pt>
                <c:pt idx="557">
                  <c:v>21-Feb-17</c:v>
                </c:pt>
                <c:pt idx="558">
                  <c:v>28-Feb-17</c:v>
                </c:pt>
                <c:pt idx="559">
                  <c:v>7-Mar-17</c:v>
                </c:pt>
                <c:pt idx="560">
                  <c:v>14-Mar-17</c:v>
                </c:pt>
                <c:pt idx="561">
                  <c:v>21-Mar-17</c:v>
                </c:pt>
                <c:pt idx="562">
                  <c:v>28-Mar-17</c:v>
                </c:pt>
                <c:pt idx="563">
                  <c:v>4-Apr-17</c:v>
                </c:pt>
                <c:pt idx="564">
                  <c:v>11-Apr-17</c:v>
                </c:pt>
                <c:pt idx="565">
                  <c:v>18-Apr-17</c:v>
                </c:pt>
                <c:pt idx="566">
                  <c:v>25-Apr-17</c:v>
                </c:pt>
                <c:pt idx="567">
                  <c:v>2-May-17</c:v>
                </c:pt>
                <c:pt idx="568">
                  <c:v>9-May-17</c:v>
                </c:pt>
                <c:pt idx="569">
                  <c:v>16-May-17</c:v>
                </c:pt>
                <c:pt idx="570">
                  <c:v>23-May-17</c:v>
                </c:pt>
                <c:pt idx="571">
                  <c:v>30-May-17</c:v>
                </c:pt>
                <c:pt idx="572">
                  <c:v>6-Jun-17</c:v>
                </c:pt>
                <c:pt idx="573">
                  <c:v>13-Jun-17</c:v>
                </c:pt>
                <c:pt idx="574">
                  <c:v>20-Jun-17</c:v>
                </c:pt>
                <c:pt idx="575">
                  <c:v>27-Jun-17</c:v>
                </c:pt>
                <c:pt idx="576">
                  <c:v>4-Jul-17</c:v>
                </c:pt>
                <c:pt idx="577">
                  <c:v>11-Jul-17</c:v>
                </c:pt>
                <c:pt idx="578">
                  <c:v>18-Jul-17</c:v>
                </c:pt>
                <c:pt idx="579">
                  <c:v>25-Jul-17</c:v>
                </c:pt>
                <c:pt idx="580">
                  <c:v>1-Aug-17</c:v>
                </c:pt>
                <c:pt idx="581">
                  <c:v>8-Aug-17</c:v>
                </c:pt>
                <c:pt idx="582">
                  <c:v>15-Aug-17</c:v>
                </c:pt>
                <c:pt idx="583">
                  <c:v>22-Aug-17</c:v>
                </c:pt>
                <c:pt idx="584">
                  <c:v>29-Aug-17</c:v>
                </c:pt>
                <c:pt idx="585">
                  <c:v>5-Sep-17</c:v>
                </c:pt>
                <c:pt idx="586">
                  <c:v>12-Sep-17</c:v>
                </c:pt>
                <c:pt idx="587">
                  <c:v>19-Sep-17</c:v>
                </c:pt>
                <c:pt idx="588">
                  <c:v>26-Sep-17</c:v>
                </c:pt>
                <c:pt idx="589">
                  <c:v>3-Oct-17</c:v>
                </c:pt>
                <c:pt idx="590">
                  <c:v>10-Oct-17</c:v>
                </c:pt>
                <c:pt idx="591">
                  <c:v>17-Oct-17</c:v>
                </c:pt>
                <c:pt idx="592">
                  <c:v>24-Oct-17</c:v>
                </c:pt>
                <c:pt idx="593">
                  <c:v>31-Oct-17</c:v>
                </c:pt>
                <c:pt idx="594">
                  <c:v>7-Nov-17</c:v>
                </c:pt>
                <c:pt idx="595">
                  <c:v>14-Nov-17</c:v>
                </c:pt>
                <c:pt idx="596">
                  <c:v>21-Nov-17</c:v>
                </c:pt>
                <c:pt idx="597">
                  <c:v>28-Nov-17</c:v>
                </c:pt>
                <c:pt idx="598">
                  <c:v>5-Dec-17</c:v>
                </c:pt>
                <c:pt idx="599">
                  <c:v>12-Dec-17</c:v>
                </c:pt>
                <c:pt idx="600">
                  <c:v>19-Dec-17</c:v>
                </c:pt>
                <c:pt idx="601">
                  <c:v>26-Dec-17</c:v>
                </c:pt>
                <c:pt idx="602">
                  <c:v>2-Jan-18</c:v>
                </c:pt>
                <c:pt idx="603">
                  <c:v>9-Jan-18</c:v>
                </c:pt>
                <c:pt idx="604">
                  <c:v>16-Jan-18</c:v>
                </c:pt>
                <c:pt idx="605">
                  <c:v>23-Jan-18</c:v>
                </c:pt>
                <c:pt idx="606">
                  <c:v>30-Jan-18</c:v>
                </c:pt>
                <c:pt idx="607">
                  <c:v>6-Feb-18</c:v>
                </c:pt>
                <c:pt idx="608">
                  <c:v>13-Feb-18</c:v>
                </c:pt>
                <c:pt idx="609">
                  <c:v>20-Feb-18</c:v>
                </c:pt>
                <c:pt idx="610">
                  <c:v>27-Feb-18</c:v>
                </c:pt>
                <c:pt idx="611">
                  <c:v>6-Mar-18</c:v>
                </c:pt>
                <c:pt idx="612">
                  <c:v>13-Mar-18</c:v>
                </c:pt>
                <c:pt idx="613">
                  <c:v>20-Mar-18</c:v>
                </c:pt>
                <c:pt idx="614">
                  <c:v>27-Mar-18</c:v>
                </c:pt>
                <c:pt idx="615">
                  <c:v>3-Apr-18</c:v>
                </c:pt>
                <c:pt idx="616">
                  <c:v>10-Apr-18</c:v>
                </c:pt>
                <c:pt idx="617">
                  <c:v>17-Apr-18</c:v>
                </c:pt>
                <c:pt idx="618">
                  <c:v>24-Apr-18</c:v>
                </c:pt>
                <c:pt idx="619">
                  <c:v>1-May-18</c:v>
                </c:pt>
                <c:pt idx="620">
                  <c:v>8-May-18</c:v>
                </c:pt>
                <c:pt idx="621">
                  <c:v>15-May-18</c:v>
                </c:pt>
                <c:pt idx="622">
                  <c:v>22-May-18</c:v>
                </c:pt>
                <c:pt idx="623">
                  <c:v>29-May-18</c:v>
                </c:pt>
                <c:pt idx="624">
                  <c:v>5-Jun-18</c:v>
                </c:pt>
                <c:pt idx="625">
                  <c:v>12-Jun-18</c:v>
                </c:pt>
                <c:pt idx="626">
                  <c:v>19-Jun-18</c:v>
                </c:pt>
                <c:pt idx="627">
                  <c:v>26-Jun-18</c:v>
                </c:pt>
                <c:pt idx="628">
                  <c:v>3-Jul-18</c:v>
                </c:pt>
                <c:pt idx="629">
                  <c:v>10-Jul-18</c:v>
                </c:pt>
                <c:pt idx="630">
                  <c:v>17-Jul-18</c:v>
                </c:pt>
                <c:pt idx="631">
                  <c:v>24-Jul-18</c:v>
                </c:pt>
                <c:pt idx="632">
                  <c:v>31-Jul-18</c:v>
                </c:pt>
                <c:pt idx="633">
                  <c:v>7-Aug-18</c:v>
                </c:pt>
                <c:pt idx="634">
                  <c:v>14-Aug-18</c:v>
                </c:pt>
                <c:pt idx="635">
                  <c:v>21-Aug-18</c:v>
                </c:pt>
                <c:pt idx="636">
                  <c:v>28-Aug-18</c:v>
                </c:pt>
                <c:pt idx="637">
                  <c:v>4-Sep-18</c:v>
                </c:pt>
                <c:pt idx="638">
                  <c:v>11-Sep-18</c:v>
                </c:pt>
                <c:pt idx="639">
                  <c:v>18-Sep-18</c:v>
                </c:pt>
                <c:pt idx="640">
                  <c:v>25-Sep-18</c:v>
                </c:pt>
                <c:pt idx="641">
                  <c:v>2-Oct-18</c:v>
                </c:pt>
                <c:pt idx="642">
                  <c:v>9-Oct-18</c:v>
                </c:pt>
                <c:pt idx="643">
                  <c:v>16-Oct-18</c:v>
                </c:pt>
                <c:pt idx="644">
                  <c:v>23-Oct-18</c:v>
                </c:pt>
                <c:pt idx="645">
                  <c:v>30-Oct-18</c:v>
                </c:pt>
                <c:pt idx="646">
                  <c:v>6-Nov-18</c:v>
                </c:pt>
                <c:pt idx="647">
                  <c:v>13-Nov-18</c:v>
                </c:pt>
                <c:pt idx="648">
                  <c:v>20-Nov-18</c:v>
                </c:pt>
                <c:pt idx="649">
                  <c:v>27-Nov-18</c:v>
                </c:pt>
                <c:pt idx="650">
                  <c:v>4-Dec-18</c:v>
                </c:pt>
                <c:pt idx="651">
                  <c:v>11-Dec-18</c:v>
                </c:pt>
                <c:pt idx="652">
                  <c:v>18-Dec-18</c:v>
                </c:pt>
                <c:pt idx="653">
                  <c:v>25-Dec-18</c:v>
                </c:pt>
                <c:pt idx="654">
                  <c:v>1-Jan-19</c:v>
                </c:pt>
                <c:pt idx="655">
                  <c:v>8-Jan-19</c:v>
                </c:pt>
                <c:pt idx="656">
                  <c:v>15-Jan-19</c:v>
                </c:pt>
                <c:pt idx="657">
                  <c:v>22-Jan-19</c:v>
                </c:pt>
                <c:pt idx="658">
                  <c:v>29-Jan-19</c:v>
                </c:pt>
                <c:pt idx="659">
                  <c:v>5-Feb-19</c:v>
                </c:pt>
                <c:pt idx="660">
                  <c:v>12-Feb-19</c:v>
                </c:pt>
                <c:pt idx="661">
                  <c:v>19-Feb-19</c:v>
                </c:pt>
                <c:pt idx="662">
                  <c:v>26-Feb-19</c:v>
                </c:pt>
                <c:pt idx="663">
                  <c:v>5-Mar-19</c:v>
                </c:pt>
                <c:pt idx="664">
                  <c:v>12-Mar-19</c:v>
                </c:pt>
                <c:pt idx="665">
                  <c:v>19-Mar-19</c:v>
                </c:pt>
                <c:pt idx="666">
                  <c:v>26-Mar-19</c:v>
                </c:pt>
                <c:pt idx="667">
                  <c:v>2-Apr-19</c:v>
                </c:pt>
                <c:pt idx="668">
                  <c:v>9-Apr-19</c:v>
                </c:pt>
                <c:pt idx="669">
                  <c:v>16-Apr-19</c:v>
                </c:pt>
                <c:pt idx="670">
                  <c:v>23-Apr-19</c:v>
                </c:pt>
                <c:pt idx="671">
                  <c:v>30-Apr-19</c:v>
                </c:pt>
                <c:pt idx="672">
                  <c:v>7-May-19</c:v>
                </c:pt>
                <c:pt idx="673">
                  <c:v>14-May-19</c:v>
                </c:pt>
                <c:pt idx="674">
                  <c:v>21-May-19</c:v>
                </c:pt>
                <c:pt idx="675">
                  <c:v>28-May-19</c:v>
                </c:pt>
                <c:pt idx="676">
                  <c:v>4-Jun-19</c:v>
                </c:pt>
                <c:pt idx="677">
                  <c:v>11-Jun-19</c:v>
                </c:pt>
                <c:pt idx="678">
                  <c:v>18-Jun-19</c:v>
                </c:pt>
                <c:pt idx="679">
                  <c:v>25-Jun-19</c:v>
                </c:pt>
                <c:pt idx="680">
                  <c:v>2-Jul-19</c:v>
                </c:pt>
                <c:pt idx="681">
                  <c:v>9-Jul-19</c:v>
                </c:pt>
                <c:pt idx="682">
                  <c:v>16-Jul-19</c:v>
                </c:pt>
                <c:pt idx="683">
                  <c:v>23-Jul-19</c:v>
                </c:pt>
                <c:pt idx="684">
                  <c:v>30-Jul-19</c:v>
                </c:pt>
                <c:pt idx="685">
                  <c:v>6-Aug-19</c:v>
                </c:pt>
                <c:pt idx="686">
                  <c:v>13-Aug-19</c:v>
                </c:pt>
                <c:pt idx="687">
                  <c:v>20-Aug-19</c:v>
                </c:pt>
                <c:pt idx="688">
                  <c:v>27-Aug-19</c:v>
                </c:pt>
                <c:pt idx="689">
                  <c:v>3-Sep-19</c:v>
                </c:pt>
                <c:pt idx="690">
                  <c:v>10-Sep-19</c:v>
                </c:pt>
                <c:pt idx="691">
                  <c:v>17-Sep-19</c:v>
                </c:pt>
                <c:pt idx="692">
                  <c:v>24-Sep-19</c:v>
                </c:pt>
                <c:pt idx="693">
                  <c:v>1-Oct-19</c:v>
                </c:pt>
                <c:pt idx="694">
                  <c:v>8-Oct-19</c:v>
                </c:pt>
                <c:pt idx="695">
                  <c:v>15-Oct-19</c:v>
                </c:pt>
                <c:pt idx="696">
                  <c:v>22-Oct-19</c:v>
                </c:pt>
                <c:pt idx="697">
                  <c:v>29-Oct-19</c:v>
                </c:pt>
                <c:pt idx="698">
                  <c:v>5-Nov-19</c:v>
                </c:pt>
                <c:pt idx="699">
                  <c:v>12-Nov-19</c:v>
                </c:pt>
                <c:pt idx="700">
                  <c:v>19-Nov-19</c:v>
                </c:pt>
                <c:pt idx="701">
                  <c:v>26-Nov-19</c:v>
                </c:pt>
                <c:pt idx="702">
                  <c:v>3-Dec-19</c:v>
                </c:pt>
                <c:pt idx="703">
                  <c:v>10-Dec-19</c:v>
                </c:pt>
                <c:pt idx="704">
                  <c:v>17-Dec-19</c:v>
                </c:pt>
                <c:pt idx="705">
                  <c:v>24-Dec-19</c:v>
                </c:pt>
                <c:pt idx="706">
                  <c:v>31-Dec-19</c:v>
                </c:pt>
                <c:pt idx="707">
                  <c:v>7-Jan-20</c:v>
                </c:pt>
                <c:pt idx="708">
                  <c:v>14-Jan-20</c:v>
                </c:pt>
                <c:pt idx="709">
                  <c:v>21-Jan-20</c:v>
                </c:pt>
                <c:pt idx="710">
                  <c:v>28-Jan-20</c:v>
                </c:pt>
                <c:pt idx="711">
                  <c:v>4-Feb-20</c:v>
                </c:pt>
                <c:pt idx="712">
                  <c:v>11-Feb-20</c:v>
                </c:pt>
                <c:pt idx="713">
                  <c:v>18-Feb-20</c:v>
                </c:pt>
                <c:pt idx="714">
                  <c:v>25-Feb-20</c:v>
                </c:pt>
                <c:pt idx="715">
                  <c:v>3-Mar-20</c:v>
                </c:pt>
                <c:pt idx="716">
                  <c:v>10-Mar-20</c:v>
                </c:pt>
                <c:pt idx="717">
                  <c:v>17-Mar-20</c:v>
                </c:pt>
                <c:pt idx="718">
                  <c:v>24-Mar-20</c:v>
                </c:pt>
                <c:pt idx="719">
                  <c:v>31-Mar-20</c:v>
                </c:pt>
                <c:pt idx="720">
                  <c:v>7-Apr-20</c:v>
                </c:pt>
                <c:pt idx="721">
                  <c:v>14-Apr-20</c:v>
                </c:pt>
                <c:pt idx="722">
                  <c:v>21-Apr-20</c:v>
                </c:pt>
                <c:pt idx="723">
                  <c:v>28-Apr-20</c:v>
                </c:pt>
                <c:pt idx="724">
                  <c:v>5-May-20</c:v>
                </c:pt>
                <c:pt idx="725">
                  <c:v>12-May-20</c:v>
                </c:pt>
                <c:pt idx="726">
                  <c:v>19-May-20</c:v>
                </c:pt>
                <c:pt idx="727">
                  <c:v>26-May-20</c:v>
                </c:pt>
                <c:pt idx="728">
                  <c:v>2-Jun-20</c:v>
                </c:pt>
                <c:pt idx="729">
                  <c:v>9-Jun-20</c:v>
                </c:pt>
                <c:pt idx="730">
                  <c:v>16-Jun-20</c:v>
                </c:pt>
                <c:pt idx="731">
                  <c:v>23-Jun-20</c:v>
                </c:pt>
                <c:pt idx="732">
                  <c:v>30-Jun-20</c:v>
                </c:pt>
                <c:pt idx="733">
                  <c:v>7-Jul-20</c:v>
                </c:pt>
                <c:pt idx="734">
                  <c:v>14-Jul-20</c:v>
                </c:pt>
                <c:pt idx="735">
                  <c:v>21-Jul-20</c:v>
                </c:pt>
                <c:pt idx="736">
                  <c:v>28-Jul-20</c:v>
                </c:pt>
                <c:pt idx="737">
                  <c:v>4-Aug-20</c:v>
                </c:pt>
                <c:pt idx="738">
                  <c:v>11-Aug-20</c:v>
                </c:pt>
                <c:pt idx="739">
                  <c:v>18-Aug-20</c:v>
                </c:pt>
                <c:pt idx="740">
                  <c:v>25-Aug-20</c:v>
                </c:pt>
                <c:pt idx="741">
                  <c:v>1-Sep-20</c:v>
                </c:pt>
                <c:pt idx="742">
                  <c:v>8-Sep-20</c:v>
                </c:pt>
                <c:pt idx="743">
                  <c:v>15-Sep-20</c:v>
                </c:pt>
                <c:pt idx="744">
                  <c:v>22-Sep-20</c:v>
                </c:pt>
                <c:pt idx="745">
                  <c:v>29-Sep-20</c:v>
                </c:pt>
                <c:pt idx="746">
                  <c:v>6-Oct-20</c:v>
                </c:pt>
                <c:pt idx="747">
                  <c:v>13-Oct-20</c:v>
                </c:pt>
                <c:pt idx="748">
                  <c:v>20-Oct-20</c:v>
                </c:pt>
                <c:pt idx="749">
                  <c:v>27-Oct-20</c:v>
                </c:pt>
                <c:pt idx="750">
                  <c:v>3-Nov-20</c:v>
                </c:pt>
                <c:pt idx="751">
                  <c:v>10-Nov-20</c:v>
                </c:pt>
                <c:pt idx="752">
                  <c:v>17-Nov-20</c:v>
                </c:pt>
                <c:pt idx="753">
                  <c:v>24-Nov-20</c:v>
                </c:pt>
                <c:pt idx="754">
                  <c:v>1-Dec-20</c:v>
                </c:pt>
                <c:pt idx="755">
                  <c:v>8-Dec-20</c:v>
                </c:pt>
                <c:pt idx="756">
                  <c:v>15-Dec-20</c:v>
                </c:pt>
                <c:pt idx="757">
                  <c:v>22-Dec-20</c:v>
                </c:pt>
                <c:pt idx="758">
                  <c:v>29-Dec-20</c:v>
                </c:pt>
                <c:pt idx="759">
                  <c:v>5-Jan-21</c:v>
                </c:pt>
                <c:pt idx="760">
                  <c:v>12-Jan-21</c:v>
                </c:pt>
                <c:pt idx="761">
                  <c:v>19-Jan-21</c:v>
                </c:pt>
                <c:pt idx="762">
                  <c:v>26-Jan-21</c:v>
                </c:pt>
                <c:pt idx="763">
                  <c:v>2-Feb-21</c:v>
                </c:pt>
                <c:pt idx="764">
                  <c:v>9-Feb-21</c:v>
                </c:pt>
                <c:pt idx="765">
                  <c:v>16-Feb-21</c:v>
                </c:pt>
                <c:pt idx="766">
                  <c:v>23-Feb-21</c:v>
                </c:pt>
                <c:pt idx="767">
                  <c:v>2-Mar-21</c:v>
                </c:pt>
                <c:pt idx="768">
                  <c:v>9-Mar-21</c:v>
                </c:pt>
                <c:pt idx="769">
                  <c:v>16-Mar-21</c:v>
                </c:pt>
                <c:pt idx="770">
                  <c:v>23-Mar-21</c:v>
                </c:pt>
                <c:pt idx="771">
                  <c:v>30-Mar-21</c:v>
                </c:pt>
                <c:pt idx="772">
                  <c:v>6-Apr-21</c:v>
                </c:pt>
                <c:pt idx="773">
                  <c:v>13-Apr-21</c:v>
                </c:pt>
                <c:pt idx="774">
                  <c:v>20-Apr-21</c:v>
                </c:pt>
                <c:pt idx="775">
                  <c:v>27-Apr-21</c:v>
                </c:pt>
                <c:pt idx="776">
                  <c:v>4-May-21</c:v>
                </c:pt>
                <c:pt idx="777">
                  <c:v>11-May-21</c:v>
                </c:pt>
                <c:pt idx="778">
                  <c:v>18-May-21</c:v>
                </c:pt>
                <c:pt idx="779">
                  <c:v>25-May-21</c:v>
                </c:pt>
                <c:pt idx="780">
                  <c:v>1-Jun-21</c:v>
                </c:pt>
                <c:pt idx="781">
                  <c:v>8-Jun-21</c:v>
                </c:pt>
                <c:pt idx="782">
                  <c:v>15-Jun-21</c:v>
                </c:pt>
                <c:pt idx="783">
                  <c:v>22-Jun-21</c:v>
                </c:pt>
                <c:pt idx="784">
                  <c:v>29-Jun-21</c:v>
                </c:pt>
                <c:pt idx="785">
                  <c:v>6-Jul-21</c:v>
                </c:pt>
                <c:pt idx="786">
                  <c:v>13-Jul-21</c:v>
                </c:pt>
                <c:pt idx="787">
                  <c:v>20-Jul-21</c:v>
                </c:pt>
                <c:pt idx="788">
                  <c:v>27-Jul-21</c:v>
                </c:pt>
                <c:pt idx="789">
                  <c:v>3-Aug-21</c:v>
                </c:pt>
                <c:pt idx="790">
                  <c:v>10-Aug-21</c:v>
                </c:pt>
                <c:pt idx="791">
                  <c:v>17-Aug-21</c:v>
                </c:pt>
                <c:pt idx="792">
                  <c:v>24-Aug-21</c:v>
                </c:pt>
                <c:pt idx="793">
                  <c:v>31-Aug-21</c:v>
                </c:pt>
                <c:pt idx="794">
                  <c:v>7-Sep-21</c:v>
                </c:pt>
                <c:pt idx="795">
                  <c:v>14-Sep-21</c:v>
                </c:pt>
                <c:pt idx="796">
                  <c:v>21-Sep-21</c:v>
                </c:pt>
                <c:pt idx="797">
                  <c:v>28-Sep-21</c:v>
                </c:pt>
                <c:pt idx="798">
                  <c:v>5-Oct-21</c:v>
                </c:pt>
                <c:pt idx="799">
                  <c:v>12-Oct-21</c:v>
                </c:pt>
                <c:pt idx="800">
                  <c:v>19-Oct-21</c:v>
                </c:pt>
                <c:pt idx="801">
                  <c:v>26-Oct-21</c:v>
                </c:pt>
                <c:pt idx="802">
                  <c:v>2-Nov-21</c:v>
                </c:pt>
                <c:pt idx="803">
                  <c:v>9-Nov-21</c:v>
                </c:pt>
                <c:pt idx="804">
                  <c:v>16-Nov-21</c:v>
                </c:pt>
                <c:pt idx="805">
                  <c:v>23-Nov-21</c:v>
                </c:pt>
                <c:pt idx="806">
                  <c:v>30-Nov-21</c:v>
                </c:pt>
                <c:pt idx="807">
                  <c:v>7-Dec-21</c:v>
                </c:pt>
                <c:pt idx="808">
                  <c:v>14-Dec-21</c:v>
                </c:pt>
                <c:pt idx="809">
                  <c:v>21-Dec-21</c:v>
                </c:pt>
                <c:pt idx="810">
                  <c:v>28-Dec-21</c:v>
                </c:pt>
                <c:pt idx="811">
                  <c:v>4-Jan-22</c:v>
                </c:pt>
                <c:pt idx="812">
                  <c:v>11-Jan-22</c:v>
                </c:pt>
                <c:pt idx="813">
                  <c:v>18-Jan-22</c:v>
                </c:pt>
                <c:pt idx="814">
                  <c:v>25-Jan-22</c:v>
                </c:pt>
                <c:pt idx="815">
                  <c:v>1-Feb-22</c:v>
                </c:pt>
                <c:pt idx="816">
                  <c:v>8-Feb-22</c:v>
                </c:pt>
                <c:pt idx="817">
                  <c:v>15-Feb-22</c:v>
                </c:pt>
                <c:pt idx="818">
                  <c:v>22-Feb-22</c:v>
                </c:pt>
                <c:pt idx="819">
                  <c:v>1-Mar-22</c:v>
                </c:pt>
                <c:pt idx="820">
                  <c:v>8-Mar-22</c:v>
                </c:pt>
                <c:pt idx="821">
                  <c:v>15-Mar-22</c:v>
                </c:pt>
                <c:pt idx="822">
                  <c:v>22-Mar-22</c:v>
                </c:pt>
                <c:pt idx="823">
                  <c:v>29-Mar-22</c:v>
                </c:pt>
                <c:pt idx="824">
                  <c:v>5-Apr-22</c:v>
                </c:pt>
                <c:pt idx="825">
                  <c:v>12-Apr-22</c:v>
                </c:pt>
                <c:pt idx="826">
                  <c:v>19-Apr-22</c:v>
                </c:pt>
                <c:pt idx="827">
                  <c:v>26-Apr-22</c:v>
                </c:pt>
                <c:pt idx="828">
                  <c:v>3-May-22</c:v>
                </c:pt>
                <c:pt idx="829">
                  <c:v>10-May-22</c:v>
                </c:pt>
                <c:pt idx="830">
                  <c:v>17-May-22</c:v>
                </c:pt>
                <c:pt idx="831">
                  <c:v>24-May-22</c:v>
                </c:pt>
                <c:pt idx="832">
                  <c:v>31-May-22</c:v>
                </c:pt>
                <c:pt idx="833">
                  <c:v>7-Jun-22</c:v>
                </c:pt>
                <c:pt idx="834">
                  <c:v>14-Jun-22</c:v>
                </c:pt>
                <c:pt idx="835">
                  <c:v>21-Jun-22</c:v>
                </c:pt>
                <c:pt idx="836">
                  <c:v>28-Jun-22</c:v>
                </c:pt>
                <c:pt idx="837">
                  <c:v>5-Jul-22</c:v>
                </c:pt>
                <c:pt idx="838">
                  <c:v>12-Jul-22</c:v>
                </c:pt>
                <c:pt idx="839">
                  <c:v>19-Jul-22</c:v>
                </c:pt>
                <c:pt idx="840">
                  <c:v>26-Jul-22</c:v>
                </c:pt>
                <c:pt idx="841">
                  <c:v>2-Aug-22</c:v>
                </c:pt>
                <c:pt idx="842">
                  <c:v>9-Aug-22</c:v>
                </c:pt>
                <c:pt idx="843">
                  <c:v>16-Aug-22</c:v>
                </c:pt>
                <c:pt idx="844">
                  <c:v>23-Aug-22</c:v>
                </c:pt>
                <c:pt idx="845">
                  <c:v>30-Aug-22</c:v>
                </c:pt>
                <c:pt idx="846">
                  <c:v>6-Sep-22</c:v>
                </c:pt>
                <c:pt idx="847">
                  <c:v>13-Sep-22</c:v>
                </c:pt>
                <c:pt idx="848">
                  <c:v>20-Sep-22</c:v>
                </c:pt>
                <c:pt idx="849">
                  <c:v>27-Sep-22</c:v>
                </c:pt>
                <c:pt idx="850">
                  <c:v>4-Oct-22</c:v>
                </c:pt>
                <c:pt idx="851">
                  <c:v>11-Oct-22</c:v>
                </c:pt>
                <c:pt idx="852">
                  <c:v>18-Oct-22</c:v>
                </c:pt>
                <c:pt idx="853">
                  <c:v>25-Oct-22</c:v>
                </c:pt>
                <c:pt idx="854">
                  <c:v>1-Nov-22</c:v>
                </c:pt>
                <c:pt idx="855">
                  <c:v>8-Nov-22</c:v>
                </c:pt>
                <c:pt idx="856">
                  <c:v>15-Nov-22</c:v>
                </c:pt>
                <c:pt idx="857">
                  <c:v>22-Nov-22</c:v>
                </c:pt>
                <c:pt idx="858">
                  <c:v>29-Nov-22</c:v>
                </c:pt>
                <c:pt idx="859">
                  <c:v>6-Dec-22</c:v>
                </c:pt>
                <c:pt idx="860">
                  <c:v>13-Dec-22</c:v>
                </c:pt>
                <c:pt idx="861">
                  <c:v>20-Dec-22</c:v>
                </c:pt>
                <c:pt idx="862">
                  <c:v>27-Dec-22</c:v>
                </c:pt>
                <c:pt idx="863">
                  <c:v>3-Jan-23</c:v>
                </c:pt>
                <c:pt idx="864">
                  <c:v>10-Jan-23</c:v>
                </c:pt>
                <c:pt idx="865">
                  <c:v>17-Jan-23</c:v>
                </c:pt>
                <c:pt idx="866">
                  <c:v>24-Jan-23</c:v>
                </c:pt>
                <c:pt idx="867">
                  <c:v>31-Jan-23</c:v>
                </c:pt>
                <c:pt idx="868">
                  <c:v>7-Feb-23</c:v>
                </c:pt>
                <c:pt idx="869">
                  <c:v>14-Feb-23</c:v>
                </c:pt>
                <c:pt idx="870">
                  <c:v>21-Feb-23</c:v>
                </c:pt>
                <c:pt idx="871">
                  <c:v>28-Feb-23</c:v>
                </c:pt>
                <c:pt idx="872">
                  <c:v>7-Mar-23</c:v>
                </c:pt>
                <c:pt idx="873">
                  <c:v>14-Mar-23</c:v>
                </c:pt>
                <c:pt idx="874">
                  <c:v>21-Mar-23</c:v>
                </c:pt>
                <c:pt idx="875">
                  <c:v>28-Mar-23</c:v>
                </c:pt>
                <c:pt idx="876">
                  <c:v>4-Apr-23</c:v>
                </c:pt>
                <c:pt idx="877">
                  <c:v>11-Apr-23</c:v>
                </c:pt>
                <c:pt idx="878">
                  <c:v>18-Apr-23</c:v>
                </c:pt>
                <c:pt idx="879">
                  <c:v>25-Apr-23</c:v>
                </c:pt>
                <c:pt idx="880">
                  <c:v>2-May-23</c:v>
                </c:pt>
                <c:pt idx="881">
                  <c:v>9-May-23</c:v>
                </c:pt>
                <c:pt idx="882">
                  <c:v>16-May-23</c:v>
                </c:pt>
                <c:pt idx="883">
                  <c:v>23-May-23</c:v>
                </c:pt>
                <c:pt idx="884">
                  <c:v>30-May-23</c:v>
                </c:pt>
                <c:pt idx="885">
                  <c:v>6-Jun-23</c:v>
                </c:pt>
                <c:pt idx="886">
                  <c:v>13-Jun-23</c:v>
                </c:pt>
                <c:pt idx="887">
                  <c:v>20-Jun-23</c:v>
                </c:pt>
                <c:pt idx="888">
                  <c:v>27-Jun-23</c:v>
                </c:pt>
                <c:pt idx="889">
                  <c:v>4-Jul-23</c:v>
                </c:pt>
                <c:pt idx="890">
                  <c:v>11-Jul-23</c:v>
                </c:pt>
                <c:pt idx="891">
                  <c:v>18-Jul-23</c:v>
                </c:pt>
                <c:pt idx="892">
                  <c:v>25-Jul-23</c:v>
                </c:pt>
                <c:pt idx="893">
                  <c:v>1-Aug-23</c:v>
                </c:pt>
                <c:pt idx="894">
                  <c:v>8-Aug-23</c:v>
                </c:pt>
                <c:pt idx="895">
                  <c:v>15-Aug-23</c:v>
                </c:pt>
                <c:pt idx="896">
                  <c:v>22-Aug-23</c:v>
                </c:pt>
                <c:pt idx="897">
                  <c:v>29-Aug-23</c:v>
                </c:pt>
                <c:pt idx="898">
                  <c:v>5-Sep-23</c:v>
                </c:pt>
                <c:pt idx="899">
                  <c:v>12-Sep-23</c:v>
                </c:pt>
                <c:pt idx="900">
                  <c:v>19-Sep-23</c:v>
                </c:pt>
                <c:pt idx="901">
                  <c:v>26-Sep-23</c:v>
                </c:pt>
                <c:pt idx="902">
                  <c:v>3-Oct-23</c:v>
                </c:pt>
                <c:pt idx="903">
                  <c:v>10-Oct-23</c:v>
                </c:pt>
                <c:pt idx="904">
                  <c:v>17-Oct-23</c:v>
                </c:pt>
                <c:pt idx="905">
                  <c:v>24-Oct-23</c:v>
                </c:pt>
                <c:pt idx="906">
                  <c:v>31-Oct-23</c:v>
                </c:pt>
                <c:pt idx="907">
                  <c:v>7-Nov-23</c:v>
                </c:pt>
                <c:pt idx="908">
                  <c:v>14-Nov-23</c:v>
                </c:pt>
                <c:pt idx="909">
                  <c:v>21-Nov-23</c:v>
                </c:pt>
                <c:pt idx="910">
                  <c:v>28-Nov-23</c:v>
                </c:pt>
                <c:pt idx="911">
                  <c:v>5-Dec-23</c:v>
                </c:pt>
                <c:pt idx="912">
                  <c:v>12-Dec-23</c:v>
                </c:pt>
                <c:pt idx="913">
                  <c:v>19-Dec-23</c:v>
                </c:pt>
                <c:pt idx="914">
                  <c:v>26-Dec-23</c:v>
                </c:pt>
                <c:pt idx="915">
                  <c:v>2-Jan-24</c:v>
                </c:pt>
                <c:pt idx="916">
                  <c:v>9-Jan-24</c:v>
                </c:pt>
                <c:pt idx="917">
                  <c:v>16-Jan-24</c:v>
                </c:pt>
                <c:pt idx="918">
                  <c:v>23-Jan-24</c:v>
                </c:pt>
                <c:pt idx="919">
                  <c:v>30-Jan-24</c:v>
                </c:pt>
                <c:pt idx="920">
                  <c:v>6-Feb-24</c:v>
                </c:pt>
                <c:pt idx="921">
                  <c:v>13-Feb-24</c:v>
                </c:pt>
                <c:pt idx="922">
                  <c:v>20-Feb-24</c:v>
                </c:pt>
                <c:pt idx="923">
                  <c:v>27-Feb-24</c:v>
                </c:pt>
                <c:pt idx="924">
                  <c:v>5-Mar-24</c:v>
                </c:pt>
                <c:pt idx="925">
                  <c:v>12-Mar-24</c:v>
                </c:pt>
                <c:pt idx="926">
                  <c:v>19-Mar-24</c:v>
                </c:pt>
                <c:pt idx="927">
                  <c:v>26-Mar-24</c:v>
                </c:pt>
                <c:pt idx="928">
                  <c:v>2-Apr-24</c:v>
                </c:pt>
                <c:pt idx="929">
                  <c:v>9-Apr-24</c:v>
                </c:pt>
                <c:pt idx="930">
                  <c:v>16-Apr-24</c:v>
                </c:pt>
                <c:pt idx="931">
                  <c:v>23-Apr-24</c:v>
                </c:pt>
                <c:pt idx="932">
                  <c:v>30-Apr-24</c:v>
                </c:pt>
                <c:pt idx="933">
                  <c:v>7-May-24</c:v>
                </c:pt>
                <c:pt idx="934">
                  <c:v>14-May-24</c:v>
                </c:pt>
                <c:pt idx="935">
                  <c:v>21-May-24</c:v>
                </c:pt>
                <c:pt idx="936">
                  <c:v>28-May-24</c:v>
                </c:pt>
                <c:pt idx="937">
                  <c:v>4-Jun-24</c:v>
                </c:pt>
                <c:pt idx="938">
                  <c:v>11-Jun-24</c:v>
                </c:pt>
                <c:pt idx="939">
                  <c:v>18-Jun-24</c:v>
                </c:pt>
                <c:pt idx="940">
                  <c:v>25-Jun-24</c:v>
                </c:pt>
                <c:pt idx="941">
                  <c:v>2-Jul-24</c:v>
                </c:pt>
                <c:pt idx="942">
                  <c:v>9-Jul-24</c:v>
                </c:pt>
                <c:pt idx="943">
                  <c:v>16-Jul-24</c:v>
                </c:pt>
                <c:pt idx="944">
                  <c:v>23-Jul-24</c:v>
                </c:pt>
                <c:pt idx="945">
                  <c:v>30-Jul-24</c:v>
                </c:pt>
                <c:pt idx="946">
                  <c:v>6-Aug-24</c:v>
                </c:pt>
                <c:pt idx="947">
                  <c:v>13-Aug-24</c:v>
                </c:pt>
                <c:pt idx="948">
                  <c:v>20-Aug-24</c:v>
                </c:pt>
                <c:pt idx="949">
                  <c:v>27-Aug-24</c:v>
                </c:pt>
                <c:pt idx="950">
                  <c:v>3-Sep-24</c:v>
                </c:pt>
                <c:pt idx="951">
                  <c:v>10-Sep-24</c:v>
                </c:pt>
                <c:pt idx="952">
                  <c:v>17-Sep-24</c:v>
                </c:pt>
                <c:pt idx="953">
                  <c:v>24-Sep-24</c:v>
                </c:pt>
                <c:pt idx="954">
                  <c:v>1-Oct-24</c:v>
                </c:pt>
                <c:pt idx="955">
                  <c:v>8-Oct-24</c:v>
                </c:pt>
                <c:pt idx="956">
                  <c:v>15-Oct-24</c:v>
                </c:pt>
                <c:pt idx="957">
                  <c:v>22-Oct-24</c:v>
                </c:pt>
                <c:pt idx="958">
                  <c:v>29-Oct-24</c:v>
                </c:pt>
                <c:pt idx="959">
                  <c:v>5-Nov-24</c:v>
                </c:pt>
                <c:pt idx="960">
                  <c:v>12-Nov-24</c:v>
                </c:pt>
                <c:pt idx="961">
                  <c:v>19-Nov-24</c:v>
                </c:pt>
                <c:pt idx="962">
                  <c:v>26-Nov-24</c:v>
                </c:pt>
                <c:pt idx="963">
                  <c:v>3-Dec-24</c:v>
                </c:pt>
                <c:pt idx="964">
                  <c:v>10-Dec-24</c:v>
                </c:pt>
                <c:pt idx="997">
                  <c:v>USE THE CONTINUOUS NEARBY CONTRACT FOR THE CHART DATA. </c:v>
                </c:pt>
              </c:strCache>
            </c:strRef>
          </c:cat>
          <c:val>
            <c:numRef>
              <c:f>Data!$BJ$3:$BJ$1000</c:f>
              <c:numCache>
                <c:formatCode>#,##0_);[Red]\(#,##0\)</c:formatCode>
                <c:ptCount val="998"/>
                <c:pt idx="0">
                  <c:v>-493155</c:v>
                </c:pt>
                <c:pt idx="1">
                  <c:v>-429005</c:v>
                </c:pt>
                <c:pt idx="2">
                  <c:v>-403728</c:v>
                </c:pt>
                <c:pt idx="3">
                  <c:v>-437628</c:v>
                </c:pt>
                <c:pt idx="4">
                  <c:v>-477500</c:v>
                </c:pt>
                <c:pt idx="5">
                  <c:v>-494148</c:v>
                </c:pt>
                <c:pt idx="6">
                  <c:v>-481021</c:v>
                </c:pt>
                <c:pt idx="7">
                  <c:v>-486056</c:v>
                </c:pt>
                <c:pt idx="8">
                  <c:v>-471776</c:v>
                </c:pt>
                <c:pt idx="9">
                  <c:v>-388641</c:v>
                </c:pt>
                <c:pt idx="10">
                  <c:v>-367904</c:v>
                </c:pt>
                <c:pt idx="11">
                  <c:v>-383108</c:v>
                </c:pt>
                <c:pt idx="12">
                  <c:v>-399597</c:v>
                </c:pt>
                <c:pt idx="13">
                  <c:v>-367746</c:v>
                </c:pt>
                <c:pt idx="14">
                  <c:v>-388601</c:v>
                </c:pt>
                <c:pt idx="15">
                  <c:v>-449887</c:v>
                </c:pt>
                <c:pt idx="16">
                  <c:v>-476857</c:v>
                </c:pt>
                <c:pt idx="17">
                  <c:v>-510250</c:v>
                </c:pt>
                <c:pt idx="18">
                  <c:v>-556466</c:v>
                </c:pt>
                <c:pt idx="19">
                  <c:v>-575059</c:v>
                </c:pt>
                <c:pt idx="20">
                  <c:v>-549146</c:v>
                </c:pt>
                <c:pt idx="21">
                  <c:v>-584771</c:v>
                </c:pt>
                <c:pt idx="22">
                  <c:v>-580635</c:v>
                </c:pt>
                <c:pt idx="23">
                  <c:v>-574479</c:v>
                </c:pt>
                <c:pt idx="24">
                  <c:v>-604816</c:v>
                </c:pt>
                <c:pt idx="25">
                  <c:v>-594763</c:v>
                </c:pt>
                <c:pt idx="26">
                  <c:v>-595823</c:v>
                </c:pt>
                <c:pt idx="27">
                  <c:v>-590490</c:v>
                </c:pt>
                <c:pt idx="28">
                  <c:v>-609418</c:v>
                </c:pt>
                <c:pt idx="29">
                  <c:v>-521064</c:v>
                </c:pt>
                <c:pt idx="30">
                  <c:v>-573958</c:v>
                </c:pt>
                <c:pt idx="31">
                  <c:v>-593293</c:v>
                </c:pt>
                <c:pt idx="32">
                  <c:v>-583492</c:v>
                </c:pt>
                <c:pt idx="33">
                  <c:v>-566616</c:v>
                </c:pt>
                <c:pt idx="34">
                  <c:v>-604744</c:v>
                </c:pt>
                <c:pt idx="35">
                  <c:v>-627807</c:v>
                </c:pt>
                <c:pt idx="36">
                  <c:v>-620930</c:v>
                </c:pt>
                <c:pt idx="37">
                  <c:v>-584129</c:v>
                </c:pt>
                <c:pt idx="38">
                  <c:v>-549676</c:v>
                </c:pt>
                <c:pt idx="39">
                  <c:v>-550132</c:v>
                </c:pt>
                <c:pt idx="40">
                  <c:v>-536224</c:v>
                </c:pt>
                <c:pt idx="41">
                  <c:v>-442218</c:v>
                </c:pt>
                <c:pt idx="42">
                  <c:v>-456238</c:v>
                </c:pt>
                <c:pt idx="43">
                  <c:v>-442116</c:v>
                </c:pt>
                <c:pt idx="44">
                  <c:v>-442240</c:v>
                </c:pt>
                <c:pt idx="45">
                  <c:v>-459981</c:v>
                </c:pt>
                <c:pt idx="46">
                  <c:v>-448998</c:v>
                </c:pt>
                <c:pt idx="47">
                  <c:v>-441605</c:v>
                </c:pt>
                <c:pt idx="48">
                  <c:v>-429527</c:v>
                </c:pt>
                <c:pt idx="49">
                  <c:v>-417427</c:v>
                </c:pt>
                <c:pt idx="50">
                  <c:v>-474013</c:v>
                </c:pt>
                <c:pt idx="51">
                  <c:v>-496541</c:v>
                </c:pt>
                <c:pt idx="52">
                  <c:v>-524300</c:v>
                </c:pt>
                <c:pt idx="53">
                  <c:v>-477514</c:v>
                </c:pt>
                <c:pt idx="54">
                  <c:v>-406347</c:v>
                </c:pt>
                <c:pt idx="55">
                  <c:v>-418382</c:v>
                </c:pt>
                <c:pt idx="56">
                  <c:v>-374332</c:v>
                </c:pt>
                <c:pt idx="57">
                  <c:v>-359965</c:v>
                </c:pt>
                <c:pt idx="58">
                  <c:v>-372015</c:v>
                </c:pt>
                <c:pt idx="59">
                  <c:v>-383178</c:v>
                </c:pt>
                <c:pt idx="60">
                  <c:v>-374266</c:v>
                </c:pt>
                <c:pt idx="61">
                  <c:v>-371929</c:v>
                </c:pt>
                <c:pt idx="62">
                  <c:v>-365737</c:v>
                </c:pt>
                <c:pt idx="63">
                  <c:v>-358479</c:v>
                </c:pt>
                <c:pt idx="64">
                  <c:v>-341673</c:v>
                </c:pt>
                <c:pt idx="65">
                  <c:v>-370199</c:v>
                </c:pt>
                <c:pt idx="66">
                  <c:v>-419134</c:v>
                </c:pt>
                <c:pt idx="67">
                  <c:v>-388606</c:v>
                </c:pt>
                <c:pt idx="68">
                  <c:v>-342436</c:v>
                </c:pt>
                <c:pt idx="69">
                  <c:v>-360170</c:v>
                </c:pt>
                <c:pt idx="70">
                  <c:v>-371323</c:v>
                </c:pt>
                <c:pt idx="71">
                  <c:v>-393471</c:v>
                </c:pt>
                <c:pt idx="72">
                  <c:v>-434273</c:v>
                </c:pt>
                <c:pt idx="73">
                  <c:v>-432078</c:v>
                </c:pt>
                <c:pt idx="74">
                  <c:v>-447485</c:v>
                </c:pt>
                <c:pt idx="75">
                  <c:v>-437484</c:v>
                </c:pt>
                <c:pt idx="76">
                  <c:v>-465020</c:v>
                </c:pt>
                <c:pt idx="77">
                  <c:v>-497796</c:v>
                </c:pt>
                <c:pt idx="78">
                  <c:v>-520779</c:v>
                </c:pt>
                <c:pt idx="79">
                  <c:v>-536460</c:v>
                </c:pt>
                <c:pt idx="80">
                  <c:v>-545868</c:v>
                </c:pt>
                <c:pt idx="81">
                  <c:v>-564774</c:v>
                </c:pt>
                <c:pt idx="82">
                  <c:v>-574665</c:v>
                </c:pt>
                <c:pt idx="83">
                  <c:v>-546632</c:v>
                </c:pt>
                <c:pt idx="84">
                  <c:v>-555618</c:v>
                </c:pt>
                <c:pt idx="85">
                  <c:v>-592429</c:v>
                </c:pt>
                <c:pt idx="86">
                  <c:v>-582918</c:v>
                </c:pt>
                <c:pt idx="87">
                  <c:v>-627906</c:v>
                </c:pt>
                <c:pt idx="88">
                  <c:v>-656674</c:v>
                </c:pt>
                <c:pt idx="89">
                  <c:v>-653248</c:v>
                </c:pt>
                <c:pt idx="90">
                  <c:v>-641970</c:v>
                </c:pt>
                <c:pt idx="91">
                  <c:v>-601000</c:v>
                </c:pt>
                <c:pt idx="92">
                  <c:v>-547265</c:v>
                </c:pt>
                <c:pt idx="93">
                  <c:v>-559547</c:v>
                </c:pt>
                <c:pt idx="94">
                  <c:v>-585877</c:v>
                </c:pt>
                <c:pt idx="95">
                  <c:v>-596194</c:v>
                </c:pt>
                <c:pt idx="96">
                  <c:v>-579949</c:v>
                </c:pt>
                <c:pt idx="97">
                  <c:v>-558665</c:v>
                </c:pt>
                <c:pt idx="98">
                  <c:v>-559531</c:v>
                </c:pt>
                <c:pt idx="99">
                  <c:v>-547593</c:v>
                </c:pt>
                <c:pt idx="100">
                  <c:v>-528923</c:v>
                </c:pt>
                <c:pt idx="101">
                  <c:v>-523386</c:v>
                </c:pt>
                <c:pt idx="102">
                  <c:v>-507775</c:v>
                </c:pt>
                <c:pt idx="103">
                  <c:v>-565720</c:v>
                </c:pt>
                <c:pt idx="104">
                  <c:v>-558444</c:v>
                </c:pt>
                <c:pt idx="105">
                  <c:v>-539388</c:v>
                </c:pt>
                <c:pt idx="106">
                  <c:v>-530634</c:v>
                </c:pt>
                <c:pt idx="107">
                  <c:v>-486777</c:v>
                </c:pt>
                <c:pt idx="108">
                  <c:v>-426595</c:v>
                </c:pt>
                <c:pt idx="109">
                  <c:v>-380022</c:v>
                </c:pt>
                <c:pt idx="110">
                  <c:v>-382650</c:v>
                </c:pt>
                <c:pt idx="111">
                  <c:v>-340271</c:v>
                </c:pt>
                <c:pt idx="112">
                  <c:v>-320358</c:v>
                </c:pt>
                <c:pt idx="113">
                  <c:v>-329655</c:v>
                </c:pt>
                <c:pt idx="114">
                  <c:v>-332456</c:v>
                </c:pt>
                <c:pt idx="115">
                  <c:v>-320110</c:v>
                </c:pt>
                <c:pt idx="116">
                  <c:v>-302231</c:v>
                </c:pt>
                <c:pt idx="117">
                  <c:v>-294621</c:v>
                </c:pt>
                <c:pt idx="118">
                  <c:v>-305517</c:v>
                </c:pt>
                <c:pt idx="119">
                  <c:v>-249166</c:v>
                </c:pt>
                <c:pt idx="120">
                  <c:v>-186037</c:v>
                </c:pt>
                <c:pt idx="121">
                  <c:v>-184681</c:v>
                </c:pt>
                <c:pt idx="122">
                  <c:v>-163956</c:v>
                </c:pt>
                <c:pt idx="123">
                  <c:v>-139905</c:v>
                </c:pt>
                <c:pt idx="124">
                  <c:v>-144922</c:v>
                </c:pt>
                <c:pt idx="125">
                  <c:v>-114576</c:v>
                </c:pt>
                <c:pt idx="126">
                  <c:v>-121511</c:v>
                </c:pt>
                <c:pt idx="127">
                  <c:v>-130481</c:v>
                </c:pt>
                <c:pt idx="128">
                  <c:v>-128704</c:v>
                </c:pt>
                <c:pt idx="129">
                  <c:v>-126275</c:v>
                </c:pt>
                <c:pt idx="130">
                  <c:v>-154295</c:v>
                </c:pt>
                <c:pt idx="131">
                  <c:v>-148405</c:v>
                </c:pt>
                <c:pt idx="132">
                  <c:v>-163208</c:v>
                </c:pt>
                <c:pt idx="133">
                  <c:v>-180121</c:v>
                </c:pt>
                <c:pt idx="134">
                  <c:v>-135299</c:v>
                </c:pt>
                <c:pt idx="135">
                  <c:v>-136706</c:v>
                </c:pt>
                <c:pt idx="136">
                  <c:v>-126270</c:v>
                </c:pt>
                <c:pt idx="137">
                  <c:v>-97820</c:v>
                </c:pt>
                <c:pt idx="138">
                  <c:v>-103103</c:v>
                </c:pt>
                <c:pt idx="139">
                  <c:v>-68521</c:v>
                </c:pt>
                <c:pt idx="140">
                  <c:v>-81570</c:v>
                </c:pt>
                <c:pt idx="141">
                  <c:v>-83167</c:v>
                </c:pt>
                <c:pt idx="142">
                  <c:v>-122574</c:v>
                </c:pt>
                <c:pt idx="143">
                  <c:v>-160633</c:v>
                </c:pt>
                <c:pt idx="144">
                  <c:v>-174550</c:v>
                </c:pt>
                <c:pt idx="145">
                  <c:v>-175166</c:v>
                </c:pt>
                <c:pt idx="146">
                  <c:v>-179625</c:v>
                </c:pt>
                <c:pt idx="147">
                  <c:v>-180958</c:v>
                </c:pt>
                <c:pt idx="148">
                  <c:v>-127928</c:v>
                </c:pt>
                <c:pt idx="149">
                  <c:v>-129041</c:v>
                </c:pt>
                <c:pt idx="150">
                  <c:v>-182028</c:v>
                </c:pt>
                <c:pt idx="151">
                  <c:v>-240254</c:v>
                </c:pt>
                <c:pt idx="152">
                  <c:v>-264728</c:v>
                </c:pt>
                <c:pt idx="153">
                  <c:v>-279867</c:v>
                </c:pt>
                <c:pt idx="154">
                  <c:v>-328726</c:v>
                </c:pt>
                <c:pt idx="155">
                  <c:v>-327579</c:v>
                </c:pt>
                <c:pt idx="156">
                  <c:v>-268129</c:v>
                </c:pt>
                <c:pt idx="157">
                  <c:v>-222562</c:v>
                </c:pt>
                <c:pt idx="158">
                  <c:v>-212504</c:v>
                </c:pt>
                <c:pt idx="159">
                  <c:v>-187380</c:v>
                </c:pt>
                <c:pt idx="160">
                  <c:v>-177769</c:v>
                </c:pt>
                <c:pt idx="161">
                  <c:v>-161851</c:v>
                </c:pt>
                <c:pt idx="162">
                  <c:v>-203655</c:v>
                </c:pt>
                <c:pt idx="163">
                  <c:v>-232688</c:v>
                </c:pt>
                <c:pt idx="164">
                  <c:v>-230832</c:v>
                </c:pt>
                <c:pt idx="165">
                  <c:v>-206146</c:v>
                </c:pt>
                <c:pt idx="166">
                  <c:v>-194292</c:v>
                </c:pt>
                <c:pt idx="167">
                  <c:v>-192216</c:v>
                </c:pt>
                <c:pt idx="168">
                  <c:v>-170261</c:v>
                </c:pt>
                <c:pt idx="169">
                  <c:v>-211626</c:v>
                </c:pt>
                <c:pt idx="170">
                  <c:v>-207526</c:v>
                </c:pt>
                <c:pt idx="171">
                  <c:v>-231019</c:v>
                </c:pt>
                <c:pt idx="172">
                  <c:v>-269604</c:v>
                </c:pt>
                <c:pt idx="173">
                  <c:v>-296935</c:v>
                </c:pt>
                <c:pt idx="174">
                  <c:v>-312983</c:v>
                </c:pt>
                <c:pt idx="175">
                  <c:v>-316217</c:v>
                </c:pt>
                <c:pt idx="176">
                  <c:v>-324837</c:v>
                </c:pt>
                <c:pt idx="177">
                  <c:v>-329195</c:v>
                </c:pt>
                <c:pt idx="178">
                  <c:v>-367562</c:v>
                </c:pt>
                <c:pt idx="179">
                  <c:v>-357986</c:v>
                </c:pt>
                <c:pt idx="180">
                  <c:v>-396800</c:v>
                </c:pt>
                <c:pt idx="181">
                  <c:v>-361453</c:v>
                </c:pt>
                <c:pt idx="182">
                  <c:v>-375971</c:v>
                </c:pt>
                <c:pt idx="183">
                  <c:v>-375542</c:v>
                </c:pt>
                <c:pt idx="184">
                  <c:v>-401735</c:v>
                </c:pt>
                <c:pt idx="185">
                  <c:v>-431779</c:v>
                </c:pt>
                <c:pt idx="186">
                  <c:v>-453283</c:v>
                </c:pt>
                <c:pt idx="187">
                  <c:v>-384786</c:v>
                </c:pt>
                <c:pt idx="188">
                  <c:v>-344097</c:v>
                </c:pt>
                <c:pt idx="189">
                  <c:v>-319627</c:v>
                </c:pt>
                <c:pt idx="190">
                  <c:v>-292991</c:v>
                </c:pt>
                <c:pt idx="191">
                  <c:v>-299372</c:v>
                </c:pt>
                <c:pt idx="192">
                  <c:v>-329826</c:v>
                </c:pt>
                <c:pt idx="193">
                  <c:v>-363421</c:v>
                </c:pt>
                <c:pt idx="194">
                  <c:v>-352958</c:v>
                </c:pt>
                <c:pt idx="195">
                  <c:v>-329592</c:v>
                </c:pt>
                <c:pt idx="196">
                  <c:v>-313474</c:v>
                </c:pt>
                <c:pt idx="197">
                  <c:v>-272825</c:v>
                </c:pt>
                <c:pt idx="198">
                  <c:v>-247326</c:v>
                </c:pt>
                <c:pt idx="199">
                  <c:v>-257864</c:v>
                </c:pt>
                <c:pt idx="200">
                  <c:v>-290071</c:v>
                </c:pt>
                <c:pt idx="201">
                  <c:v>-298015</c:v>
                </c:pt>
                <c:pt idx="202">
                  <c:v>-355522</c:v>
                </c:pt>
                <c:pt idx="203">
                  <c:v>-364157</c:v>
                </c:pt>
                <c:pt idx="204">
                  <c:v>-357176</c:v>
                </c:pt>
                <c:pt idx="205">
                  <c:v>-362969</c:v>
                </c:pt>
                <c:pt idx="206">
                  <c:v>-336040</c:v>
                </c:pt>
                <c:pt idx="207">
                  <c:v>-285908</c:v>
                </c:pt>
                <c:pt idx="208">
                  <c:v>-294466</c:v>
                </c:pt>
                <c:pt idx="209">
                  <c:v>-330378</c:v>
                </c:pt>
                <c:pt idx="210">
                  <c:v>-279134</c:v>
                </c:pt>
                <c:pt idx="211">
                  <c:v>-338967</c:v>
                </c:pt>
                <c:pt idx="212">
                  <c:v>-403171</c:v>
                </c:pt>
                <c:pt idx="213">
                  <c:v>-448483</c:v>
                </c:pt>
                <c:pt idx="214">
                  <c:v>-446898</c:v>
                </c:pt>
                <c:pt idx="215">
                  <c:v>-524962</c:v>
                </c:pt>
                <c:pt idx="216">
                  <c:v>-585544</c:v>
                </c:pt>
                <c:pt idx="217">
                  <c:v>-639117</c:v>
                </c:pt>
                <c:pt idx="218">
                  <c:v>-639897</c:v>
                </c:pt>
                <c:pt idx="219">
                  <c:v>-665439</c:v>
                </c:pt>
                <c:pt idx="220">
                  <c:v>-711305</c:v>
                </c:pt>
                <c:pt idx="221">
                  <c:v>-707559</c:v>
                </c:pt>
                <c:pt idx="222">
                  <c:v>-707559</c:v>
                </c:pt>
                <c:pt idx="223">
                  <c:v>-748559</c:v>
                </c:pt>
                <c:pt idx="224">
                  <c:v>-716226</c:v>
                </c:pt>
                <c:pt idx="225">
                  <c:v>-747132</c:v>
                </c:pt>
                <c:pt idx="226">
                  <c:v>-732010</c:v>
                </c:pt>
                <c:pt idx="227">
                  <c:v>-706454</c:v>
                </c:pt>
                <c:pt idx="228">
                  <c:v>-702450</c:v>
                </c:pt>
                <c:pt idx="229">
                  <c:v>-679762</c:v>
                </c:pt>
                <c:pt idx="230">
                  <c:v>-626035</c:v>
                </c:pt>
                <c:pt idx="231">
                  <c:v>-603922</c:v>
                </c:pt>
                <c:pt idx="232">
                  <c:v>-594726</c:v>
                </c:pt>
                <c:pt idx="233">
                  <c:v>-600871</c:v>
                </c:pt>
                <c:pt idx="234">
                  <c:v>-621627</c:v>
                </c:pt>
                <c:pt idx="235">
                  <c:v>-647261</c:v>
                </c:pt>
                <c:pt idx="236">
                  <c:v>-664368</c:v>
                </c:pt>
                <c:pt idx="237">
                  <c:v>-641144</c:v>
                </c:pt>
                <c:pt idx="238">
                  <c:v>-621081</c:v>
                </c:pt>
                <c:pt idx="239">
                  <c:v>-647476</c:v>
                </c:pt>
                <c:pt idx="240">
                  <c:v>-612418</c:v>
                </c:pt>
                <c:pt idx="241">
                  <c:v>-630474</c:v>
                </c:pt>
                <c:pt idx="242">
                  <c:v>-623375</c:v>
                </c:pt>
                <c:pt idx="243">
                  <c:v>-611373</c:v>
                </c:pt>
                <c:pt idx="244">
                  <c:v>-616199</c:v>
                </c:pt>
                <c:pt idx="245">
                  <c:v>-623028</c:v>
                </c:pt>
                <c:pt idx="246">
                  <c:v>-596848</c:v>
                </c:pt>
                <c:pt idx="247">
                  <c:v>-522042</c:v>
                </c:pt>
                <c:pt idx="248">
                  <c:v>-496341</c:v>
                </c:pt>
                <c:pt idx="249">
                  <c:v>-510833</c:v>
                </c:pt>
                <c:pt idx="250">
                  <c:v>-537648</c:v>
                </c:pt>
                <c:pt idx="251">
                  <c:v>-572883</c:v>
                </c:pt>
                <c:pt idx="252">
                  <c:v>-599860</c:v>
                </c:pt>
                <c:pt idx="253">
                  <c:v>-609872</c:v>
                </c:pt>
                <c:pt idx="254">
                  <c:v>-574811</c:v>
                </c:pt>
                <c:pt idx="255">
                  <c:v>-524812</c:v>
                </c:pt>
                <c:pt idx="256">
                  <c:v>-505606</c:v>
                </c:pt>
                <c:pt idx="257">
                  <c:v>-537279</c:v>
                </c:pt>
                <c:pt idx="258">
                  <c:v>-554754</c:v>
                </c:pt>
                <c:pt idx="259">
                  <c:v>-534302</c:v>
                </c:pt>
                <c:pt idx="260">
                  <c:v>-535270</c:v>
                </c:pt>
                <c:pt idx="261">
                  <c:v>-471924</c:v>
                </c:pt>
                <c:pt idx="262">
                  <c:v>-449828</c:v>
                </c:pt>
                <c:pt idx="263">
                  <c:v>-405593</c:v>
                </c:pt>
                <c:pt idx="264">
                  <c:v>-413618</c:v>
                </c:pt>
                <c:pt idx="265">
                  <c:v>-432502</c:v>
                </c:pt>
                <c:pt idx="266">
                  <c:v>-433042</c:v>
                </c:pt>
                <c:pt idx="267">
                  <c:v>-445006</c:v>
                </c:pt>
                <c:pt idx="268">
                  <c:v>-427729</c:v>
                </c:pt>
                <c:pt idx="269">
                  <c:v>-448470</c:v>
                </c:pt>
                <c:pt idx="270">
                  <c:v>-456987</c:v>
                </c:pt>
                <c:pt idx="271">
                  <c:v>-486447</c:v>
                </c:pt>
                <c:pt idx="272">
                  <c:v>-487603</c:v>
                </c:pt>
                <c:pt idx="273">
                  <c:v>-455000</c:v>
                </c:pt>
                <c:pt idx="274">
                  <c:v>-408091</c:v>
                </c:pt>
                <c:pt idx="275">
                  <c:v>-343116</c:v>
                </c:pt>
                <c:pt idx="276">
                  <c:v>-292496</c:v>
                </c:pt>
                <c:pt idx="277">
                  <c:v>-284865</c:v>
                </c:pt>
                <c:pt idx="278">
                  <c:v>-293016</c:v>
                </c:pt>
                <c:pt idx="279">
                  <c:v>-318036</c:v>
                </c:pt>
                <c:pt idx="280">
                  <c:v>-332217</c:v>
                </c:pt>
                <c:pt idx="281">
                  <c:v>-332217</c:v>
                </c:pt>
                <c:pt idx="282">
                  <c:v>-350652</c:v>
                </c:pt>
                <c:pt idx="283">
                  <c:v>-310022</c:v>
                </c:pt>
                <c:pt idx="284">
                  <c:v>-329931</c:v>
                </c:pt>
                <c:pt idx="285">
                  <c:v>-304043</c:v>
                </c:pt>
                <c:pt idx="286">
                  <c:v>-287156</c:v>
                </c:pt>
                <c:pt idx="287">
                  <c:v>-287261</c:v>
                </c:pt>
                <c:pt idx="288">
                  <c:v>-309650</c:v>
                </c:pt>
                <c:pt idx="289">
                  <c:v>-344175</c:v>
                </c:pt>
                <c:pt idx="290">
                  <c:v>-372426</c:v>
                </c:pt>
                <c:pt idx="291">
                  <c:v>-325590</c:v>
                </c:pt>
                <c:pt idx="292">
                  <c:v>-311007</c:v>
                </c:pt>
                <c:pt idx="293">
                  <c:v>-338287</c:v>
                </c:pt>
                <c:pt idx="294">
                  <c:v>-347338</c:v>
                </c:pt>
                <c:pt idx="295">
                  <c:v>-334027</c:v>
                </c:pt>
                <c:pt idx="296">
                  <c:v>-333277</c:v>
                </c:pt>
                <c:pt idx="297">
                  <c:v>-388697</c:v>
                </c:pt>
                <c:pt idx="298">
                  <c:v>-418528</c:v>
                </c:pt>
                <c:pt idx="299">
                  <c:v>-427086</c:v>
                </c:pt>
                <c:pt idx="300">
                  <c:v>-452598</c:v>
                </c:pt>
                <c:pt idx="301">
                  <c:v>-411819</c:v>
                </c:pt>
                <c:pt idx="302">
                  <c:v>-387339</c:v>
                </c:pt>
                <c:pt idx="303">
                  <c:v>-370897</c:v>
                </c:pt>
                <c:pt idx="304">
                  <c:v>-337040</c:v>
                </c:pt>
                <c:pt idx="305">
                  <c:v>-292207</c:v>
                </c:pt>
                <c:pt idx="306">
                  <c:v>-319400</c:v>
                </c:pt>
                <c:pt idx="307">
                  <c:v>-319954</c:v>
                </c:pt>
                <c:pt idx="308">
                  <c:v>-271141</c:v>
                </c:pt>
                <c:pt idx="309">
                  <c:v>-310906</c:v>
                </c:pt>
                <c:pt idx="310">
                  <c:v>-271066</c:v>
                </c:pt>
                <c:pt idx="311">
                  <c:v>-250896</c:v>
                </c:pt>
                <c:pt idx="312">
                  <c:v>-254602</c:v>
                </c:pt>
                <c:pt idx="313">
                  <c:v>-292506</c:v>
                </c:pt>
                <c:pt idx="314">
                  <c:v>-338588</c:v>
                </c:pt>
                <c:pt idx="315">
                  <c:v>-338588</c:v>
                </c:pt>
                <c:pt idx="316">
                  <c:v>-397850</c:v>
                </c:pt>
                <c:pt idx="317">
                  <c:v>-437674</c:v>
                </c:pt>
                <c:pt idx="318">
                  <c:v>-460544</c:v>
                </c:pt>
                <c:pt idx="319">
                  <c:v>-463611</c:v>
                </c:pt>
                <c:pt idx="320">
                  <c:v>-461556</c:v>
                </c:pt>
                <c:pt idx="321">
                  <c:v>-477385</c:v>
                </c:pt>
                <c:pt idx="322">
                  <c:v>-513178</c:v>
                </c:pt>
                <c:pt idx="323">
                  <c:v>-489914</c:v>
                </c:pt>
                <c:pt idx="324">
                  <c:v>-502916</c:v>
                </c:pt>
                <c:pt idx="325">
                  <c:v>-467922</c:v>
                </c:pt>
                <c:pt idx="326">
                  <c:v>-428700</c:v>
                </c:pt>
                <c:pt idx="327">
                  <c:v>-421361</c:v>
                </c:pt>
                <c:pt idx="328">
                  <c:v>-426979</c:v>
                </c:pt>
                <c:pt idx="329">
                  <c:v>-418750</c:v>
                </c:pt>
                <c:pt idx="330">
                  <c:v>-415018</c:v>
                </c:pt>
                <c:pt idx="331">
                  <c:v>-444918</c:v>
                </c:pt>
                <c:pt idx="332">
                  <c:v>-399316</c:v>
                </c:pt>
                <c:pt idx="333">
                  <c:v>-406481</c:v>
                </c:pt>
                <c:pt idx="334">
                  <c:v>-368038</c:v>
                </c:pt>
                <c:pt idx="335">
                  <c:v>-410940</c:v>
                </c:pt>
                <c:pt idx="336">
                  <c:v>-429130</c:v>
                </c:pt>
                <c:pt idx="337">
                  <c:v>-450253</c:v>
                </c:pt>
                <c:pt idx="338">
                  <c:v>-404699</c:v>
                </c:pt>
                <c:pt idx="339">
                  <c:v>-369581</c:v>
                </c:pt>
                <c:pt idx="340">
                  <c:v>-325262</c:v>
                </c:pt>
                <c:pt idx="341">
                  <c:v>-324733</c:v>
                </c:pt>
                <c:pt idx="342">
                  <c:v>-309602</c:v>
                </c:pt>
                <c:pt idx="343">
                  <c:v>-350603</c:v>
                </c:pt>
                <c:pt idx="344">
                  <c:v>-363036</c:v>
                </c:pt>
                <c:pt idx="345">
                  <c:v>-361381</c:v>
                </c:pt>
                <c:pt idx="346">
                  <c:v>-381444</c:v>
                </c:pt>
                <c:pt idx="347">
                  <c:v>-316745</c:v>
                </c:pt>
                <c:pt idx="348">
                  <c:v>-272607</c:v>
                </c:pt>
                <c:pt idx="349">
                  <c:v>-283822</c:v>
                </c:pt>
                <c:pt idx="350">
                  <c:v>-301386</c:v>
                </c:pt>
                <c:pt idx="351">
                  <c:v>-323659</c:v>
                </c:pt>
                <c:pt idx="352">
                  <c:v>-385386</c:v>
                </c:pt>
                <c:pt idx="353">
                  <c:v>-416618</c:v>
                </c:pt>
                <c:pt idx="354">
                  <c:v>-325043</c:v>
                </c:pt>
                <c:pt idx="355">
                  <c:v>-274196</c:v>
                </c:pt>
                <c:pt idx="356">
                  <c:v>-269400</c:v>
                </c:pt>
                <c:pt idx="357">
                  <c:v>-240432</c:v>
                </c:pt>
                <c:pt idx="358">
                  <c:v>-284841</c:v>
                </c:pt>
                <c:pt idx="359">
                  <c:v>-282765</c:v>
                </c:pt>
                <c:pt idx="360">
                  <c:v>-274778</c:v>
                </c:pt>
                <c:pt idx="361">
                  <c:v>-251041</c:v>
                </c:pt>
                <c:pt idx="362">
                  <c:v>-283452</c:v>
                </c:pt>
                <c:pt idx="363">
                  <c:v>-273338</c:v>
                </c:pt>
                <c:pt idx="364">
                  <c:v>-269056</c:v>
                </c:pt>
                <c:pt idx="365">
                  <c:v>-265084</c:v>
                </c:pt>
                <c:pt idx="366">
                  <c:v>-266581</c:v>
                </c:pt>
                <c:pt idx="367">
                  <c:v>-158381</c:v>
                </c:pt>
                <c:pt idx="368">
                  <c:v>-144470</c:v>
                </c:pt>
                <c:pt idx="369">
                  <c:v>-140495</c:v>
                </c:pt>
                <c:pt idx="370">
                  <c:v>-102060</c:v>
                </c:pt>
                <c:pt idx="371">
                  <c:v>-81046</c:v>
                </c:pt>
                <c:pt idx="372">
                  <c:v>-59318</c:v>
                </c:pt>
                <c:pt idx="373">
                  <c:v>-64962</c:v>
                </c:pt>
                <c:pt idx="374">
                  <c:v>-124826</c:v>
                </c:pt>
                <c:pt idx="375">
                  <c:v>-154841</c:v>
                </c:pt>
                <c:pt idx="376">
                  <c:v>-143643</c:v>
                </c:pt>
                <c:pt idx="377">
                  <c:v>-134114</c:v>
                </c:pt>
                <c:pt idx="378">
                  <c:v>-93171</c:v>
                </c:pt>
                <c:pt idx="379">
                  <c:v>-63939</c:v>
                </c:pt>
                <c:pt idx="380">
                  <c:v>-43444</c:v>
                </c:pt>
                <c:pt idx="381">
                  <c:v>-31919</c:v>
                </c:pt>
                <c:pt idx="382">
                  <c:v>-31373</c:v>
                </c:pt>
                <c:pt idx="383">
                  <c:v>-20615</c:v>
                </c:pt>
                <c:pt idx="384">
                  <c:v>-12363</c:v>
                </c:pt>
                <c:pt idx="385">
                  <c:v>-13396</c:v>
                </c:pt>
                <c:pt idx="386">
                  <c:v>-70287</c:v>
                </c:pt>
                <c:pt idx="387">
                  <c:v>-48083</c:v>
                </c:pt>
                <c:pt idx="388">
                  <c:v>-56995</c:v>
                </c:pt>
                <c:pt idx="389">
                  <c:v>-74492</c:v>
                </c:pt>
                <c:pt idx="390">
                  <c:v>-95333</c:v>
                </c:pt>
                <c:pt idx="391">
                  <c:v>-79676</c:v>
                </c:pt>
                <c:pt idx="392">
                  <c:v>-87218</c:v>
                </c:pt>
                <c:pt idx="393">
                  <c:v>-71125</c:v>
                </c:pt>
                <c:pt idx="394">
                  <c:v>-77942</c:v>
                </c:pt>
                <c:pt idx="395">
                  <c:v>-134317</c:v>
                </c:pt>
                <c:pt idx="396">
                  <c:v>-131522</c:v>
                </c:pt>
                <c:pt idx="397">
                  <c:v>-144792</c:v>
                </c:pt>
                <c:pt idx="398">
                  <c:v>-198117</c:v>
                </c:pt>
                <c:pt idx="399">
                  <c:v>-216016</c:v>
                </c:pt>
                <c:pt idx="400">
                  <c:v>-246978</c:v>
                </c:pt>
                <c:pt idx="401">
                  <c:v>-294384</c:v>
                </c:pt>
                <c:pt idx="402">
                  <c:v>-364430</c:v>
                </c:pt>
                <c:pt idx="403">
                  <c:v>-393655</c:v>
                </c:pt>
                <c:pt idx="404">
                  <c:v>-400117</c:v>
                </c:pt>
                <c:pt idx="405">
                  <c:v>-405097</c:v>
                </c:pt>
                <c:pt idx="406">
                  <c:v>-455312</c:v>
                </c:pt>
                <c:pt idx="407">
                  <c:v>-450494</c:v>
                </c:pt>
                <c:pt idx="408">
                  <c:v>-438975</c:v>
                </c:pt>
                <c:pt idx="409">
                  <c:v>-420887</c:v>
                </c:pt>
                <c:pt idx="410">
                  <c:v>-450399</c:v>
                </c:pt>
                <c:pt idx="411">
                  <c:v>-452926</c:v>
                </c:pt>
                <c:pt idx="412">
                  <c:v>-447839</c:v>
                </c:pt>
                <c:pt idx="413">
                  <c:v>-395038</c:v>
                </c:pt>
                <c:pt idx="414">
                  <c:v>-366950</c:v>
                </c:pt>
                <c:pt idx="415">
                  <c:v>-356178</c:v>
                </c:pt>
                <c:pt idx="416">
                  <c:v>-327745</c:v>
                </c:pt>
                <c:pt idx="417">
                  <c:v>-310107</c:v>
                </c:pt>
                <c:pt idx="418">
                  <c:v>-300810</c:v>
                </c:pt>
                <c:pt idx="419">
                  <c:v>-286895</c:v>
                </c:pt>
                <c:pt idx="420">
                  <c:v>-284847</c:v>
                </c:pt>
                <c:pt idx="421">
                  <c:v>-264350</c:v>
                </c:pt>
                <c:pt idx="422">
                  <c:v>-247771</c:v>
                </c:pt>
                <c:pt idx="423">
                  <c:v>-247866</c:v>
                </c:pt>
                <c:pt idx="424">
                  <c:v>-255125</c:v>
                </c:pt>
                <c:pt idx="425">
                  <c:v>-256115</c:v>
                </c:pt>
                <c:pt idx="426">
                  <c:v>-265339</c:v>
                </c:pt>
                <c:pt idx="427">
                  <c:v>-252568</c:v>
                </c:pt>
                <c:pt idx="428">
                  <c:v>-259198</c:v>
                </c:pt>
                <c:pt idx="429">
                  <c:v>-245191</c:v>
                </c:pt>
                <c:pt idx="430">
                  <c:v>-257825</c:v>
                </c:pt>
                <c:pt idx="431">
                  <c:v>-249919</c:v>
                </c:pt>
                <c:pt idx="432">
                  <c:v>-257903</c:v>
                </c:pt>
                <c:pt idx="433">
                  <c:v>-279672</c:v>
                </c:pt>
                <c:pt idx="434">
                  <c:v>-296750</c:v>
                </c:pt>
                <c:pt idx="435">
                  <c:v>-307777</c:v>
                </c:pt>
                <c:pt idx="436">
                  <c:v>-333255</c:v>
                </c:pt>
                <c:pt idx="437">
                  <c:v>-351679</c:v>
                </c:pt>
                <c:pt idx="438">
                  <c:v>-379099</c:v>
                </c:pt>
                <c:pt idx="439">
                  <c:v>-393136</c:v>
                </c:pt>
                <c:pt idx="440">
                  <c:v>-399313</c:v>
                </c:pt>
                <c:pt idx="441">
                  <c:v>-386166</c:v>
                </c:pt>
                <c:pt idx="442">
                  <c:v>-435148</c:v>
                </c:pt>
                <c:pt idx="443">
                  <c:v>-446677</c:v>
                </c:pt>
                <c:pt idx="444">
                  <c:v>-456631</c:v>
                </c:pt>
                <c:pt idx="445">
                  <c:v>-440250</c:v>
                </c:pt>
                <c:pt idx="446">
                  <c:v>-410857</c:v>
                </c:pt>
                <c:pt idx="447">
                  <c:v>-337635</c:v>
                </c:pt>
                <c:pt idx="448">
                  <c:v>-319012</c:v>
                </c:pt>
                <c:pt idx="449">
                  <c:v>-285446</c:v>
                </c:pt>
                <c:pt idx="450">
                  <c:v>-260659</c:v>
                </c:pt>
                <c:pt idx="451">
                  <c:v>-254615</c:v>
                </c:pt>
                <c:pt idx="452">
                  <c:v>-240969</c:v>
                </c:pt>
                <c:pt idx="453">
                  <c:v>-245891</c:v>
                </c:pt>
                <c:pt idx="454">
                  <c:v>-236774</c:v>
                </c:pt>
                <c:pt idx="455">
                  <c:v>-206638</c:v>
                </c:pt>
                <c:pt idx="456">
                  <c:v>-137570</c:v>
                </c:pt>
                <c:pt idx="457">
                  <c:v>-187514</c:v>
                </c:pt>
                <c:pt idx="458">
                  <c:v>-186246</c:v>
                </c:pt>
                <c:pt idx="459">
                  <c:v>-180037</c:v>
                </c:pt>
                <c:pt idx="460">
                  <c:v>-129558</c:v>
                </c:pt>
                <c:pt idx="461">
                  <c:v>-106105</c:v>
                </c:pt>
                <c:pt idx="462">
                  <c:v>-94311</c:v>
                </c:pt>
                <c:pt idx="463">
                  <c:v>-74640</c:v>
                </c:pt>
                <c:pt idx="464">
                  <c:v>-91978</c:v>
                </c:pt>
                <c:pt idx="465">
                  <c:v>-81878</c:v>
                </c:pt>
                <c:pt idx="466">
                  <c:v>-79241</c:v>
                </c:pt>
                <c:pt idx="467">
                  <c:v>-81503</c:v>
                </c:pt>
                <c:pt idx="468">
                  <c:v>-113614</c:v>
                </c:pt>
                <c:pt idx="469">
                  <c:v>-88126</c:v>
                </c:pt>
                <c:pt idx="470">
                  <c:v>-136864</c:v>
                </c:pt>
                <c:pt idx="471">
                  <c:v>-267558</c:v>
                </c:pt>
                <c:pt idx="472">
                  <c:v>-351925</c:v>
                </c:pt>
                <c:pt idx="473">
                  <c:v>-402612</c:v>
                </c:pt>
                <c:pt idx="474">
                  <c:v>-454045</c:v>
                </c:pt>
                <c:pt idx="475">
                  <c:v>-424169</c:v>
                </c:pt>
                <c:pt idx="476">
                  <c:v>-363529</c:v>
                </c:pt>
                <c:pt idx="477">
                  <c:v>-330077</c:v>
                </c:pt>
                <c:pt idx="478">
                  <c:v>-296697</c:v>
                </c:pt>
                <c:pt idx="479">
                  <c:v>-290833</c:v>
                </c:pt>
                <c:pt idx="480">
                  <c:v>-293514</c:v>
                </c:pt>
                <c:pt idx="481">
                  <c:v>-258479</c:v>
                </c:pt>
                <c:pt idx="482">
                  <c:v>-305725</c:v>
                </c:pt>
                <c:pt idx="483">
                  <c:v>-300170</c:v>
                </c:pt>
                <c:pt idx="484">
                  <c:v>-313194</c:v>
                </c:pt>
                <c:pt idx="485">
                  <c:v>-362763</c:v>
                </c:pt>
                <c:pt idx="486">
                  <c:v>-331907</c:v>
                </c:pt>
                <c:pt idx="487">
                  <c:v>-284954</c:v>
                </c:pt>
                <c:pt idx="488">
                  <c:v>-297417</c:v>
                </c:pt>
                <c:pt idx="489">
                  <c:v>-299510</c:v>
                </c:pt>
                <c:pt idx="490">
                  <c:v>-219933</c:v>
                </c:pt>
                <c:pt idx="491">
                  <c:v>-197749</c:v>
                </c:pt>
                <c:pt idx="492">
                  <c:v>-192470</c:v>
                </c:pt>
                <c:pt idx="493">
                  <c:v>-256314</c:v>
                </c:pt>
                <c:pt idx="494">
                  <c:v>-275592</c:v>
                </c:pt>
                <c:pt idx="495">
                  <c:v>-298119</c:v>
                </c:pt>
                <c:pt idx="496">
                  <c:v>-260543</c:v>
                </c:pt>
                <c:pt idx="497">
                  <c:v>-209053</c:v>
                </c:pt>
                <c:pt idx="498">
                  <c:v>-175596</c:v>
                </c:pt>
                <c:pt idx="499">
                  <c:v>-138540</c:v>
                </c:pt>
                <c:pt idx="500">
                  <c:v>-146237</c:v>
                </c:pt>
                <c:pt idx="501">
                  <c:v>-202572</c:v>
                </c:pt>
                <c:pt idx="502">
                  <c:v>-234586</c:v>
                </c:pt>
                <c:pt idx="503">
                  <c:v>-176743</c:v>
                </c:pt>
                <c:pt idx="504">
                  <c:v>-153333</c:v>
                </c:pt>
                <c:pt idx="505">
                  <c:v>-159902</c:v>
                </c:pt>
                <c:pt idx="506">
                  <c:v>-105417</c:v>
                </c:pt>
                <c:pt idx="507">
                  <c:v>-93205</c:v>
                </c:pt>
                <c:pt idx="508">
                  <c:v>-127007</c:v>
                </c:pt>
                <c:pt idx="509">
                  <c:v>-161554</c:v>
                </c:pt>
                <c:pt idx="510">
                  <c:v>-195896</c:v>
                </c:pt>
                <c:pt idx="511">
                  <c:v>-136372</c:v>
                </c:pt>
                <c:pt idx="512">
                  <c:v>-170122</c:v>
                </c:pt>
                <c:pt idx="513">
                  <c:v>-294664</c:v>
                </c:pt>
                <c:pt idx="514">
                  <c:v>-373427</c:v>
                </c:pt>
                <c:pt idx="515">
                  <c:v>-369114</c:v>
                </c:pt>
                <c:pt idx="516">
                  <c:v>-338063</c:v>
                </c:pt>
                <c:pt idx="517">
                  <c:v>-360153</c:v>
                </c:pt>
                <c:pt idx="518">
                  <c:v>-383356</c:v>
                </c:pt>
                <c:pt idx="519">
                  <c:v>-444333</c:v>
                </c:pt>
                <c:pt idx="520">
                  <c:v>-513503</c:v>
                </c:pt>
                <c:pt idx="521">
                  <c:v>-555715</c:v>
                </c:pt>
                <c:pt idx="522">
                  <c:v>-503026</c:v>
                </c:pt>
                <c:pt idx="523">
                  <c:v>-466891</c:v>
                </c:pt>
                <c:pt idx="524">
                  <c:v>-367881</c:v>
                </c:pt>
                <c:pt idx="525">
                  <c:v>-284561</c:v>
                </c:pt>
                <c:pt idx="526">
                  <c:v>-254403</c:v>
                </c:pt>
                <c:pt idx="527">
                  <c:v>-224705</c:v>
                </c:pt>
                <c:pt idx="528">
                  <c:v>-180820</c:v>
                </c:pt>
                <c:pt idx="529">
                  <c:v>-149754</c:v>
                </c:pt>
                <c:pt idx="530">
                  <c:v>-139308</c:v>
                </c:pt>
                <c:pt idx="531">
                  <c:v>-143772</c:v>
                </c:pt>
                <c:pt idx="532">
                  <c:v>-109196</c:v>
                </c:pt>
                <c:pt idx="533">
                  <c:v>-101020</c:v>
                </c:pt>
                <c:pt idx="534">
                  <c:v>-125235</c:v>
                </c:pt>
                <c:pt idx="535">
                  <c:v>-139058</c:v>
                </c:pt>
                <c:pt idx="536">
                  <c:v>-111150</c:v>
                </c:pt>
                <c:pt idx="537">
                  <c:v>-166147</c:v>
                </c:pt>
                <c:pt idx="538">
                  <c:v>-187310</c:v>
                </c:pt>
                <c:pt idx="539">
                  <c:v>-246659</c:v>
                </c:pt>
                <c:pt idx="540">
                  <c:v>-247096</c:v>
                </c:pt>
                <c:pt idx="541">
                  <c:v>-267340</c:v>
                </c:pt>
                <c:pt idx="542">
                  <c:v>-317456</c:v>
                </c:pt>
                <c:pt idx="543">
                  <c:v>-246975</c:v>
                </c:pt>
                <c:pt idx="544">
                  <c:v>-283409</c:v>
                </c:pt>
                <c:pt idx="545">
                  <c:v>-294293</c:v>
                </c:pt>
                <c:pt idx="546">
                  <c:v>-294277</c:v>
                </c:pt>
                <c:pt idx="547">
                  <c:v>-294692</c:v>
                </c:pt>
                <c:pt idx="548">
                  <c:v>-255948</c:v>
                </c:pt>
                <c:pt idx="549">
                  <c:v>-238835</c:v>
                </c:pt>
                <c:pt idx="550">
                  <c:v>-243029</c:v>
                </c:pt>
                <c:pt idx="551">
                  <c:v>-259860</c:v>
                </c:pt>
                <c:pt idx="552">
                  <c:v>-304152</c:v>
                </c:pt>
                <c:pt idx="553">
                  <c:v>-347687</c:v>
                </c:pt>
                <c:pt idx="554">
                  <c:v>-332739</c:v>
                </c:pt>
                <c:pt idx="555">
                  <c:v>-365605</c:v>
                </c:pt>
                <c:pt idx="556">
                  <c:v>-422702</c:v>
                </c:pt>
                <c:pt idx="557">
                  <c:v>-437741</c:v>
                </c:pt>
                <c:pt idx="558">
                  <c:v>-441535</c:v>
                </c:pt>
                <c:pt idx="559">
                  <c:v>-426928</c:v>
                </c:pt>
                <c:pt idx="560">
                  <c:v>-320525</c:v>
                </c:pt>
                <c:pt idx="561">
                  <c:v>-269569</c:v>
                </c:pt>
                <c:pt idx="562">
                  <c:v>-166119</c:v>
                </c:pt>
                <c:pt idx="563">
                  <c:v>-178857</c:v>
                </c:pt>
                <c:pt idx="564">
                  <c:v>-185222</c:v>
                </c:pt>
                <c:pt idx="565">
                  <c:v>-157699</c:v>
                </c:pt>
                <c:pt idx="566">
                  <c:v>-121757</c:v>
                </c:pt>
                <c:pt idx="567">
                  <c:v>-128735</c:v>
                </c:pt>
                <c:pt idx="568">
                  <c:v>-100019</c:v>
                </c:pt>
                <c:pt idx="569">
                  <c:v>-104800</c:v>
                </c:pt>
                <c:pt idx="570">
                  <c:v>-128864</c:v>
                </c:pt>
                <c:pt idx="571">
                  <c:v>-105113</c:v>
                </c:pt>
                <c:pt idx="572">
                  <c:v>-161899</c:v>
                </c:pt>
                <c:pt idx="573">
                  <c:v>-263360</c:v>
                </c:pt>
                <c:pt idx="574">
                  <c:v>-223904</c:v>
                </c:pt>
                <c:pt idx="575">
                  <c:v>-159613</c:v>
                </c:pt>
                <c:pt idx="576">
                  <c:v>-240166</c:v>
                </c:pt>
                <c:pt idx="577">
                  <c:v>-385743</c:v>
                </c:pt>
                <c:pt idx="578">
                  <c:v>-372329</c:v>
                </c:pt>
                <c:pt idx="579">
                  <c:v>-363953</c:v>
                </c:pt>
                <c:pt idx="580">
                  <c:v>-331184</c:v>
                </c:pt>
                <c:pt idx="581">
                  <c:v>-331673</c:v>
                </c:pt>
                <c:pt idx="582">
                  <c:v>-293835</c:v>
                </c:pt>
                <c:pt idx="583">
                  <c:v>-257280</c:v>
                </c:pt>
                <c:pt idx="584">
                  <c:v>-231883</c:v>
                </c:pt>
                <c:pt idx="585">
                  <c:v>-213624</c:v>
                </c:pt>
                <c:pt idx="586">
                  <c:v>-213640</c:v>
                </c:pt>
                <c:pt idx="587">
                  <c:v>-201068</c:v>
                </c:pt>
                <c:pt idx="588">
                  <c:v>-212326</c:v>
                </c:pt>
                <c:pt idx="589">
                  <c:v>-196212</c:v>
                </c:pt>
                <c:pt idx="590">
                  <c:v>-177519</c:v>
                </c:pt>
                <c:pt idx="591">
                  <c:v>-157920</c:v>
                </c:pt>
                <c:pt idx="592">
                  <c:v>-144373</c:v>
                </c:pt>
                <c:pt idx="593">
                  <c:v>-116744</c:v>
                </c:pt>
                <c:pt idx="594">
                  <c:v>-122112</c:v>
                </c:pt>
                <c:pt idx="595">
                  <c:v>-80134</c:v>
                </c:pt>
                <c:pt idx="596">
                  <c:v>-108379</c:v>
                </c:pt>
                <c:pt idx="597">
                  <c:v>-133493</c:v>
                </c:pt>
                <c:pt idx="598">
                  <c:v>-164335</c:v>
                </c:pt>
                <c:pt idx="599">
                  <c:v>-143620</c:v>
                </c:pt>
                <c:pt idx="600">
                  <c:v>-120589</c:v>
                </c:pt>
                <c:pt idx="601">
                  <c:v>-135744</c:v>
                </c:pt>
                <c:pt idx="602">
                  <c:v>-146892</c:v>
                </c:pt>
                <c:pt idx="603">
                  <c:v>-116505</c:v>
                </c:pt>
                <c:pt idx="604">
                  <c:v>-112949</c:v>
                </c:pt>
                <c:pt idx="605">
                  <c:v>-124048</c:v>
                </c:pt>
                <c:pt idx="606">
                  <c:v>-214810</c:v>
                </c:pt>
                <c:pt idx="607">
                  <c:v>-243733</c:v>
                </c:pt>
                <c:pt idx="608">
                  <c:v>-319159</c:v>
                </c:pt>
                <c:pt idx="609">
                  <c:v>-337446</c:v>
                </c:pt>
                <c:pt idx="610">
                  <c:v>-396074</c:v>
                </c:pt>
                <c:pt idx="611">
                  <c:v>-501159</c:v>
                </c:pt>
                <c:pt idx="612">
                  <c:v>-559334</c:v>
                </c:pt>
                <c:pt idx="613">
                  <c:v>-493564</c:v>
                </c:pt>
                <c:pt idx="614">
                  <c:v>-416392</c:v>
                </c:pt>
                <c:pt idx="615">
                  <c:v>-474985</c:v>
                </c:pt>
                <c:pt idx="616">
                  <c:v>-506526</c:v>
                </c:pt>
                <c:pt idx="617">
                  <c:v>-465300</c:v>
                </c:pt>
                <c:pt idx="618">
                  <c:v>-471995</c:v>
                </c:pt>
                <c:pt idx="619">
                  <c:v>-547374</c:v>
                </c:pt>
                <c:pt idx="620">
                  <c:v>-553624</c:v>
                </c:pt>
                <c:pt idx="621">
                  <c:v>-534517</c:v>
                </c:pt>
                <c:pt idx="622">
                  <c:v>-534715</c:v>
                </c:pt>
                <c:pt idx="623">
                  <c:v>-499412</c:v>
                </c:pt>
                <c:pt idx="624">
                  <c:v>-405433</c:v>
                </c:pt>
                <c:pt idx="625">
                  <c:v>-345151</c:v>
                </c:pt>
                <c:pt idx="626">
                  <c:v>-300064</c:v>
                </c:pt>
                <c:pt idx="627">
                  <c:v>-255151</c:v>
                </c:pt>
                <c:pt idx="628">
                  <c:v>-222540</c:v>
                </c:pt>
                <c:pt idx="629">
                  <c:v>-176308</c:v>
                </c:pt>
                <c:pt idx="630">
                  <c:v>-151488</c:v>
                </c:pt>
                <c:pt idx="631">
                  <c:v>-140798</c:v>
                </c:pt>
                <c:pt idx="632">
                  <c:v>-218432</c:v>
                </c:pt>
                <c:pt idx="633">
                  <c:v>-220341</c:v>
                </c:pt>
                <c:pt idx="634">
                  <c:v>-218235</c:v>
                </c:pt>
                <c:pt idx="635">
                  <c:v>-215962</c:v>
                </c:pt>
                <c:pt idx="636">
                  <c:v>-184787</c:v>
                </c:pt>
                <c:pt idx="637">
                  <c:v>-193839</c:v>
                </c:pt>
                <c:pt idx="638">
                  <c:v>-193785</c:v>
                </c:pt>
                <c:pt idx="639">
                  <c:v>-121090</c:v>
                </c:pt>
                <c:pt idx="640">
                  <c:v>-156676</c:v>
                </c:pt>
                <c:pt idx="641">
                  <c:v>-201536</c:v>
                </c:pt>
                <c:pt idx="642">
                  <c:v>-209325</c:v>
                </c:pt>
                <c:pt idx="643">
                  <c:v>-269023</c:v>
                </c:pt>
                <c:pt idx="644">
                  <c:v>-270710</c:v>
                </c:pt>
                <c:pt idx="645">
                  <c:v>-251433</c:v>
                </c:pt>
                <c:pt idx="646">
                  <c:v>-269501</c:v>
                </c:pt>
                <c:pt idx="647">
                  <c:v>-252934</c:v>
                </c:pt>
                <c:pt idx="648">
                  <c:v>-233979</c:v>
                </c:pt>
                <c:pt idx="649">
                  <c:v>-207574</c:v>
                </c:pt>
                <c:pt idx="650">
                  <c:v>-289339</c:v>
                </c:pt>
                <c:pt idx="651">
                  <c:v>-332769</c:v>
                </c:pt>
                <c:pt idx="652">
                  <c:v>-361814</c:v>
                </c:pt>
                <c:pt idx="653">
                  <c:v>-319594</c:v>
                </c:pt>
                <c:pt idx="654">
                  <c:v>-292099</c:v>
                </c:pt>
                <c:pt idx="655">
                  <c:v>-309159</c:v>
                </c:pt>
                <c:pt idx="656">
                  <c:v>-249778</c:v>
                </c:pt>
                <c:pt idx="657">
                  <c:v>-275535</c:v>
                </c:pt>
                <c:pt idx="658">
                  <c:v>-243437</c:v>
                </c:pt>
                <c:pt idx="659">
                  <c:v>-237986</c:v>
                </c:pt>
                <c:pt idx="660">
                  <c:v>-190617</c:v>
                </c:pt>
                <c:pt idx="661">
                  <c:v>-129671</c:v>
                </c:pt>
                <c:pt idx="662">
                  <c:v>-151822</c:v>
                </c:pt>
                <c:pt idx="663">
                  <c:v>-76749</c:v>
                </c:pt>
                <c:pt idx="664">
                  <c:v>-10613</c:v>
                </c:pt>
                <c:pt idx="665">
                  <c:v>-5820</c:v>
                </c:pt>
                <c:pt idx="666">
                  <c:v>-71408</c:v>
                </c:pt>
                <c:pt idx="667">
                  <c:v>-26354</c:v>
                </c:pt>
                <c:pt idx="668">
                  <c:v>2436</c:v>
                </c:pt>
                <c:pt idx="669">
                  <c:v>28009</c:v>
                </c:pt>
                <c:pt idx="670">
                  <c:v>47097</c:v>
                </c:pt>
                <c:pt idx="671">
                  <c:v>12527</c:v>
                </c:pt>
                <c:pt idx="672">
                  <c:v>-16340</c:v>
                </c:pt>
                <c:pt idx="673">
                  <c:v>-4516</c:v>
                </c:pt>
                <c:pt idx="674">
                  <c:v>-164294</c:v>
                </c:pt>
                <c:pt idx="675">
                  <c:v>-262346</c:v>
                </c:pt>
                <c:pt idx="676">
                  <c:v>-350736</c:v>
                </c:pt>
                <c:pt idx="677">
                  <c:v>-372510</c:v>
                </c:pt>
                <c:pt idx="678">
                  <c:v>-436385</c:v>
                </c:pt>
                <c:pt idx="679">
                  <c:v>-475536</c:v>
                </c:pt>
                <c:pt idx="680">
                  <c:v>-484109</c:v>
                </c:pt>
                <c:pt idx="681">
                  <c:v>-501979</c:v>
                </c:pt>
                <c:pt idx="682">
                  <c:v>-522525</c:v>
                </c:pt>
                <c:pt idx="683">
                  <c:v>-491720</c:v>
                </c:pt>
                <c:pt idx="684">
                  <c:v>-462354</c:v>
                </c:pt>
                <c:pt idx="685">
                  <c:v>-429883</c:v>
                </c:pt>
                <c:pt idx="686">
                  <c:v>-392467</c:v>
                </c:pt>
                <c:pt idx="687">
                  <c:v>-312269</c:v>
                </c:pt>
                <c:pt idx="688">
                  <c:v>-261523</c:v>
                </c:pt>
                <c:pt idx="689">
                  <c:v>-230898</c:v>
                </c:pt>
                <c:pt idx="690">
                  <c:v>-185903</c:v>
                </c:pt>
                <c:pt idx="691">
                  <c:v>-158333</c:v>
                </c:pt>
                <c:pt idx="692">
                  <c:v>-160438</c:v>
                </c:pt>
                <c:pt idx="693">
                  <c:v>-196763</c:v>
                </c:pt>
                <c:pt idx="694">
                  <c:v>-231592</c:v>
                </c:pt>
                <c:pt idx="695">
                  <c:v>-216143</c:v>
                </c:pt>
                <c:pt idx="696">
                  <c:v>-202165</c:v>
                </c:pt>
                <c:pt idx="697">
                  <c:v>-192598</c:v>
                </c:pt>
                <c:pt idx="698">
                  <c:v>-191695</c:v>
                </c:pt>
                <c:pt idx="699">
                  <c:v>-177138</c:v>
                </c:pt>
                <c:pt idx="700">
                  <c:v>-166975</c:v>
                </c:pt>
                <c:pt idx="701">
                  <c:v>-202474</c:v>
                </c:pt>
                <c:pt idx="702">
                  <c:v>-211035</c:v>
                </c:pt>
                <c:pt idx="703">
                  <c:v>-194136</c:v>
                </c:pt>
                <c:pt idx="704">
                  <c:v>-214086</c:v>
                </c:pt>
                <c:pt idx="705">
                  <c:v>-223595</c:v>
                </c:pt>
                <c:pt idx="706">
                  <c:v>-227740</c:v>
                </c:pt>
                <c:pt idx="707">
                  <c:v>-230122</c:v>
                </c:pt>
                <c:pt idx="708">
                  <c:v>-233519</c:v>
                </c:pt>
                <c:pt idx="709">
                  <c:v>-240650</c:v>
                </c:pt>
                <c:pt idx="710">
                  <c:v>-272976</c:v>
                </c:pt>
                <c:pt idx="711">
                  <c:v>-250745</c:v>
                </c:pt>
                <c:pt idx="712">
                  <c:v>-238101</c:v>
                </c:pt>
                <c:pt idx="713">
                  <c:v>-236358</c:v>
                </c:pt>
                <c:pt idx="714">
                  <c:v>-211469</c:v>
                </c:pt>
                <c:pt idx="715">
                  <c:v>-215112</c:v>
                </c:pt>
                <c:pt idx="716">
                  <c:v>-241143</c:v>
                </c:pt>
                <c:pt idx="717">
                  <c:v>-173068</c:v>
                </c:pt>
                <c:pt idx="718">
                  <c:v>-143339</c:v>
                </c:pt>
                <c:pt idx="719">
                  <c:v>-131102</c:v>
                </c:pt>
                <c:pt idx="720">
                  <c:v>-113944</c:v>
                </c:pt>
                <c:pt idx="721">
                  <c:v>-91630</c:v>
                </c:pt>
                <c:pt idx="722">
                  <c:v>-60191</c:v>
                </c:pt>
                <c:pt idx="723">
                  <c:v>-64667</c:v>
                </c:pt>
                <c:pt idx="724">
                  <c:v>-45580</c:v>
                </c:pt>
                <c:pt idx="725">
                  <c:v>-26272</c:v>
                </c:pt>
                <c:pt idx="726">
                  <c:v>-3722</c:v>
                </c:pt>
                <c:pt idx="727">
                  <c:v>15309</c:v>
                </c:pt>
                <c:pt idx="728">
                  <c:v>8060</c:v>
                </c:pt>
                <c:pt idx="729">
                  <c:v>21370</c:v>
                </c:pt>
                <c:pt idx="730">
                  <c:v>10753</c:v>
                </c:pt>
                <c:pt idx="731">
                  <c:v>23546</c:v>
                </c:pt>
                <c:pt idx="732">
                  <c:v>-26083</c:v>
                </c:pt>
                <c:pt idx="733">
                  <c:v>-80581</c:v>
                </c:pt>
                <c:pt idx="734">
                  <c:v>-95685</c:v>
                </c:pt>
                <c:pt idx="735">
                  <c:v>-95337</c:v>
                </c:pt>
                <c:pt idx="736">
                  <c:v>-98295</c:v>
                </c:pt>
                <c:pt idx="737">
                  <c:v>-62257</c:v>
                </c:pt>
                <c:pt idx="738">
                  <c:v>-58476</c:v>
                </c:pt>
                <c:pt idx="739">
                  <c:v>-109493</c:v>
                </c:pt>
                <c:pt idx="740">
                  <c:v>-163435</c:v>
                </c:pt>
                <c:pt idx="741">
                  <c:v>-220849</c:v>
                </c:pt>
                <c:pt idx="742">
                  <c:v>-240885</c:v>
                </c:pt>
                <c:pt idx="743">
                  <c:v>-263837</c:v>
                </c:pt>
                <c:pt idx="744">
                  <c:v>-299308</c:v>
                </c:pt>
                <c:pt idx="745">
                  <c:v>-307243</c:v>
                </c:pt>
                <c:pt idx="746">
                  <c:v>-364091</c:v>
                </c:pt>
                <c:pt idx="747">
                  <c:v>-388968</c:v>
                </c:pt>
                <c:pt idx="748">
                  <c:v>-469159</c:v>
                </c:pt>
                <c:pt idx="749">
                  <c:v>-554863</c:v>
                </c:pt>
                <c:pt idx="750">
                  <c:v>-567935</c:v>
                </c:pt>
                <c:pt idx="751">
                  <c:v>-594179</c:v>
                </c:pt>
                <c:pt idx="752">
                  <c:v>-603771</c:v>
                </c:pt>
                <c:pt idx="753">
                  <c:v>-647010</c:v>
                </c:pt>
                <c:pt idx="754">
                  <c:v>-628469</c:v>
                </c:pt>
                <c:pt idx="755">
                  <c:v>-628674</c:v>
                </c:pt>
                <c:pt idx="756">
                  <c:v>-623422</c:v>
                </c:pt>
                <c:pt idx="757">
                  <c:v>-641500</c:v>
                </c:pt>
                <c:pt idx="758">
                  <c:v>-714432</c:v>
                </c:pt>
                <c:pt idx="759">
                  <c:v>-761054</c:v>
                </c:pt>
                <c:pt idx="760">
                  <c:v>-774381</c:v>
                </c:pt>
                <c:pt idx="761">
                  <c:v>-763958</c:v>
                </c:pt>
                <c:pt idx="762">
                  <c:v>-753073</c:v>
                </c:pt>
                <c:pt idx="763">
                  <c:v>-742475</c:v>
                </c:pt>
                <c:pt idx="764">
                  <c:v>-761374</c:v>
                </c:pt>
                <c:pt idx="765">
                  <c:v>-760426</c:v>
                </c:pt>
                <c:pt idx="766">
                  <c:v>-748219</c:v>
                </c:pt>
                <c:pt idx="767">
                  <c:v>-729567</c:v>
                </c:pt>
                <c:pt idx="768">
                  <c:v>-723193</c:v>
                </c:pt>
                <c:pt idx="769">
                  <c:v>-722634</c:v>
                </c:pt>
                <c:pt idx="770">
                  <c:v>-722807</c:v>
                </c:pt>
                <c:pt idx="771">
                  <c:v>-726557</c:v>
                </c:pt>
                <c:pt idx="772">
                  <c:v>-713907</c:v>
                </c:pt>
                <c:pt idx="773">
                  <c:v>-735606</c:v>
                </c:pt>
                <c:pt idx="774">
                  <c:v>-728633</c:v>
                </c:pt>
                <c:pt idx="775">
                  <c:v>-710596</c:v>
                </c:pt>
                <c:pt idx="776">
                  <c:v>-722640</c:v>
                </c:pt>
                <c:pt idx="777">
                  <c:v>-673963</c:v>
                </c:pt>
                <c:pt idx="778">
                  <c:v>-627938</c:v>
                </c:pt>
                <c:pt idx="779">
                  <c:v>-594313</c:v>
                </c:pt>
                <c:pt idx="780">
                  <c:v>-628291</c:v>
                </c:pt>
                <c:pt idx="781">
                  <c:v>-603651</c:v>
                </c:pt>
                <c:pt idx="782">
                  <c:v>-567686</c:v>
                </c:pt>
                <c:pt idx="783">
                  <c:v>-536530</c:v>
                </c:pt>
                <c:pt idx="784">
                  <c:v>-537055</c:v>
                </c:pt>
                <c:pt idx="785">
                  <c:v>-513343</c:v>
                </c:pt>
                <c:pt idx="786">
                  <c:v>-497877</c:v>
                </c:pt>
                <c:pt idx="787">
                  <c:v>-504166</c:v>
                </c:pt>
                <c:pt idx="788">
                  <c:v>-495112</c:v>
                </c:pt>
                <c:pt idx="789">
                  <c:v>-497543</c:v>
                </c:pt>
                <c:pt idx="790">
                  <c:v>-486460</c:v>
                </c:pt>
                <c:pt idx="791">
                  <c:v>-502858</c:v>
                </c:pt>
                <c:pt idx="792">
                  <c:v>-486014</c:v>
                </c:pt>
                <c:pt idx="793">
                  <c:v>-475483</c:v>
                </c:pt>
                <c:pt idx="794">
                  <c:v>-442585</c:v>
                </c:pt>
                <c:pt idx="795">
                  <c:v>-436926</c:v>
                </c:pt>
                <c:pt idx="796">
                  <c:v>-441231</c:v>
                </c:pt>
                <c:pt idx="797">
                  <c:v>-459488</c:v>
                </c:pt>
                <c:pt idx="798">
                  <c:v>-469682</c:v>
                </c:pt>
                <c:pt idx="799">
                  <c:v>-455550</c:v>
                </c:pt>
                <c:pt idx="800">
                  <c:v>-452719</c:v>
                </c:pt>
                <c:pt idx="801">
                  <c:v>-491827</c:v>
                </c:pt>
                <c:pt idx="802">
                  <c:v>-559794</c:v>
                </c:pt>
                <c:pt idx="803">
                  <c:v>-568564</c:v>
                </c:pt>
                <c:pt idx="804">
                  <c:v>-588039</c:v>
                </c:pt>
                <c:pt idx="805">
                  <c:v>-614963</c:v>
                </c:pt>
                <c:pt idx="806">
                  <c:v>-606174</c:v>
                </c:pt>
                <c:pt idx="807">
                  <c:v>-635001</c:v>
                </c:pt>
                <c:pt idx="808">
                  <c:v>-648338</c:v>
                </c:pt>
                <c:pt idx="809">
                  <c:v>-662912</c:v>
                </c:pt>
                <c:pt idx="810">
                  <c:v>-674323</c:v>
                </c:pt>
                <c:pt idx="811">
                  <c:v>-648855</c:v>
                </c:pt>
                <c:pt idx="812">
                  <c:v>-651582</c:v>
                </c:pt>
                <c:pt idx="813">
                  <c:v>-630775</c:v>
                </c:pt>
                <c:pt idx="814">
                  <c:v>-678313</c:v>
                </c:pt>
                <c:pt idx="815">
                  <c:v>-685597</c:v>
                </c:pt>
                <c:pt idx="816">
                  <c:v>-662918</c:v>
                </c:pt>
                <c:pt idx="817">
                  <c:v>-667107</c:v>
                </c:pt>
                <c:pt idx="818">
                  <c:v>-702628</c:v>
                </c:pt>
                <c:pt idx="819">
                  <c:v>-717411</c:v>
                </c:pt>
                <c:pt idx="820">
                  <c:v>-731987</c:v>
                </c:pt>
                <c:pt idx="821">
                  <c:v>-726318</c:v>
                </c:pt>
                <c:pt idx="822">
                  <c:v>-737088</c:v>
                </c:pt>
                <c:pt idx="823">
                  <c:v>-694270</c:v>
                </c:pt>
                <c:pt idx="824">
                  <c:v>-700869</c:v>
                </c:pt>
                <c:pt idx="825">
                  <c:v>-714681</c:v>
                </c:pt>
                <c:pt idx="826">
                  <c:v>-735187</c:v>
                </c:pt>
                <c:pt idx="827">
                  <c:v>-711917</c:v>
                </c:pt>
                <c:pt idx="828">
                  <c:v>-713354</c:v>
                </c:pt>
                <c:pt idx="829">
                  <c:v>-671654</c:v>
                </c:pt>
                <c:pt idx="830">
                  <c:v>-693535</c:v>
                </c:pt>
                <c:pt idx="831">
                  <c:v>-635456</c:v>
                </c:pt>
                <c:pt idx="832">
                  <c:v>-613701</c:v>
                </c:pt>
                <c:pt idx="833">
                  <c:v>-594145</c:v>
                </c:pt>
                <c:pt idx="834">
                  <c:v>-594891</c:v>
                </c:pt>
                <c:pt idx="835">
                  <c:v>-565520</c:v>
                </c:pt>
                <c:pt idx="836">
                  <c:v>-507502</c:v>
                </c:pt>
                <c:pt idx="837">
                  <c:v>-428714</c:v>
                </c:pt>
                <c:pt idx="838">
                  <c:v>-411514</c:v>
                </c:pt>
                <c:pt idx="839">
                  <c:v>-375936</c:v>
                </c:pt>
                <c:pt idx="840">
                  <c:v>-358075</c:v>
                </c:pt>
                <c:pt idx="841">
                  <c:v>-362067</c:v>
                </c:pt>
                <c:pt idx="842">
                  <c:v>-373542</c:v>
                </c:pt>
                <c:pt idx="843">
                  <c:v>-383520</c:v>
                </c:pt>
                <c:pt idx="844">
                  <c:v>-428404</c:v>
                </c:pt>
                <c:pt idx="845">
                  <c:v>-449986</c:v>
                </c:pt>
                <c:pt idx="846">
                  <c:v>-456538</c:v>
                </c:pt>
                <c:pt idx="847">
                  <c:v>-454897</c:v>
                </c:pt>
                <c:pt idx="848">
                  <c:v>-461638</c:v>
                </c:pt>
                <c:pt idx="849">
                  <c:v>-433342</c:v>
                </c:pt>
                <c:pt idx="850">
                  <c:v>-440762</c:v>
                </c:pt>
                <c:pt idx="851">
                  <c:v>-463633</c:v>
                </c:pt>
                <c:pt idx="852">
                  <c:v>-455253</c:v>
                </c:pt>
                <c:pt idx="853">
                  <c:v>-476353</c:v>
                </c:pt>
                <c:pt idx="854">
                  <c:v>-490638</c:v>
                </c:pt>
                <c:pt idx="855">
                  <c:v>-460714</c:v>
                </c:pt>
                <c:pt idx="856">
                  <c:v>-424628</c:v>
                </c:pt>
                <c:pt idx="857">
                  <c:v>-420505</c:v>
                </c:pt>
                <c:pt idx="858">
                  <c:v>-440927</c:v>
                </c:pt>
                <c:pt idx="859">
                  <c:v>-356614</c:v>
                </c:pt>
                <c:pt idx="860">
                  <c:v>-367770</c:v>
                </c:pt>
                <c:pt idx="861">
                  <c:v>-343155</c:v>
                </c:pt>
                <c:pt idx="862">
                  <c:v>-388045</c:v>
                </c:pt>
                <c:pt idx="863">
                  <c:v>-419212</c:v>
                </c:pt>
                <c:pt idx="864">
                  <c:v>-372866</c:v>
                </c:pt>
                <c:pt idx="865">
                  <c:v>-400976</c:v>
                </c:pt>
                <c:pt idx="866">
                  <c:v>-395931</c:v>
                </c:pt>
                <c:pt idx="867">
                  <c:v>-417093</c:v>
                </c:pt>
                <c:pt idx="868">
                  <c:v>-399749</c:v>
                </c:pt>
                <c:pt idx="869">
                  <c:v>-421698</c:v>
                </c:pt>
                <c:pt idx="870">
                  <c:v>-404585</c:v>
                </c:pt>
                <c:pt idx="871">
                  <c:v>-267972</c:v>
                </c:pt>
                <c:pt idx="872">
                  <c:v>-231366</c:v>
                </c:pt>
                <c:pt idx="873">
                  <c:v>-165518</c:v>
                </c:pt>
                <c:pt idx="874">
                  <c:v>-175450</c:v>
                </c:pt>
                <c:pt idx="875">
                  <c:v>-203547</c:v>
                </c:pt>
                <c:pt idx="876">
                  <c:v>-242880</c:v>
                </c:pt>
                <c:pt idx="877">
                  <c:v>-238845</c:v>
                </c:pt>
                <c:pt idx="878">
                  <c:v>-246614</c:v>
                </c:pt>
                <c:pt idx="879">
                  <c:v>-181427</c:v>
                </c:pt>
                <c:pt idx="880">
                  <c:v>-99053</c:v>
                </c:pt>
                <c:pt idx="881">
                  <c:v>-113222</c:v>
                </c:pt>
                <c:pt idx="882">
                  <c:v>-117725</c:v>
                </c:pt>
                <c:pt idx="883">
                  <c:v>-102147</c:v>
                </c:pt>
                <c:pt idx="884">
                  <c:v>-147843</c:v>
                </c:pt>
                <c:pt idx="885">
                  <c:v>-157097</c:v>
                </c:pt>
                <c:pt idx="886">
                  <c:v>-207452</c:v>
                </c:pt>
                <c:pt idx="887">
                  <c:v>-282601</c:v>
                </c:pt>
                <c:pt idx="888">
                  <c:v>-284481</c:v>
                </c:pt>
                <c:pt idx="889">
                  <c:v>-209491</c:v>
                </c:pt>
                <c:pt idx="890">
                  <c:v>-160533</c:v>
                </c:pt>
                <c:pt idx="891">
                  <c:v>-173849</c:v>
                </c:pt>
                <c:pt idx="892">
                  <c:v>-221745</c:v>
                </c:pt>
                <c:pt idx="893">
                  <c:v>-213421</c:v>
                </c:pt>
                <c:pt idx="894">
                  <c:v>-156900</c:v>
                </c:pt>
                <c:pt idx="895">
                  <c:v>-111713</c:v>
                </c:pt>
                <c:pt idx="896">
                  <c:v>-80858</c:v>
                </c:pt>
                <c:pt idx="897">
                  <c:v>-103482</c:v>
                </c:pt>
                <c:pt idx="898">
                  <c:v>-93506</c:v>
                </c:pt>
                <c:pt idx="899">
                  <c:v>-54565</c:v>
                </c:pt>
                <c:pt idx="900">
                  <c:v>-31877</c:v>
                </c:pt>
                <c:pt idx="901">
                  <c:v>-16422</c:v>
                </c:pt>
                <c:pt idx="902">
                  <c:v>-33945</c:v>
                </c:pt>
                <c:pt idx="903">
                  <c:v>-73904</c:v>
                </c:pt>
                <c:pt idx="904">
                  <c:v>-66933</c:v>
                </c:pt>
                <c:pt idx="905">
                  <c:v>-74100</c:v>
                </c:pt>
                <c:pt idx="906">
                  <c:v>-46108</c:v>
                </c:pt>
                <c:pt idx="907">
                  <c:v>-28509</c:v>
                </c:pt>
                <c:pt idx="908">
                  <c:v>-34173</c:v>
                </c:pt>
                <c:pt idx="909">
                  <c:v>-24064</c:v>
                </c:pt>
                <c:pt idx="910">
                  <c:v>177</c:v>
                </c:pt>
                <c:pt idx="911">
                  <c:v>-39754</c:v>
                </c:pt>
                <c:pt idx="912">
                  <c:v>-45655</c:v>
                </c:pt>
                <c:pt idx="913">
                  <c:v>-18643</c:v>
                </c:pt>
                <c:pt idx="914">
                  <c:v>-19436</c:v>
                </c:pt>
                <c:pt idx="915">
                  <c:v>2233</c:v>
                </c:pt>
                <c:pt idx="916">
                  <c:v>291</c:v>
                </c:pt>
                <c:pt idx="917">
                  <c:v>25449</c:v>
                </c:pt>
                <c:pt idx="918">
                  <c:v>26054</c:v>
                </c:pt>
                <c:pt idx="919">
                  <c:v>18000</c:v>
                </c:pt>
                <c:pt idx="920">
                  <c:v>23470</c:v>
                </c:pt>
                <c:pt idx="921">
                  <c:v>40206</c:v>
                </c:pt>
                <c:pt idx="922">
                  <c:v>58342</c:v>
                </c:pt>
                <c:pt idx="923">
                  <c:v>22133</c:v>
                </c:pt>
                <c:pt idx="924">
                  <c:v>11424</c:v>
                </c:pt>
                <c:pt idx="925">
                  <c:v>-31068</c:v>
                </c:pt>
                <c:pt idx="926">
                  <c:v>-45723</c:v>
                </c:pt>
                <c:pt idx="927">
                  <c:v>-29810</c:v>
                </c:pt>
                <c:pt idx="928">
                  <c:v>-23319</c:v>
                </c:pt>
                <c:pt idx="929">
                  <c:v>-20771</c:v>
                </c:pt>
                <c:pt idx="930">
                  <c:v>-3673</c:v>
                </c:pt>
                <c:pt idx="931">
                  <c:v>-42172</c:v>
                </c:pt>
                <c:pt idx="932">
                  <c:v>-55445</c:v>
                </c:pt>
                <c:pt idx="933">
                  <c:v>-162635</c:v>
                </c:pt>
                <c:pt idx="934">
                  <c:v>-180617</c:v>
                </c:pt>
                <c:pt idx="935">
                  <c:v>-146685</c:v>
                </c:pt>
                <c:pt idx="936">
                  <c:v>-127477</c:v>
                </c:pt>
                <c:pt idx="937">
                  <c:v>-53078</c:v>
                </c:pt>
                <c:pt idx="938">
                  <c:v>-65030</c:v>
                </c:pt>
                <c:pt idx="939">
                  <c:v>-81662</c:v>
                </c:pt>
                <c:pt idx="940">
                  <c:v>999</c:v>
                </c:pt>
                <c:pt idx="941">
                  <c:v>46030</c:v>
                </c:pt>
                <c:pt idx="942">
                  <c:v>62665</c:v>
                </c:pt>
                <c:pt idx="943">
                  <c:v>60677</c:v>
                </c:pt>
                <c:pt idx="944">
                  <c:v>37516</c:v>
                </c:pt>
                <c:pt idx="945">
                  <c:v>27147</c:v>
                </c:pt>
                <c:pt idx="946">
                  <c:v>-11457</c:v>
                </c:pt>
                <c:pt idx="947">
                  <c:v>9633</c:v>
                </c:pt>
                <c:pt idx="948">
                  <c:v>14669</c:v>
                </c:pt>
                <c:pt idx="949">
                  <c:v>-17856</c:v>
                </c:pt>
                <c:pt idx="950">
                  <c:v>-75640</c:v>
                </c:pt>
                <c:pt idx="951">
                  <c:v>-107349</c:v>
                </c:pt>
                <c:pt idx="952">
                  <c:v>-102228</c:v>
                </c:pt>
                <c:pt idx="953">
                  <c:v>-108036</c:v>
                </c:pt>
                <c:pt idx="954">
                  <c:v>-157100</c:v>
                </c:pt>
                <c:pt idx="955">
                  <c:v>-192610</c:v>
                </c:pt>
                <c:pt idx="956">
                  <c:v>-133036</c:v>
                </c:pt>
                <c:pt idx="957">
                  <c:v>-155577</c:v>
                </c:pt>
                <c:pt idx="958">
                  <c:v>-218155</c:v>
                </c:pt>
                <c:pt idx="959">
                  <c:v>-242949</c:v>
                </c:pt>
                <c:pt idx="960">
                  <c:v>-320637</c:v>
                </c:pt>
                <c:pt idx="961">
                  <c:v>-321974</c:v>
                </c:pt>
                <c:pt idx="962">
                  <c:v>-299063</c:v>
                </c:pt>
                <c:pt idx="963">
                  <c:v>-303385</c:v>
                </c:pt>
                <c:pt idx="964">
                  <c:v>-386100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9F-4043-BFB8-FB4FFBBE5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598664"/>
        <c:axId val="815598992"/>
      </c:lineChart>
      <c:catAx>
        <c:axId val="81559866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815598992"/>
        <c:crosses val="autoZero"/>
        <c:auto val="1"/>
        <c:lblAlgn val="ctr"/>
        <c:lblOffset val="100"/>
        <c:noMultiLvlLbl val="1"/>
      </c:catAx>
      <c:valAx>
        <c:axId val="815598992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Helvetica" panose="020B060402020203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Helvetica" panose="020B0604020202030204" pitchFamily="34" charset="0"/>
                  </a:rPr>
                  <a:t>contracts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Helvetica" panose="020B0604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5598664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BB7335D-1CC6-4809-A994-0EA6F4A249D5}">
  <sheetPr/>
  <sheetViews>
    <sheetView zoomScale="115" workbookViewId="0"/>
  </sheetViews>
  <pageMargins left="0.25" right="0.25" top="1.25" bottom="1.25" header="0.3" footer="0.3"/>
  <pageSetup paperSize="9" orientation="landscape" horizontalDpi="300" verticalDpi="30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4263480-5000-4236-AF7C-B6D323F6EECC}">
  <sheetPr/>
  <sheetViews>
    <sheetView zoomScale="115" workbookViewId="0"/>
  </sheetViews>
  <pageMargins left="0.25" right="0.25" top="1.25" bottom="1.25" header="0.3" footer="0.3"/>
  <pageSetup paperSize="9" orientation="landscape" horizontalDpi="300" verticalDpi="300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E95569-0A08-44C7-B59F-C1B681E0878B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94AB2DE-A14B-4EAF-B718-429F41FA31AE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780AD58-2EAF-4FB5-A90D-EDD6A1190322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2DFE8FA-1871-4ED2-BFCA-3F07ACD9A9AE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241ADF-4A0C-4C19-A57C-A1C20FBB195E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29A6AD6-062A-4F63-A2AF-ADE2E2A7098E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E4849BA-9D03-493C-A572-3D81440DA9D8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B99012-106C-4DB1-B15E-49A3181B4243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39E89AC-7F5A-4EE2-B444-9CABE36687D5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121348" cy="516006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FE5125-72AC-937C-F091-3203E06032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0.95323</cdr:y>
    </cdr:from>
    <cdr:to>
      <cdr:x>0.1874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167EEB-6890-26E7-D4CB-21A7DA6A34B6}"/>
            </a:ext>
          </a:extLst>
        </cdr:cNvPr>
        <cdr:cNvSpPr txBox="1"/>
      </cdr:nvSpPr>
      <cdr:spPr>
        <a:xfrm xmlns:a="http://schemas.openxmlformats.org/drawingml/2006/main">
          <a:off x="0" y="4918729"/>
          <a:ext cx="1896717" cy="2413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200" b="1"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GB" sz="1200" b="1" baseline="0">
              <a:latin typeface="Arial" panose="020B0604020202020204" pitchFamily="34" charset="0"/>
              <a:cs typeface="Arial" panose="020B0604020202020204" pitchFamily="34" charset="0"/>
            </a:rPr>
            <a:t> CME, CFTC</a:t>
          </a:r>
          <a:endParaRPr lang="en-GB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0121348" cy="516006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EFE1F2-57DF-BCAB-DAA7-FC01EEED6C3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0.95323</cdr:y>
    </cdr:from>
    <cdr:to>
      <cdr:x>0.50584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167EEB-6890-26E7-D4CB-21A7DA6A34B6}"/>
            </a:ext>
          </a:extLst>
        </cdr:cNvPr>
        <cdr:cNvSpPr txBox="1"/>
      </cdr:nvSpPr>
      <cdr:spPr>
        <a:xfrm xmlns:a="http://schemas.openxmlformats.org/drawingml/2006/main">
          <a:off x="0" y="5790196"/>
          <a:ext cx="4704013" cy="2840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200" b="0">
              <a:latin typeface="Brown" pitchFamily="2" charset="0"/>
            </a:rPr>
            <a:t>Source:</a:t>
          </a:r>
          <a:r>
            <a:rPr lang="en-GB" sz="1200" b="0" baseline="0">
              <a:latin typeface="Brown" pitchFamily="2" charset="0"/>
            </a:rPr>
            <a:t> CME, CFTC</a:t>
          </a:r>
          <a:endParaRPr lang="en-GB" sz="1200" b="0">
            <a:latin typeface="Brown" pitchFamily="2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1DE5B7-1B81-220B-131F-0A615B91E9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0.01705</cdr:x>
      <cdr:y>0.95221</cdr:y>
    </cdr:from>
    <cdr:to>
      <cdr:x>0.34102</cdr:x>
      <cdr:y>0.99469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D371F1B-8D1B-44A7-93F1-FEA772C1A81A}"/>
            </a:ext>
          </a:extLst>
        </cdr:cNvPr>
        <cdr:cNvSpPr txBox="1"/>
      </cdr:nvSpPr>
      <cdr:spPr>
        <a:xfrm xmlns:a="http://schemas.openxmlformats.org/drawingml/2006/main">
          <a:off x="161925" y="5124450"/>
          <a:ext cx="3076575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05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CME, CFTC</a:t>
          </a:r>
          <a:endParaRPr lang="en-US" sz="105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A79191-1C41-7901-0A52-CCBFB6369C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6CF032-2B21-0A8D-E7DB-EB6D93763D5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131629" cy="46046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814034-84E2-C322-9F0A-3E52FD245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131629" cy="46046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DB9F43-2298-B5F4-60FC-00AA5A861B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131629" cy="46046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346EE2-97C4-EAA6-D1AD-974D74FC177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9FE329-670D-565C-1863-BA13BD9038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C2A4A3-B5AA-0AF5-CBBF-A2689F7A105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0ECA1A-96FB-64F7-E6EF-3A430B70715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6A86-4202-45E1-A5A7-C30EA0E45DC3}">
  <dimension ref="A1:BJ616"/>
  <sheetViews>
    <sheetView zoomScale="70" zoomScaleNormal="70" workbookViewId="0">
      <pane xSplit="1" ySplit="2" topLeftCell="Y3" activePane="bottomRight" state="frozen"/>
      <selection pane="topRight" activeCell="B1" sqref="B1"/>
      <selection pane="bottomLeft" activeCell="A3" sqref="A3"/>
      <selection pane="bottomRight" activeCell="A3" sqref="A3:BJ9"/>
    </sheetView>
  </sheetViews>
  <sheetFormatPr defaultRowHeight="15"/>
  <cols>
    <col min="1" max="1" width="12.5703125" style="1" bestFit="1" customWidth="1"/>
    <col min="44" max="44" width="9.85546875" bestFit="1" customWidth="1"/>
  </cols>
  <sheetData>
    <row r="1" spans="1:62">
      <c r="B1" s="27" t="s">
        <v>0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W1" s="27" t="s">
        <v>1</v>
      </c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R1" s="27" t="s">
        <v>2</v>
      </c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</row>
    <row r="2" spans="1:62">
      <c r="B2" t="s">
        <v>3</v>
      </c>
      <c r="D2" t="s">
        <v>4</v>
      </c>
      <c r="F2" t="s">
        <v>5</v>
      </c>
      <c r="H2" t="s">
        <v>6</v>
      </c>
      <c r="J2" t="s">
        <v>7</v>
      </c>
      <c r="L2" t="s">
        <v>8</v>
      </c>
      <c r="N2" t="s">
        <v>9</v>
      </c>
      <c r="P2" t="s">
        <v>10</v>
      </c>
      <c r="R2" t="s">
        <v>11</v>
      </c>
      <c r="T2" t="s">
        <v>12</v>
      </c>
      <c r="W2" t="s">
        <v>3</v>
      </c>
      <c r="Y2" t="s">
        <v>4</v>
      </c>
      <c r="AA2" t="s">
        <v>5</v>
      </c>
      <c r="AC2" t="s">
        <v>6</v>
      </c>
      <c r="AE2" t="s">
        <v>7</v>
      </c>
      <c r="AG2" t="s">
        <v>8</v>
      </c>
      <c r="AI2" t="s">
        <v>9</v>
      </c>
      <c r="AK2" t="s">
        <v>10</v>
      </c>
      <c r="AM2" t="s">
        <v>11</v>
      </c>
      <c r="AO2" t="s">
        <v>12</v>
      </c>
      <c r="AR2" t="s">
        <v>3</v>
      </c>
      <c r="AT2" t="s">
        <v>4</v>
      </c>
      <c r="AV2" t="s">
        <v>5</v>
      </c>
      <c r="AX2" t="s">
        <v>6</v>
      </c>
      <c r="AZ2" t="s">
        <v>7</v>
      </c>
      <c r="BB2" t="s">
        <v>8</v>
      </c>
      <c r="BD2" t="s">
        <v>9</v>
      </c>
      <c r="BF2" t="s">
        <v>10</v>
      </c>
      <c r="BH2" t="s">
        <v>11</v>
      </c>
      <c r="BJ2" t="s">
        <v>12</v>
      </c>
    </row>
    <row r="3" spans="1:62">
      <c r="A3" s="2">
        <v>45594</v>
      </c>
      <c r="B3" s="3" t="e">
        <f ca="1">_xll.RHistory("3CFTC007601OI","NDA_RAW.Nda_last","START:"&amp;$A3&amp;" END:"&amp;$A3&amp;" INTERVAL:1W",,,)</f>
        <v>#NAME?</v>
      </c>
      <c r="C3" s="3"/>
      <c r="D3" s="3" t="e">
        <f ca="1">_xll.RHistory("3007601MLNG","NDA_RAW.Nda_last","START:"&amp;$A3&amp;" END:"&amp;$A3&amp;" INTERVAL:1W",,,)</f>
        <v>#NAME?</v>
      </c>
      <c r="E3" s="3"/>
      <c r="F3" s="3" t="e">
        <f ca="1">_xll.RHistory("3007601MSHT","NDA_RAW.Nda_last","START:"&amp;$A3&amp;" END:"&amp;$A3&amp;" INTERVAL:1W",,,)</f>
        <v>#NAME?</v>
      </c>
      <c r="G3" s="3"/>
      <c r="H3" s="3" t="e">
        <f ca="1">_xll.RHistory("3007601MNET","NDA_RAW.Nda_last","START:"&amp;$A3&amp;" END:"&amp;$A3&amp;" INTERVAL:1W",,,)</f>
        <v>#NAME?</v>
      </c>
      <c r="I3" s="3"/>
      <c r="J3" s="3" t="e">
        <f ca="1">_xll.RHistory("3007601CLNG","NDA_RAW.Nda_last","START:"&amp;$A3&amp;" END:"&amp;$A3&amp;" INTERVAL:1W",,,)</f>
        <v>#NAME?</v>
      </c>
      <c r="K3" s="3"/>
      <c r="L3" s="3" t="e">
        <f ca="1">_xll.RHistory("3007601CSHT","NDA_RAW.Nda_last","START:"&amp;$A3&amp;" END:"&amp;$A3&amp;" INTERVAL:1W",,,)</f>
        <v>#NAME?</v>
      </c>
      <c r="M3" s="3"/>
      <c r="N3" s="3" t="e">
        <f ca="1">_xll.RHistory("3007601CNET","NDA_RAW.Nda_last","START:"&amp;$A3&amp;" END:"&amp;$A3&amp;" INTERVAL:1W",,,)</f>
        <v>#NAME?</v>
      </c>
      <c r="O3" s="3"/>
      <c r="P3" s="3" t="e">
        <f ca="1">_xll.RHistory("3007601PLNG","NDA_RAW.Nda_last","START:"&amp;$A3&amp;" END:"&amp;$A3&amp;" INTERVAL:1W",,,)</f>
        <v>#NAME?</v>
      </c>
      <c r="Q3" s="3"/>
      <c r="R3" s="3" t="e">
        <f ca="1">_xll.RHistory("3007601PSHT","NDA_RAW.Nda_last","START:"&amp;$A3&amp;" END:"&amp;$A3&amp;" INTERVAL:1W",,,)</f>
        <v>#NAME?</v>
      </c>
      <c r="S3" s="3"/>
      <c r="T3" s="3" t="e">
        <f ca="1">_xll.RHistory("3007601PNET","NDA_RAW.Nda_last","START:"&amp;$A3&amp;" END:"&amp;$A3&amp;" INTERVAL:1W",,,)</f>
        <v>#NAME?</v>
      </c>
      <c r="U3" s="4"/>
      <c r="V3" s="4"/>
      <c r="W3" s="3" t="e">
        <f ca="1">_xll.RHistory("3CFTC026603OI","NDA_RAW.Nda_last","START:"&amp;$A3&amp;" END:"&amp;$A3&amp;" INTERVAL:1W",,,)</f>
        <v>#NAME?</v>
      </c>
      <c r="X3" s="4"/>
      <c r="Y3" s="3" t="e">
        <f ca="1">_xll.RHistory("3026603MLNG","NDA_RAW.Nda_last","START:"&amp;$A3&amp;" END:"&amp;$A3&amp;" INTERVAL:1W",,,)</f>
        <v>#NAME?</v>
      </c>
      <c r="Z3" s="4"/>
      <c r="AA3" s="3" t="e">
        <f ca="1">_xll.RHistory("3026603MSHT","NDA_RAW.Nda_last","START:"&amp;$A3&amp;" END:"&amp;$A3&amp;" INTERVAL:1W",,,)</f>
        <v>#NAME?</v>
      </c>
      <c r="AB3" s="4"/>
      <c r="AC3" s="3" t="e">
        <f ca="1">_xll.RHistory("3026603MNET","NDA_RAW.Nda_last","START:"&amp;$A3&amp;" END:"&amp;$A3&amp;" INTERVAL:1W",,,)</f>
        <v>#NAME?</v>
      </c>
      <c r="AD3" s="4"/>
      <c r="AE3" s="3" t="e">
        <f ca="1">_xll.RHistory("3026603CLNG","NDA_RAW.Nda_last","START:"&amp;$A3&amp;" END:"&amp;$A3&amp;" INTERVAL:1W",,,)</f>
        <v>#NAME?</v>
      </c>
      <c r="AF3" s="4"/>
      <c r="AG3" s="3" t="e">
        <f ca="1">_xll.RHistory("3026603CSHT","NDA_RAW.Nda_last","START:"&amp;$A3&amp;" END:"&amp;$A3&amp;" INTERVAL:1W",,,)</f>
        <v>#NAME?</v>
      </c>
      <c r="AH3" s="4"/>
      <c r="AI3" s="3" t="e">
        <f ca="1">_xll.RHistory("3026603CNET","NDA_RAW.Nda_last","START:"&amp;$A3&amp;" END:"&amp;$A3&amp;" INTERVAL:1W",,,)</f>
        <v>#NAME?</v>
      </c>
      <c r="AJ3" s="4"/>
      <c r="AK3" s="3" t="e">
        <f ca="1">_xll.RHistory("3026603PLNG","NDA_RAW.Nda_last","START:"&amp;$A3&amp;" END:"&amp;$A3&amp;" INTERVAL:1W",,,)</f>
        <v>#NAME?</v>
      </c>
      <c r="AL3" s="4"/>
      <c r="AM3" s="3" t="e">
        <f ca="1">_xll.RHistory("3026603PSHT","NDA_RAW.Nda_last","START:"&amp;$A3&amp;" END:"&amp;$A3&amp;" INTERVAL:1W",,,)</f>
        <v>#NAME?</v>
      </c>
      <c r="AN3" s="4"/>
      <c r="AO3" s="3" t="e">
        <f ca="1">_xll.RHistory("3026603PNET","NDA_RAW.Nda_last","START:"&amp;$A3&amp;" END:"&amp;$A3&amp;" INTERVAL:1W",,,)</f>
        <v>#NAME?</v>
      </c>
      <c r="AR3" s="3" t="e">
        <f ca="1">_xll.RHistory("3CFTC002602OI","NDA_RAW.Nda_last","START:"&amp;$A3&amp;" END:"&amp;$A3&amp;" INTERVAL:1W",,,)</f>
        <v>#NAME?</v>
      </c>
      <c r="AT3" s="3" t="e">
        <f ca="1">_xll.RHistory("3002602MLNG","NDA_RAW.Nda_last","START:"&amp;$A3&amp;" END:"&amp;$A3&amp;" INTERVAL:1W",,,)</f>
        <v>#NAME?</v>
      </c>
      <c r="AV3" s="3" t="e">
        <f ca="1">_xll.RHistory("3002602MSHT","NDA_RAW.Nda_last","START:"&amp;$A3&amp;" END:"&amp;$A3&amp;" INTERVAL:1W",,,)</f>
        <v>#NAME?</v>
      </c>
      <c r="AX3" s="3" t="e">
        <f t="shared" ref="AX3:AX9" ca="1" si="0">AT3-AV3</f>
        <v>#NAME?</v>
      </c>
      <c r="AZ3" s="3" t="e">
        <f ca="1">_xll.RHistory("3002602CLNG","NDA_RAW.Nda_last","START:"&amp;$A3&amp;" END:"&amp;$A3&amp;" INTERVAL:1W",,,)</f>
        <v>#NAME?</v>
      </c>
      <c r="BB3" s="3" t="e">
        <f ca="1">_xll.RHistory("3002602CSHT","NDA_RAW.Nda_last","START:"&amp;$A3&amp;" END:"&amp;$A3&amp;" INTERVAL:1W",,,)</f>
        <v>#NAME?</v>
      </c>
      <c r="BD3" s="3" t="e">
        <f t="shared" ref="BD3:BD9" ca="1" si="1">AZ3-BB3</f>
        <v>#NAME?</v>
      </c>
      <c r="BF3" s="3" t="e">
        <f ca="1">_xll.RHistory("3002602PLNG","NDA_RAW.Nda_last","START:"&amp;$A3&amp;" END:"&amp;$A3&amp;" INTERVAL:1W",,,)</f>
        <v>#NAME?</v>
      </c>
      <c r="BH3" s="3" t="e">
        <f ca="1">_xll.RHistory("3002602PSHT","NDA_RAW.Nda_last","START:"&amp;$A3&amp;" END:"&amp;$A3&amp;" INTERVAL:1W",,,)</f>
        <v>#NAME?</v>
      </c>
      <c r="BJ3" s="3" t="e">
        <f t="shared" ref="BJ3:BJ9" ca="1" si="2">BF3-BH3</f>
        <v>#NAME?</v>
      </c>
    </row>
    <row r="4" spans="1:62">
      <c r="A4" s="2">
        <f>A3+7</f>
        <v>45601</v>
      </c>
      <c r="B4" s="3" t="e">
        <f ca="1">_xll.RHistory("3CFTC007601OI","NDA_RAW.Nda_last","START:"&amp;$A4&amp;" END:"&amp;$A4&amp;" INTERVAL:1W",,,)</f>
        <v>#NAME?</v>
      </c>
      <c r="C4" s="3"/>
      <c r="D4" s="3" t="e">
        <f ca="1">_xll.RHistory("3007601MLNG","NDA_RAW.Nda_last","START:"&amp;$A4&amp;" END:"&amp;$A4&amp;" INTERVAL:1W",,,)</f>
        <v>#NAME?</v>
      </c>
      <c r="E4" s="3"/>
      <c r="F4" s="3" t="e">
        <f ca="1">_xll.RHistory("3007601MSHT","NDA_RAW.Nda_last","START:"&amp;$A4&amp;" END:"&amp;$A4&amp;" INTERVAL:1W",,,)</f>
        <v>#NAME?</v>
      </c>
      <c r="G4" s="3"/>
      <c r="H4" s="3" t="e">
        <f ca="1">_xll.RHistory("3007601MNET","NDA_RAW.Nda_last","START:"&amp;$A4&amp;" END:"&amp;$A4&amp;" INTERVAL:1W",,,)</f>
        <v>#NAME?</v>
      </c>
      <c r="I4" s="3"/>
      <c r="J4" s="3" t="e">
        <f ca="1">_xll.RHistory("3007601CLNG","NDA_RAW.Nda_last","START:"&amp;$A4&amp;" END:"&amp;$A4&amp;" INTERVAL:1W",,,)</f>
        <v>#NAME?</v>
      </c>
      <c r="K4" s="3"/>
      <c r="L4" s="3" t="e">
        <f ca="1">_xll.RHistory("3007601CSHT","NDA_RAW.Nda_last","START:"&amp;$A4&amp;" END:"&amp;$A4&amp;" INTERVAL:1W",,,)</f>
        <v>#NAME?</v>
      </c>
      <c r="M4" s="3"/>
      <c r="N4" s="3" t="e">
        <f ca="1">_xll.RHistory("3007601CNET","NDA_RAW.Nda_last","START:"&amp;$A4&amp;" END:"&amp;$A4&amp;" INTERVAL:1W",,,)</f>
        <v>#NAME?</v>
      </c>
      <c r="O4" s="3"/>
      <c r="P4" s="3" t="e">
        <f ca="1">_xll.RHistory("3007601PLNG","NDA_RAW.Nda_last","START:"&amp;$A4&amp;" END:"&amp;$A4&amp;" INTERVAL:1W",,,)</f>
        <v>#NAME?</v>
      </c>
      <c r="Q4" s="3"/>
      <c r="R4" s="3" t="e">
        <f ca="1">_xll.RHistory("3007601PSHT","NDA_RAW.Nda_last","START:"&amp;$A4&amp;" END:"&amp;$A4&amp;" INTERVAL:1W",,,)</f>
        <v>#NAME?</v>
      </c>
      <c r="S4" s="3"/>
      <c r="T4" s="3" t="e">
        <f ca="1">_xll.RHistory("3007601PNET","NDA_RAW.Nda_last","START:"&amp;$A4&amp;" END:"&amp;$A4&amp;" INTERVAL:1W",,,)</f>
        <v>#NAME?</v>
      </c>
      <c r="U4" s="4"/>
      <c r="V4" s="4"/>
      <c r="W4" s="3" t="e">
        <f ca="1">_xll.RHistory("3CFTC026603OI","NDA_RAW.Nda_last","START:"&amp;$A4&amp;" END:"&amp;$A4&amp;" INTERVAL:1W",,,)</f>
        <v>#NAME?</v>
      </c>
      <c r="X4" s="4"/>
      <c r="Y4" s="3" t="e">
        <f ca="1">_xll.RHistory("3026603MLNG","NDA_RAW.Nda_last","START:"&amp;$A4&amp;" END:"&amp;$A4&amp;" INTERVAL:1W",,,)</f>
        <v>#NAME?</v>
      </c>
      <c r="Z4" s="4"/>
      <c r="AA4" s="3" t="e">
        <f ca="1">_xll.RHistory("3026603MSHT","NDA_RAW.Nda_last","START:"&amp;$A4&amp;" END:"&amp;$A4&amp;" INTERVAL:1W",,,)</f>
        <v>#NAME?</v>
      </c>
      <c r="AB4" s="4"/>
      <c r="AC4" s="3" t="e">
        <f ca="1">_xll.RHistory("3026603MNET","NDA_RAW.Nda_last","START:"&amp;$A4&amp;" END:"&amp;$A4&amp;" INTERVAL:1W",,,)</f>
        <v>#NAME?</v>
      </c>
      <c r="AD4" s="4"/>
      <c r="AE4" s="3" t="e">
        <f ca="1">_xll.RHistory("3026603CLNG","NDA_RAW.Nda_last","START:"&amp;$A4&amp;" END:"&amp;$A4&amp;" INTERVAL:1W",,,)</f>
        <v>#NAME?</v>
      </c>
      <c r="AF4" s="4"/>
      <c r="AG4" s="3" t="e">
        <f ca="1">_xll.RHistory("3026603CSHT","NDA_RAW.Nda_last","START:"&amp;$A4&amp;" END:"&amp;$A4&amp;" INTERVAL:1W",,,)</f>
        <v>#NAME?</v>
      </c>
      <c r="AH4" s="4"/>
      <c r="AI4" s="3" t="e">
        <f ca="1">_xll.RHistory("3026603CNET","NDA_RAW.Nda_last","START:"&amp;$A4&amp;" END:"&amp;$A4&amp;" INTERVAL:1W",,,)</f>
        <v>#NAME?</v>
      </c>
      <c r="AJ4" s="4"/>
      <c r="AK4" s="3" t="e">
        <f ca="1">_xll.RHistory("3026603PLNG","NDA_RAW.Nda_last","START:"&amp;$A4&amp;" END:"&amp;$A4&amp;" INTERVAL:1W",,,)</f>
        <v>#NAME?</v>
      </c>
      <c r="AL4" s="4"/>
      <c r="AM4" s="3" t="e">
        <f ca="1">_xll.RHistory("3026603PSHT","NDA_RAW.Nda_last","START:"&amp;$A4&amp;" END:"&amp;$A4&amp;" INTERVAL:1W",,,)</f>
        <v>#NAME?</v>
      </c>
      <c r="AN4" s="4"/>
      <c r="AO4" s="3" t="e">
        <f ca="1">_xll.RHistory("3026603PNET","NDA_RAW.Nda_last","START:"&amp;$A4&amp;" END:"&amp;$A4&amp;" INTERVAL:1W",,,)</f>
        <v>#NAME?</v>
      </c>
      <c r="AR4" s="3" t="e">
        <f ca="1">_xll.RHistory("3CFTC002602OI","NDA_RAW.Nda_last","START:"&amp;$A4&amp;" END:"&amp;$A4&amp;" INTERVAL:1W",,,)</f>
        <v>#NAME?</v>
      </c>
      <c r="AT4" s="3" t="e">
        <f ca="1">_xll.RHistory("3002602MLNG","NDA_RAW.Nda_last","START:"&amp;$A4&amp;" END:"&amp;$A4&amp;" INTERVAL:1W",,,)</f>
        <v>#NAME?</v>
      </c>
      <c r="AV4" s="3" t="e">
        <f ca="1">_xll.RHistory("3002602MSHT","NDA_RAW.Nda_last","START:"&amp;$A4&amp;" END:"&amp;$A4&amp;" INTERVAL:1W",,,)</f>
        <v>#NAME?</v>
      </c>
      <c r="AX4" s="3" t="e">
        <f t="shared" ca="1" si="0"/>
        <v>#NAME?</v>
      </c>
      <c r="AZ4" s="3" t="e">
        <f ca="1">_xll.RHistory("3002602CLNG","NDA_RAW.Nda_last","START:"&amp;$A4&amp;" END:"&amp;$A4&amp;" INTERVAL:1W",,,)</f>
        <v>#NAME?</v>
      </c>
      <c r="BB4" s="3" t="e">
        <f ca="1">_xll.RHistory("3002602CSHT","NDA_RAW.Nda_last","START:"&amp;$A4&amp;" END:"&amp;$A4&amp;" INTERVAL:1W",,,)</f>
        <v>#NAME?</v>
      </c>
      <c r="BD4" s="3" t="e">
        <f t="shared" ca="1" si="1"/>
        <v>#NAME?</v>
      </c>
      <c r="BF4" s="3" t="e">
        <f ca="1">_xll.RHistory("3002602PLNG","NDA_RAW.Nda_last","START:"&amp;$A4&amp;" END:"&amp;$A4&amp;" INTERVAL:1W",,,)</f>
        <v>#NAME?</v>
      </c>
      <c r="BH4" s="3" t="e">
        <f ca="1">_xll.RHistory("3002602PSHT","NDA_RAW.Nda_last","START:"&amp;$A4&amp;" END:"&amp;$A4&amp;" INTERVAL:1W",,,)</f>
        <v>#NAME?</v>
      </c>
      <c r="BJ4" s="3" t="e">
        <f t="shared" ca="1" si="2"/>
        <v>#NAME?</v>
      </c>
    </row>
    <row r="5" spans="1:62">
      <c r="A5" s="2">
        <f t="shared" ref="A5:A9" si="3">A4+7</f>
        <v>45608</v>
      </c>
      <c r="B5" s="3" t="e">
        <f ca="1">_xll.RHistory("3CFTC007601OI","NDA_RAW.Nda_last","START:"&amp;$A5&amp;" END:"&amp;$A5&amp;" INTERVAL:1W",,,)</f>
        <v>#NAME?</v>
      </c>
      <c r="C5" s="3"/>
      <c r="D5" s="3" t="e">
        <f ca="1">_xll.RHistory("3007601MLNG","NDA_RAW.Nda_last","START:"&amp;$A5&amp;" END:"&amp;$A5&amp;" INTERVAL:1W",,,)</f>
        <v>#NAME?</v>
      </c>
      <c r="E5" s="3"/>
      <c r="F5" s="3" t="e">
        <f ca="1">_xll.RHistory("3007601MSHT","NDA_RAW.Nda_last","START:"&amp;$A5&amp;" END:"&amp;$A5&amp;" INTERVAL:1W",,,)</f>
        <v>#NAME?</v>
      </c>
      <c r="G5" s="3"/>
      <c r="H5" s="3" t="e">
        <f ca="1">_xll.RHistory("3007601MNET","NDA_RAW.Nda_last","START:"&amp;$A5&amp;" END:"&amp;$A5&amp;" INTERVAL:1W",,,)</f>
        <v>#NAME?</v>
      </c>
      <c r="I5" s="3"/>
      <c r="J5" s="3" t="e">
        <f ca="1">_xll.RHistory("3007601CLNG","NDA_RAW.Nda_last","START:"&amp;$A5&amp;" END:"&amp;$A5&amp;" INTERVAL:1W",,,)</f>
        <v>#NAME?</v>
      </c>
      <c r="K5" s="3"/>
      <c r="L5" s="3" t="e">
        <f ca="1">_xll.RHistory("3007601CSHT","NDA_RAW.Nda_last","START:"&amp;$A5&amp;" END:"&amp;$A5&amp;" INTERVAL:1W",,,)</f>
        <v>#NAME?</v>
      </c>
      <c r="M5" s="3"/>
      <c r="N5" s="3" t="e">
        <f ca="1">_xll.RHistory("3007601CNET","NDA_RAW.Nda_last","START:"&amp;$A5&amp;" END:"&amp;$A5&amp;" INTERVAL:1W",,,)</f>
        <v>#NAME?</v>
      </c>
      <c r="O5" s="3"/>
      <c r="P5" s="3" t="e">
        <f ca="1">_xll.RHistory("3007601PLNG","NDA_RAW.Nda_last","START:"&amp;$A5&amp;" END:"&amp;$A5&amp;" INTERVAL:1W",,,)</f>
        <v>#NAME?</v>
      </c>
      <c r="Q5" s="3"/>
      <c r="R5" s="3" t="e">
        <f ca="1">_xll.RHistory("3007601PSHT","NDA_RAW.Nda_last","START:"&amp;$A5&amp;" END:"&amp;$A5&amp;" INTERVAL:1W",,,)</f>
        <v>#NAME?</v>
      </c>
      <c r="S5" s="3"/>
      <c r="T5" s="3" t="e">
        <f ca="1">_xll.RHistory("3007601PNET","NDA_RAW.Nda_last","START:"&amp;$A5&amp;" END:"&amp;$A5&amp;" INTERVAL:1W",,,)</f>
        <v>#NAME?</v>
      </c>
      <c r="U5" s="4"/>
      <c r="V5" s="4"/>
      <c r="W5" s="3" t="e">
        <f ca="1">_xll.RHistory("3CFTC026603OI","NDA_RAW.Nda_last","START:"&amp;$A5&amp;" END:"&amp;$A5&amp;" INTERVAL:1W",,,)</f>
        <v>#NAME?</v>
      </c>
      <c r="X5" s="4"/>
      <c r="Y5" s="3" t="e">
        <f ca="1">_xll.RHistory("3026603MLNG","NDA_RAW.Nda_last","START:"&amp;$A5&amp;" END:"&amp;$A5&amp;" INTERVAL:1W",,,)</f>
        <v>#NAME?</v>
      </c>
      <c r="Z5" s="4"/>
      <c r="AA5" s="3" t="e">
        <f ca="1">_xll.RHistory("3026603MSHT","NDA_RAW.Nda_last","START:"&amp;$A5&amp;" END:"&amp;$A5&amp;" INTERVAL:1W",,,)</f>
        <v>#NAME?</v>
      </c>
      <c r="AB5" s="4"/>
      <c r="AC5" s="3" t="e">
        <f ca="1">_xll.RHistory("3026603MNET","NDA_RAW.Nda_last","START:"&amp;$A5&amp;" END:"&amp;$A5&amp;" INTERVAL:1W",,,)</f>
        <v>#NAME?</v>
      </c>
      <c r="AD5" s="4"/>
      <c r="AE5" s="3" t="e">
        <f ca="1">_xll.RHistory("3026603CLNG","NDA_RAW.Nda_last","START:"&amp;$A5&amp;" END:"&amp;$A5&amp;" INTERVAL:1W",,,)</f>
        <v>#NAME?</v>
      </c>
      <c r="AF5" s="4"/>
      <c r="AG5" s="3" t="e">
        <f ca="1">_xll.RHistory("3026603CSHT","NDA_RAW.Nda_last","START:"&amp;$A5&amp;" END:"&amp;$A5&amp;" INTERVAL:1W",,,)</f>
        <v>#NAME?</v>
      </c>
      <c r="AH5" s="4"/>
      <c r="AI5" s="3" t="e">
        <f ca="1">_xll.RHistory("3026603CNET","NDA_RAW.Nda_last","START:"&amp;$A5&amp;" END:"&amp;$A5&amp;" INTERVAL:1W",,,)</f>
        <v>#NAME?</v>
      </c>
      <c r="AJ5" s="4"/>
      <c r="AK5" s="3" t="e">
        <f ca="1">_xll.RHistory("3026603PLNG","NDA_RAW.Nda_last","START:"&amp;$A5&amp;" END:"&amp;$A5&amp;" INTERVAL:1W",,,)</f>
        <v>#NAME?</v>
      </c>
      <c r="AL5" s="4"/>
      <c r="AM5" s="3" t="e">
        <f ca="1">_xll.RHistory("3026603PSHT","NDA_RAW.Nda_last","START:"&amp;$A5&amp;" END:"&amp;$A5&amp;" INTERVAL:1W",,,)</f>
        <v>#NAME?</v>
      </c>
      <c r="AN5" s="4"/>
      <c r="AO5" s="3" t="e">
        <f ca="1">_xll.RHistory("3026603PNET","NDA_RAW.Nda_last","START:"&amp;$A5&amp;" END:"&amp;$A5&amp;" INTERVAL:1W",,,)</f>
        <v>#NAME?</v>
      </c>
      <c r="AR5" s="3" t="e">
        <f ca="1">_xll.RHistory("3CFTC002602OI","NDA_RAW.Nda_last","START:"&amp;$A5&amp;" END:"&amp;$A5&amp;" INTERVAL:1W",,,)</f>
        <v>#NAME?</v>
      </c>
      <c r="AT5" s="3" t="e">
        <f ca="1">_xll.RHistory("3002602MLNG","NDA_RAW.Nda_last","START:"&amp;$A5&amp;" END:"&amp;$A5&amp;" INTERVAL:1W",,,)</f>
        <v>#NAME?</v>
      </c>
      <c r="AV5" s="3" t="e">
        <f ca="1">_xll.RHistory("3002602MSHT","NDA_RAW.Nda_last","START:"&amp;$A5&amp;" END:"&amp;$A5&amp;" INTERVAL:1W",,,)</f>
        <v>#NAME?</v>
      </c>
      <c r="AX5" s="3" t="e">
        <f t="shared" ca="1" si="0"/>
        <v>#NAME?</v>
      </c>
      <c r="AZ5" s="3" t="e">
        <f ca="1">_xll.RHistory("3002602CLNG","NDA_RAW.Nda_last","START:"&amp;$A5&amp;" END:"&amp;$A5&amp;" INTERVAL:1W",,,)</f>
        <v>#NAME?</v>
      </c>
      <c r="BB5" s="3" t="e">
        <f ca="1">_xll.RHistory("3002602CSHT","NDA_RAW.Nda_last","START:"&amp;$A5&amp;" END:"&amp;$A5&amp;" INTERVAL:1W",,,)</f>
        <v>#NAME?</v>
      </c>
      <c r="BD5" s="3" t="e">
        <f t="shared" ca="1" si="1"/>
        <v>#NAME?</v>
      </c>
      <c r="BF5" s="3" t="e">
        <f ca="1">_xll.RHistory("3002602PLNG","NDA_RAW.Nda_last","START:"&amp;$A5&amp;" END:"&amp;$A5&amp;" INTERVAL:1W",,,)</f>
        <v>#NAME?</v>
      </c>
      <c r="BH5" s="3" t="e">
        <f ca="1">_xll.RHistory("3002602PSHT","NDA_RAW.Nda_last","START:"&amp;$A5&amp;" END:"&amp;$A5&amp;" INTERVAL:1W",,,)</f>
        <v>#NAME?</v>
      </c>
      <c r="BJ5" s="3" t="e">
        <f t="shared" ca="1" si="2"/>
        <v>#NAME?</v>
      </c>
    </row>
    <row r="6" spans="1:62">
      <c r="A6" s="2">
        <f t="shared" si="3"/>
        <v>45615</v>
      </c>
      <c r="B6" s="3" t="e">
        <f ca="1">_xll.RHistory("3CFTC007601OI","NDA_RAW.Nda_last","START:"&amp;$A6&amp;" END:"&amp;$A6&amp;" INTERVAL:1W",,,)</f>
        <v>#NAME?</v>
      </c>
      <c r="C6" s="3"/>
      <c r="D6" s="3" t="e">
        <f ca="1">_xll.RHistory("3007601MLNG","NDA_RAW.Nda_last","START:"&amp;$A6&amp;" END:"&amp;$A6&amp;" INTERVAL:1W",,,)</f>
        <v>#NAME?</v>
      </c>
      <c r="E6" s="3"/>
      <c r="F6" s="3" t="e">
        <f ca="1">_xll.RHistory("3007601MSHT","NDA_RAW.Nda_last","START:"&amp;$A6&amp;" END:"&amp;$A6&amp;" INTERVAL:1W",,,)</f>
        <v>#NAME?</v>
      </c>
      <c r="G6" s="3"/>
      <c r="H6" s="3" t="e">
        <f ca="1">_xll.RHistory("3007601MNET","NDA_RAW.Nda_last","START:"&amp;$A6&amp;" END:"&amp;$A6&amp;" INTERVAL:1W",,,)</f>
        <v>#NAME?</v>
      </c>
      <c r="I6" s="3"/>
      <c r="J6" s="3" t="e">
        <f ca="1">_xll.RHistory("3007601CLNG","NDA_RAW.Nda_last","START:"&amp;$A6&amp;" END:"&amp;$A6&amp;" INTERVAL:1W",,,)</f>
        <v>#NAME?</v>
      </c>
      <c r="K6" s="3"/>
      <c r="L6" s="3" t="e">
        <f ca="1">_xll.RHistory("3007601CSHT","NDA_RAW.Nda_last","START:"&amp;$A6&amp;" END:"&amp;$A6&amp;" INTERVAL:1W",,,)</f>
        <v>#NAME?</v>
      </c>
      <c r="M6" s="3"/>
      <c r="N6" s="3" t="e">
        <f ca="1">_xll.RHistory("3007601CNET","NDA_RAW.Nda_last","START:"&amp;$A6&amp;" END:"&amp;$A6&amp;" INTERVAL:1W",,,)</f>
        <v>#NAME?</v>
      </c>
      <c r="O6" s="3"/>
      <c r="P6" s="3" t="e">
        <f ca="1">_xll.RHistory("3007601PLNG","NDA_RAW.Nda_last","START:"&amp;$A6&amp;" END:"&amp;$A6&amp;" INTERVAL:1W",,,)</f>
        <v>#NAME?</v>
      </c>
      <c r="Q6" s="3"/>
      <c r="R6" s="3" t="e">
        <f ca="1">_xll.RHistory("3007601PSHT","NDA_RAW.Nda_last","START:"&amp;$A6&amp;" END:"&amp;$A6&amp;" INTERVAL:1W",,,)</f>
        <v>#NAME?</v>
      </c>
      <c r="S6" s="3"/>
      <c r="T6" s="3" t="e">
        <f ca="1">_xll.RHistory("3007601PNET","NDA_RAW.Nda_last","START:"&amp;$A6&amp;" END:"&amp;$A6&amp;" INTERVAL:1W",,,)</f>
        <v>#NAME?</v>
      </c>
      <c r="U6" s="4"/>
      <c r="V6" s="4"/>
      <c r="W6" s="3" t="e">
        <f ca="1">_xll.RHistory("3CFTC026603OI","NDA_RAW.Nda_last","START:"&amp;$A6&amp;" END:"&amp;$A6&amp;" INTERVAL:1W",,,)</f>
        <v>#NAME?</v>
      </c>
      <c r="X6" s="4"/>
      <c r="Y6" s="3" t="e">
        <f ca="1">_xll.RHistory("3026603MLNG","NDA_RAW.Nda_last","START:"&amp;$A6&amp;" END:"&amp;$A6&amp;" INTERVAL:1W",,,)</f>
        <v>#NAME?</v>
      </c>
      <c r="Z6" s="4"/>
      <c r="AA6" s="3" t="e">
        <f ca="1">_xll.RHistory("3026603MSHT","NDA_RAW.Nda_last","START:"&amp;$A6&amp;" END:"&amp;$A6&amp;" INTERVAL:1W",,,)</f>
        <v>#NAME?</v>
      </c>
      <c r="AB6" s="4"/>
      <c r="AC6" s="3" t="e">
        <f ca="1">_xll.RHistory("3026603MNET","NDA_RAW.Nda_last","START:"&amp;$A6&amp;" END:"&amp;$A6&amp;" INTERVAL:1W",,,)</f>
        <v>#NAME?</v>
      </c>
      <c r="AD6" s="4"/>
      <c r="AE6" s="3" t="e">
        <f ca="1">_xll.RHistory("3026603CLNG","NDA_RAW.Nda_last","START:"&amp;$A6&amp;" END:"&amp;$A6&amp;" INTERVAL:1W",,,)</f>
        <v>#NAME?</v>
      </c>
      <c r="AF6" s="4"/>
      <c r="AG6" s="3" t="e">
        <f ca="1">_xll.RHistory("3026603CSHT","NDA_RAW.Nda_last","START:"&amp;$A6&amp;" END:"&amp;$A6&amp;" INTERVAL:1W",,,)</f>
        <v>#NAME?</v>
      </c>
      <c r="AH6" s="4"/>
      <c r="AI6" s="3" t="e">
        <f ca="1">_xll.RHistory("3026603CNET","NDA_RAW.Nda_last","START:"&amp;$A6&amp;" END:"&amp;$A6&amp;" INTERVAL:1W",,,)</f>
        <v>#NAME?</v>
      </c>
      <c r="AJ6" s="4"/>
      <c r="AK6" s="3" t="e">
        <f ca="1">_xll.RHistory("3026603PLNG","NDA_RAW.Nda_last","START:"&amp;$A6&amp;" END:"&amp;$A6&amp;" INTERVAL:1W",,,)</f>
        <v>#NAME?</v>
      </c>
      <c r="AL6" s="4"/>
      <c r="AM6" s="3" t="e">
        <f ca="1">_xll.RHistory("3026603PSHT","NDA_RAW.Nda_last","START:"&amp;$A6&amp;" END:"&amp;$A6&amp;" INTERVAL:1W",,,)</f>
        <v>#NAME?</v>
      </c>
      <c r="AN6" s="4"/>
      <c r="AO6" s="3" t="e">
        <f ca="1">_xll.RHistory("3026603PNET","NDA_RAW.Nda_last","START:"&amp;$A6&amp;" END:"&amp;$A6&amp;" INTERVAL:1W",,,)</f>
        <v>#NAME?</v>
      </c>
      <c r="AR6" s="3" t="e">
        <f ca="1">_xll.RHistory("3CFTC002602OI","NDA_RAW.Nda_last","START:"&amp;$A6&amp;" END:"&amp;$A6&amp;" INTERVAL:1W",,,)</f>
        <v>#NAME?</v>
      </c>
      <c r="AT6" s="3" t="e">
        <f ca="1">_xll.RHistory("3002602MLNG","NDA_RAW.Nda_last","START:"&amp;$A6&amp;" END:"&amp;$A6&amp;" INTERVAL:1W",,,)</f>
        <v>#NAME?</v>
      </c>
      <c r="AV6" s="3" t="e">
        <f ca="1">_xll.RHistory("3002602MSHT","NDA_RAW.Nda_last","START:"&amp;$A6&amp;" END:"&amp;$A6&amp;" INTERVAL:1W",,,)</f>
        <v>#NAME?</v>
      </c>
      <c r="AX6" s="3" t="e">
        <f t="shared" ca="1" si="0"/>
        <v>#NAME?</v>
      </c>
      <c r="AZ6" s="3" t="e">
        <f ca="1">_xll.RHistory("3002602CLNG","NDA_RAW.Nda_last","START:"&amp;$A6&amp;" END:"&amp;$A6&amp;" INTERVAL:1W",,,)</f>
        <v>#NAME?</v>
      </c>
      <c r="BB6" s="3" t="e">
        <f ca="1">_xll.RHistory("3002602CSHT","NDA_RAW.Nda_last","START:"&amp;$A6&amp;" END:"&amp;$A6&amp;" INTERVAL:1W",,,)</f>
        <v>#NAME?</v>
      </c>
      <c r="BD6" s="3" t="e">
        <f t="shared" ca="1" si="1"/>
        <v>#NAME?</v>
      </c>
      <c r="BF6" s="3" t="e">
        <f ca="1">_xll.RHistory("3002602PLNG","NDA_RAW.Nda_last","START:"&amp;$A6&amp;" END:"&amp;$A6&amp;" INTERVAL:1W",,,)</f>
        <v>#NAME?</v>
      </c>
      <c r="BH6" s="3" t="e">
        <f ca="1">_xll.RHistory("3002602PSHT","NDA_RAW.Nda_last","START:"&amp;$A6&amp;" END:"&amp;$A6&amp;" INTERVAL:1W",,,)</f>
        <v>#NAME?</v>
      </c>
      <c r="BJ6" s="3" t="e">
        <f t="shared" ca="1" si="2"/>
        <v>#NAME?</v>
      </c>
    </row>
    <row r="7" spans="1:62">
      <c r="A7" s="2">
        <f t="shared" si="3"/>
        <v>45622</v>
      </c>
      <c r="B7" s="3" t="e">
        <f ca="1">_xll.RHistory("3CFTC007601OI","NDA_RAW.Nda_last","START:"&amp;$A7&amp;" END:"&amp;$A7&amp;" INTERVAL:1W",,,)</f>
        <v>#NAME?</v>
      </c>
      <c r="C7" s="3"/>
      <c r="D7" s="3" t="e">
        <f ca="1">_xll.RHistory("3007601MLNG","NDA_RAW.Nda_last","START:"&amp;$A7&amp;" END:"&amp;$A7&amp;" INTERVAL:1W",,,)</f>
        <v>#NAME?</v>
      </c>
      <c r="E7" s="3"/>
      <c r="F7" s="3" t="e">
        <f ca="1">_xll.RHistory("3007601MSHT","NDA_RAW.Nda_last","START:"&amp;$A7&amp;" END:"&amp;$A7&amp;" INTERVAL:1W",,,)</f>
        <v>#NAME?</v>
      </c>
      <c r="G7" s="3"/>
      <c r="H7" s="3" t="e">
        <f ca="1">_xll.RHistory("3007601MNET","NDA_RAW.Nda_last","START:"&amp;$A7&amp;" END:"&amp;$A7&amp;" INTERVAL:1W",,,)</f>
        <v>#NAME?</v>
      </c>
      <c r="I7" s="3"/>
      <c r="J7" s="3" t="e">
        <f ca="1">_xll.RHistory("3007601CLNG","NDA_RAW.Nda_last","START:"&amp;$A7&amp;" END:"&amp;$A7&amp;" INTERVAL:1W",,,)</f>
        <v>#NAME?</v>
      </c>
      <c r="K7" s="3"/>
      <c r="L7" s="3" t="e">
        <f ca="1">_xll.RHistory("3007601CSHT","NDA_RAW.Nda_last","START:"&amp;$A7&amp;" END:"&amp;$A7&amp;" INTERVAL:1W",,,)</f>
        <v>#NAME?</v>
      </c>
      <c r="M7" s="3"/>
      <c r="N7" s="3" t="e">
        <f ca="1">_xll.RHistory("3007601CNET","NDA_RAW.Nda_last","START:"&amp;$A7&amp;" END:"&amp;$A7&amp;" INTERVAL:1W",,,)</f>
        <v>#NAME?</v>
      </c>
      <c r="O7" s="3"/>
      <c r="P7" s="3" t="e">
        <f ca="1">_xll.RHistory("3007601PLNG","NDA_RAW.Nda_last","START:"&amp;$A7&amp;" END:"&amp;$A7&amp;" INTERVAL:1W",,,)</f>
        <v>#NAME?</v>
      </c>
      <c r="Q7" s="3"/>
      <c r="R7" s="3" t="e">
        <f ca="1">_xll.RHistory("3007601PSHT","NDA_RAW.Nda_last","START:"&amp;$A7&amp;" END:"&amp;$A7&amp;" INTERVAL:1W",,,)</f>
        <v>#NAME?</v>
      </c>
      <c r="S7" s="3"/>
      <c r="T7" s="3" t="e">
        <f ca="1">_xll.RHistory("3007601PNET","NDA_RAW.Nda_last","START:"&amp;$A7&amp;" END:"&amp;$A7&amp;" INTERVAL:1W",,,)</f>
        <v>#NAME?</v>
      </c>
      <c r="U7" s="4"/>
      <c r="V7" s="4"/>
      <c r="W7" s="3" t="e">
        <f ca="1">_xll.RHistory("3CFTC026603OI","NDA_RAW.Nda_last","START:"&amp;$A7&amp;" END:"&amp;$A7&amp;" INTERVAL:1W",,,)</f>
        <v>#NAME?</v>
      </c>
      <c r="X7" s="4"/>
      <c r="Y7" s="3" t="e">
        <f ca="1">_xll.RHistory("3026603MLNG","NDA_RAW.Nda_last","START:"&amp;$A7&amp;" END:"&amp;$A7&amp;" INTERVAL:1W",,,)</f>
        <v>#NAME?</v>
      </c>
      <c r="Z7" s="4"/>
      <c r="AA7" s="3" t="e">
        <f ca="1">_xll.RHistory("3026603MSHT","NDA_RAW.Nda_last","START:"&amp;$A7&amp;" END:"&amp;$A7&amp;" INTERVAL:1W",,,)</f>
        <v>#NAME?</v>
      </c>
      <c r="AB7" s="4"/>
      <c r="AC7" s="3" t="e">
        <f ca="1">_xll.RHistory("3026603MNET","NDA_RAW.Nda_last","START:"&amp;$A7&amp;" END:"&amp;$A7&amp;" INTERVAL:1W",,,)</f>
        <v>#NAME?</v>
      </c>
      <c r="AD7" s="4"/>
      <c r="AE7" s="3" t="e">
        <f ca="1">_xll.RHistory("3026603CLNG","NDA_RAW.Nda_last","START:"&amp;$A7&amp;" END:"&amp;$A7&amp;" INTERVAL:1W",,,)</f>
        <v>#NAME?</v>
      </c>
      <c r="AF7" s="4"/>
      <c r="AG7" s="3" t="e">
        <f ca="1">_xll.RHistory("3026603CSHT","NDA_RAW.Nda_last","START:"&amp;$A7&amp;" END:"&amp;$A7&amp;" INTERVAL:1W",,,)</f>
        <v>#NAME?</v>
      </c>
      <c r="AH7" s="4"/>
      <c r="AI7" s="3" t="e">
        <f ca="1">_xll.RHistory("3026603CNET","NDA_RAW.Nda_last","START:"&amp;$A7&amp;" END:"&amp;$A7&amp;" INTERVAL:1W",,,)</f>
        <v>#NAME?</v>
      </c>
      <c r="AJ7" s="4"/>
      <c r="AK7" s="3" t="e">
        <f ca="1">_xll.RHistory("3026603PLNG","NDA_RAW.Nda_last","START:"&amp;$A7&amp;" END:"&amp;$A7&amp;" INTERVAL:1W",,,)</f>
        <v>#NAME?</v>
      </c>
      <c r="AL7" s="4"/>
      <c r="AM7" s="3" t="e">
        <f ca="1">_xll.RHistory("3026603PSHT","NDA_RAW.Nda_last","START:"&amp;$A7&amp;" END:"&amp;$A7&amp;" INTERVAL:1W",,,)</f>
        <v>#NAME?</v>
      </c>
      <c r="AN7" s="4"/>
      <c r="AO7" s="3" t="e">
        <f ca="1">_xll.RHistory("3026603PNET","NDA_RAW.Nda_last","START:"&amp;$A7&amp;" END:"&amp;$A7&amp;" INTERVAL:1W",,,)</f>
        <v>#NAME?</v>
      </c>
      <c r="AR7" s="3" t="e">
        <f ca="1">_xll.RHistory("3CFTC002602OI","NDA_RAW.Nda_last","START:"&amp;$A7&amp;" END:"&amp;$A7&amp;" INTERVAL:1W",,,)</f>
        <v>#NAME?</v>
      </c>
      <c r="AT7" s="3" t="e">
        <f ca="1">_xll.RHistory("3002602MLNG","NDA_RAW.Nda_last","START:"&amp;$A7&amp;" END:"&amp;$A7&amp;" INTERVAL:1W",,,)</f>
        <v>#NAME?</v>
      </c>
      <c r="AV7" s="3" t="e">
        <f ca="1">_xll.RHistory("3002602MSHT","NDA_RAW.Nda_last","START:"&amp;$A7&amp;" END:"&amp;$A7&amp;" INTERVAL:1W",,,)</f>
        <v>#NAME?</v>
      </c>
      <c r="AX7" s="3" t="e">
        <f t="shared" ca="1" si="0"/>
        <v>#NAME?</v>
      </c>
      <c r="AZ7" s="3" t="e">
        <f ca="1">_xll.RHistory("3002602CLNG","NDA_RAW.Nda_last","START:"&amp;$A7&amp;" END:"&amp;$A7&amp;" INTERVAL:1W",,,)</f>
        <v>#NAME?</v>
      </c>
      <c r="BB7" s="3" t="e">
        <f ca="1">_xll.RHistory("3002602CSHT","NDA_RAW.Nda_last","START:"&amp;$A7&amp;" END:"&amp;$A7&amp;" INTERVAL:1W",,,)</f>
        <v>#NAME?</v>
      </c>
      <c r="BD7" s="3" t="e">
        <f t="shared" ca="1" si="1"/>
        <v>#NAME?</v>
      </c>
      <c r="BF7" s="3" t="e">
        <f ca="1">_xll.RHistory("3002602PLNG","NDA_RAW.Nda_last","START:"&amp;$A7&amp;" END:"&amp;$A7&amp;" INTERVAL:1W",,,)</f>
        <v>#NAME?</v>
      </c>
      <c r="BH7" s="3" t="e">
        <f ca="1">_xll.RHistory("3002602PSHT","NDA_RAW.Nda_last","START:"&amp;$A7&amp;" END:"&amp;$A7&amp;" INTERVAL:1W",,,)</f>
        <v>#NAME?</v>
      </c>
      <c r="BJ7" s="3" t="e">
        <f t="shared" ca="1" si="2"/>
        <v>#NAME?</v>
      </c>
    </row>
    <row r="8" spans="1:62">
      <c r="A8" s="2">
        <f t="shared" si="3"/>
        <v>45629</v>
      </c>
      <c r="B8" s="3" t="e">
        <f ca="1">_xll.RHistory("3CFTC007601OI","NDA_RAW.Nda_last","START:"&amp;$A8&amp;" END:"&amp;$A8&amp;" INTERVAL:1W",,,)</f>
        <v>#NAME?</v>
      </c>
      <c r="C8" s="3"/>
      <c r="D8" s="3" t="e">
        <f ca="1">_xll.RHistory("3007601MLNG","NDA_RAW.Nda_last","START:"&amp;$A8&amp;" END:"&amp;$A8&amp;" INTERVAL:1W",,,)</f>
        <v>#NAME?</v>
      </c>
      <c r="E8" s="3"/>
      <c r="F8" s="3" t="e">
        <f ca="1">_xll.RHistory("3007601MSHT","NDA_RAW.Nda_last","START:"&amp;$A8&amp;" END:"&amp;$A8&amp;" INTERVAL:1W",,,)</f>
        <v>#NAME?</v>
      </c>
      <c r="G8" s="3"/>
      <c r="H8" s="3" t="e">
        <f ca="1">_xll.RHistory("3007601MNET","NDA_RAW.Nda_last","START:"&amp;$A8&amp;" END:"&amp;$A8&amp;" INTERVAL:1W",,,)</f>
        <v>#NAME?</v>
      </c>
      <c r="I8" s="3"/>
      <c r="J8" s="3" t="e">
        <f ca="1">_xll.RHistory("3007601CLNG","NDA_RAW.Nda_last","START:"&amp;$A8&amp;" END:"&amp;$A8&amp;" INTERVAL:1W",,,)</f>
        <v>#NAME?</v>
      </c>
      <c r="K8" s="3"/>
      <c r="L8" s="3" t="e">
        <f ca="1">_xll.RHistory("3007601CSHT","NDA_RAW.Nda_last","START:"&amp;$A8&amp;" END:"&amp;$A8&amp;" INTERVAL:1W",,,)</f>
        <v>#NAME?</v>
      </c>
      <c r="M8" s="3"/>
      <c r="N8" s="3" t="e">
        <f ca="1">_xll.RHistory("3007601CNET","NDA_RAW.Nda_last","START:"&amp;$A8&amp;" END:"&amp;$A8&amp;" INTERVAL:1W",,,)</f>
        <v>#NAME?</v>
      </c>
      <c r="O8" s="3"/>
      <c r="P8" s="3" t="e">
        <f ca="1">_xll.RHistory("3007601PLNG","NDA_RAW.Nda_last","START:"&amp;$A8&amp;" END:"&amp;$A8&amp;" INTERVAL:1W",,,)</f>
        <v>#NAME?</v>
      </c>
      <c r="Q8" s="3"/>
      <c r="R8" s="3" t="e">
        <f ca="1">_xll.RHistory("3007601PSHT","NDA_RAW.Nda_last","START:"&amp;$A8&amp;" END:"&amp;$A8&amp;" INTERVAL:1W",,,)</f>
        <v>#NAME?</v>
      </c>
      <c r="S8" s="3"/>
      <c r="T8" s="3" t="e">
        <f ca="1">_xll.RHistory("3007601PNET","NDA_RAW.Nda_last","START:"&amp;$A8&amp;" END:"&amp;$A8&amp;" INTERVAL:1W",,,)</f>
        <v>#NAME?</v>
      </c>
      <c r="U8" s="4"/>
      <c r="V8" s="4"/>
      <c r="W8" s="3" t="e">
        <f ca="1">_xll.RHistory("3CFTC026603OI","NDA_RAW.Nda_last","START:"&amp;$A8&amp;" END:"&amp;$A8&amp;" INTERVAL:1W",,,)</f>
        <v>#NAME?</v>
      </c>
      <c r="X8" s="4"/>
      <c r="Y8" s="3" t="e">
        <f ca="1">_xll.RHistory("3026603MLNG","NDA_RAW.Nda_last","START:"&amp;$A8&amp;" END:"&amp;$A8&amp;" INTERVAL:1W",,,)</f>
        <v>#NAME?</v>
      </c>
      <c r="Z8" s="4"/>
      <c r="AA8" s="3" t="e">
        <f ca="1">_xll.RHistory("3026603MSHT","NDA_RAW.Nda_last","START:"&amp;$A8&amp;" END:"&amp;$A8&amp;" INTERVAL:1W",,,)</f>
        <v>#NAME?</v>
      </c>
      <c r="AB8" s="4"/>
      <c r="AC8" s="3" t="e">
        <f ca="1">_xll.RHistory("3026603MNET","NDA_RAW.Nda_last","START:"&amp;$A8&amp;" END:"&amp;$A8&amp;" INTERVAL:1W",,,)</f>
        <v>#NAME?</v>
      </c>
      <c r="AD8" s="4"/>
      <c r="AE8" s="3" t="e">
        <f ca="1">_xll.RHistory("3026603CLNG","NDA_RAW.Nda_last","START:"&amp;$A8&amp;" END:"&amp;$A8&amp;" INTERVAL:1W",,,)</f>
        <v>#NAME?</v>
      </c>
      <c r="AF8" s="4"/>
      <c r="AG8" s="3" t="e">
        <f ca="1">_xll.RHistory("3026603CSHT","NDA_RAW.Nda_last","START:"&amp;$A8&amp;" END:"&amp;$A8&amp;" INTERVAL:1W",,,)</f>
        <v>#NAME?</v>
      </c>
      <c r="AH8" s="4"/>
      <c r="AI8" s="3" t="e">
        <f ca="1">_xll.RHistory("3026603CNET","NDA_RAW.Nda_last","START:"&amp;$A8&amp;" END:"&amp;$A8&amp;" INTERVAL:1W",,,)</f>
        <v>#NAME?</v>
      </c>
      <c r="AJ8" s="4"/>
      <c r="AK8" s="3" t="e">
        <f ca="1">_xll.RHistory("3026603PLNG","NDA_RAW.Nda_last","START:"&amp;$A8&amp;" END:"&amp;$A8&amp;" INTERVAL:1W",,,)</f>
        <v>#NAME?</v>
      </c>
      <c r="AL8" s="4"/>
      <c r="AM8" s="3" t="e">
        <f ca="1">_xll.RHistory("3026603PSHT","NDA_RAW.Nda_last","START:"&amp;$A8&amp;" END:"&amp;$A8&amp;" INTERVAL:1W",,,)</f>
        <v>#NAME?</v>
      </c>
      <c r="AN8" s="4"/>
      <c r="AO8" s="3" t="e">
        <f ca="1">_xll.RHistory("3026603PNET","NDA_RAW.Nda_last","START:"&amp;$A8&amp;" END:"&amp;$A8&amp;" INTERVAL:1W",,,)</f>
        <v>#NAME?</v>
      </c>
      <c r="AR8" s="3" t="e">
        <f ca="1">_xll.RHistory("3CFTC002602OI","NDA_RAW.Nda_last","START:"&amp;$A8&amp;" END:"&amp;$A8&amp;" INTERVAL:1W",,,)</f>
        <v>#NAME?</v>
      </c>
      <c r="AT8" s="3" t="e">
        <f ca="1">_xll.RHistory("3002602MLNG","NDA_RAW.Nda_last","START:"&amp;$A8&amp;" END:"&amp;$A8&amp;" INTERVAL:1W",,,)</f>
        <v>#NAME?</v>
      </c>
      <c r="AV8" s="3" t="e">
        <f ca="1">_xll.RHistory("3002602MSHT","NDA_RAW.Nda_last","START:"&amp;$A8&amp;" END:"&amp;$A8&amp;" INTERVAL:1W",,,)</f>
        <v>#NAME?</v>
      </c>
      <c r="AX8" s="3" t="e">
        <f t="shared" ca="1" si="0"/>
        <v>#NAME?</v>
      </c>
      <c r="AZ8" s="3" t="e">
        <f ca="1">_xll.RHistory("3002602CLNG","NDA_RAW.Nda_last","START:"&amp;$A8&amp;" END:"&amp;$A8&amp;" INTERVAL:1W",,,)</f>
        <v>#NAME?</v>
      </c>
      <c r="BB8" s="3" t="e">
        <f ca="1">_xll.RHistory("3002602CSHT","NDA_RAW.Nda_last","START:"&amp;$A8&amp;" END:"&amp;$A8&amp;" INTERVAL:1W",,,)</f>
        <v>#NAME?</v>
      </c>
      <c r="BD8" s="3" t="e">
        <f t="shared" ca="1" si="1"/>
        <v>#NAME?</v>
      </c>
      <c r="BF8" s="3" t="e">
        <f ca="1">_xll.RHistory("3002602PLNG","NDA_RAW.Nda_last","START:"&amp;$A8&amp;" END:"&amp;$A8&amp;" INTERVAL:1W",,,)</f>
        <v>#NAME?</v>
      </c>
      <c r="BH8" s="3" t="e">
        <f ca="1">_xll.RHistory("3002602PSHT","NDA_RAW.Nda_last","START:"&amp;$A8&amp;" END:"&amp;$A8&amp;" INTERVAL:1W",,,)</f>
        <v>#NAME?</v>
      </c>
      <c r="BJ8" s="3" t="e">
        <f t="shared" ca="1" si="2"/>
        <v>#NAME?</v>
      </c>
    </row>
    <row r="9" spans="1:62">
      <c r="A9" s="2">
        <f t="shared" si="3"/>
        <v>45636</v>
      </c>
      <c r="B9" s="3" t="e">
        <f ca="1">_xll.RHistory("3CFTC007601OI","NDA_RAW.Nda_last","START:"&amp;$A9&amp;" END:"&amp;$A9&amp;" INTERVAL:1W",,,)</f>
        <v>#NAME?</v>
      </c>
      <c r="C9" s="3"/>
      <c r="D9" s="3" t="e">
        <f ca="1">_xll.RHistory("3007601MLNG","NDA_RAW.Nda_last","START:"&amp;$A9&amp;" END:"&amp;$A9&amp;" INTERVAL:1W",,,)</f>
        <v>#NAME?</v>
      </c>
      <c r="E9" s="3"/>
      <c r="F9" s="3" t="e">
        <f ca="1">_xll.RHistory("3007601MSHT","NDA_RAW.Nda_last","START:"&amp;$A9&amp;" END:"&amp;$A9&amp;" INTERVAL:1W",,,)</f>
        <v>#NAME?</v>
      </c>
      <c r="G9" s="3"/>
      <c r="H9" s="3" t="e">
        <f ca="1">_xll.RHistory("3007601MNET","NDA_RAW.Nda_last","START:"&amp;$A9&amp;" END:"&amp;$A9&amp;" INTERVAL:1W",,,)</f>
        <v>#NAME?</v>
      </c>
      <c r="I9" s="3"/>
      <c r="J9" s="3" t="e">
        <f ca="1">_xll.RHistory("3007601CLNG","NDA_RAW.Nda_last","START:"&amp;$A9&amp;" END:"&amp;$A9&amp;" INTERVAL:1W",,,)</f>
        <v>#NAME?</v>
      </c>
      <c r="K9" s="3"/>
      <c r="L9" s="3" t="e">
        <f ca="1">_xll.RHistory("3007601CSHT","NDA_RAW.Nda_last","START:"&amp;$A9&amp;" END:"&amp;$A9&amp;" INTERVAL:1W",,,)</f>
        <v>#NAME?</v>
      </c>
      <c r="M9" s="3"/>
      <c r="N9" s="3" t="e">
        <f ca="1">_xll.RHistory("3007601CNET","NDA_RAW.Nda_last","START:"&amp;$A9&amp;" END:"&amp;$A9&amp;" INTERVAL:1W",,,)</f>
        <v>#NAME?</v>
      </c>
      <c r="O9" s="3"/>
      <c r="P9" s="3" t="e">
        <f ca="1">_xll.RHistory("3007601PLNG","NDA_RAW.Nda_last","START:"&amp;$A9&amp;" END:"&amp;$A9&amp;" INTERVAL:1W",,,)</f>
        <v>#NAME?</v>
      </c>
      <c r="Q9" s="3"/>
      <c r="R9" s="3" t="e">
        <f ca="1">_xll.RHistory("3007601PSHT","NDA_RAW.Nda_last","START:"&amp;$A9&amp;" END:"&amp;$A9&amp;" INTERVAL:1W",,,)</f>
        <v>#NAME?</v>
      </c>
      <c r="S9" s="3"/>
      <c r="T9" s="3" t="e">
        <f ca="1">_xll.RHistory("3007601PNET","NDA_RAW.Nda_last","START:"&amp;$A9&amp;" END:"&amp;$A9&amp;" INTERVAL:1W",,,)</f>
        <v>#NAME?</v>
      </c>
      <c r="U9" s="4"/>
      <c r="V9" s="4"/>
      <c r="W9" s="3" t="e">
        <f ca="1">_xll.RHistory("3CFTC026603OI","NDA_RAW.Nda_last","START:"&amp;$A9&amp;" END:"&amp;$A9&amp;" INTERVAL:1W",,,)</f>
        <v>#NAME?</v>
      </c>
      <c r="X9" s="4"/>
      <c r="Y9" s="3" t="e">
        <f ca="1">_xll.RHistory("3026603MLNG","NDA_RAW.Nda_last","START:"&amp;$A9&amp;" END:"&amp;$A9&amp;" INTERVAL:1W",,,)</f>
        <v>#NAME?</v>
      </c>
      <c r="Z9" s="4"/>
      <c r="AA9" s="3" t="e">
        <f ca="1">_xll.RHistory("3026603MSHT","NDA_RAW.Nda_last","START:"&amp;$A9&amp;" END:"&amp;$A9&amp;" INTERVAL:1W",,,)</f>
        <v>#NAME?</v>
      </c>
      <c r="AB9" s="4"/>
      <c r="AC9" s="3" t="e">
        <f ca="1">_xll.RHistory("3026603MNET","NDA_RAW.Nda_last","START:"&amp;$A9&amp;" END:"&amp;$A9&amp;" INTERVAL:1W",,,)</f>
        <v>#NAME?</v>
      </c>
      <c r="AD9" s="4"/>
      <c r="AE9" s="3" t="e">
        <f ca="1">_xll.RHistory("3026603CLNG","NDA_RAW.Nda_last","START:"&amp;$A9&amp;" END:"&amp;$A9&amp;" INTERVAL:1W",,,)</f>
        <v>#NAME?</v>
      </c>
      <c r="AF9" s="4"/>
      <c r="AG9" s="3" t="e">
        <f ca="1">_xll.RHistory("3026603CSHT","NDA_RAW.Nda_last","START:"&amp;$A9&amp;" END:"&amp;$A9&amp;" INTERVAL:1W",,,)</f>
        <v>#NAME?</v>
      </c>
      <c r="AH9" s="4"/>
      <c r="AI9" s="3" t="e">
        <f ca="1">_xll.RHistory("3026603CNET","NDA_RAW.Nda_last","START:"&amp;$A9&amp;" END:"&amp;$A9&amp;" INTERVAL:1W",,,)</f>
        <v>#NAME?</v>
      </c>
      <c r="AJ9" s="4"/>
      <c r="AK9" s="3" t="e">
        <f ca="1">_xll.RHistory("3026603PLNG","NDA_RAW.Nda_last","START:"&amp;$A9&amp;" END:"&amp;$A9&amp;" INTERVAL:1W",,,)</f>
        <v>#NAME?</v>
      </c>
      <c r="AL9" s="4"/>
      <c r="AM9" s="3" t="e">
        <f ca="1">_xll.RHistory("3026603PSHT","NDA_RAW.Nda_last","START:"&amp;$A9&amp;" END:"&amp;$A9&amp;" INTERVAL:1W",,,)</f>
        <v>#NAME?</v>
      </c>
      <c r="AN9" s="4"/>
      <c r="AO9" s="3" t="e">
        <f ca="1">_xll.RHistory("3026603PNET","NDA_RAW.Nda_last","START:"&amp;$A9&amp;" END:"&amp;$A9&amp;" INTERVAL:1W",,,)</f>
        <v>#NAME?</v>
      </c>
      <c r="AR9" s="3" t="e">
        <f ca="1">_xll.RHistory("3CFTC002602OI","NDA_RAW.Nda_last","START:"&amp;$A9&amp;" END:"&amp;$A9&amp;" INTERVAL:1W",,,)</f>
        <v>#NAME?</v>
      </c>
      <c r="AT9" s="3" t="e">
        <f ca="1">_xll.RHistory("3002602MLNG","NDA_RAW.Nda_last","START:"&amp;$A9&amp;" END:"&amp;$A9&amp;" INTERVAL:1W",,,)</f>
        <v>#NAME?</v>
      </c>
      <c r="AV9" s="3" t="e">
        <f ca="1">_xll.RHistory("3002602MSHT","NDA_RAW.Nda_last","START:"&amp;$A9&amp;" END:"&amp;$A9&amp;" INTERVAL:1W",,,)</f>
        <v>#NAME?</v>
      </c>
      <c r="AX9" s="3" t="e">
        <f t="shared" ca="1" si="0"/>
        <v>#NAME?</v>
      </c>
      <c r="AZ9" s="3" t="e">
        <f ca="1">_xll.RHistory("3002602CLNG","NDA_RAW.Nda_last","START:"&amp;$A9&amp;" END:"&amp;$A9&amp;" INTERVAL:1W",,,)</f>
        <v>#NAME?</v>
      </c>
      <c r="BB9" s="3" t="e">
        <f ca="1">_xll.RHistory("3002602CSHT","NDA_RAW.Nda_last","START:"&amp;$A9&amp;" END:"&amp;$A9&amp;" INTERVAL:1W",,,)</f>
        <v>#NAME?</v>
      </c>
      <c r="BD9" s="3" t="e">
        <f t="shared" ca="1" si="1"/>
        <v>#NAME?</v>
      </c>
      <c r="BF9" s="3" t="e">
        <f ca="1">_xll.RHistory("3002602PLNG","NDA_RAW.Nda_last","START:"&amp;$A9&amp;" END:"&amp;$A9&amp;" INTERVAL:1W",,,)</f>
        <v>#NAME?</v>
      </c>
      <c r="BH9" s="3" t="e">
        <f ca="1">_xll.RHistory("3002602PSHT","NDA_RAW.Nda_last","START:"&amp;$A9&amp;" END:"&amp;$A9&amp;" INTERVAL:1W",,,)</f>
        <v>#NAME?</v>
      </c>
      <c r="BJ9" s="3" t="e">
        <f t="shared" ca="1" si="2"/>
        <v>#NAME?</v>
      </c>
    </row>
    <row r="10" spans="1:62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4"/>
      <c r="V10" s="4"/>
      <c r="W10" s="3"/>
      <c r="X10" s="4"/>
      <c r="Y10" s="3"/>
      <c r="Z10" s="4"/>
      <c r="AA10" s="3"/>
      <c r="AB10" s="4"/>
      <c r="AC10" s="3"/>
      <c r="AD10" s="4"/>
      <c r="AE10" s="3"/>
      <c r="AF10" s="4"/>
      <c r="AG10" s="3"/>
      <c r="AH10" s="4"/>
      <c r="AI10" s="3"/>
      <c r="AJ10" s="4"/>
      <c r="AK10" s="3"/>
      <c r="AL10" s="4"/>
      <c r="AM10" s="3"/>
      <c r="AN10" s="4"/>
      <c r="AO10" s="3"/>
      <c r="AR10" s="3"/>
      <c r="AT10" s="3"/>
      <c r="AV10" s="3"/>
      <c r="AX10" s="3"/>
      <c r="AZ10" s="3"/>
      <c r="BB10" s="3"/>
      <c r="BD10" s="3"/>
      <c r="BF10" s="3"/>
      <c r="BH10" s="3"/>
      <c r="BJ10" s="3"/>
    </row>
    <row r="11" spans="1:62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4"/>
      <c r="V11" s="4"/>
      <c r="W11" s="3"/>
      <c r="X11" s="4"/>
      <c r="Y11" s="3"/>
      <c r="Z11" s="4"/>
      <c r="AA11" s="3"/>
      <c r="AB11" s="4"/>
      <c r="AC11" s="3"/>
      <c r="AD11" s="4"/>
      <c r="AE11" s="3"/>
      <c r="AF11" s="4"/>
      <c r="AG11" s="3"/>
      <c r="AH11" s="4"/>
      <c r="AI11" s="3"/>
      <c r="AJ11" s="4"/>
      <c r="AK11" s="3"/>
      <c r="AL11" s="4"/>
      <c r="AM11" s="3"/>
      <c r="AN11" s="4"/>
      <c r="AO11" s="3"/>
      <c r="AR11" s="3"/>
      <c r="AT11" s="3"/>
      <c r="AV11" s="3"/>
      <c r="AX11" s="3"/>
      <c r="AZ11" s="3"/>
      <c r="BB11" s="3"/>
      <c r="BD11" s="3"/>
      <c r="BF11" s="3"/>
      <c r="BH11" s="3"/>
      <c r="BJ11" s="3"/>
    </row>
    <row r="12" spans="1:62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4"/>
      <c r="V12" s="4"/>
      <c r="W12" s="3"/>
      <c r="X12" s="4"/>
      <c r="Y12" s="3"/>
      <c r="Z12" s="4"/>
      <c r="AA12" s="3"/>
      <c r="AB12" s="4"/>
      <c r="AC12" s="3"/>
      <c r="AD12" s="4"/>
      <c r="AE12" s="3"/>
      <c r="AF12" s="4"/>
      <c r="AG12" s="3"/>
      <c r="AH12" s="4"/>
      <c r="AI12" s="3"/>
      <c r="AJ12" s="4"/>
      <c r="AK12" s="3"/>
      <c r="AL12" s="4"/>
      <c r="AM12" s="3"/>
      <c r="AN12" s="4"/>
      <c r="AO12" s="3"/>
      <c r="AR12" s="3"/>
      <c r="AT12" s="3"/>
      <c r="AV12" s="3"/>
      <c r="AX12" s="3"/>
      <c r="AZ12" s="3"/>
      <c r="BB12" s="3"/>
      <c r="BD12" s="3"/>
      <c r="BF12" s="3"/>
      <c r="BH12" s="3"/>
      <c r="BJ12" s="3"/>
    </row>
    <row r="13" spans="1:62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4"/>
      <c r="V13" s="4"/>
      <c r="W13" s="3"/>
      <c r="X13" s="4"/>
      <c r="Y13" s="3"/>
      <c r="Z13" s="4"/>
      <c r="AA13" s="3"/>
      <c r="AB13" s="4"/>
      <c r="AC13" s="3"/>
      <c r="AD13" s="4"/>
      <c r="AE13" s="3"/>
      <c r="AF13" s="4"/>
      <c r="AG13" s="3"/>
      <c r="AH13" s="4"/>
      <c r="AI13" s="3"/>
      <c r="AJ13" s="4"/>
      <c r="AK13" s="3"/>
      <c r="AL13" s="4"/>
      <c r="AM13" s="3"/>
      <c r="AN13" s="4"/>
      <c r="AO13" s="3"/>
      <c r="AR13" s="3"/>
      <c r="AT13" s="3"/>
      <c r="AV13" s="3"/>
      <c r="AX13" s="3"/>
      <c r="AZ13" s="3"/>
      <c r="BB13" s="3"/>
      <c r="BD13" s="3"/>
      <c r="BF13" s="3"/>
      <c r="BH13" s="3"/>
      <c r="BJ13" s="3"/>
    </row>
    <row r="14" spans="1:62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4"/>
      <c r="V14" s="4"/>
      <c r="W14" s="3"/>
      <c r="X14" s="4"/>
      <c r="Y14" s="3"/>
      <c r="Z14" s="4"/>
      <c r="AA14" s="3"/>
      <c r="AB14" s="4"/>
      <c r="AC14" s="3"/>
      <c r="AD14" s="4"/>
      <c r="AE14" s="3"/>
      <c r="AF14" s="4"/>
      <c r="AG14" s="3"/>
      <c r="AH14" s="4"/>
      <c r="AI14" s="3"/>
      <c r="AJ14" s="4"/>
      <c r="AK14" s="3"/>
      <c r="AL14" s="4"/>
      <c r="AM14" s="3"/>
      <c r="AN14" s="4"/>
      <c r="AO14" s="3"/>
      <c r="AR14" s="3"/>
      <c r="AT14" s="3"/>
      <c r="AV14" s="3"/>
      <c r="AX14" s="3"/>
      <c r="AZ14" s="3"/>
      <c r="BB14" s="3"/>
      <c r="BD14" s="3"/>
      <c r="BF14" s="3"/>
      <c r="BH14" s="3"/>
      <c r="BJ14" s="3"/>
    </row>
    <row r="15" spans="1:62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4"/>
      <c r="V15" s="4"/>
      <c r="W15" s="3"/>
      <c r="X15" s="4"/>
      <c r="Y15" s="3"/>
      <c r="Z15" s="4"/>
      <c r="AA15" s="3"/>
      <c r="AB15" s="4"/>
      <c r="AC15" s="3"/>
      <c r="AD15" s="4"/>
      <c r="AE15" s="3"/>
      <c r="AF15" s="4"/>
      <c r="AG15" s="3"/>
      <c r="AH15" s="4"/>
      <c r="AI15" s="3"/>
      <c r="AJ15" s="4"/>
      <c r="AK15" s="3"/>
      <c r="AL15" s="4"/>
      <c r="AM15" s="3"/>
      <c r="AN15" s="4"/>
      <c r="AO15" s="3"/>
      <c r="AR15" s="3"/>
      <c r="AT15" s="3"/>
      <c r="AV15" s="3"/>
      <c r="AX15" s="3"/>
      <c r="AZ15" s="3"/>
      <c r="BB15" s="3"/>
      <c r="BD15" s="3"/>
      <c r="BF15" s="3"/>
      <c r="BH15" s="3"/>
      <c r="BJ15" s="3"/>
    </row>
    <row r="16" spans="1:62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4"/>
      <c r="V16" s="4"/>
      <c r="W16" s="3"/>
      <c r="X16" s="4"/>
      <c r="Y16" s="3"/>
      <c r="Z16" s="4"/>
      <c r="AA16" s="3"/>
      <c r="AB16" s="4"/>
      <c r="AC16" s="3"/>
      <c r="AD16" s="4"/>
      <c r="AE16" s="3"/>
      <c r="AF16" s="4"/>
      <c r="AG16" s="3"/>
      <c r="AH16" s="4"/>
      <c r="AI16" s="3"/>
      <c r="AJ16" s="4"/>
      <c r="AK16" s="3"/>
      <c r="AL16" s="4"/>
      <c r="AM16" s="3"/>
      <c r="AN16" s="4"/>
      <c r="AO16" s="3"/>
      <c r="AR16" s="3"/>
      <c r="AT16" s="3"/>
      <c r="AV16" s="3"/>
      <c r="AX16" s="3"/>
      <c r="AZ16" s="3"/>
      <c r="BB16" s="3"/>
      <c r="BD16" s="3"/>
      <c r="BF16" s="3"/>
      <c r="BH16" s="3"/>
      <c r="BJ16" s="3"/>
    </row>
    <row r="17" spans="1:62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/>
      <c r="V17" s="4"/>
      <c r="W17" s="3"/>
      <c r="X17" s="4"/>
      <c r="Y17" s="3"/>
      <c r="Z17" s="4"/>
      <c r="AA17" s="3"/>
      <c r="AB17" s="4"/>
      <c r="AC17" s="3"/>
      <c r="AD17" s="4"/>
      <c r="AE17" s="3"/>
      <c r="AF17" s="4"/>
      <c r="AG17" s="3"/>
      <c r="AH17" s="4"/>
      <c r="AI17" s="3"/>
      <c r="AJ17" s="4"/>
      <c r="AK17" s="3"/>
      <c r="AL17" s="4"/>
      <c r="AM17" s="3"/>
      <c r="AN17" s="4"/>
      <c r="AO17" s="3"/>
      <c r="AR17" s="3"/>
      <c r="AT17" s="3"/>
      <c r="AV17" s="3"/>
      <c r="AX17" s="3"/>
      <c r="AZ17" s="3"/>
      <c r="BB17" s="3"/>
      <c r="BD17" s="3"/>
      <c r="BF17" s="3"/>
      <c r="BH17" s="3"/>
      <c r="BJ17" s="3"/>
    </row>
    <row r="18" spans="1:62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/>
      <c r="V18" s="4"/>
      <c r="W18" s="3"/>
      <c r="X18" s="4"/>
      <c r="Y18" s="3"/>
      <c r="Z18" s="4"/>
      <c r="AA18" s="3"/>
      <c r="AB18" s="4"/>
      <c r="AC18" s="3"/>
      <c r="AD18" s="4"/>
      <c r="AE18" s="3"/>
      <c r="AF18" s="4"/>
      <c r="AG18" s="3"/>
      <c r="AH18" s="4"/>
      <c r="AI18" s="3"/>
      <c r="AJ18" s="4"/>
      <c r="AK18" s="3"/>
      <c r="AL18" s="4"/>
      <c r="AM18" s="3"/>
      <c r="AN18" s="4"/>
      <c r="AO18" s="3"/>
      <c r="AR18" s="3"/>
      <c r="AT18" s="3"/>
      <c r="AV18" s="3"/>
      <c r="AX18" s="3"/>
      <c r="AZ18" s="3"/>
      <c r="BB18" s="3"/>
      <c r="BD18" s="3"/>
      <c r="BF18" s="3"/>
      <c r="BH18" s="3"/>
      <c r="BJ18" s="3"/>
    </row>
    <row r="19" spans="1:62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4"/>
      <c r="V19" s="4"/>
      <c r="W19" s="3"/>
      <c r="X19" s="4"/>
      <c r="Y19" s="3"/>
      <c r="Z19" s="4"/>
      <c r="AA19" s="3"/>
      <c r="AB19" s="4"/>
      <c r="AC19" s="3"/>
      <c r="AD19" s="4"/>
      <c r="AE19" s="3"/>
      <c r="AF19" s="4"/>
      <c r="AG19" s="3"/>
      <c r="AH19" s="4"/>
      <c r="AI19" s="3"/>
      <c r="AJ19" s="4"/>
      <c r="AK19" s="3"/>
      <c r="AL19" s="4"/>
      <c r="AM19" s="3"/>
      <c r="AN19" s="4"/>
      <c r="AO19" s="3"/>
      <c r="AR19" s="3"/>
      <c r="AT19" s="3"/>
      <c r="AV19" s="3"/>
      <c r="AX19" s="3"/>
      <c r="AZ19" s="3"/>
      <c r="BB19" s="3"/>
      <c r="BD19" s="3"/>
      <c r="BF19" s="3"/>
      <c r="BH19" s="3"/>
      <c r="BJ19" s="3"/>
    </row>
    <row r="20" spans="1:62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4"/>
      <c r="V20" s="4"/>
      <c r="W20" s="3"/>
      <c r="X20" s="4"/>
      <c r="Y20" s="3"/>
      <c r="Z20" s="4"/>
      <c r="AA20" s="3"/>
      <c r="AB20" s="4"/>
      <c r="AC20" s="3"/>
      <c r="AD20" s="4"/>
      <c r="AE20" s="3"/>
      <c r="AF20" s="4"/>
      <c r="AG20" s="3"/>
      <c r="AH20" s="4"/>
      <c r="AI20" s="3"/>
      <c r="AJ20" s="4"/>
      <c r="AK20" s="3"/>
      <c r="AL20" s="4"/>
      <c r="AM20" s="3"/>
      <c r="AN20" s="4"/>
      <c r="AO20" s="3"/>
      <c r="AR20" s="3"/>
      <c r="AT20" s="3"/>
      <c r="AV20" s="3"/>
      <c r="AX20" s="3"/>
      <c r="AZ20" s="3"/>
      <c r="BB20" s="3"/>
      <c r="BD20" s="3"/>
      <c r="BF20" s="3"/>
      <c r="BH20" s="3"/>
      <c r="BJ20" s="3"/>
    </row>
    <row r="21" spans="1:62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4"/>
      <c r="V21" s="4"/>
      <c r="W21" s="3"/>
      <c r="X21" s="4"/>
      <c r="Y21" s="3"/>
      <c r="Z21" s="4"/>
      <c r="AA21" s="3"/>
      <c r="AB21" s="4"/>
      <c r="AC21" s="3"/>
      <c r="AD21" s="4"/>
      <c r="AE21" s="3"/>
      <c r="AF21" s="4"/>
      <c r="AG21" s="3"/>
      <c r="AH21" s="4"/>
      <c r="AI21" s="3"/>
      <c r="AJ21" s="4"/>
      <c r="AK21" s="3"/>
      <c r="AL21" s="4"/>
      <c r="AM21" s="3"/>
      <c r="AN21" s="4"/>
      <c r="AO21" s="3"/>
      <c r="AR21" s="3"/>
      <c r="AT21" s="3"/>
      <c r="AV21" s="3"/>
      <c r="AX21" s="3"/>
      <c r="AZ21" s="3"/>
      <c r="BB21" s="3"/>
      <c r="BD21" s="3"/>
      <c r="BF21" s="3"/>
      <c r="BH21" s="3"/>
      <c r="BJ21" s="3"/>
    </row>
    <row r="22" spans="1:62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4"/>
      <c r="V22" s="4"/>
      <c r="W22" s="3"/>
      <c r="X22" s="4"/>
      <c r="Y22" s="3"/>
      <c r="Z22" s="4"/>
      <c r="AA22" s="3"/>
      <c r="AB22" s="4"/>
      <c r="AC22" s="3"/>
      <c r="AD22" s="4"/>
      <c r="AE22" s="3"/>
      <c r="AF22" s="4"/>
      <c r="AG22" s="3"/>
      <c r="AH22" s="4"/>
      <c r="AI22" s="3"/>
      <c r="AJ22" s="4"/>
      <c r="AK22" s="3"/>
      <c r="AL22" s="4"/>
      <c r="AM22" s="3"/>
      <c r="AN22" s="4"/>
      <c r="AO22" s="3"/>
      <c r="AR22" s="3"/>
      <c r="AT22" s="3"/>
      <c r="AV22" s="3"/>
      <c r="AX22" s="3"/>
      <c r="AZ22" s="3"/>
      <c r="BB22" s="3"/>
      <c r="BD22" s="3"/>
      <c r="BF22" s="3"/>
      <c r="BH22" s="3"/>
      <c r="BJ22" s="3"/>
    </row>
    <row r="23" spans="1:62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4"/>
      <c r="V23" s="4"/>
      <c r="W23" s="3"/>
      <c r="X23" s="4"/>
      <c r="Y23" s="3"/>
      <c r="Z23" s="4"/>
      <c r="AA23" s="3"/>
      <c r="AB23" s="4"/>
      <c r="AC23" s="3"/>
      <c r="AD23" s="4"/>
      <c r="AE23" s="3"/>
      <c r="AF23" s="4"/>
      <c r="AG23" s="3"/>
      <c r="AH23" s="4"/>
      <c r="AI23" s="3"/>
      <c r="AJ23" s="4"/>
      <c r="AK23" s="3"/>
      <c r="AL23" s="4"/>
      <c r="AM23" s="3"/>
      <c r="AN23" s="4"/>
      <c r="AO23" s="3"/>
      <c r="AR23" s="3"/>
      <c r="AT23" s="3"/>
      <c r="AV23" s="3"/>
      <c r="AX23" s="3"/>
      <c r="AZ23" s="3"/>
      <c r="BB23" s="3"/>
      <c r="BD23" s="3"/>
      <c r="BF23" s="3"/>
      <c r="BH23" s="3"/>
      <c r="BJ23" s="3"/>
    </row>
    <row r="24" spans="1:62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4"/>
      <c r="V24" s="4"/>
      <c r="W24" s="3"/>
      <c r="X24" s="4"/>
      <c r="Y24" s="3"/>
      <c r="Z24" s="4"/>
      <c r="AA24" s="3"/>
      <c r="AB24" s="4"/>
      <c r="AC24" s="3"/>
      <c r="AD24" s="4"/>
      <c r="AE24" s="3"/>
      <c r="AF24" s="4"/>
      <c r="AG24" s="3"/>
      <c r="AH24" s="4"/>
      <c r="AI24" s="3"/>
      <c r="AJ24" s="4"/>
      <c r="AK24" s="3"/>
      <c r="AL24" s="4"/>
      <c r="AM24" s="3"/>
      <c r="AN24" s="4"/>
      <c r="AO24" s="3"/>
      <c r="AR24" s="3"/>
      <c r="AT24" s="3"/>
      <c r="AV24" s="3"/>
      <c r="AX24" s="3"/>
      <c r="AZ24" s="3"/>
      <c r="BB24" s="3"/>
      <c r="BD24" s="3"/>
      <c r="BF24" s="3"/>
      <c r="BH24" s="3"/>
      <c r="BJ24" s="3"/>
    </row>
    <row r="25" spans="1:62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4"/>
      <c r="V25" s="4"/>
      <c r="W25" s="3"/>
      <c r="X25" s="4"/>
      <c r="Y25" s="3"/>
      <c r="Z25" s="4"/>
      <c r="AA25" s="3"/>
      <c r="AB25" s="4"/>
      <c r="AC25" s="3"/>
      <c r="AD25" s="4"/>
      <c r="AE25" s="3"/>
      <c r="AF25" s="4"/>
      <c r="AG25" s="3"/>
      <c r="AH25" s="4"/>
      <c r="AI25" s="3"/>
      <c r="AJ25" s="4"/>
      <c r="AK25" s="3"/>
      <c r="AL25" s="4"/>
      <c r="AM25" s="3"/>
      <c r="AN25" s="4"/>
      <c r="AO25" s="3"/>
      <c r="AR25" s="3"/>
      <c r="AT25" s="3"/>
      <c r="AV25" s="3"/>
      <c r="AX25" s="3"/>
      <c r="AZ25" s="3"/>
      <c r="BB25" s="3"/>
      <c r="BD25" s="3"/>
      <c r="BF25" s="3"/>
      <c r="BH25" s="3"/>
      <c r="BJ25" s="3"/>
    </row>
    <row r="26" spans="1:62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4"/>
      <c r="V26" s="4"/>
      <c r="W26" s="3"/>
      <c r="X26" s="4"/>
      <c r="Y26" s="3"/>
      <c r="Z26" s="4"/>
      <c r="AA26" s="3"/>
      <c r="AB26" s="4"/>
      <c r="AC26" s="3"/>
      <c r="AD26" s="4"/>
      <c r="AE26" s="3"/>
      <c r="AF26" s="4"/>
      <c r="AG26" s="3"/>
      <c r="AH26" s="4"/>
      <c r="AI26" s="3"/>
      <c r="AJ26" s="4"/>
      <c r="AK26" s="3"/>
      <c r="AL26" s="4"/>
      <c r="AM26" s="3"/>
      <c r="AN26" s="4"/>
      <c r="AO26" s="3"/>
      <c r="AR26" s="3"/>
      <c r="AT26" s="3"/>
      <c r="AV26" s="3"/>
      <c r="AX26" s="3"/>
      <c r="AZ26" s="3"/>
      <c r="BB26" s="3"/>
      <c r="BD26" s="3"/>
      <c r="BF26" s="3"/>
      <c r="BH26" s="3"/>
      <c r="BJ26" s="3"/>
    </row>
    <row r="27" spans="1:62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4"/>
      <c r="V27" s="4"/>
      <c r="W27" s="3"/>
      <c r="X27" s="4"/>
      <c r="Y27" s="3"/>
      <c r="Z27" s="4"/>
      <c r="AA27" s="3"/>
      <c r="AB27" s="4"/>
      <c r="AC27" s="3"/>
      <c r="AD27" s="4"/>
      <c r="AE27" s="3"/>
      <c r="AF27" s="4"/>
      <c r="AG27" s="3"/>
      <c r="AH27" s="4"/>
      <c r="AI27" s="3"/>
      <c r="AJ27" s="4"/>
      <c r="AK27" s="3"/>
      <c r="AL27" s="4"/>
      <c r="AM27" s="3"/>
      <c r="AN27" s="4"/>
      <c r="AO27" s="3"/>
      <c r="AR27" s="3"/>
      <c r="AT27" s="3"/>
      <c r="AV27" s="3"/>
      <c r="AX27" s="3"/>
      <c r="AZ27" s="3"/>
      <c r="BB27" s="3"/>
      <c r="BD27" s="3"/>
      <c r="BF27" s="3"/>
      <c r="BH27" s="3"/>
      <c r="BJ27" s="3"/>
    </row>
    <row r="28" spans="1:62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4"/>
      <c r="V28" s="4"/>
      <c r="W28" s="3"/>
      <c r="X28" s="4"/>
      <c r="Y28" s="3"/>
      <c r="Z28" s="4"/>
      <c r="AA28" s="3"/>
      <c r="AB28" s="4"/>
      <c r="AC28" s="3"/>
      <c r="AD28" s="4"/>
      <c r="AE28" s="3"/>
      <c r="AF28" s="4"/>
      <c r="AG28" s="3"/>
      <c r="AH28" s="4"/>
      <c r="AI28" s="3"/>
      <c r="AJ28" s="4"/>
      <c r="AK28" s="3"/>
      <c r="AL28" s="4"/>
      <c r="AM28" s="3"/>
      <c r="AN28" s="4"/>
      <c r="AO28" s="3"/>
      <c r="AR28" s="3"/>
      <c r="AT28" s="3"/>
      <c r="AV28" s="3"/>
      <c r="AX28" s="3"/>
      <c r="AZ28" s="3"/>
      <c r="BB28" s="3"/>
      <c r="BD28" s="3"/>
      <c r="BF28" s="3"/>
      <c r="BH28" s="3"/>
      <c r="BJ28" s="3"/>
    </row>
    <row r="29" spans="1:62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4"/>
      <c r="V29" s="4"/>
      <c r="W29" s="3"/>
      <c r="X29" s="4"/>
      <c r="Y29" s="3"/>
      <c r="Z29" s="4"/>
      <c r="AA29" s="3"/>
      <c r="AB29" s="4"/>
      <c r="AC29" s="3"/>
      <c r="AD29" s="4"/>
      <c r="AE29" s="3"/>
      <c r="AF29" s="4"/>
      <c r="AG29" s="3"/>
      <c r="AH29" s="4"/>
      <c r="AI29" s="3"/>
      <c r="AJ29" s="4"/>
      <c r="AK29" s="3"/>
      <c r="AL29" s="4"/>
      <c r="AM29" s="3"/>
      <c r="AN29" s="4"/>
      <c r="AO29" s="3"/>
      <c r="AR29" s="3"/>
      <c r="AT29" s="3"/>
      <c r="AV29" s="3"/>
      <c r="AX29" s="3"/>
      <c r="AZ29" s="3"/>
      <c r="BB29" s="3"/>
      <c r="BD29" s="3"/>
      <c r="BF29" s="3"/>
      <c r="BH29" s="3"/>
      <c r="BJ29" s="3"/>
    </row>
    <row r="30" spans="1:62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4"/>
      <c r="V30" s="4"/>
      <c r="W30" s="3"/>
      <c r="X30" s="4"/>
      <c r="Y30" s="3"/>
      <c r="Z30" s="4"/>
      <c r="AA30" s="3"/>
      <c r="AB30" s="4"/>
      <c r="AC30" s="3"/>
      <c r="AD30" s="4"/>
      <c r="AE30" s="3"/>
      <c r="AF30" s="4"/>
      <c r="AG30" s="3"/>
      <c r="AH30" s="4"/>
      <c r="AI30" s="3"/>
      <c r="AJ30" s="4"/>
      <c r="AK30" s="3"/>
      <c r="AL30" s="4"/>
      <c r="AM30" s="3"/>
      <c r="AN30" s="4"/>
      <c r="AO30" s="3"/>
      <c r="AR30" s="3"/>
      <c r="AT30" s="3"/>
      <c r="AV30" s="3"/>
      <c r="AX30" s="3"/>
      <c r="AZ30" s="3"/>
      <c r="BB30" s="3"/>
      <c r="BD30" s="3"/>
      <c r="BF30" s="3"/>
      <c r="BH30" s="3"/>
      <c r="BJ30" s="3"/>
    </row>
    <row r="31" spans="1:62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4"/>
      <c r="V31" s="4"/>
      <c r="W31" s="3"/>
      <c r="X31" s="4"/>
      <c r="Y31" s="3"/>
      <c r="Z31" s="4"/>
      <c r="AA31" s="3"/>
      <c r="AB31" s="4"/>
      <c r="AC31" s="3"/>
      <c r="AD31" s="4"/>
      <c r="AE31" s="3"/>
      <c r="AF31" s="4"/>
      <c r="AG31" s="3"/>
      <c r="AH31" s="4"/>
      <c r="AI31" s="3"/>
      <c r="AJ31" s="4"/>
      <c r="AK31" s="3"/>
      <c r="AL31" s="4"/>
      <c r="AM31" s="3"/>
      <c r="AN31" s="4"/>
      <c r="AO31" s="3"/>
      <c r="AR31" s="3"/>
      <c r="AT31" s="3"/>
      <c r="AV31" s="3"/>
      <c r="AX31" s="3"/>
      <c r="AZ31" s="3"/>
      <c r="BB31" s="3"/>
      <c r="BD31" s="3"/>
      <c r="BF31" s="3"/>
      <c r="BH31" s="3"/>
      <c r="BJ31" s="3"/>
    </row>
    <row r="32" spans="1:62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4"/>
      <c r="V32" s="4"/>
      <c r="W32" s="3"/>
      <c r="X32" s="4"/>
      <c r="Y32" s="3"/>
      <c r="Z32" s="4"/>
      <c r="AA32" s="3"/>
      <c r="AB32" s="4"/>
      <c r="AC32" s="3"/>
      <c r="AD32" s="4"/>
      <c r="AE32" s="3"/>
      <c r="AF32" s="4"/>
      <c r="AG32" s="3"/>
      <c r="AH32" s="4"/>
      <c r="AI32" s="3"/>
      <c r="AJ32" s="4"/>
      <c r="AK32" s="3"/>
      <c r="AL32" s="4"/>
      <c r="AM32" s="3"/>
      <c r="AN32" s="4"/>
      <c r="AO32" s="3"/>
      <c r="AR32" s="3"/>
      <c r="AT32" s="3"/>
      <c r="AV32" s="3"/>
      <c r="AX32" s="3"/>
      <c r="AZ32" s="3"/>
      <c r="BB32" s="3"/>
      <c r="BD32" s="3"/>
      <c r="BF32" s="3"/>
      <c r="BH32" s="3"/>
      <c r="BJ32" s="3"/>
    </row>
    <row r="33" spans="1:62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4"/>
      <c r="V33" s="4"/>
      <c r="W33" s="3"/>
      <c r="X33" s="4"/>
      <c r="Y33" s="3"/>
      <c r="Z33" s="4"/>
      <c r="AA33" s="3"/>
      <c r="AB33" s="4"/>
      <c r="AC33" s="3"/>
      <c r="AD33" s="4"/>
      <c r="AE33" s="3"/>
      <c r="AF33" s="4"/>
      <c r="AG33" s="3"/>
      <c r="AH33" s="4"/>
      <c r="AI33" s="3"/>
      <c r="AJ33" s="4"/>
      <c r="AK33" s="3"/>
      <c r="AL33" s="4"/>
      <c r="AM33" s="3"/>
      <c r="AN33" s="4"/>
      <c r="AO33" s="3"/>
      <c r="AR33" s="3"/>
      <c r="AT33" s="3"/>
      <c r="AV33" s="3"/>
      <c r="AX33" s="3"/>
      <c r="AZ33" s="3"/>
      <c r="BB33" s="3"/>
      <c r="BD33" s="3"/>
      <c r="BF33" s="3"/>
      <c r="BH33" s="3"/>
      <c r="BJ33" s="3"/>
    </row>
    <row r="34" spans="1:62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4"/>
      <c r="V34" s="4"/>
      <c r="W34" s="3"/>
      <c r="X34" s="4"/>
      <c r="Y34" s="3"/>
      <c r="Z34" s="4"/>
      <c r="AA34" s="3"/>
      <c r="AB34" s="4"/>
      <c r="AC34" s="3"/>
      <c r="AD34" s="4"/>
      <c r="AE34" s="3"/>
      <c r="AF34" s="4"/>
      <c r="AG34" s="3"/>
      <c r="AH34" s="4"/>
      <c r="AI34" s="3"/>
      <c r="AJ34" s="4"/>
      <c r="AK34" s="3"/>
      <c r="AL34" s="4"/>
      <c r="AM34" s="3"/>
      <c r="AN34" s="4"/>
      <c r="AO34" s="3"/>
      <c r="AR34" s="3"/>
      <c r="AT34" s="3"/>
      <c r="AV34" s="3"/>
      <c r="AX34" s="3"/>
      <c r="AZ34" s="3"/>
      <c r="BB34" s="3"/>
      <c r="BD34" s="3"/>
      <c r="BF34" s="3"/>
      <c r="BH34" s="3"/>
      <c r="BJ34" s="3"/>
    </row>
    <row r="35" spans="1:62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4"/>
      <c r="V35" s="4"/>
      <c r="W35" s="3"/>
      <c r="X35" s="4"/>
      <c r="Y35" s="3"/>
      <c r="Z35" s="4"/>
      <c r="AA35" s="3"/>
      <c r="AB35" s="4"/>
      <c r="AC35" s="3"/>
      <c r="AD35" s="4"/>
      <c r="AE35" s="3"/>
      <c r="AF35" s="4"/>
      <c r="AG35" s="3"/>
      <c r="AH35" s="4"/>
      <c r="AI35" s="3"/>
      <c r="AJ35" s="4"/>
      <c r="AK35" s="3"/>
      <c r="AL35" s="4"/>
      <c r="AM35" s="3"/>
      <c r="AN35" s="4"/>
      <c r="AO35" s="3"/>
      <c r="AR35" s="3"/>
      <c r="AT35" s="3"/>
      <c r="AV35" s="3"/>
      <c r="AX35" s="3"/>
      <c r="AZ35" s="3"/>
      <c r="BB35" s="3"/>
      <c r="BD35" s="3"/>
      <c r="BF35" s="3"/>
      <c r="BH35" s="3"/>
      <c r="BJ35" s="3"/>
    </row>
    <row r="36" spans="1:62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4"/>
      <c r="V36" s="4"/>
      <c r="W36" s="3"/>
      <c r="X36" s="4"/>
      <c r="Y36" s="3"/>
      <c r="Z36" s="4"/>
      <c r="AA36" s="3"/>
      <c r="AB36" s="4"/>
      <c r="AC36" s="3"/>
      <c r="AD36" s="4"/>
      <c r="AE36" s="3"/>
      <c r="AF36" s="4"/>
      <c r="AG36" s="3"/>
      <c r="AH36" s="4"/>
      <c r="AI36" s="3"/>
      <c r="AJ36" s="4"/>
      <c r="AK36" s="3"/>
      <c r="AL36" s="4"/>
      <c r="AM36" s="3"/>
      <c r="AN36" s="4"/>
      <c r="AO36" s="3"/>
      <c r="AR36" s="3"/>
      <c r="AT36" s="3"/>
      <c r="AV36" s="3"/>
      <c r="AX36" s="3"/>
      <c r="AZ36" s="3"/>
      <c r="BB36" s="3"/>
      <c r="BD36" s="3"/>
      <c r="BF36" s="3"/>
      <c r="BH36" s="3"/>
      <c r="BJ36" s="3"/>
    </row>
    <row r="37" spans="1:62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4"/>
      <c r="V37" s="4"/>
      <c r="W37" s="3"/>
      <c r="X37" s="4"/>
      <c r="Y37" s="3"/>
      <c r="Z37" s="4"/>
      <c r="AA37" s="3"/>
      <c r="AB37" s="4"/>
      <c r="AC37" s="3"/>
      <c r="AD37" s="4"/>
      <c r="AE37" s="3"/>
      <c r="AF37" s="4"/>
      <c r="AG37" s="3"/>
      <c r="AH37" s="4"/>
      <c r="AI37" s="3"/>
      <c r="AJ37" s="4"/>
      <c r="AK37" s="3"/>
      <c r="AL37" s="4"/>
      <c r="AM37" s="3"/>
      <c r="AN37" s="4"/>
      <c r="AO37" s="3"/>
      <c r="AR37" s="3"/>
      <c r="AT37" s="3"/>
      <c r="AV37" s="3"/>
      <c r="AX37" s="3"/>
      <c r="AZ37" s="3"/>
      <c r="BB37" s="3"/>
      <c r="BD37" s="3"/>
      <c r="BF37" s="3"/>
      <c r="BH37" s="3"/>
      <c r="BJ37" s="3"/>
    </row>
    <row r="38" spans="1:62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4"/>
      <c r="V38" s="4"/>
      <c r="W38" s="3"/>
      <c r="X38" s="4"/>
      <c r="Y38" s="3"/>
      <c r="Z38" s="4"/>
      <c r="AA38" s="3"/>
      <c r="AB38" s="4"/>
      <c r="AC38" s="3"/>
      <c r="AD38" s="4"/>
      <c r="AE38" s="3"/>
      <c r="AF38" s="4"/>
      <c r="AG38" s="3"/>
      <c r="AH38" s="4"/>
      <c r="AI38" s="3"/>
      <c r="AJ38" s="4"/>
      <c r="AK38" s="3"/>
      <c r="AL38" s="4"/>
      <c r="AM38" s="3"/>
      <c r="AN38" s="4"/>
      <c r="AO38" s="3"/>
      <c r="AR38" s="3"/>
      <c r="AT38" s="3"/>
      <c r="AV38" s="3"/>
      <c r="AX38" s="3"/>
      <c r="AZ38" s="3"/>
      <c r="BB38" s="3"/>
      <c r="BD38" s="3"/>
      <c r="BF38" s="3"/>
      <c r="BH38" s="3"/>
      <c r="BJ38" s="3"/>
    </row>
    <row r="39" spans="1:62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4"/>
      <c r="V39" s="4"/>
      <c r="W39" s="3"/>
      <c r="X39" s="4"/>
      <c r="Y39" s="3"/>
      <c r="Z39" s="4"/>
      <c r="AA39" s="3"/>
      <c r="AB39" s="4"/>
      <c r="AC39" s="3"/>
      <c r="AD39" s="4"/>
      <c r="AE39" s="3"/>
      <c r="AF39" s="4"/>
      <c r="AG39" s="3"/>
      <c r="AH39" s="4"/>
      <c r="AI39" s="3"/>
      <c r="AJ39" s="4"/>
      <c r="AK39" s="3"/>
      <c r="AL39" s="4"/>
      <c r="AM39" s="3"/>
      <c r="AN39" s="4"/>
      <c r="AO39" s="3"/>
      <c r="AR39" s="3"/>
      <c r="AT39" s="3"/>
      <c r="AV39" s="3"/>
      <c r="AX39" s="3"/>
      <c r="AZ39" s="3"/>
      <c r="BB39" s="3"/>
      <c r="BD39" s="3"/>
      <c r="BF39" s="3"/>
      <c r="BH39" s="3"/>
      <c r="BJ39" s="3"/>
    </row>
    <row r="40" spans="1:62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4"/>
      <c r="V40" s="4"/>
      <c r="W40" s="3"/>
      <c r="X40" s="4"/>
      <c r="Y40" s="3"/>
      <c r="Z40" s="4"/>
      <c r="AA40" s="3"/>
      <c r="AB40" s="4"/>
      <c r="AC40" s="3"/>
      <c r="AD40" s="4"/>
      <c r="AE40" s="3"/>
      <c r="AF40" s="4"/>
      <c r="AG40" s="3"/>
      <c r="AH40" s="4"/>
      <c r="AI40" s="3"/>
      <c r="AJ40" s="4"/>
      <c r="AK40" s="3"/>
      <c r="AL40" s="4"/>
      <c r="AM40" s="3"/>
      <c r="AN40" s="4"/>
      <c r="AO40" s="3"/>
      <c r="AR40" s="3"/>
      <c r="AT40" s="3"/>
      <c r="AV40" s="3"/>
      <c r="AX40" s="3"/>
      <c r="AZ40" s="3"/>
      <c r="BB40" s="3"/>
      <c r="BD40" s="3"/>
      <c r="BF40" s="3"/>
      <c r="BH40" s="3"/>
      <c r="BJ40" s="3"/>
    </row>
    <row r="41" spans="1:62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4"/>
      <c r="V41" s="4"/>
      <c r="W41" s="3"/>
      <c r="X41" s="4"/>
      <c r="Y41" s="3"/>
      <c r="Z41" s="4"/>
      <c r="AA41" s="3"/>
      <c r="AB41" s="4"/>
      <c r="AC41" s="3"/>
      <c r="AD41" s="4"/>
      <c r="AE41" s="3"/>
      <c r="AF41" s="4"/>
      <c r="AG41" s="3"/>
      <c r="AH41" s="4"/>
      <c r="AI41" s="3"/>
      <c r="AJ41" s="4"/>
      <c r="AK41" s="3"/>
      <c r="AL41" s="4"/>
      <c r="AM41" s="3"/>
      <c r="AN41" s="4"/>
      <c r="AO41" s="3"/>
      <c r="AR41" s="3"/>
      <c r="AT41" s="3"/>
      <c r="AV41" s="3"/>
      <c r="AX41" s="3"/>
      <c r="AZ41" s="3"/>
      <c r="BB41" s="3"/>
      <c r="BD41" s="3"/>
      <c r="BF41" s="3"/>
      <c r="BH41" s="3"/>
      <c r="BJ41" s="3"/>
    </row>
    <row r="42" spans="1:62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4"/>
      <c r="V42" s="4"/>
      <c r="W42" s="3"/>
      <c r="X42" s="4"/>
      <c r="Y42" s="3"/>
      <c r="Z42" s="4"/>
      <c r="AA42" s="3"/>
      <c r="AB42" s="4"/>
      <c r="AC42" s="3"/>
      <c r="AD42" s="4"/>
      <c r="AE42" s="3"/>
      <c r="AF42" s="4"/>
      <c r="AG42" s="3"/>
      <c r="AH42" s="4"/>
      <c r="AI42" s="3"/>
      <c r="AJ42" s="4"/>
      <c r="AK42" s="3"/>
      <c r="AL42" s="4"/>
      <c r="AM42" s="3"/>
      <c r="AN42" s="4"/>
      <c r="AO42" s="3"/>
      <c r="AR42" s="3"/>
      <c r="AT42" s="3"/>
      <c r="AV42" s="3"/>
      <c r="AX42" s="3"/>
      <c r="AZ42" s="3"/>
      <c r="BB42" s="3"/>
      <c r="BD42" s="3"/>
      <c r="BF42" s="3"/>
      <c r="BH42" s="3"/>
      <c r="BJ42" s="3"/>
    </row>
    <row r="43" spans="1:62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4"/>
      <c r="V43" s="4"/>
      <c r="W43" s="3"/>
      <c r="X43" s="4"/>
      <c r="Y43" s="3"/>
      <c r="Z43" s="4"/>
      <c r="AA43" s="3"/>
      <c r="AB43" s="4"/>
      <c r="AC43" s="3"/>
      <c r="AD43" s="4"/>
      <c r="AE43" s="3"/>
      <c r="AF43" s="4"/>
      <c r="AG43" s="3"/>
      <c r="AH43" s="4"/>
      <c r="AI43" s="3"/>
      <c r="AJ43" s="4"/>
      <c r="AK43" s="3"/>
      <c r="AL43" s="4"/>
      <c r="AM43" s="3"/>
      <c r="AN43" s="4"/>
      <c r="AO43" s="3"/>
      <c r="AR43" s="3"/>
      <c r="AT43" s="3"/>
      <c r="AV43" s="3"/>
      <c r="AX43" s="3"/>
      <c r="AZ43" s="3"/>
      <c r="BB43" s="3"/>
      <c r="BD43" s="3"/>
      <c r="BF43" s="3"/>
      <c r="BH43" s="3"/>
      <c r="BJ43" s="3"/>
    </row>
    <row r="44" spans="1:62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4"/>
      <c r="V44" s="4"/>
      <c r="W44" s="3"/>
      <c r="X44" s="4"/>
      <c r="Y44" s="3"/>
      <c r="Z44" s="4"/>
      <c r="AA44" s="3"/>
      <c r="AB44" s="4"/>
      <c r="AC44" s="3"/>
      <c r="AD44" s="4"/>
      <c r="AE44" s="3"/>
      <c r="AF44" s="4"/>
      <c r="AG44" s="3"/>
      <c r="AH44" s="4"/>
      <c r="AI44" s="3"/>
      <c r="AJ44" s="4"/>
      <c r="AK44" s="3"/>
      <c r="AL44" s="4"/>
      <c r="AM44" s="3"/>
      <c r="AN44" s="4"/>
      <c r="AO44" s="3"/>
      <c r="AR44" s="3"/>
      <c r="AT44" s="3"/>
      <c r="AV44" s="3"/>
      <c r="AX44" s="3"/>
      <c r="AZ44" s="3"/>
      <c r="BB44" s="3"/>
      <c r="BD44" s="3"/>
      <c r="BF44" s="3"/>
      <c r="BH44" s="3"/>
      <c r="BJ44" s="3"/>
    </row>
    <row r="45" spans="1:62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4"/>
      <c r="V45" s="4"/>
      <c r="W45" s="3"/>
      <c r="X45" s="4"/>
      <c r="Y45" s="3"/>
      <c r="Z45" s="4"/>
      <c r="AA45" s="3"/>
      <c r="AB45" s="4"/>
      <c r="AC45" s="3"/>
      <c r="AD45" s="4"/>
      <c r="AE45" s="3"/>
      <c r="AF45" s="4"/>
      <c r="AG45" s="3"/>
      <c r="AH45" s="4"/>
      <c r="AI45" s="3"/>
      <c r="AJ45" s="4"/>
      <c r="AK45" s="3"/>
      <c r="AL45" s="4"/>
      <c r="AM45" s="3"/>
      <c r="AN45" s="4"/>
      <c r="AO45" s="3"/>
      <c r="AR45" s="3"/>
      <c r="AT45" s="3"/>
      <c r="AV45" s="3"/>
      <c r="AX45" s="3"/>
      <c r="AZ45" s="3"/>
      <c r="BB45" s="3"/>
      <c r="BD45" s="3"/>
      <c r="BF45" s="3"/>
      <c r="BH45" s="3"/>
      <c r="BJ45" s="3"/>
    </row>
    <row r="46" spans="1:62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4"/>
      <c r="V46" s="4"/>
      <c r="W46" s="3"/>
      <c r="X46" s="4"/>
      <c r="Y46" s="3"/>
      <c r="Z46" s="4"/>
      <c r="AA46" s="3"/>
      <c r="AB46" s="4"/>
      <c r="AC46" s="3"/>
      <c r="AD46" s="4"/>
      <c r="AE46" s="3"/>
      <c r="AF46" s="4"/>
      <c r="AG46" s="3"/>
      <c r="AH46" s="4"/>
      <c r="AI46" s="3"/>
      <c r="AJ46" s="4"/>
      <c r="AK46" s="3"/>
      <c r="AL46" s="4"/>
      <c r="AM46" s="3"/>
      <c r="AN46" s="4"/>
      <c r="AO46" s="3"/>
      <c r="AR46" s="3"/>
      <c r="AT46" s="3"/>
      <c r="AV46" s="3"/>
      <c r="AX46" s="3"/>
      <c r="AZ46" s="3"/>
      <c r="BB46" s="3"/>
      <c r="BD46" s="3"/>
      <c r="BF46" s="3"/>
      <c r="BH46" s="3"/>
      <c r="BJ46" s="3"/>
    </row>
    <row r="47" spans="1:62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4"/>
      <c r="V47" s="4"/>
      <c r="W47" s="3"/>
      <c r="X47" s="4"/>
      <c r="Y47" s="3"/>
      <c r="Z47" s="4"/>
      <c r="AA47" s="3"/>
      <c r="AB47" s="4"/>
      <c r="AC47" s="3"/>
      <c r="AD47" s="4"/>
      <c r="AE47" s="3"/>
      <c r="AF47" s="4"/>
      <c r="AG47" s="3"/>
      <c r="AH47" s="4"/>
      <c r="AI47" s="3"/>
      <c r="AJ47" s="4"/>
      <c r="AK47" s="3"/>
      <c r="AL47" s="4"/>
      <c r="AM47" s="3"/>
      <c r="AN47" s="4"/>
      <c r="AO47" s="3"/>
      <c r="AR47" s="3"/>
      <c r="AT47" s="3"/>
      <c r="AV47" s="3"/>
      <c r="AX47" s="3"/>
      <c r="AZ47" s="3"/>
      <c r="BB47" s="3"/>
      <c r="BD47" s="3"/>
      <c r="BF47" s="3"/>
      <c r="BH47" s="3"/>
      <c r="BJ47" s="3"/>
    </row>
    <row r="48" spans="1:6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4"/>
      <c r="V48" s="4"/>
      <c r="W48" s="3"/>
      <c r="X48" s="4"/>
      <c r="Y48" s="3"/>
      <c r="Z48" s="4"/>
      <c r="AA48" s="3"/>
      <c r="AB48" s="4"/>
      <c r="AC48" s="3"/>
      <c r="AD48" s="4"/>
      <c r="AE48" s="3"/>
      <c r="AF48" s="4"/>
      <c r="AG48" s="3"/>
      <c r="AH48" s="4"/>
      <c r="AI48" s="3"/>
      <c r="AJ48" s="4"/>
      <c r="AK48" s="3"/>
      <c r="AL48" s="4"/>
      <c r="AM48" s="3"/>
      <c r="AN48" s="4"/>
      <c r="AO48" s="3"/>
      <c r="AR48" s="3"/>
      <c r="AT48" s="3"/>
      <c r="AV48" s="3"/>
      <c r="AX48" s="3"/>
      <c r="AZ48" s="3"/>
      <c r="BB48" s="3"/>
      <c r="BD48" s="3"/>
      <c r="BF48" s="3"/>
      <c r="BH48" s="3"/>
      <c r="BJ48" s="3"/>
    </row>
    <row r="49" spans="1:62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4"/>
      <c r="V49" s="4"/>
      <c r="W49" s="3"/>
      <c r="X49" s="4"/>
      <c r="Y49" s="3"/>
      <c r="Z49" s="4"/>
      <c r="AA49" s="3"/>
      <c r="AB49" s="4"/>
      <c r="AC49" s="3"/>
      <c r="AD49" s="4"/>
      <c r="AE49" s="3"/>
      <c r="AF49" s="4"/>
      <c r="AG49" s="3"/>
      <c r="AH49" s="4"/>
      <c r="AI49" s="3"/>
      <c r="AJ49" s="4"/>
      <c r="AK49" s="3"/>
      <c r="AL49" s="4"/>
      <c r="AM49" s="3"/>
      <c r="AN49" s="4"/>
      <c r="AO49" s="3"/>
      <c r="AR49" s="3"/>
      <c r="AT49" s="3"/>
      <c r="AV49" s="3"/>
      <c r="AX49" s="3"/>
      <c r="AZ49" s="3"/>
      <c r="BB49" s="3"/>
      <c r="BD49" s="3"/>
      <c r="BF49" s="3"/>
      <c r="BH49" s="3"/>
      <c r="BJ49" s="3"/>
    </row>
    <row r="50" spans="1:62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4"/>
      <c r="V50" s="4"/>
      <c r="W50" s="3"/>
      <c r="X50" s="4"/>
      <c r="Y50" s="3"/>
      <c r="Z50" s="4"/>
      <c r="AA50" s="3"/>
      <c r="AB50" s="4"/>
      <c r="AC50" s="3"/>
      <c r="AD50" s="4"/>
      <c r="AE50" s="3"/>
      <c r="AF50" s="4"/>
      <c r="AG50" s="3"/>
      <c r="AH50" s="4"/>
      <c r="AI50" s="3"/>
      <c r="AJ50" s="4"/>
      <c r="AK50" s="3"/>
      <c r="AL50" s="4"/>
      <c r="AM50" s="3"/>
      <c r="AN50" s="4"/>
      <c r="AO50" s="3"/>
      <c r="AR50" s="3"/>
      <c r="AT50" s="3"/>
      <c r="AV50" s="3"/>
      <c r="AX50" s="3"/>
      <c r="AZ50" s="3"/>
      <c r="BB50" s="3"/>
      <c r="BD50" s="3"/>
      <c r="BF50" s="3"/>
      <c r="BH50" s="3"/>
      <c r="BJ50" s="3"/>
    </row>
    <row r="51" spans="1:62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4"/>
      <c r="V51" s="4"/>
      <c r="W51" s="3"/>
      <c r="X51" s="4"/>
      <c r="Y51" s="3"/>
      <c r="Z51" s="4"/>
      <c r="AA51" s="3"/>
      <c r="AB51" s="4"/>
      <c r="AC51" s="3"/>
      <c r="AD51" s="4"/>
      <c r="AE51" s="3"/>
      <c r="AF51" s="4"/>
      <c r="AG51" s="3"/>
      <c r="AH51" s="4"/>
      <c r="AI51" s="3"/>
      <c r="AJ51" s="4"/>
      <c r="AK51" s="3"/>
      <c r="AL51" s="4"/>
      <c r="AM51" s="3"/>
      <c r="AN51" s="4"/>
      <c r="AO51" s="3"/>
      <c r="AR51" s="3"/>
      <c r="AT51" s="3"/>
      <c r="AV51" s="3"/>
      <c r="AX51" s="3"/>
      <c r="AZ51" s="3"/>
      <c r="BB51" s="3"/>
      <c r="BD51" s="3"/>
      <c r="BF51" s="3"/>
      <c r="BH51" s="3"/>
      <c r="BJ51" s="3"/>
    </row>
    <row r="52" spans="1:62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4"/>
      <c r="V52" s="4"/>
      <c r="W52" s="3"/>
      <c r="X52" s="4"/>
      <c r="Y52" s="3"/>
      <c r="Z52" s="4"/>
      <c r="AA52" s="3"/>
      <c r="AB52" s="4"/>
      <c r="AC52" s="3"/>
      <c r="AD52" s="4"/>
      <c r="AE52" s="3"/>
      <c r="AF52" s="4"/>
      <c r="AG52" s="3"/>
      <c r="AH52" s="4"/>
      <c r="AI52" s="3"/>
      <c r="AJ52" s="4"/>
      <c r="AK52" s="3"/>
      <c r="AL52" s="4"/>
      <c r="AM52" s="3"/>
      <c r="AN52" s="4"/>
      <c r="AO52" s="3"/>
      <c r="AR52" s="3"/>
      <c r="AT52" s="3"/>
      <c r="AV52" s="3"/>
      <c r="AX52" s="3"/>
      <c r="AZ52" s="3"/>
      <c r="BB52" s="3"/>
      <c r="BD52" s="3"/>
      <c r="BF52" s="3"/>
      <c r="BH52" s="3"/>
      <c r="BJ52" s="3"/>
    </row>
    <row r="53" spans="1:62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4"/>
      <c r="V53" s="4"/>
      <c r="W53" s="3"/>
      <c r="X53" s="4"/>
      <c r="Y53" s="3"/>
      <c r="Z53" s="4"/>
      <c r="AA53" s="3"/>
      <c r="AB53" s="4"/>
      <c r="AC53" s="3"/>
      <c r="AD53" s="4"/>
      <c r="AE53" s="3"/>
      <c r="AF53" s="4"/>
      <c r="AG53" s="3"/>
      <c r="AH53" s="4"/>
      <c r="AI53" s="3"/>
      <c r="AJ53" s="4"/>
      <c r="AK53" s="3"/>
      <c r="AL53" s="4"/>
      <c r="AM53" s="3"/>
      <c r="AN53" s="4"/>
      <c r="AO53" s="3"/>
      <c r="AR53" s="3"/>
      <c r="AT53" s="3"/>
      <c r="AV53" s="3"/>
      <c r="AX53" s="3"/>
      <c r="AZ53" s="3"/>
      <c r="BB53" s="3"/>
      <c r="BD53" s="3"/>
      <c r="BF53" s="3"/>
      <c r="BH53" s="3"/>
      <c r="BJ53" s="3"/>
    </row>
    <row r="54" spans="1:62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4"/>
      <c r="V54" s="4"/>
      <c r="W54" s="3"/>
      <c r="X54" s="4"/>
      <c r="Y54" s="3"/>
      <c r="Z54" s="4"/>
      <c r="AA54" s="3"/>
      <c r="AB54" s="4"/>
      <c r="AC54" s="3"/>
      <c r="AD54" s="4"/>
      <c r="AE54" s="3"/>
      <c r="AF54" s="4"/>
      <c r="AG54" s="3"/>
      <c r="AH54" s="4"/>
      <c r="AI54" s="3"/>
      <c r="AJ54" s="4"/>
      <c r="AK54" s="3"/>
      <c r="AL54" s="4"/>
      <c r="AM54" s="3"/>
      <c r="AN54" s="4"/>
      <c r="AO54" s="3"/>
      <c r="AR54" s="3"/>
      <c r="AT54" s="3"/>
      <c r="AV54" s="3"/>
      <c r="AX54" s="3"/>
      <c r="AZ54" s="3"/>
      <c r="BB54" s="3"/>
      <c r="BD54" s="3"/>
      <c r="BF54" s="3"/>
      <c r="BH54" s="3"/>
      <c r="BJ54" s="3"/>
    </row>
    <row r="55" spans="1:62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4"/>
      <c r="V55" s="4"/>
      <c r="W55" s="3"/>
      <c r="X55" s="4"/>
      <c r="Y55" s="3"/>
      <c r="Z55" s="4"/>
      <c r="AA55" s="3"/>
      <c r="AB55" s="4"/>
      <c r="AC55" s="3"/>
      <c r="AD55" s="4"/>
      <c r="AE55" s="3"/>
      <c r="AF55" s="4"/>
      <c r="AG55" s="3"/>
      <c r="AH55" s="4"/>
      <c r="AI55" s="3"/>
      <c r="AJ55" s="4"/>
      <c r="AK55" s="3"/>
      <c r="AL55" s="4"/>
      <c r="AM55" s="3"/>
      <c r="AN55" s="4"/>
      <c r="AO55" s="3"/>
      <c r="AR55" s="3"/>
      <c r="AT55" s="3"/>
      <c r="AV55" s="3"/>
      <c r="AX55" s="3"/>
      <c r="AZ55" s="3"/>
      <c r="BB55" s="3"/>
      <c r="BD55" s="3"/>
      <c r="BF55" s="3"/>
      <c r="BH55" s="3"/>
      <c r="BJ55" s="3"/>
    </row>
    <row r="56" spans="1:62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4"/>
      <c r="V56" s="4"/>
      <c r="W56" s="3"/>
      <c r="X56" s="4"/>
      <c r="Y56" s="3"/>
      <c r="Z56" s="4"/>
      <c r="AA56" s="3"/>
      <c r="AB56" s="4"/>
      <c r="AC56" s="3"/>
      <c r="AD56" s="4"/>
      <c r="AE56" s="3"/>
      <c r="AF56" s="4"/>
      <c r="AG56" s="3"/>
      <c r="AH56" s="4"/>
      <c r="AI56" s="3"/>
      <c r="AJ56" s="4"/>
      <c r="AK56" s="3"/>
      <c r="AL56" s="4"/>
      <c r="AM56" s="3"/>
      <c r="AN56" s="4"/>
      <c r="AO56" s="3"/>
      <c r="AR56" s="3"/>
      <c r="AT56" s="3"/>
      <c r="AV56" s="3"/>
      <c r="AX56" s="3"/>
      <c r="AZ56" s="3"/>
      <c r="BB56" s="3"/>
      <c r="BD56" s="3"/>
      <c r="BF56" s="3"/>
      <c r="BH56" s="3"/>
      <c r="BJ56" s="3"/>
    </row>
    <row r="57" spans="1:62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4"/>
      <c r="V57" s="4"/>
      <c r="W57" s="3"/>
      <c r="X57" s="4"/>
      <c r="Y57" s="3"/>
      <c r="Z57" s="4"/>
      <c r="AA57" s="3"/>
      <c r="AB57" s="4"/>
      <c r="AC57" s="3"/>
      <c r="AD57" s="4"/>
      <c r="AE57" s="3"/>
      <c r="AF57" s="4"/>
      <c r="AG57" s="3"/>
      <c r="AH57" s="4"/>
      <c r="AI57" s="3"/>
      <c r="AJ57" s="4"/>
      <c r="AK57" s="3"/>
      <c r="AL57" s="4"/>
      <c r="AM57" s="3"/>
      <c r="AN57" s="4"/>
      <c r="AO57" s="3"/>
      <c r="AR57" s="3"/>
      <c r="AT57" s="3"/>
      <c r="AV57" s="3"/>
      <c r="AX57" s="3"/>
      <c r="AZ57" s="3"/>
      <c r="BB57" s="3"/>
      <c r="BD57" s="3"/>
      <c r="BF57" s="3"/>
      <c r="BH57" s="3"/>
      <c r="BJ57" s="3"/>
    </row>
    <row r="58" spans="1:62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4"/>
      <c r="V58" s="4"/>
      <c r="W58" s="3"/>
      <c r="X58" s="4"/>
      <c r="Y58" s="3"/>
      <c r="Z58" s="4"/>
      <c r="AA58" s="3"/>
      <c r="AB58" s="4"/>
      <c r="AC58" s="3"/>
      <c r="AD58" s="4"/>
      <c r="AE58" s="3"/>
      <c r="AF58" s="4"/>
      <c r="AG58" s="3"/>
      <c r="AH58" s="4"/>
      <c r="AI58" s="3"/>
      <c r="AJ58" s="4"/>
      <c r="AK58" s="3"/>
      <c r="AL58" s="4"/>
      <c r="AM58" s="3"/>
      <c r="AN58" s="4"/>
      <c r="AO58" s="3"/>
      <c r="AR58" s="3"/>
      <c r="AT58" s="3"/>
      <c r="AV58" s="3"/>
      <c r="AX58" s="3"/>
      <c r="AZ58" s="3"/>
      <c r="BB58" s="3"/>
      <c r="BD58" s="3"/>
      <c r="BF58" s="3"/>
      <c r="BH58" s="3"/>
      <c r="BJ58" s="3"/>
    </row>
    <row r="59" spans="1:62">
      <c r="A59" s="2"/>
      <c r="AR59" s="3"/>
      <c r="AT59" s="3"/>
      <c r="AV59" s="3"/>
      <c r="AX59" s="3"/>
      <c r="AZ59" s="3"/>
      <c r="BB59" s="3"/>
      <c r="BD59" s="3"/>
      <c r="BF59" s="3"/>
      <c r="BH59" s="3"/>
      <c r="BJ59" s="3"/>
    </row>
    <row r="60" spans="1:62">
      <c r="A60" s="2"/>
      <c r="AR60" s="3"/>
      <c r="AT60" s="3"/>
      <c r="AV60" s="3"/>
      <c r="AX60" s="3"/>
      <c r="AZ60" s="3"/>
      <c r="BB60" s="3"/>
      <c r="BD60" s="3"/>
      <c r="BF60" s="3"/>
      <c r="BH60" s="3"/>
      <c r="BJ60" s="3"/>
    </row>
    <row r="61" spans="1:62">
      <c r="A61" s="2"/>
      <c r="AR61" s="3"/>
      <c r="AT61" s="3"/>
      <c r="AV61" s="3"/>
      <c r="AX61" s="3"/>
      <c r="AZ61" s="3"/>
      <c r="BB61" s="3"/>
      <c r="BD61" s="3"/>
      <c r="BF61" s="3"/>
      <c r="BH61" s="3"/>
      <c r="BJ61" s="3"/>
    </row>
    <row r="62" spans="1:62">
      <c r="A62" s="2"/>
      <c r="AR62" s="3"/>
      <c r="AT62" s="3"/>
      <c r="AV62" s="3"/>
      <c r="AX62" s="3"/>
      <c r="AZ62" s="3"/>
      <c r="BB62" s="3"/>
      <c r="BD62" s="3"/>
      <c r="BF62" s="3"/>
      <c r="BH62" s="3"/>
      <c r="BJ62" s="3"/>
    </row>
    <row r="63" spans="1:62">
      <c r="A63" s="2"/>
      <c r="AR63" s="3"/>
      <c r="AT63" s="3"/>
      <c r="AV63" s="3"/>
      <c r="AX63" s="3"/>
      <c r="AZ63" s="3"/>
      <c r="BB63" s="3"/>
      <c r="BD63" s="3"/>
      <c r="BF63" s="3"/>
      <c r="BH63" s="3"/>
      <c r="BJ63" s="3"/>
    </row>
    <row r="64" spans="1:62">
      <c r="A64" s="2"/>
      <c r="AR64" s="3"/>
      <c r="AT64" s="3"/>
      <c r="AV64" s="3"/>
      <c r="AX64" s="3"/>
      <c r="AZ64" s="3"/>
      <c r="BB64" s="3"/>
      <c r="BD64" s="3"/>
      <c r="BF64" s="3"/>
      <c r="BH64" s="3"/>
      <c r="BJ64" s="3"/>
    </row>
    <row r="65" spans="1:62">
      <c r="A65" s="2"/>
      <c r="AR65" s="3"/>
      <c r="AT65" s="3"/>
      <c r="AV65" s="3"/>
      <c r="AX65" s="3"/>
      <c r="AZ65" s="3"/>
      <c r="BB65" s="3"/>
      <c r="BD65" s="3"/>
      <c r="BF65" s="3"/>
      <c r="BH65" s="3"/>
      <c r="BJ65" s="3"/>
    </row>
    <row r="66" spans="1:62">
      <c r="A66" s="2"/>
      <c r="AR66" s="3"/>
      <c r="AT66" s="3"/>
      <c r="AV66" s="3"/>
      <c r="AX66" s="3"/>
      <c r="AZ66" s="3"/>
      <c r="BB66" s="3"/>
      <c r="BD66" s="3"/>
      <c r="BF66" s="3"/>
      <c r="BH66" s="3"/>
      <c r="BJ66" s="3"/>
    </row>
    <row r="67" spans="1:62">
      <c r="A67" s="2"/>
      <c r="AR67" s="3"/>
      <c r="AT67" s="3"/>
      <c r="AV67" s="3"/>
      <c r="AX67" s="3"/>
      <c r="AZ67" s="3"/>
      <c r="BB67" s="3"/>
      <c r="BD67" s="3"/>
      <c r="BF67" s="3"/>
      <c r="BH67" s="3"/>
      <c r="BJ67" s="3"/>
    </row>
    <row r="68" spans="1:62">
      <c r="A68" s="2"/>
      <c r="AR68" s="3"/>
      <c r="AT68" s="3"/>
      <c r="AV68" s="3"/>
      <c r="AX68" s="3"/>
      <c r="AZ68" s="3"/>
      <c r="BB68" s="3"/>
      <c r="BD68" s="3"/>
      <c r="BF68" s="3"/>
      <c r="BH68" s="3"/>
      <c r="BJ68" s="3"/>
    </row>
    <row r="69" spans="1:62">
      <c r="A69" s="2"/>
      <c r="AR69" s="3"/>
      <c r="AT69" s="3"/>
      <c r="AV69" s="3"/>
      <c r="AX69" s="3"/>
      <c r="AZ69" s="3"/>
      <c r="BB69" s="3"/>
      <c r="BD69" s="3"/>
      <c r="BF69" s="3"/>
      <c r="BH69" s="3"/>
      <c r="BJ69" s="3"/>
    </row>
    <row r="70" spans="1:62">
      <c r="A70" s="2"/>
      <c r="AR70" s="3"/>
      <c r="AT70" s="3"/>
      <c r="AV70" s="3"/>
      <c r="AX70" s="3"/>
      <c r="AZ70" s="3"/>
      <c r="BB70" s="3"/>
      <c r="BD70" s="3"/>
      <c r="BF70" s="3"/>
      <c r="BH70" s="3"/>
      <c r="BJ70" s="3"/>
    </row>
    <row r="71" spans="1:62">
      <c r="A71" s="2"/>
      <c r="AR71" s="3"/>
      <c r="AT71" s="3"/>
      <c r="AV71" s="3"/>
      <c r="AX71" s="3"/>
      <c r="AZ71" s="3"/>
      <c r="BB71" s="3"/>
      <c r="BD71" s="3"/>
      <c r="BF71" s="3"/>
      <c r="BH71" s="3"/>
      <c r="BJ71" s="3"/>
    </row>
    <row r="72" spans="1:62">
      <c r="A72" s="2"/>
      <c r="AR72" s="3"/>
      <c r="AT72" s="3"/>
      <c r="AV72" s="3"/>
      <c r="AX72" s="3"/>
      <c r="AZ72" s="3"/>
      <c r="BB72" s="3"/>
      <c r="BD72" s="3"/>
      <c r="BF72" s="3"/>
      <c r="BH72" s="3"/>
      <c r="BJ72" s="3"/>
    </row>
    <row r="73" spans="1:62">
      <c r="A73" s="2"/>
      <c r="AR73" s="3"/>
      <c r="AT73" s="3"/>
      <c r="AV73" s="3"/>
      <c r="AX73" s="3"/>
      <c r="AZ73" s="3"/>
      <c r="BB73" s="3"/>
      <c r="BD73" s="3"/>
      <c r="BF73" s="3"/>
      <c r="BH73" s="3"/>
      <c r="BJ73" s="3"/>
    </row>
    <row r="74" spans="1:62">
      <c r="A74" s="2"/>
      <c r="AR74" s="3"/>
      <c r="AT74" s="3"/>
      <c r="AV74" s="3"/>
      <c r="AX74" s="3"/>
      <c r="AZ74" s="3"/>
      <c r="BB74" s="3"/>
      <c r="BD74" s="3"/>
      <c r="BF74" s="3"/>
      <c r="BH74" s="3"/>
      <c r="BJ74" s="3"/>
    </row>
    <row r="75" spans="1:62">
      <c r="A75" s="2"/>
      <c r="AR75" s="3"/>
      <c r="AT75" s="3"/>
      <c r="AV75" s="3"/>
      <c r="AX75" s="3"/>
      <c r="AZ75" s="3"/>
      <c r="BB75" s="3"/>
      <c r="BD75" s="3"/>
      <c r="BF75" s="3"/>
      <c r="BH75" s="3"/>
      <c r="BJ75" s="3"/>
    </row>
    <row r="76" spans="1:62">
      <c r="A76" s="2"/>
      <c r="AR76" s="3"/>
      <c r="AT76" s="3"/>
      <c r="AV76" s="3"/>
      <c r="AX76" s="3"/>
      <c r="AZ76" s="3"/>
      <c r="BB76" s="3"/>
      <c r="BD76" s="3"/>
      <c r="BF76" s="3"/>
      <c r="BH76" s="3"/>
      <c r="BJ76" s="3"/>
    </row>
    <row r="77" spans="1:62">
      <c r="A77" s="2"/>
      <c r="AR77" s="3"/>
      <c r="AT77" s="3"/>
      <c r="AV77" s="3"/>
      <c r="AX77" s="3"/>
      <c r="AZ77" s="3"/>
      <c r="BB77" s="3"/>
      <c r="BD77" s="3"/>
      <c r="BF77" s="3"/>
      <c r="BH77" s="3"/>
      <c r="BJ77" s="3"/>
    </row>
    <row r="78" spans="1:62">
      <c r="A78" s="2"/>
      <c r="AR78" s="3"/>
      <c r="AT78" s="3"/>
      <c r="AV78" s="3"/>
      <c r="AX78" s="3"/>
      <c r="AZ78" s="3"/>
      <c r="BB78" s="3"/>
      <c r="BD78" s="3"/>
      <c r="BF78" s="3"/>
      <c r="BH78" s="3"/>
      <c r="BJ78" s="3"/>
    </row>
    <row r="79" spans="1:62">
      <c r="A79" s="2"/>
      <c r="AR79" s="3"/>
      <c r="AT79" s="3"/>
      <c r="AV79" s="3"/>
      <c r="AX79" s="3"/>
      <c r="AZ79" s="3"/>
      <c r="BB79" s="3"/>
      <c r="BD79" s="3"/>
      <c r="BF79" s="3"/>
      <c r="BH79" s="3"/>
      <c r="BJ79" s="3"/>
    </row>
    <row r="80" spans="1:62">
      <c r="A80" s="2"/>
      <c r="AR80" s="3"/>
      <c r="AT80" s="3"/>
      <c r="AV80" s="3"/>
      <c r="AX80" s="3"/>
      <c r="AZ80" s="3"/>
      <c r="BB80" s="3"/>
      <c r="BD80" s="3"/>
      <c r="BF80" s="3"/>
      <c r="BH80" s="3"/>
      <c r="BJ80" s="3"/>
    </row>
    <row r="81" spans="1:62">
      <c r="A81" s="2"/>
      <c r="AR81" s="3"/>
      <c r="AT81" s="3"/>
      <c r="AV81" s="3"/>
      <c r="AX81" s="3"/>
      <c r="AZ81" s="3"/>
      <c r="BB81" s="3"/>
      <c r="BD81" s="3"/>
      <c r="BF81" s="3"/>
      <c r="BH81" s="3"/>
      <c r="BJ81" s="3"/>
    </row>
    <row r="82" spans="1:62">
      <c r="A82" s="2"/>
      <c r="AR82" s="3"/>
      <c r="AT82" s="3"/>
      <c r="AV82" s="3"/>
      <c r="AX82" s="3"/>
      <c r="AZ82" s="3"/>
      <c r="BB82" s="3"/>
      <c r="BD82" s="3"/>
      <c r="BF82" s="3"/>
      <c r="BH82" s="3"/>
      <c r="BJ82" s="3"/>
    </row>
    <row r="83" spans="1:62">
      <c r="A83" s="2"/>
      <c r="AR83" s="3"/>
      <c r="AT83" s="3"/>
      <c r="AV83" s="3"/>
      <c r="AX83" s="3"/>
      <c r="AZ83" s="3"/>
      <c r="BB83" s="3"/>
      <c r="BD83" s="3"/>
      <c r="BF83" s="3"/>
      <c r="BH83" s="3"/>
      <c r="BJ83" s="3"/>
    </row>
    <row r="84" spans="1:62">
      <c r="A84" s="2"/>
      <c r="AR84" s="3"/>
      <c r="AT84" s="3"/>
      <c r="AV84" s="3"/>
      <c r="AX84" s="3"/>
      <c r="AZ84" s="3"/>
      <c r="BB84" s="3"/>
      <c r="BD84" s="3"/>
      <c r="BF84" s="3"/>
      <c r="BH84" s="3"/>
      <c r="BJ84" s="3"/>
    </row>
    <row r="85" spans="1:62">
      <c r="A85" s="2"/>
      <c r="AR85" s="3"/>
      <c r="AT85" s="3"/>
      <c r="AV85" s="3"/>
      <c r="AX85" s="3"/>
      <c r="AZ85" s="3"/>
      <c r="BB85" s="3"/>
      <c r="BD85" s="3"/>
      <c r="BF85" s="3"/>
      <c r="BH85" s="3"/>
      <c r="BJ85" s="3"/>
    </row>
    <row r="86" spans="1:62">
      <c r="A86" s="2"/>
      <c r="AR86" s="3"/>
      <c r="AT86" s="3"/>
      <c r="AV86" s="3"/>
      <c r="AX86" s="3"/>
      <c r="AZ86" s="3"/>
      <c r="BB86" s="3"/>
      <c r="BD86" s="3"/>
      <c r="BF86" s="3"/>
      <c r="BH86" s="3"/>
      <c r="BJ86" s="3"/>
    </row>
    <row r="87" spans="1:62">
      <c r="A87" s="2"/>
      <c r="AR87" s="3"/>
      <c r="AT87" s="3"/>
      <c r="AV87" s="3"/>
      <c r="AX87" s="3"/>
      <c r="AZ87" s="3"/>
      <c r="BB87" s="3"/>
      <c r="BD87" s="3"/>
      <c r="BF87" s="3"/>
      <c r="BH87" s="3"/>
      <c r="BJ87" s="3"/>
    </row>
    <row r="88" spans="1:62">
      <c r="A88" s="2"/>
      <c r="AR88" s="3"/>
      <c r="AT88" s="3"/>
      <c r="AV88" s="3"/>
      <c r="AX88" s="3"/>
      <c r="AZ88" s="3"/>
      <c r="BB88" s="3"/>
      <c r="BD88" s="3"/>
      <c r="BF88" s="3"/>
      <c r="BH88" s="3"/>
      <c r="BJ88" s="3"/>
    </row>
    <row r="89" spans="1:62">
      <c r="A89" s="2"/>
      <c r="AR89" s="3"/>
      <c r="AT89" s="3"/>
      <c r="AV89" s="3"/>
      <c r="AX89" s="3"/>
      <c r="AZ89" s="3"/>
      <c r="BB89" s="3"/>
      <c r="BD89" s="3"/>
      <c r="BF89" s="3"/>
      <c r="BH89" s="3"/>
      <c r="BJ89" s="3"/>
    </row>
    <row r="90" spans="1:62">
      <c r="A90" s="2"/>
      <c r="AR90" s="3"/>
      <c r="AT90" s="3"/>
      <c r="AV90" s="3"/>
      <c r="AX90" s="3"/>
      <c r="AZ90" s="3"/>
      <c r="BB90" s="3"/>
      <c r="BD90" s="3"/>
      <c r="BF90" s="3"/>
      <c r="BH90" s="3"/>
      <c r="BJ90" s="3"/>
    </row>
    <row r="91" spans="1:62">
      <c r="A91" s="2"/>
      <c r="AR91" s="3"/>
      <c r="AT91" s="3"/>
      <c r="AV91" s="3"/>
      <c r="AX91" s="3"/>
      <c r="AZ91" s="3"/>
      <c r="BB91" s="3"/>
      <c r="BD91" s="3"/>
      <c r="BF91" s="3"/>
      <c r="BH91" s="3"/>
      <c r="BJ91" s="3"/>
    </row>
    <row r="92" spans="1:62">
      <c r="A92" s="2"/>
      <c r="AR92" s="3"/>
      <c r="AT92" s="3"/>
      <c r="AV92" s="3"/>
      <c r="AX92" s="3"/>
      <c r="AZ92" s="3"/>
      <c r="BB92" s="3"/>
      <c r="BD92" s="3"/>
      <c r="BF92" s="3"/>
      <c r="BH92" s="3"/>
      <c r="BJ92" s="3"/>
    </row>
    <row r="93" spans="1:62">
      <c r="A93" s="2"/>
      <c r="AR93" s="3"/>
      <c r="AT93" s="3"/>
      <c r="AV93" s="3"/>
      <c r="AX93" s="3"/>
      <c r="AZ93" s="3"/>
      <c r="BB93" s="3"/>
      <c r="BD93" s="3"/>
      <c r="BF93" s="3"/>
      <c r="BH93" s="3"/>
      <c r="BJ93" s="3"/>
    </row>
    <row r="94" spans="1:62">
      <c r="A94" s="2"/>
      <c r="AR94" s="3"/>
      <c r="AT94" s="3"/>
      <c r="AV94" s="3"/>
      <c r="AX94" s="3"/>
      <c r="AZ94" s="3"/>
      <c r="BB94" s="3"/>
      <c r="BD94" s="3"/>
      <c r="BF94" s="3"/>
      <c r="BH94" s="3"/>
      <c r="BJ94" s="3"/>
    </row>
    <row r="95" spans="1:62">
      <c r="A95" s="2"/>
      <c r="AR95" s="3"/>
      <c r="AT95" s="3"/>
      <c r="AV95" s="3"/>
      <c r="AX95" s="3"/>
      <c r="AZ95" s="3"/>
      <c r="BB95" s="3"/>
      <c r="BD95" s="3"/>
      <c r="BF95" s="3"/>
      <c r="BH95" s="3"/>
      <c r="BJ95" s="3"/>
    </row>
    <row r="96" spans="1:62">
      <c r="A96" s="2"/>
      <c r="AR96" s="3"/>
      <c r="AT96" s="3"/>
      <c r="AV96" s="3"/>
      <c r="AX96" s="3"/>
      <c r="AZ96" s="3"/>
      <c r="BB96" s="3"/>
      <c r="BD96" s="3"/>
      <c r="BF96" s="3"/>
      <c r="BH96" s="3"/>
      <c r="BJ96" s="3"/>
    </row>
    <row r="97" spans="1:62">
      <c r="A97" s="2"/>
      <c r="AR97" s="3"/>
      <c r="AT97" s="3"/>
      <c r="AV97" s="3"/>
      <c r="AX97" s="3"/>
      <c r="AZ97" s="3"/>
      <c r="BB97" s="3"/>
      <c r="BD97" s="3"/>
      <c r="BF97" s="3"/>
      <c r="BH97" s="3"/>
      <c r="BJ97" s="3"/>
    </row>
    <row r="98" spans="1:62">
      <c r="A98" s="2"/>
      <c r="AR98" s="3"/>
      <c r="AT98" s="3"/>
      <c r="AV98" s="3"/>
      <c r="AX98" s="3"/>
      <c r="AZ98" s="3"/>
      <c r="BB98" s="3"/>
      <c r="BD98" s="3"/>
      <c r="BF98" s="3"/>
      <c r="BH98" s="3"/>
      <c r="BJ98" s="3"/>
    </row>
    <row r="99" spans="1:62">
      <c r="A99" s="2"/>
      <c r="AR99" s="3"/>
      <c r="AT99" s="3"/>
      <c r="AV99" s="3"/>
      <c r="AX99" s="3"/>
      <c r="AZ99" s="3"/>
      <c r="BB99" s="3"/>
      <c r="BD99" s="3"/>
      <c r="BF99" s="3"/>
      <c r="BH99" s="3"/>
      <c r="BJ99" s="3"/>
    </row>
    <row r="100" spans="1:62">
      <c r="A100" s="2"/>
      <c r="AR100" s="3"/>
      <c r="AT100" s="3"/>
      <c r="AV100" s="3"/>
      <c r="AX100" s="3"/>
      <c r="AZ100" s="3"/>
      <c r="BB100" s="3"/>
      <c r="BD100" s="3"/>
      <c r="BF100" s="3"/>
      <c r="BH100" s="3"/>
      <c r="BJ100" s="3"/>
    </row>
    <row r="101" spans="1:62">
      <c r="A101" s="2"/>
      <c r="AR101" s="3"/>
      <c r="AT101" s="3"/>
      <c r="AV101" s="3"/>
      <c r="AX101" s="3"/>
      <c r="AZ101" s="3"/>
      <c r="BB101" s="3"/>
      <c r="BD101" s="3"/>
      <c r="BF101" s="3"/>
      <c r="BH101" s="3"/>
      <c r="BJ101" s="3"/>
    </row>
    <row r="102" spans="1:62">
      <c r="A102" s="2"/>
      <c r="AR102" s="3"/>
      <c r="AT102" s="3"/>
      <c r="AV102" s="3"/>
      <c r="AX102" s="3"/>
      <c r="AZ102" s="3"/>
      <c r="BB102" s="3"/>
      <c r="BD102" s="3"/>
      <c r="BF102" s="3"/>
      <c r="BH102" s="3"/>
      <c r="BJ102" s="3"/>
    </row>
    <row r="103" spans="1:62">
      <c r="A103" s="2"/>
      <c r="AR103" s="3"/>
      <c r="AT103" s="3"/>
      <c r="AV103" s="3"/>
      <c r="AX103" s="3"/>
      <c r="AZ103" s="3"/>
      <c r="BB103" s="3"/>
      <c r="BD103" s="3"/>
      <c r="BF103" s="3"/>
      <c r="BH103" s="3"/>
      <c r="BJ103" s="3"/>
    </row>
    <row r="104" spans="1:62">
      <c r="A104" s="2"/>
      <c r="AR104" s="3"/>
      <c r="AT104" s="3"/>
      <c r="AV104" s="3"/>
      <c r="AX104" s="3"/>
      <c r="AZ104" s="3"/>
      <c r="BB104" s="3"/>
      <c r="BD104" s="3"/>
      <c r="BF104" s="3"/>
      <c r="BH104" s="3"/>
      <c r="BJ104" s="3"/>
    </row>
    <row r="105" spans="1:62">
      <c r="A105" s="2"/>
      <c r="AR105" s="3"/>
      <c r="AT105" s="3"/>
      <c r="AV105" s="3"/>
      <c r="AX105" s="3"/>
      <c r="AZ105" s="3"/>
      <c r="BB105" s="3"/>
      <c r="BD105" s="3"/>
      <c r="BF105" s="3"/>
      <c r="BH105" s="3"/>
      <c r="BJ105" s="3"/>
    </row>
    <row r="106" spans="1:62">
      <c r="A106" s="2"/>
      <c r="AR106" s="3"/>
      <c r="AT106" s="3"/>
      <c r="AV106" s="3"/>
      <c r="AX106" s="3"/>
      <c r="AZ106" s="3"/>
      <c r="BB106" s="3"/>
      <c r="BD106" s="3"/>
      <c r="BF106" s="3"/>
      <c r="BH106" s="3"/>
      <c r="BJ106" s="3"/>
    </row>
    <row r="107" spans="1:62">
      <c r="A107" s="2"/>
      <c r="AR107" s="3"/>
      <c r="AT107" s="3"/>
      <c r="AV107" s="3"/>
      <c r="AX107" s="3"/>
      <c r="AZ107" s="3"/>
      <c r="BB107" s="3"/>
      <c r="BD107" s="3"/>
      <c r="BF107" s="3"/>
      <c r="BH107" s="3"/>
      <c r="BJ107" s="3"/>
    </row>
    <row r="108" spans="1:62">
      <c r="A108" s="2"/>
      <c r="AR108" s="3"/>
      <c r="AT108" s="3"/>
      <c r="AV108" s="3"/>
      <c r="AX108" s="3"/>
      <c r="AZ108" s="3"/>
      <c r="BB108" s="3"/>
      <c r="BD108" s="3"/>
      <c r="BF108" s="3"/>
      <c r="BH108" s="3"/>
      <c r="BJ108" s="3"/>
    </row>
    <row r="109" spans="1:62">
      <c r="A109" s="2"/>
      <c r="AR109" s="3"/>
      <c r="AT109" s="3"/>
      <c r="AV109" s="3"/>
      <c r="AX109" s="3"/>
      <c r="AZ109" s="3"/>
      <c r="BB109" s="3"/>
      <c r="BD109" s="3"/>
      <c r="BF109" s="3"/>
      <c r="BH109" s="3"/>
      <c r="BJ109" s="3"/>
    </row>
    <row r="110" spans="1:62">
      <c r="A110" s="2"/>
      <c r="AR110" s="3"/>
      <c r="AT110" s="3"/>
      <c r="AV110" s="3"/>
      <c r="AX110" s="3"/>
      <c r="AZ110" s="3"/>
      <c r="BB110" s="3"/>
      <c r="BD110" s="3"/>
      <c r="BF110" s="3"/>
      <c r="BH110" s="3"/>
      <c r="BJ110" s="3"/>
    </row>
    <row r="111" spans="1:62">
      <c r="A111" s="2"/>
      <c r="AR111" s="3"/>
      <c r="AT111" s="3"/>
      <c r="AV111" s="3"/>
      <c r="AX111" s="3"/>
      <c r="AZ111" s="3"/>
      <c r="BB111" s="3"/>
      <c r="BD111" s="3"/>
      <c r="BF111" s="3"/>
      <c r="BH111" s="3"/>
      <c r="BJ111" s="3"/>
    </row>
    <row r="112" spans="1:62">
      <c r="A112" s="2"/>
      <c r="AR112" s="3"/>
      <c r="AT112" s="3"/>
      <c r="AV112" s="3"/>
      <c r="AX112" s="3"/>
      <c r="AZ112" s="3"/>
      <c r="BB112" s="3"/>
      <c r="BD112" s="3"/>
      <c r="BF112" s="3"/>
      <c r="BH112" s="3"/>
      <c r="BJ112" s="3"/>
    </row>
    <row r="113" spans="1:62">
      <c r="A113" s="2"/>
      <c r="AR113" s="3"/>
      <c r="AT113" s="3"/>
      <c r="AV113" s="3"/>
      <c r="AX113" s="3"/>
      <c r="AZ113" s="3"/>
      <c r="BB113" s="3"/>
      <c r="BD113" s="3"/>
      <c r="BF113" s="3"/>
      <c r="BH113" s="3"/>
      <c r="BJ113" s="3"/>
    </row>
    <row r="114" spans="1:62">
      <c r="A114" s="2"/>
      <c r="AR114" s="3"/>
      <c r="AT114" s="3"/>
      <c r="AV114" s="3"/>
      <c r="AX114" s="3"/>
      <c r="AZ114" s="3"/>
      <c r="BB114" s="3"/>
      <c r="BD114" s="3"/>
      <c r="BF114" s="3"/>
      <c r="BH114" s="3"/>
      <c r="BJ114" s="3"/>
    </row>
    <row r="115" spans="1:62">
      <c r="A115" s="2"/>
      <c r="AR115" s="3"/>
      <c r="AT115" s="3"/>
      <c r="AV115" s="3"/>
      <c r="AX115" s="3"/>
      <c r="AZ115" s="3"/>
      <c r="BB115" s="3"/>
      <c r="BD115" s="3"/>
      <c r="BF115" s="3"/>
      <c r="BH115" s="3"/>
      <c r="BJ115" s="3"/>
    </row>
    <row r="116" spans="1:62">
      <c r="A116" s="2"/>
      <c r="AR116" s="3"/>
      <c r="AT116" s="3"/>
      <c r="AV116" s="3"/>
      <c r="AX116" s="3"/>
      <c r="AZ116" s="3"/>
      <c r="BB116" s="3"/>
      <c r="BD116" s="3"/>
      <c r="BF116" s="3"/>
      <c r="BH116" s="3"/>
      <c r="BJ116" s="3"/>
    </row>
    <row r="117" spans="1:62">
      <c r="A117" s="2"/>
      <c r="AR117" s="3"/>
      <c r="AT117" s="3"/>
      <c r="AV117" s="3"/>
      <c r="AX117" s="3"/>
      <c r="AZ117" s="3"/>
      <c r="BB117" s="3"/>
      <c r="BD117" s="3"/>
      <c r="BF117" s="3"/>
      <c r="BH117" s="3"/>
      <c r="BJ117" s="3"/>
    </row>
    <row r="118" spans="1:62">
      <c r="A118" s="2"/>
      <c r="AR118" s="3"/>
      <c r="AT118" s="3"/>
      <c r="AV118" s="3"/>
      <c r="AX118" s="3"/>
      <c r="AZ118" s="3"/>
      <c r="BB118" s="3"/>
      <c r="BD118" s="3"/>
      <c r="BF118" s="3"/>
      <c r="BH118" s="3"/>
      <c r="BJ118" s="3"/>
    </row>
    <row r="119" spans="1:62">
      <c r="A119" s="2"/>
      <c r="AR119" s="3"/>
      <c r="AT119" s="3"/>
      <c r="AV119" s="3"/>
      <c r="AX119" s="3"/>
      <c r="AZ119" s="3"/>
      <c r="BB119" s="3"/>
      <c r="BD119" s="3"/>
      <c r="BF119" s="3"/>
      <c r="BH119" s="3"/>
      <c r="BJ119" s="3"/>
    </row>
    <row r="120" spans="1:62">
      <c r="A120" s="2"/>
      <c r="AR120" s="3"/>
      <c r="AT120" s="3"/>
      <c r="AV120" s="3"/>
      <c r="AX120" s="3"/>
      <c r="AZ120" s="3"/>
      <c r="BB120" s="3"/>
      <c r="BD120" s="3"/>
      <c r="BF120" s="3"/>
      <c r="BH120" s="3"/>
      <c r="BJ120" s="3"/>
    </row>
    <row r="121" spans="1:62">
      <c r="A121" s="2"/>
      <c r="AR121" s="3"/>
      <c r="AT121" s="3"/>
      <c r="AV121" s="3"/>
      <c r="AX121" s="3"/>
      <c r="AZ121" s="3"/>
      <c r="BB121" s="3"/>
      <c r="BD121" s="3"/>
      <c r="BF121" s="3"/>
      <c r="BH121" s="3"/>
      <c r="BJ121" s="3"/>
    </row>
    <row r="122" spans="1:62">
      <c r="A122" s="2"/>
      <c r="AR122" s="3"/>
      <c r="AT122" s="3"/>
      <c r="AV122" s="3"/>
      <c r="AX122" s="3"/>
      <c r="AZ122" s="3"/>
      <c r="BB122" s="3"/>
      <c r="BD122" s="3"/>
      <c r="BF122" s="3"/>
      <c r="BH122" s="3"/>
      <c r="BJ122" s="3"/>
    </row>
    <row r="123" spans="1:62">
      <c r="A123" s="2"/>
      <c r="AR123" s="3"/>
      <c r="AT123" s="3"/>
      <c r="AV123" s="3"/>
      <c r="AX123" s="3"/>
      <c r="AZ123" s="3"/>
      <c r="BB123" s="3"/>
      <c r="BD123" s="3"/>
      <c r="BF123" s="3"/>
      <c r="BH123" s="3"/>
      <c r="BJ123" s="3"/>
    </row>
    <row r="124" spans="1:62">
      <c r="A124" s="2"/>
      <c r="AR124" s="3"/>
      <c r="AT124" s="3"/>
      <c r="AV124" s="3"/>
      <c r="AX124" s="3"/>
      <c r="AZ124" s="3"/>
      <c r="BB124" s="3"/>
      <c r="BD124" s="3"/>
      <c r="BF124" s="3"/>
      <c r="BH124" s="3"/>
      <c r="BJ124" s="3"/>
    </row>
    <row r="125" spans="1:62">
      <c r="A125" s="2"/>
      <c r="AR125" s="3"/>
      <c r="AT125" s="3"/>
      <c r="AV125" s="3"/>
      <c r="AX125" s="3"/>
      <c r="AZ125" s="3"/>
      <c r="BB125" s="3"/>
      <c r="BD125" s="3"/>
      <c r="BF125" s="3"/>
      <c r="BH125" s="3"/>
      <c r="BJ125" s="3"/>
    </row>
    <row r="126" spans="1:62">
      <c r="A126" s="2"/>
      <c r="AR126" s="3"/>
      <c r="AT126" s="3"/>
      <c r="AV126" s="3"/>
      <c r="AX126" s="3"/>
      <c r="AZ126" s="3"/>
      <c r="BB126" s="3"/>
      <c r="BD126" s="3"/>
      <c r="BF126" s="3"/>
      <c r="BH126" s="3"/>
      <c r="BJ126" s="3"/>
    </row>
    <row r="127" spans="1:62">
      <c r="A127" s="2"/>
      <c r="AR127" s="3"/>
      <c r="AT127" s="3"/>
      <c r="AV127" s="3"/>
      <c r="AX127" s="3"/>
      <c r="AZ127" s="3"/>
      <c r="BB127" s="3"/>
      <c r="BD127" s="3"/>
      <c r="BF127" s="3"/>
      <c r="BH127" s="3"/>
      <c r="BJ127" s="3"/>
    </row>
    <row r="128" spans="1:62">
      <c r="A128" s="2"/>
      <c r="AR128" s="3"/>
      <c r="AT128" s="3"/>
      <c r="AV128" s="3"/>
      <c r="AX128" s="3"/>
      <c r="AZ128" s="3"/>
      <c r="BB128" s="3"/>
      <c r="BD128" s="3"/>
      <c r="BF128" s="3"/>
      <c r="BH128" s="3"/>
      <c r="BJ128" s="3"/>
    </row>
    <row r="129" spans="1:62">
      <c r="A129" s="2"/>
      <c r="AR129" s="3"/>
      <c r="AT129" s="3"/>
      <c r="AV129" s="3"/>
      <c r="AX129" s="3"/>
      <c r="AZ129" s="3"/>
      <c r="BB129" s="3"/>
      <c r="BD129" s="3"/>
      <c r="BF129" s="3"/>
      <c r="BH129" s="3"/>
      <c r="BJ129" s="3"/>
    </row>
    <row r="130" spans="1:62">
      <c r="A130" s="2"/>
      <c r="AR130" s="3"/>
      <c r="AT130" s="3"/>
      <c r="AV130" s="3"/>
      <c r="AX130" s="3"/>
      <c r="AZ130" s="3"/>
      <c r="BB130" s="3"/>
      <c r="BD130" s="3"/>
      <c r="BF130" s="3"/>
      <c r="BH130" s="3"/>
      <c r="BJ130" s="3"/>
    </row>
    <row r="131" spans="1:62">
      <c r="A131" s="2"/>
      <c r="AR131" s="3"/>
      <c r="AT131" s="3"/>
      <c r="AV131" s="3"/>
      <c r="AX131" s="3"/>
      <c r="AZ131" s="3"/>
      <c r="BB131" s="3"/>
      <c r="BD131" s="3"/>
      <c r="BF131" s="3"/>
      <c r="BH131" s="3"/>
      <c r="BJ131" s="3"/>
    </row>
    <row r="132" spans="1:62">
      <c r="A132" s="2"/>
      <c r="AR132" s="3"/>
      <c r="AT132" s="3"/>
      <c r="AV132" s="3"/>
      <c r="AX132" s="3"/>
      <c r="AZ132" s="3"/>
      <c r="BB132" s="3"/>
      <c r="BD132" s="3"/>
      <c r="BF132" s="3"/>
      <c r="BH132" s="3"/>
      <c r="BJ132" s="3"/>
    </row>
    <row r="133" spans="1:62">
      <c r="A133" s="2"/>
      <c r="AR133" s="3"/>
      <c r="AT133" s="3"/>
      <c r="AV133" s="3"/>
      <c r="AX133" s="3"/>
      <c r="AZ133" s="3"/>
      <c r="BB133" s="3"/>
      <c r="BD133" s="3"/>
      <c r="BF133" s="3"/>
      <c r="BH133" s="3"/>
      <c r="BJ133" s="3"/>
    </row>
    <row r="134" spans="1:62">
      <c r="A134" s="2"/>
      <c r="AR134" s="3"/>
      <c r="AT134" s="3"/>
      <c r="AV134" s="3"/>
      <c r="AX134" s="3"/>
      <c r="AZ134" s="3"/>
      <c r="BB134" s="3"/>
      <c r="BD134" s="3"/>
      <c r="BF134" s="3"/>
      <c r="BH134" s="3"/>
      <c r="BJ134" s="3"/>
    </row>
    <row r="135" spans="1:62">
      <c r="A135" s="2"/>
      <c r="AR135" s="3"/>
      <c r="AT135" s="3"/>
      <c r="AV135" s="3"/>
      <c r="AX135" s="3"/>
      <c r="AZ135" s="3"/>
      <c r="BB135" s="3"/>
      <c r="BD135" s="3"/>
      <c r="BF135" s="3"/>
      <c r="BH135" s="3"/>
      <c r="BJ135" s="3"/>
    </row>
    <row r="136" spans="1:62">
      <c r="A136" s="2"/>
      <c r="AR136" s="3"/>
      <c r="AT136" s="3"/>
      <c r="AV136" s="3"/>
      <c r="AX136" s="3"/>
      <c r="AZ136" s="3"/>
      <c r="BB136" s="3"/>
      <c r="BD136" s="3"/>
      <c r="BF136" s="3"/>
      <c r="BH136" s="3"/>
      <c r="BJ136" s="3"/>
    </row>
    <row r="137" spans="1:62">
      <c r="A137" s="2"/>
      <c r="AR137" s="3"/>
      <c r="AT137" s="3"/>
      <c r="AV137" s="3"/>
      <c r="AX137" s="3"/>
      <c r="AZ137" s="3"/>
      <c r="BB137" s="3"/>
      <c r="BD137" s="3"/>
      <c r="BF137" s="3"/>
      <c r="BH137" s="3"/>
      <c r="BJ137" s="3"/>
    </row>
    <row r="138" spans="1:62">
      <c r="A138" s="2"/>
      <c r="AR138" s="3"/>
      <c r="AT138" s="3"/>
      <c r="AV138" s="3"/>
      <c r="AX138" s="3"/>
      <c r="AZ138" s="3"/>
      <c r="BB138" s="3"/>
      <c r="BD138" s="3"/>
      <c r="BF138" s="3"/>
      <c r="BH138" s="3"/>
      <c r="BJ138" s="3"/>
    </row>
    <row r="139" spans="1:62">
      <c r="A139" s="2"/>
      <c r="AR139" s="3"/>
      <c r="AT139" s="3"/>
      <c r="AV139" s="3"/>
      <c r="AX139" s="3"/>
      <c r="AZ139" s="3"/>
      <c r="BB139" s="3"/>
      <c r="BD139" s="3"/>
      <c r="BF139" s="3"/>
      <c r="BH139" s="3"/>
      <c r="BJ139" s="3"/>
    </row>
    <row r="140" spans="1:62">
      <c r="A140" s="2"/>
      <c r="AR140" s="3"/>
      <c r="AT140" s="3"/>
      <c r="AV140" s="3"/>
      <c r="AX140" s="3"/>
      <c r="AZ140" s="3"/>
      <c r="BB140" s="3"/>
      <c r="BD140" s="3"/>
      <c r="BF140" s="3"/>
      <c r="BH140" s="3"/>
      <c r="BJ140" s="3"/>
    </row>
    <row r="141" spans="1:62">
      <c r="A141" s="2"/>
      <c r="AR141" s="3"/>
      <c r="AT141" s="3"/>
      <c r="AV141" s="3"/>
      <c r="AX141" s="3"/>
      <c r="AZ141" s="3"/>
      <c r="BB141" s="3"/>
      <c r="BD141" s="3"/>
      <c r="BF141" s="3"/>
      <c r="BH141" s="3"/>
      <c r="BJ141" s="3"/>
    </row>
    <row r="142" spans="1:62">
      <c r="A142" s="2"/>
      <c r="AR142" s="3"/>
      <c r="AT142" s="3"/>
      <c r="AV142" s="3"/>
      <c r="AX142" s="3"/>
      <c r="AZ142" s="3"/>
      <c r="BB142" s="3"/>
      <c r="BD142" s="3"/>
      <c r="BF142" s="3"/>
      <c r="BH142" s="3"/>
      <c r="BJ142" s="3"/>
    </row>
    <row r="143" spans="1:62">
      <c r="A143" s="2"/>
      <c r="AR143" s="3"/>
      <c r="AT143" s="3"/>
      <c r="AV143" s="3"/>
      <c r="AX143" s="3"/>
      <c r="AZ143" s="3"/>
      <c r="BB143" s="3"/>
      <c r="BD143" s="3"/>
      <c r="BF143" s="3"/>
      <c r="BH143" s="3"/>
      <c r="BJ143" s="3"/>
    </row>
    <row r="144" spans="1:62">
      <c r="A144" s="2"/>
      <c r="AR144" s="3"/>
      <c r="AT144" s="3"/>
      <c r="AV144" s="3"/>
      <c r="AX144" s="3"/>
      <c r="AZ144" s="3"/>
      <c r="BB144" s="3"/>
      <c r="BD144" s="3"/>
      <c r="BF144" s="3"/>
      <c r="BH144" s="3"/>
      <c r="BJ144" s="3"/>
    </row>
    <row r="145" spans="1:62">
      <c r="A145" s="2"/>
      <c r="AR145" s="3"/>
      <c r="AT145" s="3"/>
      <c r="AV145" s="3"/>
      <c r="AX145" s="3"/>
      <c r="AZ145" s="3"/>
      <c r="BB145" s="3"/>
      <c r="BD145" s="3"/>
      <c r="BF145" s="3"/>
      <c r="BH145" s="3"/>
      <c r="BJ145" s="3"/>
    </row>
    <row r="146" spans="1:62">
      <c r="A146" s="2"/>
      <c r="AR146" s="3"/>
      <c r="AT146" s="3"/>
      <c r="AV146" s="3"/>
      <c r="AX146" s="3"/>
      <c r="AZ146" s="3"/>
      <c r="BB146" s="3"/>
      <c r="BD146" s="3"/>
      <c r="BF146" s="3"/>
      <c r="BH146" s="3"/>
      <c r="BJ146" s="3"/>
    </row>
    <row r="147" spans="1:62">
      <c r="A147" s="2"/>
      <c r="AR147" s="3"/>
      <c r="AT147" s="3"/>
      <c r="AV147" s="3"/>
      <c r="AX147" s="3"/>
      <c r="AZ147" s="3"/>
      <c r="BB147" s="3"/>
      <c r="BD147" s="3"/>
      <c r="BF147" s="3"/>
      <c r="BH147" s="3"/>
      <c r="BJ147" s="3"/>
    </row>
    <row r="148" spans="1:62">
      <c r="A148" s="2"/>
      <c r="AR148" s="3"/>
      <c r="AT148" s="3"/>
      <c r="AV148" s="3"/>
      <c r="AX148" s="3"/>
      <c r="AZ148" s="3"/>
      <c r="BB148" s="3"/>
      <c r="BD148" s="3"/>
      <c r="BF148" s="3"/>
      <c r="BH148" s="3"/>
      <c r="BJ148" s="3"/>
    </row>
    <row r="149" spans="1:62">
      <c r="A149" s="2"/>
      <c r="AR149" s="3"/>
      <c r="AT149" s="3"/>
      <c r="AV149" s="3"/>
      <c r="AX149" s="3"/>
      <c r="AZ149" s="3"/>
      <c r="BB149" s="3"/>
      <c r="BD149" s="3"/>
      <c r="BF149" s="3"/>
      <c r="BH149" s="3"/>
      <c r="BJ149" s="3"/>
    </row>
    <row r="150" spans="1:62">
      <c r="A150" s="2"/>
      <c r="AR150" s="3"/>
      <c r="AT150" s="3"/>
      <c r="AV150" s="3"/>
      <c r="AX150" s="3"/>
      <c r="AZ150" s="3"/>
      <c r="BB150" s="3"/>
      <c r="BD150" s="3"/>
      <c r="BF150" s="3"/>
      <c r="BH150" s="3"/>
      <c r="BJ150" s="3"/>
    </row>
    <row r="151" spans="1:62">
      <c r="A151" s="2"/>
      <c r="AR151" s="3"/>
      <c r="AT151" s="3"/>
      <c r="AV151" s="3"/>
      <c r="AX151" s="3"/>
      <c r="AZ151" s="3"/>
      <c r="BB151" s="3"/>
      <c r="BD151" s="3"/>
      <c r="BF151" s="3"/>
      <c r="BH151" s="3"/>
      <c r="BJ151" s="3"/>
    </row>
    <row r="152" spans="1:62">
      <c r="A152" s="2"/>
      <c r="AR152" s="3"/>
      <c r="AT152" s="3"/>
      <c r="AV152" s="3"/>
      <c r="AX152" s="3"/>
      <c r="AZ152" s="3"/>
      <c r="BB152" s="3"/>
      <c r="BD152" s="3"/>
      <c r="BF152" s="3"/>
      <c r="BH152" s="3"/>
      <c r="BJ152" s="3"/>
    </row>
    <row r="153" spans="1:62">
      <c r="A153" s="2"/>
      <c r="AR153" s="3"/>
      <c r="AT153" s="3"/>
      <c r="AV153" s="3"/>
      <c r="AX153" s="3"/>
      <c r="AZ153" s="3"/>
      <c r="BB153" s="3"/>
      <c r="BD153" s="3"/>
      <c r="BF153" s="3"/>
      <c r="BH153" s="3"/>
      <c r="BJ153" s="3"/>
    </row>
    <row r="154" spans="1:62">
      <c r="A154" s="2"/>
      <c r="AR154" s="3"/>
      <c r="AT154" s="3"/>
      <c r="AV154" s="3"/>
      <c r="AX154" s="3"/>
      <c r="AZ154" s="3"/>
      <c r="BB154" s="3"/>
      <c r="BD154" s="3"/>
      <c r="BF154" s="3"/>
      <c r="BH154" s="3"/>
      <c r="BJ154" s="3"/>
    </row>
    <row r="155" spans="1:62">
      <c r="A155" s="2"/>
      <c r="AR155" s="3"/>
      <c r="AT155" s="3"/>
      <c r="AV155" s="3"/>
      <c r="AX155" s="3"/>
      <c r="AZ155" s="3"/>
      <c r="BB155" s="3"/>
      <c r="BD155" s="3"/>
      <c r="BF155" s="3"/>
      <c r="BH155" s="3"/>
      <c r="BJ155" s="3"/>
    </row>
    <row r="156" spans="1:62">
      <c r="A156" s="2"/>
      <c r="AR156" s="3"/>
      <c r="AT156" s="3"/>
      <c r="AV156" s="3"/>
      <c r="AX156" s="3"/>
      <c r="AZ156" s="3"/>
      <c r="BB156" s="3"/>
      <c r="BD156" s="3"/>
      <c r="BF156" s="3"/>
      <c r="BH156" s="3"/>
      <c r="BJ156" s="3"/>
    </row>
    <row r="157" spans="1:62">
      <c r="A157" s="2"/>
      <c r="AR157" s="3"/>
      <c r="AT157" s="3"/>
      <c r="AV157" s="3"/>
      <c r="AX157" s="3"/>
      <c r="AZ157" s="3"/>
      <c r="BB157" s="3"/>
      <c r="BD157" s="3"/>
      <c r="BF157" s="3"/>
      <c r="BH157" s="3"/>
      <c r="BJ157" s="3"/>
    </row>
    <row r="158" spans="1:62">
      <c r="A158" s="2"/>
      <c r="AR158" s="3"/>
      <c r="AT158" s="3"/>
      <c r="AV158" s="3"/>
      <c r="AX158" s="3"/>
      <c r="AZ158" s="3"/>
      <c r="BB158" s="3"/>
      <c r="BD158" s="3"/>
      <c r="BF158" s="3"/>
      <c r="BH158" s="3"/>
      <c r="BJ158" s="3"/>
    </row>
    <row r="159" spans="1:62">
      <c r="A159" s="2"/>
      <c r="AR159" s="3"/>
      <c r="AT159" s="3"/>
      <c r="AV159" s="3"/>
      <c r="AX159" s="3"/>
      <c r="AZ159" s="3"/>
      <c r="BB159" s="3"/>
      <c r="BD159" s="3"/>
      <c r="BF159" s="3"/>
      <c r="BH159" s="3"/>
      <c r="BJ159" s="3"/>
    </row>
    <row r="160" spans="1:62">
      <c r="A160" s="2"/>
      <c r="AR160" s="3"/>
      <c r="AT160" s="3"/>
      <c r="AV160" s="3"/>
      <c r="AX160" s="3"/>
      <c r="AZ160" s="3"/>
      <c r="BB160" s="3"/>
      <c r="BD160" s="3"/>
      <c r="BF160" s="3"/>
      <c r="BH160" s="3"/>
      <c r="BJ160" s="3"/>
    </row>
    <row r="161" spans="1:62">
      <c r="A161" s="2"/>
      <c r="AR161" s="3"/>
      <c r="AT161" s="3"/>
      <c r="AV161" s="3"/>
      <c r="AX161" s="3"/>
      <c r="AZ161" s="3"/>
      <c r="BB161" s="3"/>
      <c r="BD161" s="3"/>
      <c r="BF161" s="3"/>
      <c r="BH161" s="3"/>
      <c r="BJ161" s="3"/>
    </row>
    <row r="162" spans="1:62">
      <c r="A162" s="2"/>
      <c r="AR162" s="3"/>
      <c r="AT162" s="3"/>
      <c r="AV162" s="3"/>
      <c r="AX162" s="3"/>
      <c r="AZ162" s="3"/>
      <c r="BB162" s="3"/>
      <c r="BD162" s="3"/>
      <c r="BF162" s="3"/>
      <c r="BH162" s="3"/>
      <c r="BJ162" s="3"/>
    </row>
    <row r="163" spans="1:62">
      <c r="A163" s="2"/>
      <c r="AR163" s="3"/>
      <c r="AT163" s="3"/>
      <c r="AV163" s="3"/>
      <c r="AX163" s="3"/>
      <c r="AZ163" s="3"/>
      <c r="BB163" s="3"/>
      <c r="BD163" s="3"/>
      <c r="BF163" s="3"/>
      <c r="BH163" s="3"/>
      <c r="BJ163" s="3"/>
    </row>
    <row r="164" spans="1:62">
      <c r="A164" s="2"/>
      <c r="AR164" s="3"/>
      <c r="AT164" s="3"/>
      <c r="AV164" s="3"/>
      <c r="AX164" s="3"/>
      <c r="AZ164" s="3"/>
      <c r="BB164" s="3"/>
      <c r="BD164" s="3"/>
      <c r="BF164" s="3"/>
      <c r="BH164" s="3"/>
      <c r="BJ164" s="3"/>
    </row>
    <row r="165" spans="1:62">
      <c r="A165" s="2"/>
      <c r="AR165" s="3"/>
      <c r="AT165" s="3"/>
      <c r="AV165" s="3"/>
      <c r="AX165" s="3"/>
      <c r="AZ165" s="3"/>
      <c r="BB165" s="3"/>
      <c r="BD165" s="3"/>
      <c r="BF165" s="3"/>
      <c r="BH165" s="3"/>
      <c r="BJ165" s="3"/>
    </row>
    <row r="166" spans="1:62">
      <c r="A166" s="2"/>
      <c r="AR166" s="3"/>
      <c r="AT166" s="3"/>
      <c r="AV166" s="3"/>
      <c r="AX166" s="3"/>
      <c r="AZ166" s="3"/>
      <c r="BB166" s="3"/>
      <c r="BD166" s="3"/>
      <c r="BF166" s="3"/>
      <c r="BH166" s="3"/>
      <c r="BJ166" s="3"/>
    </row>
    <row r="167" spans="1:62">
      <c r="A167" s="2"/>
      <c r="AR167" s="3"/>
      <c r="AT167" s="3"/>
      <c r="AV167" s="3"/>
      <c r="AX167" s="3"/>
      <c r="AZ167" s="3"/>
      <c r="BB167" s="3"/>
      <c r="BD167" s="3"/>
      <c r="BF167" s="3"/>
      <c r="BH167" s="3"/>
      <c r="BJ167" s="3"/>
    </row>
    <row r="168" spans="1:62">
      <c r="A168" s="2"/>
      <c r="AR168" s="3"/>
      <c r="AT168" s="3"/>
      <c r="AV168" s="3"/>
      <c r="AX168" s="3"/>
      <c r="AZ168" s="3"/>
      <c r="BB168" s="3"/>
      <c r="BD168" s="3"/>
      <c r="BF168" s="3"/>
      <c r="BH168" s="3"/>
      <c r="BJ168" s="3"/>
    </row>
    <row r="169" spans="1:62">
      <c r="A169" s="2"/>
      <c r="AR169" s="3"/>
      <c r="AT169" s="3"/>
      <c r="AV169" s="3"/>
      <c r="AX169" s="3"/>
      <c r="AZ169" s="3"/>
      <c r="BB169" s="3"/>
      <c r="BD169" s="3"/>
      <c r="BF169" s="3"/>
      <c r="BH169" s="3"/>
      <c r="BJ169" s="3"/>
    </row>
    <row r="170" spans="1:62">
      <c r="A170" s="2"/>
      <c r="AR170" s="3"/>
      <c r="AT170" s="3"/>
      <c r="AV170" s="3"/>
      <c r="AX170" s="3"/>
      <c r="AZ170" s="3"/>
      <c r="BB170" s="3"/>
      <c r="BD170" s="3"/>
      <c r="BF170" s="3"/>
      <c r="BH170" s="3"/>
      <c r="BJ170" s="3"/>
    </row>
    <row r="171" spans="1:62">
      <c r="A171" s="2"/>
      <c r="AR171" s="3"/>
      <c r="AT171" s="3"/>
      <c r="AV171" s="3"/>
      <c r="AX171" s="3"/>
      <c r="AZ171" s="3"/>
      <c r="BB171" s="3"/>
      <c r="BD171" s="3"/>
      <c r="BF171" s="3"/>
      <c r="BH171" s="3"/>
      <c r="BJ171" s="3"/>
    </row>
    <row r="172" spans="1:62">
      <c r="A172" s="2"/>
      <c r="AR172" s="3"/>
      <c r="AT172" s="3"/>
      <c r="AV172" s="3"/>
      <c r="AX172" s="3"/>
      <c r="AZ172" s="3"/>
      <c r="BB172" s="3"/>
      <c r="BD172" s="3"/>
      <c r="BF172" s="3"/>
      <c r="BH172" s="3"/>
      <c r="BJ172" s="3"/>
    </row>
    <row r="173" spans="1:62">
      <c r="A173" s="2"/>
      <c r="AR173" s="3"/>
      <c r="AT173" s="3"/>
      <c r="AV173" s="3"/>
      <c r="AX173" s="3"/>
      <c r="AZ173" s="3"/>
      <c r="BB173" s="3"/>
      <c r="BD173" s="3"/>
      <c r="BF173" s="3"/>
      <c r="BH173" s="3"/>
      <c r="BJ173" s="3"/>
    </row>
    <row r="174" spans="1:62">
      <c r="A174" s="2"/>
      <c r="AR174" s="3"/>
      <c r="AT174" s="3"/>
      <c r="AV174" s="3"/>
      <c r="AX174" s="3"/>
      <c r="AZ174" s="3"/>
      <c r="BB174" s="3"/>
      <c r="BD174" s="3"/>
      <c r="BF174" s="3"/>
      <c r="BH174" s="3"/>
      <c r="BJ174" s="3"/>
    </row>
    <row r="175" spans="1:62">
      <c r="A175" s="2"/>
      <c r="AR175" s="3"/>
      <c r="AT175" s="3"/>
      <c r="AV175" s="3"/>
      <c r="AX175" s="3"/>
      <c r="AZ175" s="3"/>
      <c r="BB175" s="3"/>
      <c r="BD175" s="3"/>
      <c r="BF175" s="3"/>
      <c r="BH175" s="3"/>
      <c r="BJ175" s="3"/>
    </row>
    <row r="176" spans="1:62">
      <c r="A176" s="2"/>
      <c r="AR176" s="3"/>
      <c r="AT176" s="3"/>
      <c r="AV176" s="3"/>
      <c r="AX176" s="3"/>
      <c r="AZ176" s="3"/>
      <c r="BB176" s="3"/>
      <c r="BD176" s="3"/>
      <c r="BF176" s="3"/>
      <c r="BH176" s="3"/>
      <c r="BJ176" s="3"/>
    </row>
    <row r="177" spans="1:62">
      <c r="A177" s="2"/>
      <c r="AR177" s="3"/>
      <c r="AT177" s="3"/>
      <c r="AV177" s="3"/>
      <c r="AX177" s="3"/>
      <c r="AZ177" s="3"/>
      <c r="BB177" s="3"/>
      <c r="BD177" s="3"/>
      <c r="BF177" s="3"/>
      <c r="BH177" s="3"/>
      <c r="BJ177" s="3"/>
    </row>
    <row r="178" spans="1:62">
      <c r="A178" s="2"/>
      <c r="AR178" s="3"/>
      <c r="AT178" s="3"/>
      <c r="AV178" s="3"/>
      <c r="AX178" s="3"/>
      <c r="AZ178" s="3"/>
      <c r="BB178" s="3"/>
      <c r="BD178" s="3"/>
      <c r="BF178" s="3"/>
      <c r="BH178" s="3"/>
      <c r="BJ178" s="3"/>
    </row>
    <row r="179" spans="1:62">
      <c r="A179" s="2"/>
      <c r="AR179" s="3"/>
      <c r="AT179" s="3"/>
      <c r="AV179" s="3"/>
      <c r="AX179" s="3"/>
      <c r="AZ179" s="3"/>
      <c r="BB179" s="3"/>
      <c r="BD179" s="3"/>
      <c r="BF179" s="3"/>
      <c r="BH179" s="3"/>
      <c r="BJ179" s="3"/>
    </row>
    <row r="180" spans="1:62">
      <c r="A180" s="2"/>
      <c r="AR180" s="3"/>
      <c r="AT180" s="3"/>
      <c r="AV180" s="3"/>
      <c r="AX180" s="3"/>
      <c r="AZ180" s="3"/>
      <c r="BB180" s="3"/>
      <c r="BD180" s="3"/>
      <c r="BF180" s="3"/>
      <c r="BH180" s="3"/>
      <c r="BJ180" s="3"/>
    </row>
    <row r="181" spans="1:62">
      <c r="A181" s="2"/>
      <c r="AR181" s="3"/>
      <c r="AT181" s="3"/>
      <c r="AV181" s="3"/>
      <c r="AX181" s="3"/>
      <c r="AZ181" s="3"/>
      <c r="BB181" s="3"/>
      <c r="BD181" s="3"/>
      <c r="BF181" s="3"/>
      <c r="BH181" s="3"/>
      <c r="BJ181" s="3"/>
    </row>
    <row r="182" spans="1:62">
      <c r="A182" s="2"/>
      <c r="AR182" s="3"/>
      <c r="AT182" s="3"/>
      <c r="AV182" s="3"/>
      <c r="AX182" s="3"/>
      <c r="AZ182" s="3"/>
      <c r="BB182" s="3"/>
      <c r="BD182" s="3"/>
      <c r="BF182" s="3"/>
      <c r="BH182" s="3"/>
      <c r="BJ182" s="3"/>
    </row>
    <row r="183" spans="1:62">
      <c r="A183" s="2"/>
      <c r="AR183" s="3"/>
      <c r="AT183" s="3"/>
      <c r="AV183" s="3"/>
      <c r="AX183" s="3"/>
      <c r="AZ183" s="3"/>
      <c r="BB183" s="3"/>
      <c r="BD183" s="3"/>
      <c r="BF183" s="3"/>
      <c r="BH183" s="3"/>
      <c r="BJ183" s="3"/>
    </row>
    <row r="184" spans="1:62">
      <c r="A184" s="2"/>
      <c r="AR184" s="3"/>
      <c r="AT184" s="3"/>
      <c r="AV184" s="3"/>
      <c r="AX184" s="3"/>
      <c r="AZ184" s="3"/>
      <c r="BB184" s="3"/>
      <c r="BD184" s="3"/>
      <c r="BF184" s="3"/>
      <c r="BH184" s="3"/>
      <c r="BJ184" s="3"/>
    </row>
    <row r="185" spans="1:62">
      <c r="A185" s="2"/>
      <c r="AR185" s="3"/>
      <c r="AT185" s="3"/>
      <c r="AV185" s="3"/>
      <c r="AX185" s="3"/>
      <c r="AZ185" s="3"/>
      <c r="BB185" s="3"/>
      <c r="BD185" s="3"/>
      <c r="BF185" s="3"/>
      <c r="BH185" s="3"/>
      <c r="BJ185" s="3"/>
    </row>
    <row r="186" spans="1:62">
      <c r="A186" s="2"/>
      <c r="AR186" s="3"/>
      <c r="AT186" s="3"/>
      <c r="AV186" s="3"/>
      <c r="AX186" s="3"/>
      <c r="AZ186" s="3"/>
      <c r="BB186" s="3"/>
      <c r="BD186" s="3"/>
      <c r="BF186" s="3"/>
      <c r="BH186" s="3"/>
      <c r="BJ186" s="3"/>
    </row>
    <row r="187" spans="1:62">
      <c r="A187" s="2"/>
      <c r="AR187" s="3"/>
      <c r="AT187" s="3"/>
      <c r="AV187" s="3"/>
      <c r="AX187" s="3"/>
      <c r="AZ187" s="3"/>
      <c r="BB187" s="3"/>
      <c r="BD187" s="3"/>
      <c r="BF187" s="3"/>
      <c r="BH187" s="3"/>
      <c r="BJ187" s="3"/>
    </row>
    <row r="188" spans="1:62">
      <c r="A188" s="2"/>
      <c r="AR188" s="3"/>
      <c r="AT188" s="3"/>
      <c r="AV188" s="3"/>
      <c r="AX188" s="3"/>
      <c r="AZ188" s="3"/>
      <c r="BB188" s="3"/>
      <c r="BD188" s="3"/>
      <c r="BF188" s="3"/>
      <c r="BH188" s="3"/>
      <c r="BJ188" s="3"/>
    </row>
    <row r="189" spans="1:62">
      <c r="A189" s="2"/>
      <c r="AR189" s="3"/>
      <c r="AT189" s="3"/>
      <c r="AV189" s="3"/>
      <c r="AX189" s="3"/>
      <c r="AZ189" s="3"/>
      <c r="BB189" s="3"/>
      <c r="BD189" s="3"/>
      <c r="BF189" s="3"/>
      <c r="BH189" s="3"/>
      <c r="BJ189" s="3"/>
    </row>
    <row r="190" spans="1:62">
      <c r="A190" s="2"/>
      <c r="AR190" s="3"/>
      <c r="AT190" s="3"/>
      <c r="AV190" s="3"/>
      <c r="AX190" s="3"/>
      <c r="AZ190" s="3"/>
      <c r="BB190" s="3"/>
      <c r="BD190" s="3"/>
      <c r="BF190" s="3"/>
      <c r="BH190" s="3"/>
      <c r="BJ190" s="3"/>
    </row>
    <row r="191" spans="1:62">
      <c r="A191" s="2"/>
      <c r="AR191" s="3"/>
      <c r="AT191" s="3"/>
      <c r="AV191" s="3"/>
      <c r="AX191" s="3"/>
      <c r="AZ191" s="3"/>
      <c r="BB191" s="3"/>
      <c r="BD191" s="3"/>
      <c r="BF191" s="3"/>
      <c r="BH191" s="3"/>
      <c r="BJ191" s="3"/>
    </row>
    <row r="192" spans="1:62">
      <c r="A192" s="2"/>
      <c r="AR192" s="3"/>
      <c r="AT192" s="3"/>
      <c r="AV192" s="3"/>
      <c r="AX192" s="3"/>
      <c r="AZ192" s="3"/>
      <c r="BB192" s="3"/>
      <c r="BD192" s="3"/>
      <c r="BF192" s="3"/>
      <c r="BH192" s="3"/>
      <c r="BJ192" s="3"/>
    </row>
    <row r="193" spans="1:62">
      <c r="A193" s="2"/>
      <c r="AR193" s="3"/>
      <c r="AT193" s="3"/>
      <c r="AV193" s="3"/>
      <c r="AX193" s="3"/>
      <c r="AZ193" s="3"/>
      <c r="BB193" s="3"/>
      <c r="BD193" s="3"/>
      <c r="BF193" s="3"/>
      <c r="BH193" s="3"/>
      <c r="BJ193" s="3"/>
    </row>
    <row r="194" spans="1:62">
      <c r="A194" s="2"/>
      <c r="AR194" s="3"/>
      <c r="AT194" s="3"/>
      <c r="AV194" s="3"/>
      <c r="AX194" s="3"/>
      <c r="AZ194" s="3"/>
      <c r="BB194" s="3"/>
      <c r="BD194" s="3"/>
      <c r="BF194" s="3"/>
      <c r="BH194" s="3"/>
      <c r="BJ194" s="3"/>
    </row>
    <row r="195" spans="1:62">
      <c r="A195" s="2"/>
      <c r="AR195" s="3"/>
      <c r="AT195" s="3"/>
      <c r="AV195" s="3"/>
      <c r="AX195" s="3"/>
      <c r="AZ195" s="3"/>
      <c r="BB195" s="3"/>
      <c r="BD195" s="3"/>
      <c r="BF195" s="3"/>
      <c r="BH195" s="3"/>
      <c r="BJ195" s="3"/>
    </row>
    <row r="196" spans="1:62">
      <c r="A196" s="2"/>
      <c r="AR196" s="3"/>
      <c r="AT196" s="3"/>
      <c r="AV196" s="3"/>
      <c r="AX196" s="3"/>
      <c r="AZ196" s="3"/>
      <c r="BB196" s="3"/>
      <c r="BD196" s="3"/>
      <c r="BF196" s="3"/>
      <c r="BH196" s="3"/>
      <c r="BJ196" s="3"/>
    </row>
    <row r="197" spans="1:62">
      <c r="A197" s="2"/>
      <c r="AR197" s="3"/>
      <c r="AT197" s="3"/>
      <c r="AV197" s="3"/>
      <c r="AX197" s="3"/>
      <c r="AZ197" s="3"/>
      <c r="BB197" s="3"/>
      <c r="BD197" s="3"/>
      <c r="BF197" s="3"/>
      <c r="BH197" s="3"/>
      <c r="BJ197" s="3"/>
    </row>
    <row r="198" spans="1:62">
      <c r="A198" s="2"/>
      <c r="AR198" s="3"/>
      <c r="AT198" s="3"/>
      <c r="AV198" s="3"/>
      <c r="AX198" s="3"/>
      <c r="AZ198" s="3"/>
      <c r="BB198" s="3"/>
      <c r="BD198" s="3"/>
      <c r="BF198" s="3"/>
      <c r="BH198" s="3"/>
      <c r="BJ198" s="3"/>
    </row>
    <row r="199" spans="1:62">
      <c r="A199" s="2"/>
      <c r="AR199" s="3"/>
      <c r="AT199" s="3"/>
      <c r="AV199" s="3"/>
      <c r="AX199" s="3"/>
      <c r="AZ199" s="3"/>
      <c r="BB199" s="3"/>
      <c r="BD199" s="3"/>
      <c r="BF199" s="3"/>
      <c r="BH199" s="3"/>
      <c r="BJ199" s="3"/>
    </row>
    <row r="200" spans="1:62">
      <c r="A200" s="2"/>
      <c r="AR200" s="3"/>
      <c r="AT200" s="3"/>
      <c r="AV200" s="3"/>
      <c r="AX200" s="3"/>
      <c r="AZ200" s="3"/>
      <c r="BB200" s="3"/>
      <c r="BD200" s="3"/>
      <c r="BF200" s="3"/>
      <c r="BH200" s="3"/>
      <c r="BJ200" s="3"/>
    </row>
    <row r="201" spans="1:62">
      <c r="A201" s="2"/>
      <c r="AR201" s="3"/>
      <c r="AT201" s="3"/>
      <c r="AV201" s="3"/>
      <c r="AX201" s="3"/>
      <c r="AZ201" s="3"/>
      <c r="BB201" s="3"/>
      <c r="BD201" s="3"/>
      <c r="BF201" s="3"/>
      <c r="BH201" s="3"/>
      <c r="BJ201" s="3"/>
    </row>
    <row r="202" spans="1:62">
      <c r="A202" s="2"/>
      <c r="AR202" s="3"/>
      <c r="AT202" s="3"/>
      <c r="AV202" s="3"/>
      <c r="AX202" s="3"/>
      <c r="AZ202" s="3"/>
      <c r="BB202" s="3"/>
      <c r="BD202" s="3"/>
      <c r="BF202" s="3"/>
      <c r="BH202" s="3"/>
      <c r="BJ202" s="3"/>
    </row>
    <row r="203" spans="1:62">
      <c r="A203" s="2"/>
      <c r="AR203" s="3"/>
      <c r="AT203" s="3"/>
      <c r="AV203" s="3"/>
      <c r="AX203" s="3"/>
      <c r="AZ203" s="3"/>
      <c r="BB203" s="3"/>
      <c r="BD203" s="3"/>
      <c r="BF203" s="3"/>
      <c r="BH203" s="3"/>
      <c r="BJ203" s="3"/>
    </row>
    <row r="204" spans="1:62">
      <c r="A204" s="2"/>
      <c r="AR204" s="3"/>
      <c r="AT204" s="3"/>
      <c r="AV204" s="3"/>
      <c r="AX204" s="3"/>
      <c r="AZ204" s="3"/>
      <c r="BB204" s="3"/>
      <c r="BD204" s="3"/>
      <c r="BF204" s="3"/>
      <c r="BH204" s="3"/>
      <c r="BJ204" s="3"/>
    </row>
    <row r="205" spans="1:62">
      <c r="A205" s="2"/>
      <c r="AR205" s="3"/>
      <c r="AT205" s="3"/>
      <c r="AV205" s="3"/>
      <c r="AX205" s="3"/>
      <c r="AZ205" s="3"/>
      <c r="BB205" s="3"/>
      <c r="BD205" s="3"/>
      <c r="BF205" s="3"/>
      <c r="BH205" s="3"/>
      <c r="BJ205" s="3"/>
    </row>
    <row r="206" spans="1:62">
      <c r="A206" s="2"/>
      <c r="AR206" s="3"/>
      <c r="AT206" s="3"/>
      <c r="AV206" s="3"/>
      <c r="AX206" s="3"/>
      <c r="AZ206" s="3"/>
      <c r="BB206" s="3"/>
      <c r="BD206" s="3"/>
      <c r="BF206" s="3"/>
      <c r="BH206" s="3"/>
      <c r="BJ206" s="3"/>
    </row>
    <row r="207" spans="1:62">
      <c r="A207" s="2"/>
      <c r="AR207" s="3"/>
      <c r="AT207" s="3"/>
      <c r="AV207" s="3"/>
      <c r="AX207" s="3"/>
      <c r="AZ207" s="3"/>
      <c r="BB207" s="3"/>
      <c r="BD207" s="3"/>
      <c r="BF207" s="3"/>
      <c r="BH207" s="3"/>
      <c r="BJ207" s="3"/>
    </row>
    <row r="208" spans="1:62">
      <c r="A208" s="2"/>
      <c r="AR208" s="3"/>
      <c r="AT208" s="3"/>
      <c r="AV208" s="3"/>
      <c r="AX208" s="3"/>
      <c r="AZ208" s="3"/>
      <c r="BB208" s="3"/>
      <c r="BD208" s="3"/>
      <c r="BF208" s="3"/>
      <c r="BH208" s="3"/>
      <c r="BJ208" s="3"/>
    </row>
    <row r="209" spans="1:62">
      <c r="A209" s="2"/>
      <c r="AR209" s="3"/>
      <c r="AT209" s="3"/>
      <c r="AV209" s="3"/>
      <c r="AX209" s="3"/>
      <c r="AZ209" s="3"/>
      <c r="BB209" s="3"/>
      <c r="BD209" s="3"/>
      <c r="BF209" s="3"/>
      <c r="BH209" s="3"/>
      <c r="BJ209" s="3"/>
    </row>
    <row r="210" spans="1:62">
      <c r="A210" s="2"/>
      <c r="AR210" s="3"/>
      <c r="AT210" s="3"/>
      <c r="AV210" s="3"/>
      <c r="AX210" s="3"/>
      <c r="AZ210" s="3"/>
      <c r="BB210" s="3"/>
      <c r="BD210" s="3"/>
      <c r="BF210" s="3"/>
      <c r="BH210" s="3"/>
      <c r="BJ210" s="3"/>
    </row>
    <row r="211" spans="1:62">
      <c r="A211" s="2"/>
      <c r="AR211" s="3"/>
      <c r="AT211" s="3"/>
      <c r="AV211" s="3"/>
      <c r="AX211" s="3"/>
      <c r="AZ211" s="3"/>
      <c r="BB211" s="3"/>
      <c r="BD211" s="3"/>
      <c r="BF211" s="3"/>
      <c r="BH211" s="3"/>
      <c r="BJ211" s="3"/>
    </row>
    <row r="212" spans="1:62">
      <c r="A212" s="2"/>
      <c r="AR212" s="3"/>
      <c r="AT212" s="3"/>
      <c r="AV212" s="3"/>
      <c r="AX212" s="3"/>
      <c r="AZ212" s="3"/>
      <c r="BB212" s="3"/>
      <c r="BD212" s="3"/>
      <c r="BF212" s="3"/>
      <c r="BH212" s="3"/>
      <c r="BJ212" s="3"/>
    </row>
    <row r="213" spans="1:62">
      <c r="A213" s="2"/>
      <c r="AR213" s="3"/>
      <c r="AT213" s="3"/>
      <c r="AV213" s="3"/>
      <c r="AX213" s="3"/>
      <c r="AZ213" s="3"/>
      <c r="BB213" s="3"/>
      <c r="BD213" s="3"/>
      <c r="BF213" s="3"/>
      <c r="BH213" s="3"/>
      <c r="BJ213" s="3"/>
    </row>
    <row r="214" spans="1:62">
      <c r="A214" s="2"/>
      <c r="AR214" s="3"/>
      <c r="AT214" s="3"/>
      <c r="AV214" s="3"/>
      <c r="AX214" s="3"/>
      <c r="AZ214" s="3"/>
      <c r="BB214" s="3"/>
      <c r="BD214" s="3"/>
      <c r="BF214" s="3"/>
      <c r="BH214" s="3"/>
      <c r="BJ214" s="3"/>
    </row>
    <row r="215" spans="1:62">
      <c r="A215" s="2"/>
      <c r="AR215" s="3"/>
      <c r="AT215" s="3"/>
      <c r="AV215" s="3"/>
      <c r="AX215" s="3"/>
      <c r="AZ215" s="3"/>
      <c r="BB215" s="3"/>
      <c r="BD215" s="3"/>
      <c r="BF215" s="3"/>
      <c r="BH215" s="3"/>
      <c r="BJ215" s="3"/>
    </row>
    <row r="216" spans="1:62">
      <c r="A216" s="2"/>
      <c r="AR216" s="3"/>
      <c r="AT216" s="3"/>
      <c r="AV216" s="3"/>
      <c r="AX216" s="3"/>
      <c r="AZ216" s="3"/>
      <c r="BB216" s="3"/>
      <c r="BD216" s="3"/>
      <c r="BF216" s="3"/>
      <c r="BH216" s="3"/>
      <c r="BJ216" s="3"/>
    </row>
    <row r="217" spans="1:62">
      <c r="A217" s="2"/>
      <c r="AR217" s="3"/>
      <c r="AT217" s="3"/>
      <c r="AV217" s="3"/>
      <c r="AX217" s="3"/>
      <c r="AZ217" s="3"/>
      <c r="BB217" s="3"/>
      <c r="BD217" s="3"/>
      <c r="BF217" s="3"/>
      <c r="BH217" s="3"/>
      <c r="BJ217" s="3"/>
    </row>
    <row r="218" spans="1:62">
      <c r="A218" s="2"/>
      <c r="AR218" s="3"/>
      <c r="AT218" s="3"/>
      <c r="AV218" s="3"/>
      <c r="AX218" s="3"/>
      <c r="AZ218" s="3"/>
      <c r="BB218" s="3"/>
      <c r="BD218" s="3"/>
      <c r="BF218" s="3"/>
      <c r="BH218" s="3"/>
      <c r="BJ218" s="3"/>
    </row>
    <row r="219" spans="1:62">
      <c r="A219" s="2"/>
      <c r="AR219" s="3"/>
      <c r="AT219" s="3"/>
      <c r="AV219" s="3"/>
      <c r="AX219" s="3"/>
      <c r="AZ219" s="3"/>
      <c r="BB219" s="3"/>
      <c r="BD219" s="3"/>
      <c r="BF219" s="3"/>
      <c r="BH219" s="3"/>
      <c r="BJ219" s="3"/>
    </row>
    <row r="220" spans="1:62">
      <c r="A220" s="2"/>
      <c r="AR220" s="3"/>
      <c r="AT220" s="3"/>
      <c r="AV220" s="3"/>
      <c r="AX220" s="3"/>
      <c r="AZ220" s="3"/>
      <c r="BB220" s="3"/>
      <c r="BD220" s="3"/>
      <c r="BF220" s="3"/>
      <c r="BH220" s="3"/>
      <c r="BJ220" s="3"/>
    </row>
    <row r="221" spans="1:62">
      <c r="A221" s="2"/>
      <c r="AR221" s="3"/>
      <c r="AT221" s="3"/>
      <c r="AV221" s="3"/>
      <c r="AX221" s="3"/>
      <c r="AZ221" s="3"/>
      <c r="BB221" s="3"/>
      <c r="BD221" s="3"/>
      <c r="BF221" s="3"/>
      <c r="BH221" s="3"/>
      <c r="BJ221" s="3"/>
    </row>
    <row r="222" spans="1:62">
      <c r="A222" s="2"/>
      <c r="AR222" s="3"/>
      <c r="AT222" s="3"/>
      <c r="AV222" s="3"/>
      <c r="AX222" s="3"/>
      <c r="AZ222" s="3"/>
      <c r="BB222" s="3"/>
      <c r="BD222" s="3"/>
      <c r="BF222" s="3"/>
      <c r="BH222" s="3"/>
      <c r="BJ222" s="3"/>
    </row>
    <row r="223" spans="1:62">
      <c r="A223" s="2"/>
      <c r="AR223" s="3"/>
      <c r="AT223" s="3"/>
      <c r="AV223" s="3"/>
      <c r="AX223" s="3"/>
      <c r="AZ223" s="3"/>
      <c r="BB223" s="3"/>
      <c r="BD223" s="3"/>
      <c r="BF223" s="3"/>
      <c r="BH223" s="3"/>
      <c r="BJ223" s="3"/>
    </row>
    <row r="224" spans="1:62">
      <c r="A224" s="2"/>
      <c r="AR224" s="3"/>
      <c r="AT224" s="3"/>
      <c r="AV224" s="3"/>
      <c r="AX224" s="3"/>
      <c r="AZ224" s="3"/>
      <c r="BB224" s="3"/>
      <c r="BD224" s="3"/>
      <c r="BF224" s="3"/>
      <c r="BH224" s="3"/>
      <c r="BJ224" s="3"/>
    </row>
    <row r="225" spans="1:62">
      <c r="A225" s="2"/>
      <c r="AR225" s="3"/>
      <c r="AT225" s="3"/>
      <c r="AV225" s="3"/>
      <c r="AX225" s="3"/>
      <c r="AZ225" s="3"/>
      <c r="BB225" s="3"/>
      <c r="BD225" s="3"/>
      <c r="BF225" s="3"/>
      <c r="BH225" s="3"/>
      <c r="BJ225" s="3"/>
    </row>
    <row r="226" spans="1:62">
      <c r="A226" s="2"/>
      <c r="AR226" s="3"/>
      <c r="AT226" s="3"/>
      <c r="AV226" s="3"/>
      <c r="AX226" s="3"/>
      <c r="AZ226" s="3"/>
      <c r="BB226" s="3"/>
      <c r="BD226" s="3"/>
      <c r="BF226" s="3"/>
      <c r="BH226" s="3"/>
      <c r="BJ226" s="3"/>
    </row>
    <row r="227" spans="1:62">
      <c r="A227" s="2"/>
      <c r="AR227" s="3"/>
      <c r="AT227" s="3"/>
      <c r="AV227" s="3"/>
      <c r="AX227" s="3"/>
      <c r="AZ227" s="3"/>
      <c r="BB227" s="3"/>
      <c r="BD227" s="3"/>
      <c r="BF227" s="3"/>
      <c r="BH227" s="3"/>
      <c r="BJ227" s="3"/>
    </row>
    <row r="228" spans="1:62">
      <c r="A228" s="2"/>
      <c r="AR228" s="3"/>
      <c r="AT228" s="3"/>
      <c r="AV228" s="3"/>
      <c r="AX228" s="3"/>
      <c r="AZ228" s="3"/>
      <c r="BB228" s="3"/>
      <c r="BD228" s="3"/>
      <c r="BF228" s="3"/>
      <c r="BH228" s="3"/>
      <c r="BJ228" s="3"/>
    </row>
    <row r="229" spans="1:62">
      <c r="A229" s="2"/>
      <c r="AR229" s="3"/>
      <c r="AT229" s="3"/>
      <c r="AV229" s="3"/>
      <c r="AX229" s="3"/>
      <c r="AZ229" s="3"/>
      <c r="BB229" s="3"/>
      <c r="BD229" s="3"/>
      <c r="BF229" s="3"/>
      <c r="BH229" s="3"/>
      <c r="BJ229" s="3"/>
    </row>
    <row r="230" spans="1:62">
      <c r="A230" s="2"/>
      <c r="AR230" s="3"/>
      <c r="AT230" s="3"/>
      <c r="AV230" s="3"/>
      <c r="AX230" s="3"/>
      <c r="AZ230" s="3"/>
      <c r="BB230" s="3"/>
      <c r="BD230" s="3"/>
      <c r="BF230" s="3"/>
      <c r="BH230" s="3"/>
      <c r="BJ230" s="3"/>
    </row>
    <row r="231" spans="1:62">
      <c r="A231" s="2"/>
      <c r="AR231" s="3"/>
      <c r="AT231" s="3"/>
      <c r="AV231" s="3"/>
      <c r="AX231" s="3"/>
      <c r="AZ231" s="3"/>
      <c r="BB231" s="3"/>
      <c r="BD231" s="3"/>
      <c r="BF231" s="3"/>
      <c r="BH231" s="3"/>
      <c r="BJ231" s="3"/>
    </row>
    <row r="232" spans="1:62">
      <c r="A232" s="2"/>
      <c r="AR232" s="3"/>
      <c r="AT232" s="3"/>
      <c r="AV232" s="3"/>
      <c r="AX232" s="3"/>
      <c r="AZ232" s="3"/>
      <c r="BB232" s="3"/>
      <c r="BD232" s="3"/>
      <c r="BF232" s="3"/>
      <c r="BH232" s="3"/>
      <c r="BJ232" s="3"/>
    </row>
    <row r="233" spans="1:62">
      <c r="A233" s="2"/>
      <c r="AR233" s="3"/>
      <c r="AT233" s="3"/>
      <c r="AV233" s="3"/>
      <c r="AX233" s="3"/>
      <c r="AZ233" s="3"/>
      <c r="BB233" s="3"/>
      <c r="BD233" s="3"/>
      <c r="BF233" s="3"/>
      <c r="BH233" s="3"/>
      <c r="BJ233" s="3"/>
    </row>
    <row r="234" spans="1:62">
      <c r="A234" s="2"/>
      <c r="AR234" s="3"/>
      <c r="AT234" s="3"/>
      <c r="AV234" s="3"/>
      <c r="AX234" s="3"/>
      <c r="AZ234" s="3"/>
      <c r="BB234" s="3"/>
      <c r="BD234" s="3"/>
      <c r="BF234" s="3"/>
      <c r="BH234" s="3"/>
      <c r="BJ234" s="3"/>
    </row>
    <row r="235" spans="1:62">
      <c r="A235" s="2"/>
      <c r="AR235" s="3"/>
      <c r="AT235" s="3"/>
      <c r="AV235" s="3"/>
      <c r="AX235" s="3"/>
      <c r="AZ235" s="3"/>
      <c r="BB235" s="3"/>
      <c r="BD235" s="3"/>
      <c r="BF235" s="3"/>
      <c r="BH235" s="3"/>
      <c r="BJ235" s="3"/>
    </row>
    <row r="236" spans="1:62">
      <c r="A236" s="2"/>
      <c r="AR236" s="3"/>
      <c r="AT236" s="3"/>
      <c r="AV236" s="3"/>
      <c r="AX236" s="3"/>
      <c r="AZ236" s="3"/>
      <c r="BB236" s="3"/>
      <c r="BD236" s="3"/>
      <c r="BF236" s="3"/>
      <c r="BH236" s="3"/>
      <c r="BJ236" s="3"/>
    </row>
    <row r="237" spans="1:62">
      <c r="A237" s="2"/>
      <c r="AR237" s="3"/>
      <c r="AT237" s="3"/>
      <c r="AV237" s="3"/>
      <c r="AX237" s="3"/>
      <c r="AZ237" s="3"/>
      <c r="BB237" s="3"/>
      <c r="BD237" s="3"/>
      <c r="BF237" s="3"/>
      <c r="BH237" s="3"/>
      <c r="BJ237" s="3"/>
    </row>
    <row r="238" spans="1:62">
      <c r="A238" s="2"/>
      <c r="AR238" s="3"/>
      <c r="AT238" s="3"/>
      <c r="AV238" s="3"/>
      <c r="AX238" s="3"/>
      <c r="AZ238" s="3"/>
      <c r="BB238" s="3"/>
      <c r="BD238" s="3"/>
      <c r="BF238" s="3"/>
      <c r="BH238" s="3"/>
      <c r="BJ238" s="3"/>
    </row>
    <row r="239" spans="1:62">
      <c r="A239" s="2"/>
      <c r="AR239" s="3"/>
      <c r="AT239" s="3"/>
      <c r="AV239" s="3"/>
      <c r="AX239" s="3"/>
      <c r="AZ239" s="3"/>
      <c r="BB239" s="3"/>
      <c r="BD239" s="3"/>
      <c r="BF239" s="3"/>
      <c r="BH239" s="3"/>
      <c r="BJ239" s="3"/>
    </row>
    <row r="240" spans="1:62">
      <c r="A240" s="2"/>
      <c r="AR240" s="3"/>
      <c r="AT240" s="3"/>
      <c r="AV240" s="3"/>
      <c r="AX240" s="3"/>
      <c r="AZ240" s="3"/>
      <c r="BB240" s="3"/>
      <c r="BD240" s="3"/>
      <c r="BF240" s="3"/>
      <c r="BH240" s="3"/>
      <c r="BJ240" s="3"/>
    </row>
    <row r="241" spans="1:62">
      <c r="A241" s="2"/>
      <c r="AR241" s="3"/>
      <c r="AT241" s="3"/>
      <c r="AV241" s="3"/>
      <c r="AX241" s="3"/>
      <c r="AZ241" s="3"/>
      <c r="BB241" s="3"/>
      <c r="BD241" s="3"/>
      <c r="BF241" s="3"/>
      <c r="BH241" s="3"/>
      <c r="BJ241" s="3"/>
    </row>
    <row r="242" spans="1:62">
      <c r="A242" s="2"/>
      <c r="AR242" s="3"/>
      <c r="AT242" s="3"/>
      <c r="AV242" s="3"/>
      <c r="AX242" s="3"/>
      <c r="AZ242" s="3"/>
      <c r="BB242" s="3"/>
      <c r="BD242" s="3"/>
      <c r="BF242" s="3"/>
      <c r="BH242" s="3"/>
      <c r="BJ242" s="3"/>
    </row>
    <row r="243" spans="1:62">
      <c r="A243" s="2"/>
      <c r="AR243" s="3"/>
      <c r="AT243" s="3"/>
      <c r="AV243" s="3"/>
      <c r="AX243" s="3"/>
      <c r="AZ243" s="3"/>
      <c r="BB243" s="3"/>
      <c r="BD243" s="3"/>
      <c r="BF243" s="3"/>
      <c r="BH243" s="3"/>
      <c r="BJ243" s="3"/>
    </row>
    <row r="244" spans="1:62">
      <c r="A244" s="2"/>
      <c r="AR244" s="3"/>
      <c r="AT244" s="3"/>
      <c r="AV244" s="3"/>
      <c r="AX244" s="3"/>
      <c r="AZ244" s="3"/>
      <c r="BB244" s="3"/>
      <c r="BD244" s="3"/>
      <c r="BF244" s="3"/>
      <c r="BH244" s="3"/>
      <c r="BJ244" s="3"/>
    </row>
    <row r="245" spans="1:62">
      <c r="A245" s="2"/>
      <c r="AR245" s="3"/>
      <c r="AT245" s="3"/>
      <c r="AV245" s="3"/>
      <c r="AX245" s="3"/>
      <c r="AZ245" s="3"/>
      <c r="BB245" s="3"/>
      <c r="BD245" s="3"/>
      <c r="BF245" s="3"/>
      <c r="BH245" s="3"/>
      <c r="BJ245" s="3"/>
    </row>
    <row r="246" spans="1:62">
      <c r="A246" s="2"/>
      <c r="AR246" s="3"/>
      <c r="AT246" s="3"/>
      <c r="AV246" s="3"/>
      <c r="AX246" s="3"/>
      <c r="AZ246" s="3"/>
      <c r="BB246" s="3"/>
      <c r="BD246" s="3"/>
      <c r="BF246" s="3"/>
      <c r="BH246" s="3"/>
      <c r="BJ246" s="3"/>
    </row>
    <row r="247" spans="1:62">
      <c r="A247" s="2"/>
      <c r="AR247" s="3"/>
      <c r="AT247" s="3"/>
      <c r="AV247" s="3"/>
      <c r="AX247" s="3"/>
      <c r="AZ247" s="3"/>
      <c r="BB247" s="3"/>
      <c r="BD247" s="3"/>
      <c r="BF247" s="3"/>
      <c r="BH247" s="3"/>
      <c r="BJ247" s="3"/>
    </row>
    <row r="248" spans="1:62">
      <c r="A248" s="2"/>
      <c r="AR248" s="3"/>
      <c r="AT248" s="3"/>
      <c r="AV248" s="3"/>
      <c r="AX248" s="3"/>
      <c r="AZ248" s="3"/>
      <c r="BB248" s="3"/>
      <c r="BD248" s="3"/>
      <c r="BF248" s="3"/>
      <c r="BH248" s="3"/>
      <c r="BJ248" s="3"/>
    </row>
    <row r="249" spans="1:62">
      <c r="A249" s="2"/>
      <c r="AR249" s="3"/>
      <c r="AT249" s="3"/>
      <c r="AV249" s="3"/>
      <c r="AX249" s="3"/>
      <c r="AZ249" s="3"/>
      <c r="BB249" s="3"/>
      <c r="BD249" s="3"/>
      <c r="BF249" s="3"/>
      <c r="BH249" s="3"/>
      <c r="BJ249" s="3"/>
    </row>
    <row r="250" spans="1:62">
      <c r="A250" s="2"/>
      <c r="AR250" s="3"/>
      <c r="AT250" s="3"/>
      <c r="AV250" s="3"/>
      <c r="AX250" s="3"/>
      <c r="AZ250" s="3"/>
      <c r="BB250" s="3"/>
      <c r="BD250" s="3"/>
      <c r="BF250" s="3"/>
      <c r="BH250" s="3"/>
      <c r="BJ250" s="3"/>
    </row>
    <row r="251" spans="1:62">
      <c r="A251" s="2"/>
      <c r="AR251" s="3"/>
      <c r="AT251" s="3"/>
      <c r="AV251" s="3"/>
      <c r="AX251" s="3"/>
      <c r="AZ251" s="3"/>
      <c r="BB251" s="3"/>
      <c r="BD251" s="3"/>
      <c r="BF251" s="3"/>
      <c r="BH251" s="3"/>
      <c r="BJ251" s="3"/>
    </row>
    <row r="252" spans="1:62">
      <c r="A252" s="2"/>
      <c r="AR252" s="3"/>
      <c r="AT252" s="3"/>
      <c r="AV252" s="3"/>
      <c r="AX252" s="3"/>
      <c r="AZ252" s="3"/>
      <c r="BB252" s="3"/>
      <c r="BD252" s="3"/>
      <c r="BF252" s="3"/>
      <c r="BH252" s="3"/>
      <c r="BJ252" s="3"/>
    </row>
    <row r="253" spans="1:62">
      <c r="A253" s="2"/>
      <c r="AR253" s="3"/>
      <c r="AT253" s="3"/>
      <c r="AV253" s="3"/>
      <c r="AX253" s="3"/>
      <c r="AZ253" s="3"/>
      <c r="BB253" s="3"/>
      <c r="BD253" s="3"/>
      <c r="BF253" s="3"/>
      <c r="BH253" s="3"/>
      <c r="BJ253" s="3"/>
    </row>
    <row r="254" spans="1:62">
      <c r="A254" s="2"/>
      <c r="AR254" s="3"/>
      <c r="AT254" s="3"/>
      <c r="AV254" s="3"/>
      <c r="AX254" s="3"/>
      <c r="AZ254" s="3"/>
      <c r="BB254" s="3"/>
      <c r="BD254" s="3"/>
      <c r="BF254" s="3"/>
      <c r="BH254" s="3"/>
      <c r="BJ254" s="3"/>
    </row>
    <row r="255" spans="1:62">
      <c r="A255" s="2"/>
      <c r="AR255" s="3"/>
      <c r="AT255" s="3"/>
      <c r="AV255" s="3"/>
      <c r="AX255" s="3"/>
      <c r="AZ255" s="3"/>
      <c r="BB255" s="3"/>
      <c r="BD255" s="3"/>
      <c r="BF255" s="3"/>
      <c r="BH255" s="3"/>
      <c r="BJ255" s="3"/>
    </row>
    <row r="256" spans="1:62">
      <c r="A256" s="2"/>
      <c r="AR256" s="3"/>
      <c r="AT256" s="3"/>
      <c r="AV256" s="3"/>
      <c r="AX256" s="3"/>
      <c r="AZ256" s="3"/>
      <c r="BB256" s="3"/>
      <c r="BD256" s="3"/>
      <c r="BF256" s="3"/>
      <c r="BH256" s="3"/>
      <c r="BJ256" s="3"/>
    </row>
    <row r="257" spans="1:62">
      <c r="A257" s="2"/>
      <c r="AR257" s="3"/>
      <c r="AT257" s="3"/>
      <c r="AV257" s="3"/>
      <c r="AX257" s="3"/>
      <c r="AZ257" s="3"/>
      <c r="BB257" s="3"/>
      <c r="BD257" s="3"/>
      <c r="BF257" s="3"/>
      <c r="BH257" s="3"/>
      <c r="BJ257" s="3"/>
    </row>
    <row r="258" spans="1:62">
      <c r="A258" s="2"/>
      <c r="AR258" s="3"/>
      <c r="AT258" s="3"/>
      <c r="AV258" s="3"/>
      <c r="AX258" s="3"/>
      <c r="AZ258" s="3"/>
      <c r="BB258" s="3"/>
      <c r="BD258" s="3"/>
      <c r="BF258" s="3"/>
      <c r="BH258" s="3"/>
      <c r="BJ258" s="3"/>
    </row>
    <row r="259" spans="1:62">
      <c r="A259" s="2"/>
      <c r="AR259" s="3"/>
      <c r="AT259" s="3"/>
      <c r="AV259" s="3"/>
      <c r="AX259" s="3"/>
      <c r="AZ259" s="3"/>
      <c r="BB259" s="3"/>
      <c r="BD259" s="3"/>
      <c r="BF259" s="3"/>
      <c r="BH259" s="3"/>
      <c r="BJ259" s="3"/>
    </row>
    <row r="260" spans="1:62">
      <c r="A260" s="2"/>
      <c r="AR260" s="3"/>
      <c r="AT260" s="3"/>
      <c r="AV260" s="3"/>
      <c r="AX260" s="3"/>
      <c r="AZ260" s="3"/>
      <c r="BB260" s="3"/>
      <c r="BD260" s="3"/>
      <c r="BF260" s="3"/>
      <c r="BH260" s="3"/>
      <c r="BJ260" s="3"/>
    </row>
    <row r="261" spans="1:62">
      <c r="A261" s="2"/>
      <c r="AR261" s="3"/>
      <c r="AT261" s="3"/>
      <c r="AV261" s="3"/>
      <c r="AX261" s="3"/>
      <c r="AZ261" s="3"/>
      <c r="BB261" s="3"/>
      <c r="BD261" s="3"/>
      <c r="BF261" s="3"/>
      <c r="BH261" s="3"/>
      <c r="BJ261" s="3"/>
    </row>
    <row r="262" spans="1:62">
      <c r="A262" s="2"/>
      <c r="AR262" s="3"/>
      <c r="AT262" s="3"/>
      <c r="AV262" s="3"/>
      <c r="AX262" s="3"/>
      <c r="AZ262" s="3"/>
      <c r="BB262" s="3"/>
      <c r="BD262" s="3"/>
      <c r="BF262" s="3"/>
      <c r="BH262" s="3"/>
      <c r="BJ262" s="3"/>
    </row>
    <row r="263" spans="1:62">
      <c r="A263" s="2"/>
      <c r="AR263" s="3"/>
      <c r="AT263" s="3"/>
      <c r="AV263" s="3"/>
      <c r="AX263" s="3"/>
      <c r="AZ263" s="3"/>
      <c r="BB263" s="3"/>
      <c r="BD263" s="3"/>
      <c r="BF263" s="3"/>
      <c r="BH263" s="3"/>
      <c r="BJ263" s="3"/>
    </row>
    <row r="264" spans="1:62">
      <c r="A264" s="2"/>
      <c r="AR264" s="3"/>
      <c r="AT264" s="3"/>
      <c r="AV264" s="3"/>
      <c r="AX264" s="3"/>
      <c r="AZ264" s="3"/>
      <c r="BB264" s="3"/>
      <c r="BD264" s="3"/>
      <c r="BF264" s="3"/>
      <c r="BH264" s="3"/>
      <c r="BJ264" s="3"/>
    </row>
    <row r="265" spans="1:62">
      <c r="A265" s="2"/>
      <c r="AR265" s="3"/>
      <c r="AT265" s="3"/>
      <c r="AV265" s="3"/>
      <c r="AX265" s="3"/>
      <c r="AZ265" s="3"/>
      <c r="BB265" s="3"/>
      <c r="BD265" s="3"/>
      <c r="BF265" s="3"/>
      <c r="BH265" s="3"/>
      <c r="BJ265" s="3"/>
    </row>
    <row r="266" spans="1:62">
      <c r="A266" s="2"/>
      <c r="AR266" s="3"/>
      <c r="AT266" s="3"/>
      <c r="AV266" s="3"/>
      <c r="AX266" s="3"/>
      <c r="AZ266" s="3"/>
      <c r="BB266" s="3"/>
      <c r="BD266" s="3"/>
      <c r="BF266" s="3"/>
      <c r="BH266" s="3"/>
      <c r="BJ266" s="3"/>
    </row>
    <row r="267" spans="1:62">
      <c r="A267" s="2"/>
      <c r="AR267" s="3"/>
      <c r="AT267" s="3"/>
      <c r="AV267" s="3"/>
      <c r="AX267" s="3"/>
      <c r="AZ267" s="3"/>
      <c r="BB267" s="3"/>
      <c r="BD267" s="3"/>
      <c r="BF267" s="3"/>
      <c r="BH267" s="3"/>
      <c r="BJ267" s="3"/>
    </row>
    <row r="268" spans="1:62">
      <c r="A268" s="2"/>
      <c r="AR268" s="3"/>
      <c r="AT268" s="3"/>
      <c r="AV268" s="3"/>
      <c r="AX268" s="3"/>
      <c r="AZ268" s="3"/>
      <c r="BB268" s="3"/>
      <c r="BD268" s="3"/>
      <c r="BF268" s="3"/>
      <c r="BH268" s="3"/>
      <c r="BJ268" s="3"/>
    </row>
    <row r="269" spans="1:62">
      <c r="A269" s="2"/>
      <c r="AR269" s="3"/>
      <c r="AT269" s="3"/>
      <c r="AV269" s="3"/>
      <c r="AX269" s="3"/>
      <c r="AZ269" s="3"/>
      <c r="BB269" s="3"/>
      <c r="BD269" s="3"/>
      <c r="BF269" s="3"/>
      <c r="BH269" s="3"/>
      <c r="BJ269" s="3"/>
    </row>
    <row r="270" spans="1:62">
      <c r="A270" s="2"/>
      <c r="AR270" s="3"/>
      <c r="AT270" s="3"/>
      <c r="AV270" s="3"/>
      <c r="AX270" s="3"/>
      <c r="AZ270" s="3"/>
      <c r="BB270" s="3"/>
      <c r="BD270" s="3"/>
      <c r="BF270" s="3"/>
      <c r="BH270" s="3"/>
      <c r="BJ270" s="3"/>
    </row>
    <row r="271" spans="1:62">
      <c r="A271" s="2"/>
      <c r="AR271" s="3"/>
      <c r="AT271" s="3"/>
      <c r="AV271" s="3"/>
      <c r="AX271" s="3"/>
      <c r="AZ271" s="3"/>
      <c r="BB271" s="3"/>
      <c r="BD271" s="3"/>
      <c r="BF271" s="3"/>
      <c r="BH271" s="3"/>
      <c r="BJ271" s="3"/>
    </row>
    <row r="272" spans="1:62">
      <c r="A272" s="2"/>
      <c r="AR272" s="3"/>
      <c r="AT272" s="3"/>
      <c r="AV272" s="3"/>
      <c r="AX272" s="3"/>
      <c r="AZ272" s="3"/>
      <c r="BB272" s="3"/>
      <c r="BD272" s="3"/>
      <c r="BF272" s="3"/>
      <c r="BH272" s="3"/>
      <c r="BJ272" s="3"/>
    </row>
    <row r="273" spans="1:62">
      <c r="A273" s="2"/>
      <c r="AR273" s="3"/>
      <c r="AT273" s="3"/>
      <c r="AV273" s="3"/>
      <c r="AX273" s="3"/>
      <c r="AZ273" s="3"/>
      <c r="BB273" s="3"/>
      <c r="BD273" s="3"/>
      <c r="BF273" s="3"/>
      <c r="BH273" s="3"/>
      <c r="BJ273" s="3"/>
    </row>
    <row r="274" spans="1:62">
      <c r="A274" s="2"/>
      <c r="AR274" s="3"/>
      <c r="AT274" s="3"/>
      <c r="AV274" s="3"/>
      <c r="AX274" s="3"/>
      <c r="AZ274" s="3"/>
      <c r="BB274" s="3"/>
      <c r="BD274" s="3"/>
      <c r="BF274" s="3"/>
      <c r="BH274" s="3"/>
      <c r="BJ274" s="3"/>
    </row>
    <row r="275" spans="1:62">
      <c r="A275" s="2"/>
      <c r="AR275" s="3"/>
      <c r="AT275" s="3"/>
      <c r="AV275" s="3"/>
      <c r="AX275" s="3"/>
      <c r="AZ275" s="3"/>
      <c r="BB275" s="3"/>
      <c r="BD275" s="3"/>
      <c r="BF275" s="3"/>
      <c r="BH275" s="3"/>
      <c r="BJ275" s="3"/>
    </row>
    <row r="276" spans="1:62">
      <c r="A276" s="2"/>
      <c r="AR276" s="3"/>
      <c r="AT276" s="3"/>
      <c r="AV276" s="3"/>
      <c r="AX276" s="3"/>
      <c r="AZ276" s="3"/>
      <c r="BB276" s="3"/>
      <c r="BD276" s="3"/>
      <c r="BF276" s="3"/>
      <c r="BH276" s="3"/>
      <c r="BJ276" s="3"/>
    </row>
    <row r="277" spans="1:62">
      <c r="A277" s="2"/>
      <c r="AR277" s="3"/>
      <c r="AT277" s="3"/>
      <c r="AV277" s="3"/>
      <c r="AX277" s="3"/>
      <c r="AZ277" s="3"/>
      <c r="BB277" s="3"/>
      <c r="BD277" s="3"/>
      <c r="BF277" s="3"/>
      <c r="BH277" s="3"/>
      <c r="BJ277" s="3"/>
    </row>
    <row r="278" spans="1:62">
      <c r="A278" s="2"/>
      <c r="AR278" s="3"/>
      <c r="AT278" s="3"/>
      <c r="AV278" s="3"/>
      <c r="AX278" s="3"/>
      <c r="AZ278" s="3"/>
      <c r="BB278" s="3"/>
      <c r="BD278" s="3"/>
      <c r="BF278" s="3"/>
      <c r="BH278" s="3"/>
      <c r="BJ278" s="3"/>
    </row>
    <row r="279" spans="1:62">
      <c r="A279" s="2"/>
      <c r="AR279" s="3"/>
      <c r="AT279" s="3"/>
      <c r="AV279" s="3"/>
      <c r="AX279" s="3"/>
      <c r="AZ279" s="3"/>
      <c r="BB279" s="3"/>
      <c r="BD279" s="3"/>
      <c r="BF279" s="3"/>
      <c r="BH279" s="3"/>
      <c r="BJ279" s="3"/>
    </row>
    <row r="280" spans="1:62">
      <c r="A280" s="2"/>
      <c r="AR280" s="3"/>
      <c r="AT280" s="3"/>
      <c r="AV280" s="3"/>
      <c r="AX280" s="3"/>
      <c r="AZ280" s="3"/>
      <c r="BB280" s="3"/>
      <c r="BD280" s="3"/>
      <c r="BF280" s="3"/>
      <c r="BH280" s="3"/>
      <c r="BJ280" s="3"/>
    </row>
    <row r="281" spans="1:62">
      <c r="A281" s="2"/>
      <c r="AR281" s="3"/>
      <c r="AT281" s="3"/>
      <c r="AV281" s="3"/>
      <c r="AX281" s="3"/>
      <c r="AZ281" s="3"/>
      <c r="BB281" s="3"/>
      <c r="BD281" s="3"/>
      <c r="BF281" s="3"/>
      <c r="BH281" s="3"/>
      <c r="BJ281" s="3"/>
    </row>
    <row r="282" spans="1:62">
      <c r="A282" s="2"/>
      <c r="AR282" s="3"/>
      <c r="AT282" s="3"/>
      <c r="AV282" s="3"/>
      <c r="AX282" s="3"/>
      <c r="AZ282" s="3"/>
      <c r="BB282" s="3"/>
      <c r="BD282" s="3"/>
      <c r="BF282" s="3"/>
      <c r="BH282" s="3"/>
      <c r="BJ282" s="3"/>
    </row>
    <row r="283" spans="1:62">
      <c r="A283" s="2"/>
      <c r="AR283" s="3"/>
      <c r="AT283" s="3"/>
      <c r="AV283" s="3"/>
      <c r="AX283" s="3"/>
      <c r="AZ283" s="3"/>
      <c r="BB283" s="3"/>
      <c r="BD283" s="3"/>
      <c r="BF283" s="3"/>
      <c r="BH283" s="3"/>
      <c r="BJ283" s="3"/>
    </row>
    <row r="284" spans="1:62">
      <c r="A284" s="2"/>
      <c r="AR284" s="3"/>
      <c r="AT284" s="3"/>
      <c r="AV284" s="3"/>
      <c r="AX284" s="3"/>
      <c r="AZ284" s="3"/>
      <c r="BB284" s="3"/>
      <c r="BD284" s="3"/>
      <c r="BF284" s="3"/>
      <c r="BH284" s="3"/>
      <c r="BJ284" s="3"/>
    </row>
    <row r="285" spans="1:62">
      <c r="A285" s="2"/>
      <c r="AR285" s="3"/>
      <c r="AT285" s="3"/>
      <c r="AV285" s="3"/>
      <c r="AX285" s="3"/>
      <c r="AZ285" s="3"/>
      <c r="BB285" s="3"/>
      <c r="BD285" s="3"/>
      <c r="BF285" s="3"/>
      <c r="BH285" s="3"/>
      <c r="BJ285" s="3"/>
    </row>
    <row r="286" spans="1:62">
      <c r="A286" s="2"/>
      <c r="AR286" s="3"/>
      <c r="AT286" s="3"/>
      <c r="AV286" s="3"/>
      <c r="AX286" s="3"/>
      <c r="AZ286" s="3"/>
      <c r="BB286" s="3"/>
      <c r="BD286" s="3"/>
      <c r="BF286" s="3"/>
      <c r="BH286" s="3"/>
      <c r="BJ286" s="3"/>
    </row>
    <row r="287" spans="1:62">
      <c r="A287" s="2"/>
      <c r="AR287" s="3"/>
      <c r="AT287" s="3"/>
      <c r="AV287" s="3"/>
      <c r="AX287" s="3"/>
      <c r="AZ287" s="3"/>
      <c r="BB287" s="3"/>
      <c r="BD287" s="3"/>
      <c r="BF287" s="3"/>
      <c r="BH287" s="3"/>
      <c r="BJ287" s="3"/>
    </row>
    <row r="288" spans="1:62">
      <c r="A288" s="2"/>
      <c r="AR288" s="3"/>
      <c r="AT288" s="3"/>
      <c r="AV288" s="3"/>
      <c r="AX288" s="3"/>
      <c r="AZ288" s="3"/>
      <c r="BB288" s="3"/>
      <c r="BD288" s="3"/>
      <c r="BF288" s="3"/>
      <c r="BH288" s="3"/>
      <c r="BJ288" s="3"/>
    </row>
    <row r="289" spans="1:62">
      <c r="A289" s="2"/>
      <c r="AR289" s="3"/>
      <c r="AT289" s="3"/>
      <c r="AV289" s="3"/>
      <c r="AX289" s="3"/>
      <c r="AZ289" s="3"/>
      <c r="BB289" s="3"/>
      <c r="BD289" s="3"/>
      <c r="BF289" s="3"/>
      <c r="BH289" s="3"/>
      <c r="BJ289" s="3"/>
    </row>
    <row r="290" spans="1:62">
      <c r="A290" s="2"/>
      <c r="AR290" s="3"/>
      <c r="AT290" s="3"/>
      <c r="AV290" s="3"/>
      <c r="AX290" s="3"/>
      <c r="AZ290" s="3"/>
      <c r="BB290" s="3"/>
      <c r="BD290" s="3"/>
      <c r="BF290" s="3"/>
      <c r="BH290" s="3"/>
      <c r="BJ290" s="3"/>
    </row>
    <row r="291" spans="1:62">
      <c r="A291" s="2"/>
      <c r="AR291" s="3"/>
      <c r="AT291" s="3"/>
      <c r="AV291" s="3"/>
      <c r="AX291" s="3"/>
      <c r="AZ291" s="3"/>
      <c r="BB291" s="3"/>
      <c r="BD291" s="3"/>
      <c r="BF291" s="3"/>
      <c r="BH291" s="3"/>
      <c r="BJ291" s="3"/>
    </row>
    <row r="292" spans="1:62">
      <c r="A292" s="2"/>
      <c r="AR292" s="3"/>
      <c r="AT292" s="3"/>
      <c r="AV292" s="3"/>
      <c r="AX292" s="3"/>
      <c r="AZ292" s="3"/>
      <c r="BB292" s="3"/>
      <c r="BD292" s="3"/>
      <c r="BF292" s="3"/>
      <c r="BH292" s="3"/>
      <c r="BJ292" s="3"/>
    </row>
    <row r="293" spans="1:62">
      <c r="A293" s="2"/>
      <c r="AR293" s="3"/>
      <c r="AT293" s="3"/>
      <c r="AV293" s="3"/>
      <c r="AX293" s="3"/>
      <c r="AZ293" s="3"/>
      <c r="BB293" s="3"/>
      <c r="BD293" s="3"/>
      <c r="BF293" s="3"/>
      <c r="BH293" s="3"/>
      <c r="BJ293" s="3"/>
    </row>
    <row r="294" spans="1:62">
      <c r="A294" s="2"/>
      <c r="AR294" s="3"/>
      <c r="AT294" s="3"/>
      <c r="AV294" s="3"/>
      <c r="AX294" s="3"/>
      <c r="AZ294" s="3"/>
      <c r="BB294" s="3"/>
      <c r="BD294" s="3"/>
      <c r="BF294" s="3"/>
      <c r="BH294" s="3"/>
      <c r="BJ294" s="3"/>
    </row>
    <row r="295" spans="1:62">
      <c r="A295" s="2"/>
      <c r="AR295" s="3"/>
      <c r="AT295" s="3"/>
      <c r="AV295" s="3"/>
      <c r="AX295" s="3"/>
      <c r="AZ295" s="3"/>
      <c r="BB295" s="3"/>
      <c r="BD295" s="3"/>
      <c r="BF295" s="3"/>
      <c r="BH295" s="3"/>
      <c r="BJ295" s="3"/>
    </row>
    <row r="296" spans="1:62">
      <c r="A296" s="2"/>
      <c r="AR296" s="3"/>
      <c r="AT296" s="3"/>
      <c r="AV296" s="3"/>
      <c r="AX296" s="3"/>
      <c r="AZ296" s="3"/>
      <c r="BB296" s="3"/>
      <c r="BD296" s="3"/>
      <c r="BF296" s="3"/>
      <c r="BH296" s="3"/>
      <c r="BJ296" s="3"/>
    </row>
    <row r="297" spans="1:62">
      <c r="A297" s="2"/>
      <c r="AR297" s="3"/>
      <c r="AT297" s="3"/>
      <c r="AV297" s="3"/>
      <c r="AX297" s="3"/>
      <c r="AZ297" s="3"/>
      <c r="BB297" s="3"/>
      <c r="BD297" s="3"/>
      <c r="BF297" s="3"/>
      <c r="BH297" s="3"/>
      <c r="BJ297" s="3"/>
    </row>
    <row r="298" spans="1:62">
      <c r="A298" s="2"/>
      <c r="AR298" s="3"/>
      <c r="AT298" s="3"/>
      <c r="AV298" s="3"/>
      <c r="AX298" s="3"/>
      <c r="AZ298" s="3"/>
      <c r="BB298" s="3"/>
      <c r="BD298" s="3"/>
      <c r="BF298" s="3"/>
      <c r="BH298" s="3"/>
      <c r="BJ298" s="3"/>
    </row>
    <row r="299" spans="1:62">
      <c r="A299" s="2"/>
      <c r="AR299" s="3"/>
      <c r="AT299" s="3"/>
      <c r="AV299" s="3"/>
      <c r="AX299" s="3"/>
      <c r="AZ299" s="3"/>
      <c r="BB299" s="3"/>
      <c r="BD299" s="3"/>
      <c r="BF299" s="3"/>
      <c r="BH299" s="3"/>
      <c r="BJ299" s="3"/>
    </row>
    <row r="300" spans="1:62">
      <c r="A300" s="2"/>
      <c r="AR300" s="3"/>
      <c r="AT300" s="3"/>
      <c r="AV300" s="3"/>
      <c r="AX300" s="3"/>
      <c r="AZ300" s="3"/>
      <c r="BB300" s="3"/>
      <c r="BD300" s="3"/>
      <c r="BF300" s="3"/>
      <c r="BH300" s="3"/>
      <c r="BJ300" s="3"/>
    </row>
    <row r="301" spans="1:62">
      <c r="A301" s="2"/>
      <c r="AR301" s="3"/>
      <c r="AT301" s="3"/>
      <c r="AV301" s="3"/>
      <c r="AX301" s="3"/>
      <c r="AZ301" s="3"/>
      <c r="BB301" s="3"/>
      <c r="BD301" s="3"/>
      <c r="BF301" s="3"/>
      <c r="BH301" s="3"/>
      <c r="BJ301" s="3"/>
    </row>
    <row r="302" spans="1:62">
      <c r="A302" s="2"/>
      <c r="AR302" s="3"/>
      <c r="AT302" s="3"/>
      <c r="AV302" s="3"/>
      <c r="AX302" s="3"/>
      <c r="AZ302" s="3"/>
      <c r="BB302" s="3"/>
      <c r="BD302" s="3"/>
      <c r="BF302" s="3"/>
      <c r="BH302" s="3"/>
      <c r="BJ302" s="3"/>
    </row>
    <row r="303" spans="1:62">
      <c r="A303" s="2"/>
      <c r="AR303" s="3"/>
      <c r="AT303" s="3"/>
      <c r="AV303" s="3"/>
      <c r="AX303" s="3"/>
      <c r="AZ303" s="3"/>
      <c r="BB303" s="3"/>
      <c r="BD303" s="3"/>
      <c r="BF303" s="3"/>
      <c r="BH303" s="3"/>
      <c r="BJ303" s="3"/>
    </row>
    <row r="304" spans="1:62">
      <c r="A304" s="2"/>
      <c r="AR304" s="3"/>
      <c r="AT304" s="3"/>
      <c r="AV304" s="3"/>
      <c r="AX304" s="3"/>
      <c r="AZ304" s="3"/>
      <c r="BB304" s="3"/>
      <c r="BD304" s="3"/>
      <c r="BF304" s="3"/>
      <c r="BH304" s="3"/>
      <c r="BJ304" s="3"/>
    </row>
    <row r="305" spans="1:62">
      <c r="A305" s="2"/>
      <c r="AR305" s="3"/>
      <c r="AT305" s="3"/>
      <c r="AV305" s="3"/>
      <c r="AX305" s="3"/>
      <c r="AZ305" s="3"/>
      <c r="BB305" s="3"/>
      <c r="BD305" s="3"/>
      <c r="BF305" s="3"/>
      <c r="BH305" s="3"/>
      <c r="BJ305" s="3"/>
    </row>
    <row r="306" spans="1:62">
      <c r="A306" s="2"/>
      <c r="AR306" s="3"/>
      <c r="AT306" s="3"/>
      <c r="AV306" s="3"/>
      <c r="AX306" s="3"/>
      <c r="AZ306" s="3"/>
      <c r="BB306" s="3"/>
      <c r="BD306" s="3"/>
      <c r="BF306" s="3"/>
      <c r="BH306" s="3"/>
      <c r="BJ306" s="3"/>
    </row>
    <row r="307" spans="1:62">
      <c r="A307" s="2"/>
      <c r="AR307" s="3"/>
      <c r="AT307" s="3"/>
      <c r="AV307" s="3"/>
      <c r="AX307" s="3"/>
      <c r="AZ307" s="3"/>
      <c r="BB307" s="3"/>
      <c r="BD307" s="3"/>
      <c r="BF307" s="3"/>
      <c r="BH307" s="3"/>
      <c r="BJ307" s="3"/>
    </row>
    <row r="308" spans="1:62">
      <c r="A308" s="2"/>
      <c r="AR308" s="3"/>
      <c r="AT308" s="3"/>
      <c r="AV308" s="3"/>
      <c r="AX308" s="3"/>
      <c r="AZ308" s="3"/>
      <c r="BB308" s="3"/>
      <c r="BD308" s="3"/>
      <c r="BF308" s="3"/>
      <c r="BH308" s="3"/>
      <c r="BJ308" s="3"/>
    </row>
    <row r="309" spans="1:62">
      <c r="A309" s="2"/>
      <c r="AR309" s="3"/>
      <c r="AT309" s="3"/>
      <c r="AV309" s="3"/>
      <c r="AX309" s="3"/>
      <c r="AZ309" s="3"/>
      <c r="BB309" s="3"/>
      <c r="BD309" s="3"/>
      <c r="BF309" s="3"/>
      <c r="BH309" s="3"/>
      <c r="BJ309" s="3"/>
    </row>
    <row r="310" spans="1:62">
      <c r="A310" s="2"/>
      <c r="AR310" s="3"/>
      <c r="AT310" s="3"/>
      <c r="AV310" s="3"/>
      <c r="AX310" s="3"/>
      <c r="AZ310" s="3"/>
      <c r="BB310" s="3"/>
      <c r="BD310" s="3"/>
      <c r="BF310" s="3"/>
      <c r="BH310" s="3"/>
      <c r="BJ310" s="3"/>
    </row>
    <row r="311" spans="1:62">
      <c r="A311" s="2"/>
      <c r="AR311" s="3"/>
      <c r="AT311" s="3"/>
      <c r="AV311" s="3"/>
      <c r="AX311" s="3"/>
      <c r="AZ311" s="3"/>
      <c r="BB311" s="3"/>
      <c r="BD311" s="3"/>
      <c r="BF311" s="3"/>
      <c r="BH311" s="3"/>
      <c r="BJ311" s="3"/>
    </row>
    <row r="312" spans="1:62">
      <c r="A312" s="2"/>
      <c r="AR312" s="3"/>
      <c r="AT312" s="3"/>
      <c r="AV312" s="3"/>
      <c r="AX312" s="3"/>
      <c r="AZ312" s="3"/>
      <c r="BB312" s="3"/>
      <c r="BD312" s="3"/>
      <c r="BF312" s="3"/>
      <c r="BH312" s="3"/>
      <c r="BJ312" s="3"/>
    </row>
    <row r="313" spans="1:62">
      <c r="A313" s="2"/>
      <c r="AR313" s="3"/>
      <c r="AT313" s="3"/>
      <c r="AV313" s="3"/>
      <c r="AX313" s="3"/>
      <c r="AZ313" s="3"/>
      <c r="BB313" s="3"/>
      <c r="BD313" s="3"/>
      <c r="BF313" s="3"/>
      <c r="BH313" s="3"/>
      <c r="BJ313" s="3"/>
    </row>
    <row r="314" spans="1:62">
      <c r="A314" s="2"/>
      <c r="AR314" s="3"/>
      <c r="AT314" s="3"/>
      <c r="AV314" s="3"/>
      <c r="AX314" s="3"/>
      <c r="AZ314" s="3"/>
      <c r="BB314" s="3"/>
      <c r="BD314" s="3"/>
      <c r="BF314" s="3"/>
      <c r="BH314" s="3"/>
      <c r="BJ314" s="3"/>
    </row>
    <row r="315" spans="1:62">
      <c r="A315" s="2"/>
      <c r="AR315" s="3"/>
      <c r="AT315" s="3"/>
      <c r="AV315" s="3"/>
      <c r="AX315" s="3"/>
      <c r="AZ315" s="3"/>
      <c r="BB315" s="3"/>
      <c r="BD315" s="3"/>
      <c r="BF315" s="3"/>
      <c r="BH315" s="3"/>
      <c r="BJ315" s="3"/>
    </row>
    <row r="316" spans="1:62">
      <c r="A316" s="2"/>
      <c r="AR316" s="3"/>
      <c r="AT316" s="3"/>
      <c r="AV316" s="3"/>
      <c r="AX316" s="3"/>
      <c r="AZ316" s="3"/>
      <c r="BB316" s="3"/>
      <c r="BD316" s="3"/>
      <c r="BF316" s="3"/>
      <c r="BH316" s="3"/>
      <c r="BJ316" s="3"/>
    </row>
    <row r="317" spans="1:62">
      <c r="A317" s="2"/>
      <c r="AR317" s="3"/>
      <c r="AT317" s="3"/>
      <c r="AV317" s="3"/>
      <c r="AX317" s="3"/>
      <c r="AZ317" s="3"/>
      <c r="BB317" s="3"/>
      <c r="BD317" s="3"/>
      <c r="BF317" s="3"/>
      <c r="BH317" s="3"/>
      <c r="BJ317" s="3"/>
    </row>
    <row r="318" spans="1:62">
      <c r="A318" s="2"/>
      <c r="AR318" s="3"/>
      <c r="AT318" s="3"/>
      <c r="AV318" s="3"/>
      <c r="AX318" s="3"/>
      <c r="AZ318" s="3"/>
      <c r="BB318" s="3"/>
      <c r="BD318" s="3"/>
      <c r="BF318" s="3"/>
      <c r="BH318" s="3"/>
      <c r="BJ318" s="3"/>
    </row>
    <row r="319" spans="1:62">
      <c r="A319" s="2"/>
      <c r="AR319" s="3"/>
      <c r="AT319" s="3"/>
      <c r="AV319" s="3"/>
      <c r="AX319" s="3"/>
      <c r="AZ319" s="3"/>
      <c r="BB319" s="3"/>
      <c r="BD319" s="3"/>
      <c r="BF319" s="3"/>
      <c r="BH319" s="3"/>
      <c r="BJ319" s="3"/>
    </row>
    <row r="320" spans="1:62">
      <c r="A320" s="2"/>
      <c r="AR320" s="3"/>
      <c r="AT320" s="3"/>
      <c r="AV320" s="3"/>
      <c r="AX320" s="3"/>
      <c r="AZ320" s="3"/>
      <c r="BB320" s="3"/>
      <c r="BD320" s="3"/>
      <c r="BF320" s="3"/>
      <c r="BH320" s="3"/>
      <c r="BJ320" s="3"/>
    </row>
    <row r="321" spans="1:62">
      <c r="A321" s="2"/>
      <c r="AR321" s="3"/>
      <c r="AT321" s="3"/>
      <c r="AV321" s="3"/>
      <c r="AX321" s="3"/>
      <c r="AZ321" s="3"/>
      <c r="BB321" s="3"/>
      <c r="BD321" s="3"/>
      <c r="BF321" s="3"/>
      <c r="BH321" s="3"/>
      <c r="BJ321" s="3"/>
    </row>
    <row r="322" spans="1:62">
      <c r="A322" s="2"/>
      <c r="AR322" s="3"/>
      <c r="AT322" s="3"/>
      <c r="AV322" s="3"/>
      <c r="AX322" s="3"/>
      <c r="AZ322" s="3"/>
      <c r="BB322" s="3"/>
      <c r="BD322" s="3"/>
      <c r="BF322" s="3"/>
      <c r="BH322" s="3"/>
      <c r="BJ322" s="3"/>
    </row>
    <row r="323" spans="1:62">
      <c r="A323" s="2"/>
      <c r="AR323" s="3"/>
      <c r="AT323" s="3"/>
      <c r="AV323" s="3"/>
      <c r="AX323" s="3"/>
      <c r="AZ323" s="3"/>
      <c r="BB323" s="3"/>
      <c r="BD323" s="3"/>
      <c r="BF323" s="3"/>
      <c r="BH323" s="3"/>
      <c r="BJ323" s="3"/>
    </row>
    <row r="324" spans="1:62">
      <c r="A324" s="2"/>
      <c r="AR324" s="3"/>
      <c r="AT324" s="3"/>
      <c r="AV324" s="3"/>
      <c r="AX324" s="3"/>
      <c r="AZ324" s="3"/>
      <c r="BB324" s="3"/>
      <c r="BD324" s="3"/>
      <c r="BF324" s="3"/>
      <c r="BH324" s="3"/>
      <c r="BJ324" s="3"/>
    </row>
    <row r="325" spans="1:62">
      <c r="A325" s="2"/>
      <c r="AR325" s="3"/>
      <c r="AT325" s="3"/>
      <c r="AV325" s="3"/>
      <c r="AX325" s="3"/>
      <c r="AZ325" s="3"/>
      <c r="BB325" s="3"/>
      <c r="BD325" s="3"/>
      <c r="BF325" s="3"/>
      <c r="BH325" s="3"/>
      <c r="BJ325" s="3"/>
    </row>
    <row r="326" spans="1:62">
      <c r="A326" s="2"/>
      <c r="AR326" s="3"/>
      <c r="AT326" s="3"/>
      <c r="AV326" s="3"/>
      <c r="AX326" s="3"/>
      <c r="AZ326" s="3"/>
      <c r="BB326" s="3"/>
      <c r="BD326" s="3"/>
      <c r="BF326" s="3"/>
      <c r="BH326" s="3"/>
      <c r="BJ326" s="3"/>
    </row>
    <row r="327" spans="1:62">
      <c r="A327" s="2"/>
      <c r="AR327" s="3"/>
      <c r="AT327" s="3"/>
      <c r="AV327" s="3"/>
      <c r="AX327" s="3"/>
      <c r="AZ327" s="3"/>
      <c r="BB327" s="3"/>
      <c r="BD327" s="3"/>
      <c r="BF327" s="3"/>
      <c r="BH327" s="3"/>
      <c r="BJ327" s="3"/>
    </row>
    <row r="328" spans="1:62">
      <c r="A328" s="2"/>
      <c r="AR328" s="3"/>
      <c r="AT328" s="3"/>
      <c r="AV328" s="3"/>
      <c r="AX328" s="3"/>
      <c r="AZ328" s="3"/>
      <c r="BB328" s="3"/>
      <c r="BD328" s="3"/>
      <c r="BF328" s="3"/>
      <c r="BH328" s="3"/>
      <c r="BJ328" s="3"/>
    </row>
    <row r="329" spans="1:62">
      <c r="A329" s="2"/>
      <c r="AR329" s="3"/>
      <c r="AT329" s="3"/>
      <c r="AV329" s="3"/>
      <c r="AX329" s="3"/>
      <c r="AZ329" s="3"/>
      <c r="BB329" s="3"/>
      <c r="BD329" s="3"/>
      <c r="BF329" s="3"/>
      <c r="BH329" s="3"/>
      <c r="BJ329" s="3"/>
    </row>
    <row r="330" spans="1:62">
      <c r="A330" s="2"/>
      <c r="AR330" s="3"/>
      <c r="AT330" s="3"/>
      <c r="AV330" s="3"/>
      <c r="AX330" s="3"/>
      <c r="AZ330" s="3"/>
      <c r="BB330" s="3"/>
      <c r="BD330" s="3"/>
      <c r="BF330" s="3"/>
      <c r="BH330" s="3"/>
      <c r="BJ330" s="3"/>
    </row>
    <row r="331" spans="1:62">
      <c r="A331" s="2"/>
      <c r="AR331" s="3"/>
      <c r="AT331" s="3"/>
      <c r="AV331" s="3"/>
      <c r="AX331" s="3"/>
      <c r="AZ331" s="3"/>
      <c r="BB331" s="3"/>
      <c r="BD331" s="3"/>
      <c r="BF331" s="3"/>
      <c r="BH331" s="3"/>
      <c r="BJ331" s="3"/>
    </row>
    <row r="332" spans="1:62">
      <c r="A332" s="2"/>
      <c r="AR332" s="3"/>
      <c r="AT332" s="3"/>
      <c r="AV332" s="3"/>
      <c r="AX332" s="3"/>
      <c r="AZ332" s="3"/>
      <c r="BB332" s="3"/>
      <c r="BD332" s="3"/>
      <c r="BF332" s="3"/>
      <c r="BH332" s="3"/>
      <c r="BJ332" s="3"/>
    </row>
    <row r="333" spans="1:62">
      <c r="A333" s="2"/>
      <c r="AR333" s="3"/>
      <c r="AT333" s="3"/>
      <c r="AV333" s="3"/>
      <c r="AX333" s="3"/>
      <c r="AZ333" s="3"/>
      <c r="BB333" s="3"/>
      <c r="BD333" s="3"/>
      <c r="BF333" s="3"/>
      <c r="BH333" s="3"/>
      <c r="BJ333" s="3"/>
    </row>
    <row r="334" spans="1:62">
      <c r="A334" s="2"/>
      <c r="AR334" s="3"/>
      <c r="AT334" s="3"/>
      <c r="AV334" s="3"/>
      <c r="AX334" s="3"/>
      <c r="AZ334" s="3"/>
      <c r="BB334" s="3"/>
      <c r="BD334" s="3"/>
      <c r="BF334" s="3"/>
      <c r="BH334" s="3"/>
      <c r="BJ334" s="3"/>
    </row>
    <row r="335" spans="1:62">
      <c r="A335" s="2"/>
      <c r="AR335" s="3"/>
      <c r="AT335" s="3"/>
      <c r="AV335" s="3"/>
      <c r="AX335" s="3"/>
      <c r="AZ335" s="3"/>
      <c r="BB335" s="3"/>
      <c r="BD335" s="3"/>
      <c r="BF335" s="3"/>
      <c r="BH335" s="3"/>
      <c r="BJ335" s="3"/>
    </row>
    <row r="336" spans="1:62">
      <c r="A336" s="2"/>
      <c r="AR336" s="3"/>
      <c r="AT336" s="3"/>
      <c r="AV336" s="3"/>
      <c r="AX336" s="3"/>
      <c r="AZ336" s="3"/>
      <c r="BB336" s="3"/>
      <c r="BD336" s="3"/>
      <c r="BF336" s="3"/>
      <c r="BH336" s="3"/>
      <c r="BJ336" s="3"/>
    </row>
    <row r="337" spans="1:62">
      <c r="A337" s="2"/>
      <c r="AR337" s="3"/>
      <c r="AT337" s="3"/>
      <c r="AV337" s="3"/>
      <c r="AX337" s="3"/>
      <c r="AZ337" s="3"/>
      <c r="BB337" s="3"/>
      <c r="BD337" s="3"/>
      <c r="BF337" s="3"/>
      <c r="BH337" s="3"/>
      <c r="BJ337" s="3"/>
    </row>
    <row r="338" spans="1:62">
      <c r="A338" s="2"/>
      <c r="AR338" s="3"/>
      <c r="AT338" s="3"/>
      <c r="AV338" s="3"/>
      <c r="AX338" s="3"/>
      <c r="AZ338" s="3"/>
      <c r="BB338" s="3"/>
      <c r="BD338" s="3"/>
      <c r="BF338" s="3"/>
      <c r="BH338" s="3"/>
      <c r="BJ338" s="3"/>
    </row>
    <row r="339" spans="1:62">
      <c r="A339" s="2"/>
      <c r="AR339" s="3"/>
      <c r="AT339" s="3"/>
      <c r="AV339" s="3"/>
      <c r="AX339" s="3"/>
      <c r="AZ339" s="3"/>
      <c r="BB339" s="3"/>
      <c r="BD339" s="3"/>
      <c r="BF339" s="3"/>
      <c r="BH339" s="3"/>
      <c r="BJ339" s="3"/>
    </row>
    <row r="340" spans="1:62">
      <c r="A340" s="2"/>
      <c r="AR340" s="3"/>
      <c r="AT340" s="3"/>
      <c r="AV340" s="3"/>
      <c r="AX340" s="3"/>
      <c r="AZ340" s="3"/>
      <c r="BB340" s="3"/>
      <c r="BD340" s="3"/>
      <c r="BF340" s="3"/>
      <c r="BH340" s="3"/>
      <c r="BJ340" s="3"/>
    </row>
    <row r="341" spans="1:62">
      <c r="A341" s="2"/>
      <c r="AR341" s="3"/>
      <c r="AT341" s="3"/>
      <c r="AV341" s="3"/>
      <c r="AX341" s="3"/>
      <c r="AZ341" s="3"/>
      <c r="BB341" s="3"/>
      <c r="BD341" s="3"/>
      <c r="BF341" s="3"/>
      <c r="BH341" s="3"/>
      <c r="BJ341" s="3"/>
    </row>
    <row r="342" spans="1:62">
      <c r="A342" s="2"/>
      <c r="AR342" s="3"/>
      <c r="AT342" s="3"/>
      <c r="AV342" s="3"/>
      <c r="AX342" s="3"/>
      <c r="AZ342" s="3"/>
      <c r="BB342" s="3"/>
      <c r="BD342" s="3"/>
      <c r="BF342" s="3"/>
      <c r="BH342" s="3"/>
      <c r="BJ342" s="3"/>
    </row>
    <row r="343" spans="1:62">
      <c r="A343" s="2"/>
      <c r="AR343" s="3"/>
      <c r="AT343" s="3"/>
      <c r="AV343" s="3"/>
      <c r="AX343" s="3"/>
      <c r="AZ343" s="3"/>
      <c r="BB343" s="3"/>
      <c r="BD343" s="3"/>
      <c r="BF343" s="3"/>
      <c r="BH343" s="3"/>
      <c r="BJ343" s="3"/>
    </row>
    <row r="344" spans="1:62">
      <c r="A344" s="2"/>
      <c r="AR344" s="3"/>
      <c r="AT344" s="3"/>
      <c r="AV344" s="3"/>
      <c r="AX344" s="3"/>
      <c r="AZ344" s="3"/>
      <c r="BB344" s="3"/>
      <c r="BD344" s="3"/>
      <c r="BF344" s="3"/>
      <c r="BH344" s="3"/>
      <c r="BJ344" s="3"/>
    </row>
    <row r="345" spans="1:62">
      <c r="A345" s="2"/>
      <c r="AR345" s="3"/>
      <c r="AT345" s="3"/>
      <c r="AV345" s="3"/>
      <c r="AX345" s="3"/>
      <c r="AZ345" s="3"/>
      <c r="BB345" s="3"/>
      <c r="BD345" s="3"/>
      <c r="BF345" s="3"/>
      <c r="BH345" s="3"/>
      <c r="BJ345" s="3"/>
    </row>
    <row r="346" spans="1:62">
      <c r="A346" s="2"/>
      <c r="AR346" s="3"/>
      <c r="AT346" s="3"/>
      <c r="AV346" s="3"/>
      <c r="AX346" s="3"/>
      <c r="AZ346" s="3"/>
      <c r="BB346" s="3"/>
      <c r="BD346" s="3"/>
      <c r="BF346" s="3"/>
      <c r="BH346" s="3"/>
      <c r="BJ346" s="3"/>
    </row>
    <row r="347" spans="1:62">
      <c r="A347" s="2"/>
      <c r="AR347" s="3"/>
      <c r="AT347" s="3"/>
      <c r="AV347" s="3"/>
      <c r="AX347" s="3"/>
      <c r="AZ347" s="3"/>
      <c r="BB347" s="3"/>
      <c r="BD347" s="3"/>
      <c r="BF347" s="3"/>
      <c r="BH347" s="3"/>
      <c r="BJ347" s="3"/>
    </row>
    <row r="348" spans="1:62">
      <c r="A348" s="2"/>
      <c r="AR348" s="3"/>
      <c r="AT348" s="3"/>
      <c r="AV348" s="3"/>
      <c r="AX348" s="3"/>
      <c r="AZ348" s="3"/>
      <c r="BB348" s="3"/>
      <c r="BD348" s="3"/>
      <c r="BF348" s="3"/>
      <c r="BH348" s="3"/>
      <c r="BJ348" s="3"/>
    </row>
    <row r="349" spans="1:62">
      <c r="A349" s="2"/>
      <c r="AR349" s="3"/>
      <c r="AT349" s="3"/>
      <c r="AV349" s="3"/>
      <c r="AX349" s="3"/>
      <c r="AZ349" s="3"/>
      <c r="BB349" s="3"/>
      <c r="BD349" s="3"/>
      <c r="BF349" s="3"/>
      <c r="BH349" s="3"/>
      <c r="BJ349" s="3"/>
    </row>
    <row r="350" spans="1:62">
      <c r="A350" s="2"/>
      <c r="AR350" s="3"/>
      <c r="AT350" s="3"/>
      <c r="AV350" s="3"/>
      <c r="AX350" s="3"/>
      <c r="AZ350" s="3"/>
      <c r="BB350" s="3"/>
      <c r="BD350" s="3"/>
      <c r="BF350" s="3"/>
      <c r="BH350" s="3"/>
      <c r="BJ350" s="3"/>
    </row>
    <row r="351" spans="1:62">
      <c r="A351" s="2"/>
      <c r="AR351" s="3"/>
      <c r="AT351" s="3"/>
      <c r="AV351" s="3"/>
      <c r="AX351" s="3"/>
      <c r="AZ351" s="3"/>
      <c r="BB351" s="3"/>
      <c r="BD351" s="3"/>
      <c r="BF351" s="3"/>
      <c r="BH351" s="3"/>
      <c r="BJ351" s="3"/>
    </row>
    <row r="352" spans="1:62">
      <c r="A352" s="2"/>
      <c r="AR352" s="3"/>
      <c r="AT352" s="3"/>
      <c r="AV352" s="3"/>
      <c r="AX352" s="3"/>
      <c r="AZ352" s="3"/>
      <c r="BB352" s="3"/>
      <c r="BD352" s="3"/>
      <c r="BF352" s="3"/>
      <c r="BH352" s="3"/>
      <c r="BJ352" s="3"/>
    </row>
    <row r="353" spans="1:62">
      <c r="A353" s="2"/>
      <c r="AR353" s="3"/>
      <c r="AT353" s="3"/>
      <c r="AV353" s="3"/>
      <c r="AX353" s="3"/>
      <c r="AZ353" s="3"/>
      <c r="BB353" s="3"/>
      <c r="BD353" s="3"/>
      <c r="BF353" s="3"/>
      <c r="BH353" s="3"/>
      <c r="BJ353" s="3"/>
    </row>
    <row r="354" spans="1:62">
      <c r="A354" s="2"/>
      <c r="AR354" s="3"/>
      <c r="AT354" s="3"/>
      <c r="AV354" s="3"/>
      <c r="AX354" s="3"/>
      <c r="AZ354" s="3"/>
      <c r="BB354" s="3"/>
      <c r="BD354" s="3"/>
      <c r="BF354" s="3"/>
      <c r="BH354" s="3"/>
      <c r="BJ354" s="3"/>
    </row>
    <row r="355" spans="1:62">
      <c r="A355" s="2"/>
      <c r="AR355" s="3"/>
      <c r="AT355" s="3"/>
      <c r="AV355" s="3"/>
      <c r="AX355" s="3"/>
      <c r="AZ355" s="3"/>
      <c r="BB355" s="3"/>
      <c r="BD355" s="3"/>
      <c r="BF355" s="3"/>
      <c r="BH355" s="3"/>
      <c r="BJ355" s="3"/>
    </row>
    <row r="356" spans="1:62">
      <c r="A356" s="2"/>
      <c r="AR356" s="3"/>
      <c r="AT356" s="3"/>
      <c r="AV356" s="3"/>
      <c r="AX356" s="3"/>
      <c r="AZ356" s="3"/>
      <c r="BB356" s="3"/>
      <c r="BD356" s="3"/>
      <c r="BF356" s="3"/>
      <c r="BH356" s="3"/>
      <c r="BJ356" s="3"/>
    </row>
    <row r="357" spans="1:62">
      <c r="A357" s="2"/>
      <c r="AR357" s="3"/>
      <c r="AT357" s="3"/>
      <c r="AV357" s="3"/>
      <c r="AX357" s="3"/>
      <c r="AZ357" s="3"/>
      <c r="BB357" s="3"/>
      <c r="BD357" s="3"/>
      <c r="BF357" s="3"/>
      <c r="BH357" s="3"/>
      <c r="BJ357" s="3"/>
    </row>
    <row r="358" spans="1:62">
      <c r="A358" s="2"/>
      <c r="AR358" s="3"/>
      <c r="AT358" s="3"/>
      <c r="AV358" s="3"/>
      <c r="AX358" s="3"/>
      <c r="AZ358" s="3"/>
      <c r="BB358" s="3"/>
      <c r="BD358" s="3"/>
      <c r="BF358" s="3"/>
      <c r="BH358" s="3"/>
      <c r="BJ358" s="3"/>
    </row>
    <row r="359" spans="1:62">
      <c r="A359" s="2"/>
      <c r="AR359" s="3"/>
      <c r="AT359" s="3"/>
      <c r="AV359" s="3"/>
      <c r="AX359" s="3"/>
      <c r="AZ359" s="3"/>
      <c r="BB359" s="3"/>
      <c r="BD359" s="3"/>
      <c r="BF359" s="3"/>
      <c r="BH359" s="3"/>
      <c r="BJ359" s="3"/>
    </row>
    <row r="360" spans="1:62">
      <c r="A360" s="2"/>
      <c r="AR360" s="3"/>
      <c r="AT360" s="3"/>
      <c r="AV360" s="3"/>
      <c r="AX360" s="3"/>
      <c r="AZ360" s="3"/>
      <c r="BB360" s="3"/>
      <c r="BD360" s="3"/>
      <c r="BF360" s="3"/>
      <c r="BH360" s="3"/>
      <c r="BJ360" s="3"/>
    </row>
    <row r="361" spans="1:62">
      <c r="A361" s="2"/>
      <c r="AR361" s="3"/>
      <c r="AT361" s="3"/>
      <c r="AV361" s="3"/>
      <c r="AX361" s="3"/>
      <c r="AZ361" s="3"/>
      <c r="BB361" s="3"/>
      <c r="BD361" s="3"/>
      <c r="BF361" s="3"/>
      <c r="BH361" s="3"/>
      <c r="BJ361" s="3"/>
    </row>
    <row r="362" spans="1:62">
      <c r="A362" s="2"/>
      <c r="AR362" s="3"/>
      <c r="AT362" s="3"/>
      <c r="AV362" s="3"/>
      <c r="AX362" s="3"/>
      <c r="AZ362" s="3"/>
      <c r="BB362" s="3"/>
      <c r="BD362" s="3"/>
      <c r="BF362" s="3"/>
      <c r="BH362" s="3"/>
      <c r="BJ362" s="3"/>
    </row>
    <row r="363" spans="1:62">
      <c r="A363" s="2"/>
      <c r="AR363" s="3"/>
      <c r="AT363" s="3"/>
      <c r="AV363" s="3"/>
      <c r="AX363" s="3"/>
      <c r="AZ363" s="3"/>
      <c r="BB363" s="3"/>
      <c r="BD363" s="3"/>
      <c r="BF363" s="3"/>
      <c r="BH363" s="3"/>
      <c r="BJ363" s="3"/>
    </row>
    <row r="364" spans="1:62">
      <c r="A364" s="2"/>
      <c r="AR364" s="3"/>
      <c r="AT364" s="3"/>
      <c r="AV364" s="3"/>
      <c r="AX364" s="3"/>
      <c r="AZ364" s="3"/>
      <c r="BB364" s="3"/>
      <c r="BD364" s="3"/>
      <c r="BF364" s="3"/>
      <c r="BH364" s="3"/>
      <c r="BJ364" s="3"/>
    </row>
    <row r="365" spans="1:62">
      <c r="A365" s="2"/>
      <c r="AR365" s="3"/>
      <c r="AT365" s="3"/>
      <c r="AV365" s="3"/>
      <c r="AX365" s="3"/>
      <c r="AZ365" s="3"/>
      <c r="BB365" s="3"/>
      <c r="BD365" s="3"/>
      <c r="BF365" s="3"/>
      <c r="BH365" s="3"/>
      <c r="BJ365" s="3"/>
    </row>
    <row r="366" spans="1:62">
      <c r="A366" s="2"/>
      <c r="AR366" s="3"/>
      <c r="AT366" s="3"/>
      <c r="AV366" s="3"/>
      <c r="AX366" s="3"/>
      <c r="AZ366" s="3"/>
      <c r="BB366" s="3"/>
      <c r="BD366" s="3"/>
      <c r="BF366" s="3"/>
      <c r="BH366" s="3"/>
      <c r="BJ366" s="3"/>
    </row>
    <row r="367" spans="1:62">
      <c r="A367" s="2"/>
      <c r="AR367" s="3"/>
      <c r="AT367" s="3"/>
      <c r="AV367" s="3"/>
      <c r="AX367" s="3"/>
      <c r="AZ367" s="3"/>
      <c r="BB367" s="3"/>
      <c r="BD367" s="3"/>
      <c r="BF367" s="3"/>
      <c r="BH367" s="3"/>
      <c r="BJ367" s="3"/>
    </row>
    <row r="368" spans="1:62">
      <c r="A368" s="2"/>
      <c r="AR368" s="3"/>
      <c r="AT368" s="3"/>
      <c r="AV368" s="3"/>
      <c r="AX368" s="3"/>
      <c r="AZ368" s="3"/>
      <c r="BB368" s="3"/>
      <c r="BD368" s="3"/>
      <c r="BF368" s="3"/>
      <c r="BH368" s="3"/>
      <c r="BJ368" s="3"/>
    </row>
    <row r="369" spans="1:62">
      <c r="A369" s="2"/>
      <c r="AR369" s="3"/>
      <c r="AT369" s="3"/>
      <c r="AV369" s="3"/>
      <c r="AX369" s="3"/>
      <c r="AZ369" s="3"/>
      <c r="BB369" s="3"/>
      <c r="BD369" s="3"/>
      <c r="BF369" s="3"/>
      <c r="BH369" s="3"/>
      <c r="BJ369" s="3"/>
    </row>
    <row r="370" spans="1:62">
      <c r="A370" s="2"/>
      <c r="AR370" s="3"/>
      <c r="AT370" s="3"/>
      <c r="AV370" s="3"/>
      <c r="AX370" s="3"/>
      <c r="AZ370" s="3"/>
      <c r="BB370" s="3"/>
      <c r="BD370" s="3"/>
      <c r="BF370" s="3"/>
      <c r="BH370" s="3"/>
      <c r="BJ370" s="3"/>
    </row>
    <row r="371" spans="1:62">
      <c r="A371" s="2"/>
      <c r="AR371" s="3"/>
      <c r="AT371" s="3"/>
      <c r="AV371" s="3"/>
      <c r="AX371" s="3"/>
      <c r="AZ371" s="3"/>
      <c r="BB371" s="3"/>
      <c r="BD371" s="3"/>
      <c r="BF371" s="3"/>
      <c r="BH371" s="3"/>
      <c r="BJ371" s="3"/>
    </row>
    <row r="372" spans="1:62">
      <c r="A372" s="2"/>
      <c r="AR372" s="3"/>
      <c r="AT372" s="3"/>
      <c r="AV372" s="3"/>
      <c r="AX372" s="3"/>
      <c r="AZ372" s="3"/>
      <c r="BB372" s="3"/>
      <c r="BD372" s="3"/>
      <c r="BF372" s="3"/>
      <c r="BH372" s="3"/>
      <c r="BJ372" s="3"/>
    </row>
    <row r="373" spans="1:62">
      <c r="A373" s="2"/>
      <c r="AR373" s="3"/>
      <c r="AT373" s="3"/>
      <c r="AV373" s="3"/>
      <c r="AX373" s="3"/>
      <c r="AZ373" s="3"/>
      <c r="BB373" s="3"/>
      <c r="BD373" s="3"/>
      <c r="BF373" s="3"/>
      <c r="BH373" s="3"/>
      <c r="BJ373" s="3"/>
    </row>
    <row r="374" spans="1:62">
      <c r="A374" s="2"/>
      <c r="AR374" s="3"/>
      <c r="AT374" s="3"/>
      <c r="AV374" s="3"/>
      <c r="AX374" s="3"/>
      <c r="AZ374" s="3"/>
      <c r="BB374" s="3"/>
      <c r="BD374" s="3"/>
      <c r="BF374" s="3"/>
      <c r="BH374" s="3"/>
      <c r="BJ374" s="3"/>
    </row>
    <row r="375" spans="1:62">
      <c r="A375" s="2"/>
      <c r="AR375" s="3"/>
      <c r="AT375" s="3"/>
      <c r="AV375" s="3"/>
      <c r="AX375" s="3"/>
      <c r="AZ375" s="3"/>
      <c r="BB375" s="3"/>
      <c r="BD375" s="3"/>
      <c r="BF375" s="3"/>
      <c r="BH375" s="3"/>
      <c r="BJ375" s="3"/>
    </row>
    <row r="376" spans="1:62">
      <c r="A376" s="2"/>
      <c r="AR376" s="3"/>
      <c r="AT376" s="3"/>
      <c r="AV376" s="3"/>
      <c r="AX376" s="3"/>
      <c r="AZ376" s="3"/>
      <c r="BB376" s="3"/>
      <c r="BD376" s="3"/>
      <c r="BF376" s="3"/>
      <c r="BH376" s="3"/>
      <c r="BJ376" s="3"/>
    </row>
    <row r="377" spans="1:62">
      <c r="A377" s="2"/>
      <c r="AR377" s="3"/>
      <c r="AT377" s="3"/>
      <c r="AV377" s="3"/>
      <c r="AX377" s="3"/>
      <c r="AZ377" s="3"/>
      <c r="BB377" s="3"/>
      <c r="BD377" s="3"/>
      <c r="BF377" s="3"/>
      <c r="BH377" s="3"/>
      <c r="BJ377" s="3"/>
    </row>
    <row r="378" spans="1:62">
      <c r="A378" s="2"/>
      <c r="AR378" s="3"/>
      <c r="AT378" s="3"/>
      <c r="AV378" s="3"/>
      <c r="AX378" s="3"/>
      <c r="AZ378" s="3"/>
      <c r="BB378" s="3"/>
      <c r="BD378" s="3"/>
      <c r="BF378" s="3"/>
      <c r="BH378" s="3"/>
      <c r="BJ378" s="3"/>
    </row>
    <row r="379" spans="1:62">
      <c r="A379" s="2"/>
      <c r="AR379" s="3"/>
      <c r="AT379" s="3"/>
      <c r="AV379" s="3"/>
      <c r="AX379" s="3"/>
      <c r="AZ379" s="3"/>
      <c r="BB379" s="3"/>
      <c r="BD379" s="3"/>
      <c r="BF379" s="3"/>
      <c r="BH379" s="3"/>
      <c r="BJ379" s="3"/>
    </row>
    <row r="380" spans="1:62">
      <c r="A380" s="2"/>
      <c r="AR380" s="3"/>
      <c r="AT380" s="3"/>
      <c r="AV380" s="3"/>
      <c r="AX380" s="3"/>
      <c r="AZ380" s="3"/>
      <c r="BB380" s="3"/>
      <c r="BD380" s="3"/>
      <c r="BF380" s="3"/>
      <c r="BH380" s="3"/>
      <c r="BJ380" s="3"/>
    </row>
    <row r="381" spans="1:62">
      <c r="A381" s="2"/>
      <c r="AR381" s="3"/>
      <c r="AT381" s="3"/>
      <c r="AV381" s="3"/>
      <c r="AX381" s="3"/>
      <c r="AZ381" s="3"/>
      <c r="BB381" s="3"/>
      <c r="BD381" s="3"/>
      <c r="BF381" s="3"/>
      <c r="BH381" s="3"/>
      <c r="BJ381" s="3"/>
    </row>
    <row r="382" spans="1:62">
      <c r="A382" s="2"/>
      <c r="AR382" s="3"/>
      <c r="AT382" s="3"/>
      <c r="AV382" s="3"/>
      <c r="AX382" s="3"/>
      <c r="AZ382" s="3"/>
      <c r="BB382" s="3"/>
      <c r="BD382" s="3"/>
      <c r="BF382" s="3"/>
      <c r="BH382" s="3"/>
      <c r="BJ382" s="3"/>
    </row>
    <row r="383" spans="1:62">
      <c r="A383" s="2"/>
      <c r="AR383" s="3"/>
      <c r="AT383" s="3"/>
      <c r="AV383" s="3"/>
      <c r="AX383" s="3"/>
      <c r="AZ383" s="3"/>
      <c r="BB383" s="3"/>
      <c r="BD383" s="3"/>
      <c r="BF383" s="3"/>
      <c r="BH383" s="3"/>
      <c r="BJ383" s="3"/>
    </row>
    <row r="384" spans="1:62">
      <c r="A384" s="2"/>
      <c r="AR384" s="3"/>
      <c r="AT384" s="3"/>
      <c r="AV384" s="3"/>
      <c r="AX384" s="3"/>
      <c r="AZ384" s="3"/>
      <c r="BB384" s="3"/>
      <c r="BD384" s="3"/>
      <c r="BF384" s="3"/>
      <c r="BH384" s="3"/>
      <c r="BJ384" s="3"/>
    </row>
    <row r="385" spans="1:62">
      <c r="A385" s="2"/>
      <c r="AR385" s="3"/>
      <c r="AT385" s="3"/>
      <c r="AV385" s="3"/>
      <c r="AX385" s="3"/>
      <c r="AZ385" s="3"/>
      <c r="BB385" s="3"/>
      <c r="BD385" s="3"/>
      <c r="BF385" s="3"/>
      <c r="BH385" s="3"/>
      <c r="BJ385" s="3"/>
    </row>
    <row r="386" spans="1:62">
      <c r="A386" s="2"/>
      <c r="AR386" s="3"/>
      <c r="AT386" s="3"/>
      <c r="AV386" s="3"/>
      <c r="AX386" s="3"/>
      <c r="AZ386" s="3"/>
      <c r="BB386" s="3"/>
      <c r="BD386" s="3"/>
      <c r="BF386" s="3"/>
      <c r="BH386" s="3"/>
      <c r="BJ386" s="3"/>
    </row>
    <row r="387" spans="1:62">
      <c r="A387" s="2"/>
      <c r="AR387" s="3"/>
      <c r="AT387" s="3"/>
      <c r="AV387" s="3"/>
      <c r="AX387" s="3"/>
      <c r="AZ387" s="3"/>
      <c r="BB387" s="3"/>
      <c r="BD387" s="3"/>
      <c r="BF387" s="3"/>
      <c r="BH387" s="3"/>
      <c r="BJ387" s="3"/>
    </row>
    <row r="388" spans="1:62">
      <c r="A388" s="2"/>
      <c r="AR388" s="3"/>
      <c r="AT388" s="3"/>
      <c r="AV388" s="3"/>
      <c r="AX388" s="3"/>
      <c r="AZ388" s="3"/>
      <c r="BB388" s="3"/>
      <c r="BD388" s="3"/>
      <c r="BF388" s="3"/>
      <c r="BH388" s="3"/>
      <c r="BJ388" s="3"/>
    </row>
    <row r="389" spans="1:62">
      <c r="A389" s="2"/>
      <c r="AR389" s="3"/>
      <c r="AT389" s="3"/>
      <c r="AV389" s="3"/>
      <c r="AX389" s="3"/>
      <c r="AZ389" s="3"/>
      <c r="BB389" s="3"/>
      <c r="BD389" s="3"/>
      <c r="BF389" s="3"/>
      <c r="BH389" s="3"/>
      <c r="BJ389" s="3"/>
    </row>
    <row r="390" spans="1:62">
      <c r="A390" s="2"/>
      <c r="AR390" s="3"/>
      <c r="AT390" s="3"/>
      <c r="AV390" s="3"/>
      <c r="AX390" s="3"/>
      <c r="AZ390" s="3"/>
      <c r="BB390" s="3"/>
      <c r="BD390" s="3"/>
      <c r="BF390" s="3"/>
      <c r="BH390" s="3"/>
      <c r="BJ390" s="3"/>
    </row>
    <row r="391" spans="1:62">
      <c r="A391" s="2"/>
      <c r="AR391" s="3"/>
      <c r="AT391" s="3"/>
      <c r="AV391" s="3"/>
      <c r="AX391" s="3"/>
      <c r="AZ391" s="3"/>
      <c r="BB391" s="3"/>
      <c r="BD391" s="3"/>
      <c r="BF391" s="3"/>
      <c r="BH391" s="3"/>
      <c r="BJ391" s="3"/>
    </row>
    <row r="392" spans="1:62">
      <c r="A392" s="2"/>
      <c r="AR392" s="3"/>
      <c r="AT392" s="3"/>
      <c r="AV392" s="3"/>
      <c r="AX392" s="3"/>
      <c r="AZ392" s="3"/>
      <c r="BB392" s="3"/>
      <c r="BD392" s="3"/>
      <c r="BF392" s="3"/>
      <c r="BH392" s="3"/>
      <c r="BJ392" s="3"/>
    </row>
    <row r="393" spans="1:62">
      <c r="A393" s="2"/>
      <c r="AR393" s="3"/>
      <c r="AT393" s="3"/>
      <c r="AV393" s="3"/>
      <c r="AX393" s="3"/>
      <c r="AZ393" s="3"/>
      <c r="BB393" s="3"/>
      <c r="BD393" s="3"/>
      <c r="BF393" s="3"/>
      <c r="BH393" s="3"/>
      <c r="BJ393" s="3"/>
    </row>
    <row r="394" spans="1:62">
      <c r="A394" s="2"/>
      <c r="AR394" s="3"/>
      <c r="AT394" s="3"/>
      <c r="AV394" s="3"/>
      <c r="AX394" s="3"/>
      <c r="AZ394" s="3"/>
      <c r="BB394" s="3"/>
      <c r="BD394" s="3"/>
      <c r="BF394" s="3"/>
      <c r="BH394" s="3"/>
      <c r="BJ394" s="3"/>
    </row>
    <row r="395" spans="1:62">
      <c r="A395" s="2"/>
      <c r="AR395" s="3"/>
      <c r="AT395" s="3"/>
      <c r="AV395" s="3"/>
      <c r="AX395" s="3"/>
      <c r="AZ395" s="3"/>
      <c r="BB395" s="3"/>
      <c r="BD395" s="3"/>
      <c r="BF395" s="3"/>
      <c r="BH395" s="3"/>
      <c r="BJ395" s="3"/>
    </row>
    <row r="396" spans="1:62">
      <c r="A396" s="2"/>
      <c r="AR396" s="3"/>
      <c r="AT396" s="3"/>
      <c r="AV396" s="3"/>
      <c r="AX396" s="3"/>
      <c r="AZ396" s="3"/>
      <c r="BB396" s="3"/>
      <c r="BD396" s="3"/>
      <c r="BF396" s="3"/>
      <c r="BH396" s="3"/>
      <c r="BJ396" s="3"/>
    </row>
    <row r="397" spans="1:62">
      <c r="A397" s="2"/>
      <c r="AR397" s="3"/>
      <c r="AT397" s="3"/>
      <c r="AV397" s="3"/>
      <c r="AX397" s="3"/>
      <c r="AZ397" s="3"/>
      <c r="BB397" s="3"/>
      <c r="BD397" s="3"/>
      <c r="BF397" s="3"/>
      <c r="BH397" s="3"/>
      <c r="BJ397" s="3"/>
    </row>
    <row r="398" spans="1:62">
      <c r="A398" s="2"/>
      <c r="AR398" s="3"/>
      <c r="AT398" s="3"/>
      <c r="AV398" s="3"/>
      <c r="AX398" s="3"/>
      <c r="AZ398" s="3"/>
      <c r="BB398" s="3"/>
      <c r="BD398" s="3"/>
      <c r="BF398" s="3"/>
      <c r="BH398" s="3"/>
      <c r="BJ398" s="3"/>
    </row>
    <row r="399" spans="1:62">
      <c r="A399" s="2"/>
      <c r="AR399" s="3"/>
      <c r="AT399" s="3"/>
      <c r="AV399" s="3"/>
      <c r="AX399" s="3"/>
      <c r="AZ399" s="3"/>
      <c r="BB399" s="3"/>
      <c r="BD399" s="3"/>
      <c r="BF399" s="3"/>
      <c r="BH399" s="3"/>
      <c r="BJ399" s="3"/>
    </row>
    <row r="400" spans="1:62">
      <c r="A400" s="2"/>
      <c r="AR400" s="3"/>
      <c r="AT400" s="3"/>
      <c r="AV400" s="3"/>
      <c r="AX400" s="3"/>
      <c r="AZ400" s="3"/>
      <c r="BB400" s="3"/>
      <c r="BD400" s="3"/>
      <c r="BF400" s="3"/>
      <c r="BH400" s="3"/>
      <c r="BJ400" s="3"/>
    </row>
    <row r="401" spans="1:62">
      <c r="A401" s="2"/>
      <c r="AR401" s="3"/>
      <c r="AT401" s="3"/>
      <c r="AV401" s="3"/>
      <c r="AX401" s="3"/>
      <c r="AZ401" s="3"/>
      <c r="BB401" s="3"/>
      <c r="BD401" s="3"/>
      <c r="BF401" s="3"/>
      <c r="BH401" s="3"/>
      <c r="BJ401" s="3"/>
    </row>
    <row r="402" spans="1:62">
      <c r="A402" s="2"/>
      <c r="AR402" s="3"/>
      <c r="AT402" s="3"/>
      <c r="AV402" s="3"/>
      <c r="AX402" s="3"/>
      <c r="AZ402" s="3"/>
      <c r="BB402" s="3"/>
      <c r="BD402" s="3"/>
      <c r="BF402" s="3"/>
      <c r="BH402" s="3"/>
      <c r="BJ402" s="3"/>
    </row>
    <row r="403" spans="1:62">
      <c r="A403" s="2"/>
      <c r="AR403" s="3"/>
      <c r="AT403" s="3"/>
      <c r="AV403" s="3"/>
      <c r="AX403" s="3"/>
      <c r="AZ403" s="3"/>
      <c r="BB403" s="3"/>
      <c r="BD403" s="3"/>
      <c r="BF403" s="3"/>
      <c r="BH403" s="3"/>
      <c r="BJ403" s="3"/>
    </row>
    <row r="404" spans="1:62">
      <c r="A404" s="2"/>
      <c r="AR404" s="3"/>
      <c r="AT404" s="3"/>
      <c r="AV404" s="3"/>
      <c r="AX404" s="3"/>
      <c r="AZ404" s="3"/>
      <c r="BB404" s="3"/>
      <c r="BD404" s="3"/>
      <c r="BF404" s="3"/>
      <c r="BH404" s="3"/>
      <c r="BJ404" s="3"/>
    </row>
    <row r="405" spans="1:62">
      <c r="A405" s="2"/>
      <c r="AR405" s="3"/>
      <c r="AT405" s="3"/>
      <c r="AV405" s="3"/>
      <c r="AX405" s="3"/>
      <c r="AZ405" s="3"/>
      <c r="BB405" s="3"/>
      <c r="BD405" s="3"/>
      <c r="BF405" s="3"/>
      <c r="BH405" s="3"/>
      <c r="BJ405" s="3"/>
    </row>
    <row r="406" spans="1:62">
      <c r="A406" s="2"/>
      <c r="AR406" s="3"/>
      <c r="AT406" s="3"/>
      <c r="AV406" s="3"/>
      <c r="AX406" s="3"/>
      <c r="AZ406" s="3"/>
      <c r="BB406" s="3"/>
      <c r="BD406" s="3"/>
      <c r="BF406" s="3"/>
      <c r="BH406" s="3"/>
      <c r="BJ406" s="3"/>
    </row>
    <row r="407" spans="1:62">
      <c r="A407" s="2"/>
      <c r="AR407" s="3"/>
      <c r="AT407" s="3"/>
      <c r="AV407" s="3"/>
      <c r="AX407" s="3"/>
      <c r="AZ407" s="3"/>
      <c r="BB407" s="3"/>
      <c r="BD407" s="3"/>
      <c r="BF407" s="3"/>
      <c r="BH407" s="3"/>
      <c r="BJ407" s="3"/>
    </row>
    <row r="408" spans="1:62">
      <c r="A408" s="2"/>
      <c r="AR408" s="3"/>
      <c r="AT408" s="3"/>
      <c r="AV408" s="3"/>
      <c r="AX408" s="3"/>
      <c r="AZ408" s="3"/>
      <c r="BB408" s="3"/>
      <c r="BD408" s="3"/>
      <c r="BF408" s="3"/>
      <c r="BH408" s="3"/>
      <c r="BJ408" s="3"/>
    </row>
    <row r="409" spans="1:62">
      <c r="A409" s="2"/>
      <c r="AR409" s="3"/>
      <c r="AT409" s="3"/>
      <c r="AV409" s="3"/>
      <c r="AX409" s="3"/>
      <c r="AZ409" s="3"/>
      <c r="BB409" s="3"/>
      <c r="BD409" s="3"/>
      <c r="BF409" s="3"/>
      <c r="BH409" s="3"/>
      <c r="BJ409" s="3"/>
    </row>
    <row r="410" spans="1:62">
      <c r="A410" s="2"/>
      <c r="AR410" s="3"/>
      <c r="AT410" s="3"/>
      <c r="AV410" s="3"/>
      <c r="AX410" s="3"/>
      <c r="AZ410" s="3"/>
      <c r="BB410" s="3"/>
      <c r="BD410" s="3"/>
      <c r="BF410" s="3"/>
      <c r="BH410" s="3"/>
      <c r="BJ410" s="3"/>
    </row>
    <row r="411" spans="1:62">
      <c r="A411" s="2"/>
      <c r="AR411" s="3"/>
      <c r="AT411" s="3"/>
      <c r="AV411" s="3"/>
      <c r="AX411" s="3"/>
      <c r="AZ411" s="3"/>
      <c r="BB411" s="3"/>
      <c r="BD411" s="3"/>
      <c r="BF411" s="3"/>
      <c r="BH411" s="3"/>
      <c r="BJ411" s="3"/>
    </row>
    <row r="412" spans="1:62">
      <c r="A412" s="2"/>
      <c r="AR412" s="3"/>
      <c r="AT412" s="3"/>
      <c r="AV412" s="3"/>
      <c r="AX412" s="3"/>
      <c r="AZ412" s="3"/>
      <c r="BB412" s="3"/>
      <c r="BD412" s="3"/>
      <c r="BF412" s="3"/>
      <c r="BH412" s="3"/>
      <c r="BJ412" s="3"/>
    </row>
    <row r="413" spans="1:62">
      <c r="A413" s="2"/>
      <c r="AR413" s="3"/>
      <c r="AT413" s="3"/>
      <c r="AV413" s="3"/>
      <c r="AX413" s="3"/>
      <c r="AZ413" s="3"/>
      <c r="BB413" s="3"/>
      <c r="BD413" s="3"/>
      <c r="BF413" s="3"/>
      <c r="BH413" s="3"/>
      <c r="BJ413" s="3"/>
    </row>
    <row r="414" spans="1:62">
      <c r="A414" s="2"/>
      <c r="AR414" s="3"/>
      <c r="AT414" s="3"/>
      <c r="AV414" s="3"/>
      <c r="AX414" s="3"/>
      <c r="AZ414" s="3"/>
      <c r="BB414" s="3"/>
      <c r="BD414" s="3"/>
      <c r="BF414" s="3"/>
      <c r="BH414" s="3"/>
      <c r="BJ414" s="3"/>
    </row>
    <row r="415" spans="1:62">
      <c r="A415" s="2"/>
      <c r="AR415" s="3"/>
      <c r="AT415" s="3"/>
      <c r="AV415" s="3"/>
      <c r="AX415" s="3"/>
      <c r="AZ415" s="3"/>
      <c r="BB415" s="3"/>
      <c r="BD415" s="3"/>
      <c r="BF415" s="3"/>
      <c r="BH415" s="3"/>
      <c r="BJ415" s="3"/>
    </row>
    <row r="416" spans="1:62">
      <c r="A416" s="2"/>
      <c r="AR416" s="3"/>
      <c r="AT416" s="3"/>
      <c r="AV416" s="3"/>
      <c r="AX416" s="3"/>
      <c r="AZ416" s="3"/>
      <c r="BB416" s="3"/>
      <c r="BD416" s="3"/>
      <c r="BF416" s="3"/>
      <c r="BH416" s="3"/>
      <c r="BJ416" s="3"/>
    </row>
    <row r="417" spans="1:62">
      <c r="A417" s="2"/>
      <c r="AR417" s="3"/>
      <c r="AT417" s="3"/>
      <c r="AV417" s="3"/>
      <c r="AX417" s="3"/>
      <c r="AZ417" s="3"/>
      <c r="BB417" s="3"/>
      <c r="BD417" s="3"/>
      <c r="BF417" s="3"/>
      <c r="BH417" s="3"/>
      <c r="BJ417" s="3"/>
    </row>
    <row r="418" spans="1:62">
      <c r="A418" s="2"/>
      <c r="AR418" s="3"/>
      <c r="AT418" s="3"/>
      <c r="AV418" s="3"/>
      <c r="AX418" s="3"/>
      <c r="AZ418" s="3"/>
      <c r="BB418" s="3"/>
      <c r="BD418" s="3"/>
      <c r="BF418" s="3"/>
      <c r="BH418" s="3"/>
      <c r="BJ418" s="3"/>
    </row>
    <row r="419" spans="1:62">
      <c r="A419" s="2"/>
      <c r="AR419" s="3"/>
      <c r="AT419" s="3"/>
      <c r="AV419" s="3"/>
      <c r="AX419" s="3"/>
      <c r="AZ419" s="3"/>
      <c r="BB419" s="3"/>
      <c r="BD419" s="3"/>
      <c r="BF419" s="3"/>
      <c r="BH419" s="3"/>
      <c r="BJ419" s="3"/>
    </row>
    <row r="420" spans="1:62">
      <c r="A420" s="2"/>
      <c r="AR420" s="3"/>
      <c r="AT420" s="3"/>
      <c r="AV420" s="3"/>
      <c r="AX420" s="3"/>
      <c r="AZ420" s="3"/>
      <c r="BB420" s="3"/>
      <c r="BD420" s="3"/>
      <c r="BF420" s="3"/>
      <c r="BH420" s="3"/>
      <c r="BJ420" s="3"/>
    </row>
    <row r="421" spans="1:62">
      <c r="A421" s="2"/>
      <c r="AR421" s="3"/>
      <c r="AT421" s="3"/>
      <c r="AV421" s="3"/>
      <c r="AX421" s="3"/>
      <c r="AZ421" s="3"/>
      <c r="BB421" s="3"/>
      <c r="BD421" s="3"/>
      <c r="BF421" s="3"/>
      <c r="BH421" s="3"/>
      <c r="BJ421" s="3"/>
    </row>
    <row r="422" spans="1:62">
      <c r="A422" s="2"/>
      <c r="AR422" s="3"/>
      <c r="AT422" s="3"/>
      <c r="AV422" s="3"/>
      <c r="AX422" s="3"/>
      <c r="AZ422" s="3"/>
      <c r="BB422" s="3"/>
      <c r="BD422" s="3"/>
      <c r="BF422" s="3"/>
      <c r="BH422" s="3"/>
      <c r="BJ422" s="3"/>
    </row>
    <row r="423" spans="1:62">
      <c r="A423" s="2"/>
      <c r="AR423" s="3"/>
      <c r="AT423" s="3"/>
      <c r="AV423" s="3"/>
      <c r="AX423" s="3"/>
      <c r="AZ423" s="3"/>
      <c r="BB423" s="3"/>
      <c r="BD423" s="3"/>
      <c r="BF423" s="3"/>
      <c r="BH423" s="3"/>
      <c r="BJ423" s="3"/>
    </row>
    <row r="424" spans="1:62">
      <c r="A424" s="2"/>
      <c r="AR424" s="3"/>
      <c r="AT424" s="3"/>
      <c r="AV424" s="3"/>
      <c r="AX424" s="3"/>
      <c r="AZ424" s="3"/>
      <c r="BB424" s="3"/>
      <c r="BD424" s="3"/>
      <c r="BF424" s="3"/>
      <c r="BH424" s="3"/>
      <c r="BJ424" s="3"/>
    </row>
    <row r="425" spans="1:62">
      <c r="A425" s="2"/>
      <c r="AR425" s="3"/>
      <c r="AT425" s="3"/>
      <c r="AV425" s="3"/>
      <c r="AX425" s="3"/>
      <c r="AZ425" s="3"/>
      <c r="BB425" s="3"/>
      <c r="BD425" s="3"/>
      <c r="BF425" s="3"/>
      <c r="BH425" s="3"/>
      <c r="BJ425" s="3"/>
    </row>
    <row r="426" spans="1:62">
      <c r="A426" s="2"/>
      <c r="AR426" s="3"/>
      <c r="AT426" s="3"/>
      <c r="AV426" s="3"/>
      <c r="AX426" s="3"/>
      <c r="AZ426" s="3"/>
      <c r="BB426" s="3"/>
      <c r="BD426" s="3"/>
      <c r="BF426" s="3"/>
      <c r="BH426" s="3"/>
      <c r="BJ426" s="3"/>
    </row>
    <row r="427" spans="1:62">
      <c r="A427" s="2"/>
      <c r="AR427" s="3"/>
      <c r="AT427" s="3"/>
      <c r="AV427" s="3"/>
      <c r="AX427" s="3"/>
      <c r="AZ427" s="3"/>
      <c r="BB427" s="3"/>
      <c r="BD427" s="3"/>
      <c r="BF427" s="3"/>
      <c r="BH427" s="3"/>
      <c r="BJ427" s="3"/>
    </row>
    <row r="428" spans="1:62">
      <c r="A428" s="2"/>
      <c r="AR428" s="3"/>
      <c r="AT428" s="3"/>
      <c r="AV428" s="3"/>
      <c r="AX428" s="3"/>
      <c r="AZ428" s="3"/>
      <c r="BB428" s="3"/>
      <c r="BD428" s="3"/>
      <c r="BF428" s="3"/>
      <c r="BH428" s="3"/>
      <c r="BJ428" s="3"/>
    </row>
    <row r="429" spans="1:62">
      <c r="A429" s="2"/>
      <c r="AR429" s="3"/>
      <c r="AT429" s="3"/>
      <c r="AV429" s="3"/>
      <c r="AX429" s="3"/>
      <c r="AZ429" s="3"/>
      <c r="BB429" s="3"/>
      <c r="BD429" s="3"/>
      <c r="BF429" s="3"/>
      <c r="BH429" s="3"/>
      <c r="BJ429" s="3"/>
    </row>
    <row r="430" spans="1:62">
      <c r="A430" s="2"/>
      <c r="AR430" s="3"/>
      <c r="AT430" s="3"/>
      <c r="AV430" s="3"/>
      <c r="AX430" s="3"/>
      <c r="AZ430" s="3"/>
      <c r="BB430" s="3"/>
      <c r="BD430" s="3"/>
      <c r="BF430" s="3"/>
      <c r="BH430" s="3"/>
      <c r="BJ430" s="3"/>
    </row>
    <row r="431" spans="1:62">
      <c r="A431" s="2"/>
      <c r="AR431" s="3"/>
      <c r="AT431" s="3"/>
      <c r="AV431" s="3"/>
      <c r="AX431" s="3"/>
      <c r="AZ431" s="3"/>
      <c r="BB431" s="3"/>
      <c r="BD431" s="3"/>
      <c r="BF431" s="3"/>
      <c r="BH431" s="3"/>
      <c r="BJ431" s="3"/>
    </row>
    <row r="432" spans="1:62">
      <c r="A432" s="2"/>
      <c r="AR432" s="3"/>
      <c r="AT432" s="3"/>
      <c r="AV432" s="3"/>
      <c r="AX432" s="3"/>
      <c r="AZ432" s="3"/>
      <c r="BB432" s="3"/>
      <c r="BD432" s="3"/>
      <c r="BF432" s="3"/>
      <c r="BH432" s="3"/>
      <c r="BJ432" s="3"/>
    </row>
    <row r="433" spans="1:62">
      <c r="A433" s="2"/>
      <c r="AR433" s="3"/>
      <c r="AT433" s="3"/>
      <c r="AV433" s="3"/>
      <c r="AX433" s="3"/>
      <c r="AZ433" s="3"/>
      <c r="BB433" s="3"/>
      <c r="BD433" s="3"/>
      <c r="BF433" s="3"/>
      <c r="BH433" s="3"/>
      <c r="BJ433" s="3"/>
    </row>
    <row r="434" spans="1:62">
      <c r="A434" s="2"/>
      <c r="AR434" s="3"/>
      <c r="AT434" s="3"/>
      <c r="AV434" s="3"/>
      <c r="AX434" s="3"/>
      <c r="AZ434" s="3"/>
      <c r="BB434" s="3"/>
      <c r="BD434" s="3"/>
      <c r="BF434" s="3"/>
      <c r="BH434" s="3"/>
      <c r="BJ434" s="3"/>
    </row>
    <row r="435" spans="1:62">
      <c r="A435" s="2"/>
      <c r="AR435" s="3"/>
      <c r="AT435" s="3"/>
      <c r="AV435" s="3"/>
      <c r="AX435" s="3"/>
      <c r="AZ435" s="3"/>
      <c r="BB435" s="3"/>
      <c r="BD435" s="3"/>
      <c r="BF435" s="3"/>
      <c r="BH435" s="3"/>
      <c r="BJ435" s="3"/>
    </row>
    <row r="436" spans="1:62">
      <c r="A436" s="2"/>
      <c r="AR436" s="3"/>
      <c r="AT436" s="3"/>
      <c r="AV436" s="3"/>
      <c r="AX436" s="3"/>
      <c r="AZ436" s="3"/>
      <c r="BB436" s="3"/>
      <c r="BD436" s="3"/>
      <c r="BF436" s="3"/>
      <c r="BH436" s="3"/>
      <c r="BJ436" s="3"/>
    </row>
    <row r="437" spans="1:62">
      <c r="A437" s="2"/>
      <c r="AR437" s="3"/>
      <c r="AT437" s="3"/>
      <c r="AV437" s="3"/>
      <c r="AX437" s="3"/>
      <c r="AZ437" s="3"/>
      <c r="BB437" s="3"/>
      <c r="BD437" s="3"/>
      <c r="BF437" s="3"/>
      <c r="BH437" s="3"/>
      <c r="BJ437" s="3"/>
    </row>
    <row r="438" spans="1:62">
      <c r="A438" s="2"/>
      <c r="AR438" s="3"/>
      <c r="AT438" s="3"/>
      <c r="AV438" s="3"/>
      <c r="AX438" s="3"/>
      <c r="AZ438" s="3"/>
      <c r="BB438" s="3"/>
      <c r="BD438" s="3"/>
      <c r="BF438" s="3"/>
      <c r="BH438" s="3"/>
      <c r="BJ438" s="3"/>
    </row>
    <row r="439" spans="1:62">
      <c r="A439" s="2"/>
      <c r="AR439" s="3"/>
      <c r="AT439" s="3"/>
      <c r="AV439" s="3"/>
      <c r="AX439" s="3"/>
      <c r="AZ439" s="3"/>
      <c r="BB439" s="3"/>
      <c r="BD439" s="3"/>
      <c r="BF439" s="3"/>
      <c r="BH439" s="3"/>
      <c r="BJ439" s="3"/>
    </row>
    <row r="440" spans="1:62">
      <c r="A440" s="2"/>
      <c r="AR440" s="3"/>
      <c r="AT440" s="3"/>
      <c r="AV440" s="3"/>
      <c r="AX440" s="3"/>
      <c r="AZ440" s="3"/>
      <c r="BB440" s="3"/>
      <c r="BD440" s="3"/>
      <c r="BF440" s="3"/>
      <c r="BH440" s="3"/>
      <c r="BJ440" s="3"/>
    </row>
    <row r="441" spans="1:62">
      <c r="A441" s="2"/>
      <c r="AR441" s="3"/>
      <c r="AT441" s="3"/>
      <c r="AV441" s="3"/>
      <c r="AX441" s="3"/>
      <c r="AZ441" s="3"/>
      <c r="BB441" s="3"/>
      <c r="BD441" s="3"/>
      <c r="BF441" s="3"/>
      <c r="BH441" s="3"/>
      <c r="BJ441" s="3"/>
    </row>
    <row r="442" spans="1:62">
      <c r="A442" s="2"/>
      <c r="AR442" s="3"/>
      <c r="AT442" s="3"/>
      <c r="AV442" s="3"/>
      <c r="AX442" s="3"/>
      <c r="AZ442" s="3"/>
      <c r="BB442" s="3"/>
      <c r="BD442" s="3"/>
      <c r="BF442" s="3"/>
      <c r="BH442" s="3"/>
      <c r="BJ442" s="3"/>
    </row>
    <row r="443" spans="1:62">
      <c r="A443" s="2"/>
      <c r="AR443" s="3"/>
      <c r="AT443" s="3"/>
      <c r="AV443" s="3"/>
      <c r="AX443" s="3"/>
      <c r="AZ443" s="3"/>
      <c r="BB443" s="3"/>
      <c r="BD443" s="3"/>
      <c r="BF443" s="3"/>
      <c r="BH443" s="3"/>
      <c r="BJ443" s="3"/>
    </row>
    <row r="444" spans="1:62">
      <c r="A444" s="2"/>
      <c r="AR444" s="3"/>
      <c r="AT444" s="3"/>
      <c r="AV444" s="3"/>
      <c r="AX444" s="3"/>
      <c r="AZ444" s="3"/>
      <c r="BB444" s="3"/>
      <c r="BD444" s="3"/>
      <c r="BF444" s="3"/>
      <c r="BH444" s="3"/>
      <c r="BJ444" s="3"/>
    </row>
    <row r="445" spans="1:62">
      <c r="A445" s="2"/>
      <c r="AR445" s="3"/>
      <c r="AT445" s="3"/>
      <c r="AV445" s="3"/>
      <c r="AX445" s="3"/>
      <c r="AZ445" s="3"/>
      <c r="BB445" s="3"/>
      <c r="BD445" s="3"/>
      <c r="BF445" s="3"/>
      <c r="BH445" s="3"/>
      <c r="BJ445" s="3"/>
    </row>
    <row r="446" spans="1:62">
      <c r="A446" s="2"/>
      <c r="AR446" s="3"/>
      <c r="AT446" s="3"/>
      <c r="AV446" s="3"/>
      <c r="AX446" s="3"/>
      <c r="AZ446" s="3"/>
      <c r="BB446" s="3"/>
      <c r="BD446" s="3"/>
      <c r="BF446" s="3"/>
      <c r="BH446" s="3"/>
      <c r="BJ446" s="3"/>
    </row>
    <row r="447" spans="1:62">
      <c r="A447" s="2"/>
      <c r="AR447" s="3"/>
      <c r="AT447" s="3"/>
      <c r="AV447" s="3"/>
      <c r="AX447" s="3"/>
      <c r="AZ447" s="3"/>
      <c r="BB447" s="3"/>
      <c r="BD447" s="3"/>
      <c r="BF447" s="3"/>
      <c r="BH447" s="3"/>
      <c r="BJ447" s="3"/>
    </row>
    <row r="448" spans="1:62">
      <c r="A448" s="2"/>
      <c r="AR448" s="3"/>
      <c r="AT448" s="3"/>
      <c r="AV448" s="3"/>
      <c r="AX448" s="3"/>
      <c r="AZ448" s="3"/>
      <c r="BB448" s="3"/>
      <c r="BD448" s="3"/>
      <c r="BF448" s="3"/>
      <c r="BH448" s="3"/>
      <c r="BJ448" s="3"/>
    </row>
    <row r="449" spans="1:62">
      <c r="A449" s="2"/>
      <c r="AR449" s="3"/>
      <c r="AT449" s="3"/>
      <c r="AV449" s="3"/>
      <c r="AX449" s="3"/>
      <c r="AZ449" s="3"/>
      <c r="BB449" s="3"/>
      <c r="BD449" s="3"/>
      <c r="BF449" s="3"/>
      <c r="BH449" s="3"/>
      <c r="BJ449" s="3"/>
    </row>
    <row r="450" spans="1:62">
      <c r="A450" s="2"/>
      <c r="AR450" s="3"/>
      <c r="AT450" s="3"/>
      <c r="AV450" s="3"/>
      <c r="AX450" s="3"/>
      <c r="AZ450" s="3"/>
      <c r="BB450" s="3"/>
      <c r="BD450" s="3"/>
      <c r="BF450" s="3"/>
      <c r="BH450" s="3"/>
      <c r="BJ450" s="3"/>
    </row>
    <row r="451" spans="1:62">
      <c r="A451" s="2"/>
      <c r="AR451" s="3"/>
      <c r="AT451" s="3"/>
      <c r="AV451" s="3"/>
      <c r="AX451" s="3"/>
      <c r="AZ451" s="3"/>
      <c r="BB451" s="3"/>
      <c r="BD451" s="3"/>
      <c r="BF451" s="3"/>
      <c r="BH451" s="3"/>
      <c r="BJ451" s="3"/>
    </row>
    <row r="452" spans="1:62">
      <c r="A452" s="2"/>
      <c r="AR452" s="3"/>
      <c r="AT452" s="3"/>
      <c r="AV452" s="3"/>
      <c r="AX452" s="3"/>
      <c r="AZ452" s="3"/>
      <c r="BB452" s="3"/>
      <c r="BD452" s="3"/>
      <c r="BF452" s="3"/>
      <c r="BH452" s="3"/>
      <c r="BJ452" s="3"/>
    </row>
    <row r="453" spans="1:62">
      <c r="A453" s="2"/>
      <c r="AR453" s="3"/>
      <c r="AT453" s="3"/>
      <c r="AV453" s="3"/>
      <c r="AX453" s="3"/>
      <c r="AZ453" s="3"/>
      <c r="BB453" s="3"/>
      <c r="BD453" s="3"/>
      <c r="BF453" s="3"/>
      <c r="BH453" s="3"/>
      <c r="BJ453" s="3"/>
    </row>
    <row r="454" spans="1:62">
      <c r="A454" s="2"/>
      <c r="AR454" s="3"/>
      <c r="AT454" s="3"/>
      <c r="AV454" s="3"/>
      <c r="AX454" s="3"/>
      <c r="AZ454" s="3"/>
      <c r="BB454" s="3"/>
      <c r="BD454" s="3"/>
      <c r="BF454" s="3"/>
      <c r="BH454" s="3"/>
      <c r="BJ454" s="3"/>
    </row>
    <row r="455" spans="1:62">
      <c r="A455" s="2"/>
      <c r="AR455" s="3"/>
      <c r="AT455" s="3"/>
      <c r="AV455" s="3"/>
      <c r="AX455" s="3"/>
      <c r="AZ455" s="3"/>
      <c r="BB455" s="3"/>
      <c r="BD455" s="3"/>
      <c r="BF455" s="3"/>
      <c r="BH455" s="3"/>
      <c r="BJ455" s="3"/>
    </row>
    <row r="456" spans="1:62">
      <c r="A456" s="2"/>
      <c r="AR456" s="3"/>
      <c r="AT456" s="3"/>
      <c r="AV456" s="3"/>
      <c r="AX456" s="3"/>
      <c r="AZ456" s="3"/>
      <c r="BB456" s="3"/>
      <c r="BD456" s="3"/>
      <c r="BF456" s="3"/>
      <c r="BH456" s="3"/>
      <c r="BJ456" s="3"/>
    </row>
    <row r="457" spans="1:62">
      <c r="A457" s="2"/>
      <c r="AR457" s="3"/>
      <c r="AT457" s="3"/>
      <c r="AV457" s="3"/>
      <c r="AX457" s="3"/>
      <c r="AZ457" s="3"/>
      <c r="BB457" s="3"/>
      <c r="BD457" s="3"/>
      <c r="BF457" s="3"/>
      <c r="BH457" s="3"/>
      <c r="BJ457" s="3"/>
    </row>
    <row r="458" spans="1:62">
      <c r="A458" s="2"/>
      <c r="AR458" s="3"/>
      <c r="AT458" s="3"/>
      <c r="AV458" s="3"/>
      <c r="AX458" s="3"/>
      <c r="AZ458" s="3"/>
      <c r="BB458" s="3"/>
      <c r="BD458" s="3"/>
      <c r="BF458" s="3"/>
      <c r="BH458" s="3"/>
      <c r="BJ458" s="3"/>
    </row>
    <row r="459" spans="1:62">
      <c r="A459" s="2"/>
      <c r="AR459" s="3"/>
      <c r="AT459" s="3"/>
      <c r="AV459" s="3"/>
      <c r="AX459" s="3"/>
      <c r="AZ459" s="3"/>
      <c r="BB459" s="3"/>
      <c r="BD459" s="3"/>
      <c r="BF459" s="3"/>
      <c r="BH459" s="3"/>
      <c r="BJ459" s="3"/>
    </row>
    <row r="460" spans="1:62">
      <c r="A460" s="2"/>
      <c r="AR460" s="3"/>
      <c r="AT460" s="3"/>
      <c r="AV460" s="3"/>
      <c r="AX460" s="3"/>
      <c r="AZ460" s="3"/>
      <c r="BB460" s="3"/>
      <c r="BD460" s="3"/>
      <c r="BF460" s="3"/>
      <c r="BH460" s="3"/>
      <c r="BJ460" s="3"/>
    </row>
    <row r="461" spans="1:62">
      <c r="A461" s="2"/>
      <c r="AR461" s="3"/>
      <c r="AT461" s="3"/>
      <c r="AV461" s="3"/>
      <c r="AX461" s="3"/>
      <c r="AZ461" s="3"/>
      <c r="BB461" s="3"/>
      <c r="BD461" s="3"/>
      <c r="BF461" s="3"/>
      <c r="BH461" s="3"/>
      <c r="BJ461" s="3"/>
    </row>
    <row r="462" spans="1:62">
      <c r="A462" s="2"/>
      <c r="AR462" s="3"/>
      <c r="AT462" s="3"/>
      <c r="AV462" s="3"/>
      <c r="AX462" s="3"/>
      <c r="AZ462" s="3"/>
      <c r="BB462" s="3"/>
      <c r="BD462" s="3"/>
      <c r="BF462" s="3"/>
      <c r="BH462" s="3"/>
      <c r="BJ462" s="3"/>
    </row>
    <row r="463" spans="1:62">
      <c r="A463" s="2"/>
      <c r="AR463" s="3"/>
      <c r="AT463" s="3"/>
      <c r="AV463" s="3"/>
      <c r="AX463" s="3"/>
      <c r="AZ463" s="3"/>
      <c r="BB463" s="3"/>
      <c r="BD463" s="3"/>
      <c r="BF463" s="3"/>
      <c r="BH463" s="3"/>
      <c r="BJ463" s="3"/>
    </row>
    <row r="464" spans="1:62">
      <c r="A464" s="2"/>
      <c r="AR464" s="3"/>
      <c r="AT464" s="3"/>
      <c r="AV464" s="3"/>
      <c r="AX464" s="3"/>
      <c r="AZ464" s="3"/>
      <c r="BB464" s="3"/>
      <c r="BD464" s="3"/>
      <c r="BF464" s="3"/>
      <c r="BH464" s="3"/>
      <c r="BJ464" s="3"/>
    </row>
    <row r="465" spans="1:62">
      <c r="A465" s="2"/>
      <c r="AR465" s="3"/>
      <c r="AT465" s="3"/>
      <c r="AV465" s="3"/>
      <c r="AX465" s="3"/>
      <c r="AZ465" s="3"/>
      <c r="BB465" s="3"/>
      <c r="BD465" s="3"/>
      <c r="BF465" s="3"/>
      <c r="BH465" s="3"/>
      <c r="BJ465" s="3"/>
    </row>
    <row r="466" spans="1:62">
      <c r="A466" s="2"/>
      <c r="AR466" s="3"/>
      <c r="AT466" s="3"/>
      <c r="AV466" s="3"/>
      <c r="AX466" s="3"/>
      <c r="AZ466" s="3"/>
      <c r="BB466" s="3"/>
      <c r="BD466" s="3"/>
      <c r="BF466" s="3"/>
      <c r="BH466" s="3"/>
      <c r="BJ466" s="3"/>
    </row>
    <row r="467" spans="1:62">
      <c r="A467" s="2"/>
      <c r="AR467" s="3"/>
      <c r="AT467" s="3"/>
      <c r="AV467" s="3"/>
      <c r="AX467" s="3"/>
      <c r="AZ467" s="3"/>
      <c r="BB467" s="3"/>
      <c r="BD467" s="3"/>
      <c r="BF467" s="3"/>
      <c r="BH467" s="3"/>
      <c r="BJ467" s="3"/>
    </row>
    <row r="468" spans="1:62">
      <c r="A468" s="2"/>
      <c r="AR468" s="3"/>
      <c r="AT468" s="3"/>
      <c r="AV468" s="3"/>
      <c r="AX468" s="3"/>
      <c r="AZ468" s="3"/>
      <c r="BB468" s="3"/>
      <c r="BD468" s="3"/>
      <c r="BF468" s="3"/>
      <c r="BH468" s="3"/>
      <c r="BJ468" s="3"/>
    </row>
    <row r="469" spans="1:62">
      <c r="A469" s="2"/>
      <c r="AR469" s="3"/>
      <c r="AT469" s="3"/>
      <c r="AV469" s="3"/>
      <c r="AX469" s="3"/>
      <c r="AZ469" s="3"/>
      <c r="BB469" s="3"/>
      <c r="BD469" s="3"/>
      <c r="BF469" s="3"/>
      <c r="BH469" s="3"/>
      <c r="BJ469" s="3"/>
    </row>
    <row r="470" spans="1:62">
      <c r="A470" s="2"/>
      <c r="AR470" s="3"/>
      <c r="AT470" s="3"/>
      <c r="AV470" s="3"/>
      <c r="AX470" s="3"/>
      <c r="AZ470" s="3"/>
      <c r="BB470" s="3"/>
      <c r="BD470" s="3"/>
      <c r="BF470" s="3"/>
      <c r="BH470" s="3"/>
      <c r="BJ470" s="3"/>
    </row>
    <row r="471" spans="1:62">
      <c r="A471" s="2"/>
      <c r="AR471" s="3"/>
      <c r="AT471" s="3"/>
      <c r="AV471" s="3"/>
      <c r="AX471" s="3"/>
      <c r="AZ471" s="3"/>
      <c r="BB471" s="3"/>
      <c r="BD471" s="3"/>
      <c r="BF471" s="3"/>
      <c r="BH471" s="3"/>
      <c r="BJ471" s="3"/>
    </row>
    <row r="472" spans="1:62">
      <c r="A472" s="2"/>
      <c r="AR472" s="3"/>
      <c r="AT472" s="3"/>
      <c r="AV472" s="3"/>
      <c r="AX472" s="3"/>
      <c r="AZ472" s="3"/>
      <c r="BB472" s="3"/>
      <c r="BD472" s="3"/>
      <c r="BF472" s="3"/>
      <c r="BH472" s="3"/>
      <c r="BJ472" s="3"/>
    </row>
    <row r="473" spans="1:62">
      <c r="A473" s="2"/>
      <c r="AR473" s="3"/>
      <c r="AT473" s="3"/>
      <c r="AV473" s="3"/>
      <c r="AX473" s="3"/>
      <c r="AZ473" s="3"/>
      <c r="BB473" s="3"/>
      <c r="BD473" s="3"/>
      <c r="BF473" s="3"/>
      <c r="BH473" s="3"/>
      <c r="BJ473" s="3"/>
    </row>
    <row r="474" spans="1:62">
      <c r="A474" s="2"/>
      <c r="AR474" s="3"/>
      <c r="AT474" s="3"/>
      <c r="AV474" s="3"/>
      <c r="AX474" s="3"/>
      <c r="AZ474" s="3"/>
      <c r="BB474" s="3"/>
      <c r="BD474" s="3"/>
      <c r="BF474" s="3"/>
      <c r="BH474" s="3"/>
      <c r="BJ474" s="3"/>
    </row>
    <row r="475" spans="1:62">
      <c r="A475" s="2"/>
      <c r="AR475" s="3"/>
      <c r="AT475" s="3"/>
      <c r="AV475" s="3"/>
      <c r="AX475" s="3"/>
      <c r="AZ475" s="3"/>
      <c r="BB475" s="3"/>
      <c r="BD475" s="3"/>
      <c r="BF475" s="3"/>
      <c r="BH475" s="3"/>
      <c r="BJ475" s="3"/>
    </row>
    <row r="476" spans="1:62">
      <c r="A476" s="2"/>
      <c r="AR476" s="3"/>
      <c r="AT476" s="3"/>
      <c r="AV476" s="3"/>
      <c r="AX476" s="3"/>
      <c r="AZ476" s="3"/>
      <c r="BB476" s="3"/>
      <c r="BD476" s="3"/>
      <c r="BF476" s="3"/>
      <c r="BH476" s="3"/>
      <c r="BJ476" s="3"/>
    </row>
    <row r="477" spans="1:62">
      <c r="A477" s="2"/>
      <c r="AR477" s="3"/>
      <c r="AT477" s="3"/>
      <c r="AV477" s="3"/>
      <c r="AX477" s="3"/>
      <c r="AZ477" s="3"/>
      <c r="BB477" s="3"/>
      <c r="BD477" s="3"/>
      <c r="BF477" s="3"/>
      <c r="BH477" s="3"/>
      <c r="BJ477" s="3"/>
    </row>
    <row r="478" spans="1:62">
      <c r="A478" s="2"/>
      <c r="AR478" s="3"/>
      <c r="AT478" s="3"/>
      <c r="AV478" s="3"/>
      <c r="AX478" s="3"/>
      <c r="AZ478" s="3"/>
      <c r="BB478" s="3"/>
      <c r="BD478" s="3"/>
      <c r="BF478" s="3"/>
      <c r="BH478" s="3"/>
      <c r="BJ478" s="3"/>
    </row>
    <row r="479" spans="1:62">
      <c r="A479" s="2"/>
      <c r="AR479" s="3"/>
      <c r="AT479" s="3"/>
      <c r="AV479" s="3"/>
      <c r="AX479" s="3"/>
      <c r="AZ479" s="3"/>
      <c r="BB479" s="3"/>
      <c r="BD479" s="3"/>
      <c r="BF479" s="3"/>
      <c r="BH479" s="3"/>
      <c r="BJ479" s="3"/>
    </row>
    <row r="480" spans="1:62">
      <c r="A480" s="2"/>
      <c r="AR480" s="3"/>
      <c r="AT480" s="3"/>
      <c r="AV480" s="3"/>
      <c r="AX480" s="3"/>
      <c r="AZ480" s="3"/>
      <c r="BB480" s="3"/>
      <c r="BD480" s="3"/>
      <c r="BF480" s="3"/>
      <c r="BH480" s="3"/>
      <c r="BJ480" s="3"/>
    </row>
    <row r="481" spans="1:62">
      <c r="A481" s="2"/>
      <c r="AR481" s="3"/>
      <c r="AT481" s="3"/>
      <c r="AV481" s="3"/>
      <c r="AX481" s="3"/>
      <c r="AZ481" s="3"/>
      <c r="BB481" s="3"/>
      <c r="BD481" s="3"/>
      <c r="BF481" s="3"/>
      <c r="BH481" s="3"/>
      <c r="BJ481" s="3"/>
    </row>
    <row r="482" spans="1:62">
      <c r="A482" s="2"/>
      <c r="AR482" s="3"/>
      <c r="AT482" s="3"/>
      <c r="AV482" s="3"/>
      <c r="AX482" s="3"/>
      <c r="AZ482" s="3"/>
      <c r="BB482" s="3"/>
      <c r="BD482" s="3"/>
      <c r="BF482" s="3"/>
      <c r="BH482" s="3"/>
      <c r="BJ482" s="3"/>
    </row>
    <row r="483" spans="1:62">
      <c r="A483" s="2"/>
      <c r="AR483" s="3"/>
      <c r="AT483" s="3"/>
      <c r="AV483" s="3"/>
      <c r="AX483" s="3"/>
      <c r="AZ483" s="3"/>
      <c r="BB483" s="3"/>
      <c r="BD483" s="3"/>
      <c r="BF483" s="3"/>
      <c r="BH483" s="3"/>
      <c r="BJ483" s="3"/>
    </row>
    <row r="484" spans="1:62">
      <c r="A484" s="2"/>
      <c r="AR484" s="3"/>
      <c r="AT484" s="3"/>
      <c r="AV484" s="3"/>
      <c r="AX484" s="3"/>
      <c r="AZ484" s="3"/>
      <c r="BB484" s="3"/>
      <c r="BD484" s="3"/>
      <c r="BF484" s="3"/>
      <c r="BH484" s="3"/>
      <c r="BJ484" s="3"/>
    </row>
    <row r="485" spans="1:62">
      <c r="A485" s="2"/>
      <c r="AR485" s="3"/>
      <c r="AT485" s="3"/>
      <c r="AV485" s="3"/>
      <c r="AX485" s="3"/>
      <c r="AZ485" s="3"/>
      <c r="BB485" s="3"/>
      <c r="BD485" s="3"/>
      <c r="BF485" s="3"/>
      <c r="BH485" s="3"/>
      <c r="BJ485" s="3"/>
    </row>
    <row r="486" spans="1:62">
      <c r="A486" s="2"/>
      <c r="AR486" s="3"/>
      <c r="AT486" s="3"/>
      <c r="AV486" s="3"/>
      <c r="AX486" s="3"/>
      <c r="AZ486" s="3"/>
      <c r="BB486" s="3"/>
      <c r="BD486" s="3"/>
      <c r="BF486" s="3"/>
      <c r="BH486" s="3"/>
      <c r="BJ486" s="3"/>
    </row>
    <row r="487" spans="1:62">
      <c r="A487" s="2"/>
      <c r="AR487" s="3"/>
      <c r="AT487" s="3"/>
      <c r="AV487" s="3"/>
      <c r="AX487" s="3"/>
      <c r="AZ487" s="3"/>
      <c r="BB487" s="3"/>
      <c r="BD487" s="3"/>
      <c r="BF487" s="3"/>
      <c r="BH487" s="3"/>
      <c r="BJ487" s="3"/>
    </row>
    <row r="488" spans="1:62">
      <c r="A488" s="2"/>
      <c r="AR488" s="3"/>
      <c r="AT488" s="3"/>
      <c r="AV488" s="3"/>
      <c r="AX488" s="3"/>
      <c r="AZ488" s="3"/>
      <c r="BB488" s="3"/>
      <c r="BD488" s="3"/>
      <c r="BF488" s="3"/>
      <c r="BH488" s="3"/>
      <c r="BJ488" s="3"/>
    </row>
    <row r="489" spans="1:62">
      <c r="A489" s="2"/>
      <c r="AR489" s="3"/>
      <c r="AT489" s="3"/>
      <c r="AV489" s="3"/>
      <c r="AX489" s="3"/>
      <c r="AZ489" s="3"/>
      <c r="BB489" s="3"/>
      <c r="BD489" s="3"/>
      <c r="BF489" s="3"/>
      <c r="BH489" s="3"/>
      <c r="BJ489" s="3"/>
    </row>
    <row r="490" spans="1:62">
      <c r="A490" s="2"/>
      <c r="AR490" s="3"/>
      <c r="AT490" s="3"/>
      <c r="AV490" s="3"/>
      <c r="AX490" s="3"/>
      <c r="AZ490" s="3"/>
      <c r="BB490" s="3"/>
      <c r="BD490" s="3"/>
      <c r="BF490" s="3"/>
      <c r="BH490" s="3"/>
      <c r="BJ490" s="3"/>
    </row>
    <row r="491" spans="1:62">
      <c r="A491" s="2"/>
      <c r="AR491" s="3"/>
      <c r="AT491" s="3"/>
      <c r="AV491" s="3"/>
      <c r="AX491" s="3"/>
      <c r="AZ491" s="3"/>
      <c r="BB491" s="3"/>
      <c r="BD491" s="3"/>
      <c r="BF491" s="3"/>
      <c r="BH491" s="3"/>
      <c r="BJ491" s="3"/>
    </row>
    <row r="492" spans="1:62">
      <c r="A492" s="2"/>
      <c r="AR492" s="3"/>
      <c r="AT492" s="3"/>
      <c r="AV492" s="3"/>
      <c r="AX492" s="3"/>
      <c r="AZ492" s="3"/>
      <c r="BB492" s="3"/>
      <c r="BD492" s="3"/>
      <c r="BF492" s="3"/>
      <c r="BH492" s="3"/>
      <c r="BJ492" s="3"/>
    </row>
    <row r="493" spans="1:62">
      <c r="A493" s="2"/>
      <c r="AR493" s="3"/>
      <c r="AT493" s="3"/>
      <c r="AV493" s="3"/>
      <c r="AX493" s="3"/>
      <c r="AZ493" s="3"/>
      <c r="BB493" s="3"/>
      <c r="BD493" s="3"/>
      <c r="BF493" s="3"/>
      <c r="BH493" s="3"/>
      <c r="BJ493" s="3"/>
    </row>
    <row r="494" spans="1:62">
      <c r="A494" s="2"/>
      <c r="AR494" s="3"/>
      <c r="AT494" s="3"/>
      <c r="AV494" s="3"/>
      <c r="AX494" s="3"/>
      <c r="AZ494" s="3"/>
      <c r="BB494" s="3"/>
      <c r="BD494" s="3"/>
      <c r="BF494" s="3"/>
      <c r="BH494" s="3"/>
      <c r="BJ494" s="3"/>
    </row>
    <row r="495" spans="1:62">
      <c r="A495" s="2"/>
      <c r="AR495" s="3"/>
      <c r="AT495" s="3"/>
      <c r="AV495" s="3"/>
      <c r="AX495" s="3"/>
      <c r="AZ495" s="3"/>
      <c r="BB495" s="3"/>
      <c r="BD495" s="3"/>
      <c r="BF495" s="3"/>
      <c r="BH495" s="3"/>
      <c r="BJ495" s="3"/>
    </row>
    <row r="496" spans="1:62">
      <c r="A496" s="2"/>
      <c r="AR496" s="3"/>
      <c r="AT496" s="3"/>
      <c r="AV496" s="3"/>
      <c r="AX496" s="3"/>
      <c r="AZ496" s="3"/>
      <c r="BB496" s="3"/>
      <c r="BD496" s="3"/>
      <c r="BF496" s="3"/>
      <c r="BH496" s="3"/>
      <c r="BJ496" s="3"/>
    </row>
    <row r="497" spans="1:62">
      <c r="A497" s="2"/>
      <c r="AR497" s="3"/>
      <c r="AT497" s="3"/>
      <c r="AV497" s="3"/>
      <c r="AX497" s="3"/>
      <c r="AZ497" s="3"/>
      <c r="BB497" s="3"/>
      <c r="BD497" s="3"/>
      <c r="BF497" s="3"/>
      <c r="BH497" s="3"/>
      <c r="BJ497" s="3"/>
    </row>
    <row r="498" spans="1:62">
      <c r="A498" s="2"/>
      <c r="AR498" s="3"/>
      <c r="AT498" s="3"/>
      <c r="AV498" s="3"/>
      <c r="AX498" s="3"/>
      <c r="AZ498" s="3"/>
      <c r="BB498" s="3"/>
      <c r="BD498" s="3"/>
      <c r="BF498" s="3"/>
      <c r="BH498" s="3"/>
      <c r="BJ498" s="3"/>
    </row>
    <row r="499" spans="1:62">
      <c r="A499" s="2"/>
      <c r="AR499" s="3"/>
      <c r="AT499" s="3"/>
      <c r="AV499" s="3"/>
      <c r="AX499" s="3"/>
      <c r="AZ499" s="3"/>
      <c r="BB499" s="3"/>
      <c r="BD499" s="3"/>
      <c r="BF499" s="3"/>
      <c r="BH499" s="3"/>
      <c r="BJ499" s="3"/>
    </row>
    <row r="500" spans="1:62">
      <c r="A500" s="2"/>
      <c r="AR500" s="3"/>
      <c r="AT500" s="3"/>
      <c r="AV500" s="3"/>
      <c r="AX500" s="3"/>
      <c r="AZ500" s="3"/>
      <c r="BB500" s="3"/>
      <c r="BD500" s="3"/>
      <c r="BF500" s="3"/>
      <c r="BH500" s="3"/>
      <c r="BJ500" s="3"/>
    </row>
    <row r="501" spans="1:62">
      <c r="A501" s="2"/>
      <c r="AR501" s="3"/>
      <c r="AT501" s="3"/>
      <c r="AV501" s="3"/>
      <c r="AX501" s="3"/>
      <c r="AZ501" s="3"/>
      <c r="BB501" s="3"/>
      <c r="BD501" s="3"/>
      <c r="BF501" s="3"/>
      <c r="BH501" s="3"/>
      <c r="BJ501" s="3"/>
    </row>
    <row r="502" spans="1:62">
      <c r="A502" s="2"/>
      <c r="AR502" s="3"/>
      <c r="AT502" s="3"/>
      <c r="AV502" s="3"/>
      <c r="AX502" s="3"/>
      <c r="AZ502" s="3"/>
      <c r="BB502" s="3"/>
      <c r="BD502" s="3"/>
      <c r="BF502" s="3"/>
      <c r="BH502" s="3"/>
      <c r="BJ502" s="3"/>
    </row>
    <row r="503" spans="1:62">
      <c r="A503" s="2"/>
      <c r="AR503" s="3"/>
      <c r="AT503" s="3"/>
      <c r="AV503" s="3"/>
      <c r="AX503" s="3"/>
      <c r="AZ503" s="3"/>
      <c r="BB503" s="3"/>
      <c r="BD503" s="3"/>
      <c r="BF503" s="3"/>
      <c r="BH503" s="3"/>
      <c r="BJ503" s="3"/>
    </row>
    <row r="504" spans="1:62">
      <c r="A504" s="2"/>
      <c r="AR504" s="3"/>
      <c r="AT504" s="3"/>
      <c r="AV504" s="3"/>
      <c r="AX504" s="3"/>
      <c r="AZ504" s="3"/>
      <c r="BB504" s="3"/>
      <c r="BD504" s="3"/>
      <c r="BF504" s="3"/>
      <c r="BH504" s="3"/>
      <c r="BJ504" s="3"/>
    </row>
    <row r="505" spans="1:62">
      <c r="A505" s="2"/>
      <c r="AR505" s="3"/>
      <c r="AT505" s="3"/>
      <c r="AV505" s="3"/>
      <c r="AX505" s="3"/>
      <c r="AZ505" s="3"/>
      <c r="BB505" s="3"/>
      <c r="BD505" s="3"/>
      <c r="BF505" s="3"/>
      <c r="BH505" s="3"/>
      <c r="BJ505" s="3"/>
    </row>
    <row r="506" spans="1:62">
      <c r="A506" s="2"/>
      <c r="AR506" s="3"/>
      <c r="AT506" s="3"/>
      <c r="AV506" s="3"/>
      <c r="AX506" s="3"/>
      <c r="AZ506" s="3"/>
      <c r="BB506" s="3"/>
      <c r="BD506" s="3"/>
      <c r="BF506" s="3"/>
      <c r="BH506" s="3"/>
      <c r="BJ506" s="3"/>
    </row>
    <row r="507" spans="1:62">
      <c r="A507" s="2"/>
      <c r="AR507" s="3"/>
      <c r="AT507" s="3"/>
      <c r="AV507" s="3"/>
      <c r="AX507" s="3"/>
      <c r="AZ507" s="3"/>
      <c r="BB507" s="3"/>
      <c r="BD507" s="3"/>
      <c r="BF507" s="3"/>
      <c r="BH507" s="3"/>
      <c r="BJ507" s="3"/>
    </row>
    <row r="508" spans="1:62">
      <c r="A508" s="2"/>
      <c r="AR508" s="3"/>
      <c r="AT508" s="3"/>
      <c r="AV508" s="3"/>
      <c r="AX508" s="3"/>
      <c r="AZ508" s="3"/>
      <c r="BB508" s="3"/>
      <c r="BD508" s="3"/>
      <c r="BF508" s="3"/>
      <c r="BH508" s="3"/>
      <c r="BJ508" s="3"/>
    </row>
    <row r="509" spans="1:62">
      <c r="A509" s="2"/>
      <c r="AR509" s="3"/>
      <c r="AT509" s="3"/>
      <c r="AV509" s="3"/>
      <c r="AX509" s="3"/>
      <c r="AZ509" s="3"/>
      <c r="BB509" s="3"/>
      <c r="BD509" s="3"/>
      <c r="BF509" s="3"/>
      <c r="BH509" s="3"/>
      <c r="BJ509" s="3"/>
    </row>
    <row r="510" spans="1:62">
      <c r="A510" s="2"/>
      <c r="AR510" s="3"/>
      <c r="AT510" s="3"/>
      <c r="AV510" s="3"/>
      <c r="AX510" s="3"/>
      <c r="AZ510" s="3"/>
      <c r="BB510" s="3"/>
      <c r="BD510" s="3"/>
      <c r="BF510" s="3"/>
      <c r="BH510" s="3"/>
      <c r="BJ510" s="3"/>
    </row>
    <row r="511" spans="1:62">
      <c r="A511" s="2"/>
      <c r="AR511" s="3"/>
      <c r="AT511" s="3"/>
      <c r="AV511" s="3"/>
      <c r="AX511" s="3"/>
      <c r="AZ511" s="3"/>
      <c r="BB511" s="3"/>
      <c r="BD511" s="3"/>
      <c r="BF511" s="3"/>
      <c r="BH511" s="3"/>
      <c r="BJ511" s="3"/>
    </row>
    <row r="512" spans="1:62">
      <c r="A512" s="2"/>
      <c r="AR512" s="3"/>
      <c r="AT512" s="3"/>
      <c r="AV512" s="3"/>
      <c r="AX512" s="3"/>
      <c r="AZ512" s="3"/>
      <c r="BB512" s="3"/>
      <c r="BD512" s="3"/>
      <c r="BF512" s="3"/>
      <c r="BH512" s="3"/>
      <c r="BJ512" s="3"/>
    </row>
    <row r="513" spans="1:62">
      <c r="A513" s="2"/>
      <c r="AR513" s="3"/>
      <c r="AT513" s="3"/>
      <c r="AV513" s="3"/>
      <c r="AX513" s="3"/>
      <c r="AZ513" s="3"/>
      <c r="BB513" s="3"/>
      <c r="BD513" s="3"/>
      <c r="BF513" s="3"/>
      <c r="BH513" s="3"/>
      <c r="BJ513" s="3"/>
    </row>
    <row r="514" spans="1:62">
      <c r="A514" s="2"/>
      <c r="AR514" s="3"/>
      <c r="AT514" s="3"/>
      <c r="AV514" s="3"/>
      <c r="AX514" s="3"/>
      <c r="AZ514" s="3"/>
      <c r="BB514" s="3"/>
      <c r="BD514" s="3"/>
      <c r="BF514" s="3"/>
      <c r="BH514" s="3"/>
      <c r="BJ514" s="3"/>
    </row>
    <row r="515" spans="1:62">
      <c r="A515" s="2"/>
      <c r="AR515" s="3"/>
      <c r="AT515" s="3"/>
      <c r="AV515" s="3"/>
      <c r="AX515" s="3"/>
      <c r="AZ515" s="3"/>
      <c r="BB515" s="3"/>
      <c r="BD515" s="3"/>
      <c r="BF515" s="3"/>
      <c r="BH515" s="3"/>
      <c r="BJ515" s="3"/>
    </row>
    <row r="516" spans="1:62">
      <c r="A516" s="2"/>
      <c r="AR516" s="3"/>
      <c r="AT516" s="3"/>
      <c r="AV516" s="3"/>
      <c r="AX516" s="3"/>
      <c r="AZ516" s="3"/>
      <c r="BB516" s="3"/>
      <c r="BD516" s="3"/>
      <c r="BF516" s="3"/>
      <c r="BH516" s="3"/>
      <c r="BJ516" s="3"/>
    </row>
    <row r="517" spans="1:62">
      <c r="A517" s="2"/>
      <c r="AR517" s="3"/>
      <c r="AT517" s="3"/>
      <c r="AV517" s="3"/>
      <c r="AX517" s="3"/>
      <c r="AZ517" s="3"/>
      <c r="BB517" s="3"/>
      <c r="BD517" s="3"/>
      <c r="BF517" s="3"/>
      <c r="BH517" s="3"/>
      <c r="BJ517" s="3"/>
    </row>
    <row r="518" spans="1:62">
      <c r="A518" s="2"/>
      <c r="AR518" s="3"/>
      <c r="AT518" s="3"/>
      <c r="AV518" s="3"/>
      <c r="AX518" s="3"/>
      <c r="AZ518" s="3"/>
      <c r="BB518" s="3"/>
      <c r="BD518" s="3"/>
      <c r="BF518" s="3"/>
      <c r="BH518" s="3"/>
      <c r="BJ518" s="3"/>
    </row>
    <row r="519" spans="1:62">
      <c r="A519" s="2"/>
      <c r="AR519" s="3"/>
      <c r="AT519" s="3"/>
      <c r="AV519" s="3"/>
      <c r="AX519" s="3"/>
      <c r="AZ519" s="3"/>
      <c r="BB519" s="3"/>
      <c r="BD519" s="3"/>
      <c r="BF519" s="3"/>
      <c r="BH519" s="3"/>
      <c r="BJ519" s="3"/>
    </row>
    <row r="520" spans="1:62">
      <c r="A520" s="2"/>
      <c r="AR520" s="3"/>
      <c r="AT520" s="3"/>
      <c r="AV520" s="3"/>
      <c r="AX520" s="3"/>
      <c r="AZ520" s="3"/>
      <c r="BB520" s="3"/>
      <c r="BD520" s="3"/>
      <c r="BF520" s="3"/>
      <c r="BH520" s="3"/>
      <c r="BJ520" s="3"/>
    </row>
    <row r="521" spans="1:62">
      <c r="A521" s="2"/>
      <c r="AR521" s="3"/>
      <c r="AT521" s="3"/>
      <c r="AV521" s="3"/>
      <c r="AX521" s="3"/>
      <c r="AZ521" s="3"/>
      <c r="BB521" s="3"/>
      <c r="BD521" s="3"/>
      <c r="BF521" s="3"/>
      <c r="BH521" s="3"/>
      <c r="BJ521" s="3"/>
    </row>
    <row r="522" spans="1:62">
      <c r="A522" s="2"/>
      <c r="AR522" s="3"/>
      <c r="AT522" s="3"/>
      <c r="AV522" s="3"/>
      <c r="AX522" s="3"/>
      <c r="AZ522" s="3"/>
      <c r="BB522" s="3"/>
      <c r="BD522" s="3"/>
      <c r="BF522" s="3"/>
      <c r="BH522" s="3"/>
      <c r="BJ522" s="3"/>
    </row>
    <row r="523" spans="1:62">
      <c r="A523" s="2"/>
      <c r="AR523" s="3"/>
      <c r="AT523" s="3"/>
      <c r="AV523" s="3"/>
      <c r="AX523" s="3"/>
      <c r="AZ523" s="3"/>
      <c r="BB523" s="3"/>
      <c r="BD523" s="3"/>
      <c r="BF523" s="3"/>
      <c r="BH523" s="3"/>
      <c r="BJ523" s="3"/>
    </row>
    <row r="524" spans="1:62">
      <c r="A524" s="2"/>
      <c r="AR524" s="3"/>
      <c r="AT524" s="3"/>
      <c r="AV524" s="3"/>
      <c r="AX524" s="3"/>
      <c r="AZ524" s="3"/>
      <c r="BB524" s="3"/>
      <c r="BD524" s="3"/>
      <c r="BF524" s="3"/>
      <c r="BH524" s="3"/>
      <c r="BJ524" s="3"/>
    </row>
    <row r="525" spans="1:62">
      <c r="A525" s="2"/>
      <c r="AR525" s="3"/>
      <c r="AT525" s="3"/>
      <c r="AV525" s="3"/>
      <c r="AX525" s="3"/>
      <c r="AZ525" s="3"/>
      <c r="BB525" s="3"/>
      <c r="BD525" s="3"/>
      <c r="BF525" s="3"/>
      <c r="BH525" s="3"/>
      <c r="BJ525" s="3"/>
    </row>
    <row r="526" spans="1:62">
      <c r="A526" s="2"/>
      <c r="AR526" s="3"/>
      <c r="AT526" s="3"/>
      <c r="AV526" s="3"/>
      <c r="AX526" s="3"/>
      <c r="AZ526" s="3"/>
      <c r="BB526" s="3"/>
      <c r="BD526" s="3"/>
      <c r="BF526" s="3"/>
      <c r="BH526" s="3"/>
      <c r="BJ526" s="3"/>
    </row>
    <row r="527" spans="1:62">
      <c r="A527" s="2"/>
      <c r="AR527" s="3"/>
      <c r="AT527" s="3"/>
      <c r="AV527" s="3"/>
      <c r="AX527" s="3"/>
      <c r="AZ527" s="3"/>
      <c r="BB527" s="3"/>
      <c r="BD527" s="3"/>
      <c r="BF527" s="3"/>
      <c r="BH527" s="3"/>
      <c r="BJ527" s="3"/>
    </row>
    <row r="528" spans="1:62">
      <c r="A528" s="2"/>
      <c r="AR528" s="3"/>
      <c r="AT528" s="3"/>
      <c r="AV528" s="3"/>
      <c r="AX528" s="3"/>
      <c r="AZ528" s="3"/>
      <c r="BB528" s="3"/>
      <c r="BD528" s="3"/>
      <c r="BF528" s="3"/>
      <c r="BH528" s="3"/>
      <c r="BJ528" s="3"/>
    </row>
    <row r="529" spans="1:62">
      <c r="A529" s="2"/>
      <c r="AR529" s="3"/>
      <c r="AT529" s="3"/>
      <c r="AV529" s="3"/>
      <c r="AX529" s="3"/>
      <c r="AZ529" s="3"/>
      <c r="BB529" s="3"/>
      <c r="BD529" s="3"/>
      <c r="BF529" s="3"/>
      <c r="BH529" s="3"/>
      <c r="BJ529" s="3"/>
    </row>
    <row r="530" spans="1:62">
      <c r="A530" s="2"/>
      <c r="AR530" s="3"/>
      <c r="AT530" s="3"/>
      <c r="AV530" s="3"/>
      <c r="AX530" s="3"/>
      <c r="AZ530" s="3"/>
      <c r="BB530" s="3"/>
      <c r="BD530" s="3"/>
      <c r="BF530" s="3"/>
      <c r="BH530" s="3"/>
      <c r="BJ530" s="3"/>
    </row>
    <row r="531" spans="1:62">
      <c r="A531" s="2"/>
      <c r="AR531" s="3"/>
      <c r="AT531" s="3"/>
      <c r="AV531" s="3"/>
      <c r="AX531" s="3"/>
      <c r="AZ531" s="3"/>
      <c r="BB531" s="3"/>
      <c r="BD531" s="3"/>
      <c r="BF531" s="3"/>
      <c r="BH531" s="3"/>
      <c r="BJ531" s="3"/>
    </row>
    <row r="532" spans="1:62">
      <c r="A532" s="2"/>
      <c r="AR532" s="3"/>
      <c r="AT532" s="3"/>
      <c r="AV532" s="3"/>
      <c r="AX532" s="3"/>
      <c r="AZ532" s="3"/>
      <c r="BB532" s="3"/>
      <c r="BD532" s="3"/>
      <c r="BF532" s="3"/>
      <c r="BH532" s="3"/>
      <c r="BJ532" s="3"/>
    </row>
    <row r="533" spans="1:62">
      <c r="A533" s="2"/>
      <c r="AR533" s="3"/>
      <c r="AT533" s="3"/>
      <c r="AV533" s="3"/>
      <c r="AX533" s="3"/>
      <c r="AZ533" s="3"/>
      <c r="BB533" s="3"/>
      <c r="BD533" s="3"/>
      <c r="BF533" s="3"/>
      <c r="BH533" s="3"/>
      <c r="BJ533" s="3"/>
    </row>
    <row r="534" spans="1:62">
      <c r="A534" s="2"/>
      <c r="AR534" s="3"/>
      <c r="AT534" s="3"/>
      <c r="AV534" s="3"/>
      <c r="AX534" s="3"/>
      <c r="AZ534" s="3"/>
      <c r="BB534" s="3"/>
      <c r="BD534" s="3"/>
      <c r="BF534" s="3"/>
      <c r="BH534" s="3"/>
      <c r="BJ534" s="3"/>
    </row>
    <row r="535" spans="1:62">
      <c r="A535" s="2"/>
      <c r="AR535" s="3"/>
      <c r="AT535" s="3"/>
      <c r="AV535" s="3"/>
      <c r="AX535" s="3"/>
      <c r="AZ535" s="3"/>
      <c r="BB535" s="3"/>
      <c r="BD535" s="3"/>
      <c r="BF535" s="3"/>
      <c r="BH535" s="3"/>
      <c r="BJ535" s="3"/>
    </row>
    <row r="536" spans="1:62">
      <c r="A536" s="2"/>
      <c r="AR536" s="3"/>
      <c r="AT536" s="3"/>
      <c r="AV536" s="3"/>
      <c r="AX536" s="3"/>
      <c r="AZ536" s="3"/>
      <c r="BB536" s="3"/>
      <c r="BD536" s="3"/>
      <c r="BF536" s="3"/>
      <c r="BH536" s="3"/>
      <c r="BJ536" s="3"/>
    </row>
    <row r="537" spans="1:62">
      <c r="A537" s="2"/>
      <c r="AR537" s="3"/>
      <c r="AT537" s="3"/>
      <c r="AV537" s="3"/>
      <c r="AX537" s="3"/>
      <c r="AZ537" s="3"/>
      <c r="BB537" s="3"/>
      <c r="BD537" s="3"/>
      <c r="BF537" s="3"/>
      <c r="BH537" s="3"/>
      <c r="BJ537" s="3"/>
    </row>
    <row r="538" spans="1:62">
      <c r="A538" s="2"/>
      <c r="AR538" s="3"/>
      <c r="AT538" s="3"/>
      <c r="AV538" s="3"/>
      <c r="AX538" s="3"/>
      <c r="AZ538" s="3"/>
      <c r="BB538" s="3"/>
      <c r="BD538" s="3"/>
      <c r="BF538" s="3"/>
      <c r="BH538" s="3"/>
      <c r="BJ538" s="3"/>
    </row>
    <row r="539" spans="1:62">
      <c r="A539" s="2"/>
      <c r="AR539" s="3"/>
      <c r="AT539" s="3"/>
      <c r="AV539" s="3"/>
      <c r="AX539" s="3"/>
      <c r="AZ539" s="3"/>
      <c r="BB539" s="3"/>
      <c r="BD539" s="3"/>
      <c r="BF539" s="3"/>
      <c r="BH539" s="3"/>
      <c r="BJ539" s="3"/>
    </row>
    <row r="540" spans="1:62">
      <c r="A540" s="2"/>
      <c r="AR540" s="3"/>
      <c r="AT540" s="3"/>
      <c r="AV540" s="3"/>
      <c r="AX540" s="3"/>
      <c r="AZ540" s="3"/>
      <c r="BB540" s="3"/>
      <c r="BD540" s="3"/>
      <c r="BF540" s="3"/>
      <c r="BH540" s="3"/>
      <c r="BJ540" s="3"/>
    </row>
    <row r="541" spans="1:62">
      <c r="A541" s="2"/>
      <c r="AR541" s="3"/>
      <c r="AT541" s="3"/>
      <c r="AV541" s="3"/>
      <c r="AX541" s="3"/>
      <c r="AZ541" s="3"/>
      <c r="BB541" s="3"/>
      <c r="BD541" s="3"/>
      <c r="BF541" s="3"/>
      <c r="BH541" s="3"/>
      <c r="BJ541" s="3"/>
    </row>
    <row r="542" spans="1:62">
      <c r="A542" s="2"/>
      <c r="AR542" s="3"/>
      <c r="AT542" s="3"/>
      <c r="AV542" s="3"/>
      <c r="AX542" s="3"/>
      <c r="AZ542" s="3"/>
      <c r="BB542" s="3"/>
      <c r="BD542" s="3"/>
      <c r="BF542" s="3"/>
      <c r="BH542" s="3"/>
      <c r="BJ542" s="3"/>
    </row>
    <row r="543" spans="1:62">
      <c r="A543" s="2"/>
      <c r="AR543" s="3"/>
      <c r="AT543" s="3"/>
      <c r="AV543" s="3"/>
      <c r="AX543" s="3"/>
      <c r="AZ543" s="3"/>
      <c r="BB543" s="3"/>
      <c r="BD543" s="3"/>
      <c r="BF543" s="3"/>
      <c r="BH543" s="3"/>
      <c r="BJ543" s="3"/>
    </row>
    <row r="544" spans="1:62">
      <c r="A544" s="2"/>
      <c r="AR544" s="3"/>
      <c r="AT544" s="3"/>
      <c r="AV544" s="3"/>
      <c r="AX544" s="3"/>
      <c r="AZ544" s="3"/>
      <c r="BB544" s="3"/>
      <c r="BD544" s="3"/>
      <c r="BF544" s="3"/>
      <c r="BH544" s="3"/>
      <c r="BJ544" s="3"/>
    </row>
    <row r="545" spans="1:62">
      <c r="A545" s="2"/>
      <c r="AR545" s="3"/>
      <c r="AT545" s="3"/>
      <c r="AV545" s="3"/>
      <c r="AX545" s="3"/>
      <c r="AZ545" s="3"/>
      <c r="BB545" s="3"/>
      <c r="BD545" s="3"/>
      <c r="BF545" s="3"/>
      <c r="BH545" s="3"/>
      <c r="BJ545" s="3"/>
    </row>
    <row r="546" spans="1:62">
      <c r="A546" s="2"/>
      <c r="AR546" s="3"/>
      <c r="AT546" s="3"/>
      <c r="AV546" s="3"/>
      <c r="AX546" s="3"/>
      <c r="AZ546" s="3"/>
      <c r="BB546" s="3"/>
      <c r="BD546" s="3"/>
      <c r="BF546" s="3"/>
      <c r="BH546" s="3"/>
      <c r="BJ546" s="3"/>
    </row>
    <row r="547" spans="1:62">
      <c r="A547" s="2"/>
      <c r="AR547" s="3"/>
      <c r="AT547" s="3"/>
      <c r="AV547" s="3"/>
      <c r="AX547" s="3"/>
      <c r="AZ547" s="3"/>
      <c r="BB547" s="3"/>
      <c r="BD547" s="3"/>
      <c r="BF547" s="3"/>
      <c r="BH547" s="3"/>
      <c r="BJ547" s="3"/>
    </row>
    <row r="548" spans="1:62">
      <c r="A548" s="2"/>
      <c r="AR548" s="3"/>
      <c r="AT548" s="3"/>
      <c r="AV548" s="3"/>
      <c r="AX548" s="3"/>
      <c r="AZ548" s="3"/>
      <c r="BB548" s="3"/>
      <c r="BD548" s="3"/>
      <c r="BF548" s="3"/>
      <c r="BH548" s="3"/>
      <c r="BJ548" s="3"/>
    </row>
    <row r="549" spans="1:62">
      <c r="A549" s="2"/>
      <c r="AR549" s="3"/>
      <c r="AT549" s="3"/>
      <c r="AV549" s="3"/>
      <c r="AX549" s="3"/>
      <c r="AZ549" s="3"/>
      <c r="BB549" s="3"/>
      <c r="BD549" s="3"/>
      <c r="BF549" s="3"/>
      <c r="BH549" s="3"/>
      <c r="BJ549" s="3"/>
    </row>
    <row r="550" spans="1:62">
      <c r="A550" s="2"/>
      <c r="AR550" s="3"/>
      <c r="AT550" s="3"/>
      <c r="AV550" s="3"/>
      <c r="AX550" s="3"/>
      <c r="AZ550" s="3"/>
      <c r="BB550" s="3"/>
      <c r="BD550" s="3"/>
      <c r="BF550" s="3"/>
      <c r="BH550" s="3"/>
      <c r="BJ550" s="3"/>
    </row>
    <row r="551" spans="1:62">
      <c r="A551" s="2"/>
      <c r="AR551" s="3"/>
      <c r="AT551" s="3"/>
      <c r="AV551" s="3"/>
      <c r="AX551" s="3"/>
      <c r="AZ551" s="3"/>
      <c r="BB551" s="3"/>
      <c r="BD551" s="3"/>
      <c r="BF551" s="3"/>
      <c r="BH551" s="3"/>
      <c r="BJ551" s="3"/>
    </row>
    <row r="552" spans="1:62">
      <c r="A552" s="2"/>
      <c r="AR552" s="3"/>
      <c r="AT552" s="3"/>
      <c r="AV552" s="3"/>
      <c r="AX552" s="3"/>
      <c r="AZ552" s="3"/>
      <c r="BB552" s="3"/>
      <c r="BD552" s="3"/>
      <c r="BF552" s="3"/>
      <c r="BH552" s="3"/>
      <c r="BJ552" s="3"/>
    </row>
    <row r="553" spans="1:62">
      <c r="A553" s="2"/>
      <c r="AR553" s="3"/>
      <c r="AT553" s="3"/>
      <c r="AV553" s="3"/>
      <c r="AX553" s="3"/>
      <c r="AZ553" s="3"/>
      <c r="BB553" s="3"/>
      <c r="BD553" s="3"/>
      <c r="BF553" s="3"/>
      <c r="BH553" s="3"/>
      <c r="BJ553" s="3"/>
    </row>
    <row r="554" spans="1:62">
      <c r="A554" s="2"/>
      <c r="AR554" s="3"/>
      <c r="AT554" s="3"/>
      <c r="AV554" s="3"/>
      <c r="AX554" s="3"/>
      <c r="AZ554" s="3"/>
      <c r="BB554" s="3"/>
      <c r="BD554" s="3"/>
      <c r="BF554" s="3"/>
      <c r="BH554" s="3"/>
      <c r="BJ554" s="3"/>
    </row>
    <row r="555" spans="1:62">
      <c r="A555" s="2"/>
      <c r="AR555" s="3"/>
      <c r="AT555" s="3"/>
      <c r="AV555" s="3"/>
      <c r="AX555" s="3"/>
      <c r="AZ555" s="3"/>
      <c r="BB555" s="3"/>
      <c r="BD555" s="3"/>
      <c r="BF555" s="3"/>
      <c r="BH555" s="3"/>
      <c r="BJ555" s="3"/>
    </row>
    <row r="556" spans="1:62">
      <c r="A556" s="2"/>
      <c r="AR556" s="3"/>
      <c r="AT556" s="3"/>
      <c r="AV556" s="3"/>
      <c r="AX556" s="3"/>
      <c r="AZ556" s="3"/>
      <c r="BB556" s="3"/>
      <c r="BD556" s="3"/>
      <c r="BF556" s="3"/>
      <c r="BH556" s="3"/>
      <c r="BJ556" s="3"/>
    </row>
    <row r="557" spans="1:62">
      <c r="A557" s="2"/>
      <c r="AR557" s="3"/>
      <c r="AT557" s="3"/>
      <c r="AV557" s="3"/>
      <c r="AX557" s="3"/>
      <c r="AZ557" s="3"/>
      <c r="BB557" s="3"/>
      <c r="BD557" s="3"/>
      <c r="BF557" s="3"/>
      <c r="BH557" s="3"/>
      <c r="BJ557" s="3"/>
    </row>
    <row r="558" spans="1:62">
      <c r="A558" s="2"/>
      <c r="AR558" s="3"/>
      <c r="AT558" s="3"/>
      <c r="AV558" s="3"/>
      <c r="AX558" s="3"/>
      <c r="AZ558" s="3"/>
      <c r="BB558" s="3"/>
      <c r="BD558" s="3"/>
      <c r="BF558" s="3"/>
      <c r="BH558" s="3"/>
      <c r="BJ558" s="3"/>
    </row>
    <row r="559" spans="1:62">
      <c r="A559" s="2"/>
      <c r="AR559" s="3"/>
      <c r="AT559" s="3"/>
      <c r="AV559" s="3"/>
      <c r="AX559" s="3"/>
      <c r="AZ559" s="3"/>
      <c r="BB559" s="3"/>
      <c r="BD559" s="3"/>
      <c r="BF559" s="3"/>
      <c r="BH559" s="3"/>
      <c r="BJ559" s="3"/>
    </row>
    <row r="560" spans="1:62">
      <c r="A560" s="2"/>
      <c r="AR560" s="3"/>
      <c r="AT560" s="3"/>
      <c r="AV560" s="3"/>
      <c r="AX560" s="3"/>
      <c r="AZ560" s="3"/>
      <c r="BB560" s="3"/>
      <c r="BD560" s="3"/>
      <c r="BF560" s="3"/>
      <c r="BH560" s="3"/>
      <c r="BJ560" s="3"/>
    </row>
    <row r="561" spans="1:62">
      <c r="A561" s="2"/>
      <c r="AR561" s="3"/>
      <c r="AT561" s="3"/>
      <c r="AV561" s="3"/>
      <c r="AX561" s="3"/>
      <c r="AZ561" s="3"/>
      <c r="BB561" s="3"/>
      <c r="BD561" s="3"/>
      <c r="BF561" s="3"/>
      <c r="BH561" s="3"/>
      <c r="BJ561" s="3"/>
    </row>
    <row r="562" spans="1:62">
      <c r="A562" s="2"/>
      <c r="AR562" s="3"/>
      <c r="AT562" s="3"/>
      <c r="AV562" s="3"/>
      <c r="AX562" s="3"/>
      <c r="AZ562" s="3"/>
      <c r="BB562" s="3"/>
      <c r="BD562" s="3"/>
      <c r="BF562" s="3"/>
      <c r="BH562" s="3"/>
      <c r="BJ562" s="3"/>
    </row>
    <row r="563" spans="1:62">
      <c r="A563" s="2"/>
      <c r="AR563" s="3"/>
      <c r="AT563" s="3"/>
      <c r="AV563" s="3"/>
      <c r="AX563" s="3"/>
      <c r="AZ563" s="3"/>
      <c r="BB563" s="3"/>
      <c r="BD563" s="3"/>
      <c r="BF563" s="3"/>
      <c r="BH563" s="3"/>
      <c r="BJ563" s="3"/>
    </row>
    <row r="564" spans="1:62">
      <c r="A564" s="2"/>
      <c r="AR564" s="3"/>
      <c r="AT564" s="3"/>
      <c r="AV564" s="3"/>
      <c r="AX564" s="3"/>
      <c r="AZ564" s="3"/>
      <c r="BB564" s="3"/>
      <c r="BD564" s="3"/>
      <c r="BF564" s="3"/>
      <c r="BH564" s="3"/>
      <c r="BJ564" s="3"/>
    </row>
    <row r="565" spans="1:62">
      <c r="A565" s="2"/>
      <c r="AR565" s="3"/>
      <c r="AT565" s="3"/>
      <c r="AV565" s="3"/>
      <c r="AX565" s="3"/>
      <c r="AZ565" s="3"/>
      <c r="BB565" s="3"/>
      <c r="BD565" s="3"/>
      <c r="BF565" s="3"/>
      <c r="BH565" s="3"/>
      <c r="BJ565" s="3"/>
    </row>
    <row r="566" spans="1:62">
      <c r="A566" s="2"/>
      <c r="AR566" s="3"/>
      <c r="AT566" s="3"/>
      <c r="AV566" s="3"/>
      <c r="AX566" s="3"/>
      <c r="AZ566" s="3"/>
      <c r="BB566" s="3"/>
      <c r="BD566" s="3"/>
      <c r="BF566" s="3"/>
      <c r="BH566" s="3"/>
      <c r="BJ566" s="3"/>
    </row>
    <row r="567" spans="1:62">
      <c r="A567" s="2"/>
      <c r="AR567" s="3"/>
      <c r="AT567" s="3"/>
      <c r="AV567" s="3"/>
      <c r="AX567" s="3"/>
      <c r="AZ567" s="3"/>
      <c r="BB567" s="3"/>
      <c r="BD567" s="3"/>
      <c r="BF567" s="3"/>
      <c r="BH567" s="3"/>
      <c r="BJ567" s="3"/>
    </row>
    <row r="568" spans="1:62">
      <c r="A568" s="2"/>
      <c r="AR568" s="3"/>
      <c r="AT568" s="3"/>
      <c r="AV568" s="3"/>
      <c r="AX568" s="3"/>
      <c r="AZ568" s="3"/>
      <c r="BB568" s="3"/>
      <c r="BD568" s="3"/>
      <c r="BF568" s="3"/>
      <c r="BH568" s="3"/>
      <c r="BJ568" s="3"/>
    </row>
    <row r="569" spans="1:62">
      <c r="A569" s="2"/>
      <c r="AR569" s="3"/>
      <c r="AT569" s="3"/>
      <c r="AV569" s="3"/>
      <c r="AX569" s="3"/>
      <c r="AZ569" s="3"/>
      <c r="BB569" s="3"/>
      <c r="BD569" s="3"/>
      <c r="BF569" s="3"/>
      <c r="BH569" s="3"/>
      <c r="BJ569" s="3"/>
    </row>
    <row r="570" spans="1:62">
      <c r="A570" s="2"/>
      <c r="AR570" s="3"/>
      <c r="AT570" s="3"/>
      <c r="AV570" s="3"/>
      <c r="AX570" s="3"/>
      <c r="AZ570" s="3"/>
      <c r="BB570" s="3"/>
      <c r="BD570" s="3"/>
      <c r="BF570" s="3"/>
      <c r="BH570" s="3"/>
      <c r="BJ570" s="3"/>
    </row>
    <row r="571" spans="1:62">
      <c r="A571" s="2"/>
      <c r="AR571" s="3"/>
      <c r="AT571" s="3"/>
      <c r="AV571" s="3"/>
      <c r="AX571" s="3"/>
      <c r="AZ571" s="3"/>
      <c r="BB571" s="3"/>
      <c r="BD571" s="3"/>
      <c r="BF571" s="3"/>
      <c r="BH571" s="3"/>
      <c r="BJ571" s="3"/>
    </row>
    <row r="572" spans="1:62">
      <c r="A572" s="2"/>
      <c r="AR572" s="3"/>
      <c r="AT572" s="3"/>
      <c r="AV572" s="3"/>
      <c r="AX572" s="3"/>
      <c r="AZ572" s="3"/>
      <c r="BB572" s="3"/>
      <c r="BD572" s="3"/>
      <c r="BF572" s="3"/>
      <c r="BH572" s="3"/>
      <c r="BJ572" s="3"/>
    </row>
    <row r="573" spans="1:62">
      <c r="A573" s="2"/>
      <c r="AR573" s="3"/>
      <c r="AT573" s="3"/>
      <c r="AV573" s="3"/>
      <c r="AX573" s="3"/>
      <c r="AZ573" s="3"/>
      <c r="BB573" s="3"/>
      <c r="BD573" s="3"/>
      <c r="BF573" s="3"/>
      <c r="BH573" s="3"/>
      <c r="BJ573" s="3"/>
    </row>
    <row r="574" spans="1:62">
      <c r="A574" s="2"/>
      <c r="AR574" s="3"/>
      <c r="AT574" s="3"/>
      <c r="AV574" s="3"/>
      <c r="AX574" s="3"/>
      <c r="AZ574" s="3"/>
      <c r="BB574" s="3"/>
      <c r="BD574" s="3"/>
      <c r="BF574" s="3"/>
      <c r="BH574" s="3"/>
      <c r="BJ574" s="3"/>
    </row>
    <row r="575" spans="1:62">
      <c r="A575" s="2"/>
      <c r="AR575" s="3"/>
      <c r="AT575" s="3"/>
      <c r="AV575" s="3"/>
      <c r="AX575" s="3"/>
      <c r="AZ575" s="3"/>
      <c r="BB575" s="3"/>
      <c r="BD575" s="3"/>
      <c r="BF575" s="3"/>
      <c r="BH575" s="3"/>
      <c r="BJ575" s="3"/>
    </row>
    <row r="576" spans="1:62">
      <c r="A576" s="2"/>
      <c r="AR576" s="3"/>
      <c r="AT576" s="3"/>
      <c r="AV576" s="3"/>
      <c r="AX576" s="3"/>
      <c r="AZ576" s="3"/>
      <c r="BB576" s="3"/>
      <c r="BD576" s="3"/>
      <c r="BF576" s="3"/>
      <c r="BH576" s="3"/>
      <c r="BJ576" s="3"/>
    </row>
    <row r="577" spans="1:62">
      <c r="A577" s="2"/>
      <c r="AR577" s="3"/>
      <c r="AT577" s="3"/>
      <c r="AV577" s="3"/>
      <c r="AX577" s="3"/>
      <c r="AZ577" s="3"/>
      <c r="BB577" s="3"/>
      <c r="BD577" s="3"/>
      <c r="BF577" s="3"/>
      <c r="BH577" s="3"/>
      <c r="BJ577" s="3"/>
    </row>
    <row r="578" spans="1:62">
      <c r="A578" s="2"/>
      <c r="AR578" s="3"/>
      <c r="AT578" s="3"/>
      <c r="AV578" s="3"/>
      <c r="AX578" s="3"/>
      <c r="AZ578" s="3"/>
      <c r="BB578" s="3"/>
      <c r="BD578" s="3"/>
      <c r="BF578" s="3"/>
      <c r="BH578" s="3"/>
      <c r="BJ578" s="3"/>
    </row>
    <row r="579" spans="1:62">
      <c r="A579" s="2"/>
      <c r="AR579" s="3"/>
      <c r="AT579" s="3"/>
      <c r="AV579" s="3"/>
      <c r="AX579" s="3"/>
      <c r="AZ579" s="3"/>
      <c r="BB579" s="3"/>
      <c r="BD579" s="3"/>
      <c r="BF579" s="3"/>
      <c r="BH579" s="3"/>
      <c r="BJ579" s="3"/>
    </row>
    <row r="580" spans="1:62">
      <c r="A580" s="2"/>
      <c r="AR580" s="3"/>
      <c r="AT580" s="3"/>
      <c r="AV580" s="3"/>
      <c r="AX580" s="3"/>
      <c r="AZ580" s="3"/>
      <c r="BB580" s="3"/>
      <c r="BD580" s="3"/>
      <c r="BF580" s="3"/>
      <c r="BH580" s="3"/>
      <c r="BJ580" s="3"/>
    </row>
    <row r="581" spans="1:62">
      <c r="A581" s="2"/>
      <c r="AR581" s="3"/>
      <c r="AT581" s="3"/>
      <c r="AV581" s="3"/>
      <c r="AX581" s="3"/>
      <c r="AZ581" s="3"/>
      <c r="BB581" s="3"/>
      <c r="BD581" s="3"/>
      <c r="BF581" s="3"/>
      <c r="BH581" s="3"/>
      <c r="BJ581" s="3"/>
    </row>
    <row r="582" spans="1:62">
      <c r="A582" s="2"/>
      <c r="AR582" s="3"/>
      <c r="AT582" s="3"/>
      <c r="AV582" s="3"/>
      <c r="AX582" s="3"/>
      <c r="AZ582" s="3"/>
      <c r="BB582" s="3"/>
      <c r="BD582" s="3"/>
      <c r="BF582" s="3"/>
      <c r="BH582" s="3"/>
      <c r="BJ582" s="3"/>
    </row>
    <row r="583" spans="1:62">
      <c r="A583" s="2"/>
      <c r="AR583" s="3"/>
      <c r="AT583" s="3"/>
      <c r="AV583" s="3"/>
      <c r="AX583" s="3"/>
      <c r="AZ583" s="3"/>
      <c r="BB583" s="3"/>
      <c r="BD583" s="3"/>
      <c r="BF583" s="3"/>
      <c r="BH583" s="3"/>
      <c r="BJ583" s="3"/>
    </row>
    <row r="584" spans="1:62">
      <c r="A584" s="2"/>
      <c r="AR584" s="3"/>
      <c r="AT584" s="3"/>
      <c r="AV584" s="3"/>
      <c r="AX584" s="3"/>
      <c r="AZ584" s="3"/>
      <c r="BB584" s="3"/>
      <c r="BD584" s="3"/>
      <c r="BF584" s="3"/>
      <c r="BH584" s="3"/>
      <c r="BJ584" s="3"/>
    </row>
    <row r="585" spans="1:62">
      <c r="A585" s="2"/>
      <c r="AR585" s="3"/>
      <c r="AT585" s="3"/>
      <c r="AV585" s="3"/>
      <c r="AX585" s="3"/>
      <c r="AZ585" s="3"/>
      <c r="BB585" s="3"/>
      <c r="BD585" s="3"/>
      <c r="BF585" s="3"/>
      <c r="BH585" s="3"/>
      <c r="BJ585" s="3"/>
    </row>
    <row r="586" spans="1:62">
      <c r="A586" s="2"/>
      <c r="AR586" s="3"/>
      <c r="AT586" s="3"/>
      <c r="AV586" s="3"/>
      <c r="AX586" s="3"/>
      <c r="AZ586" s="3"/>
      <c r="BB586" s="3"/>
      <c r="BD586" s="3"/>
      <c r="BF586" s="3"/>
      <c r="BH586" s="3"/>
      <c r="BJ586" s="3"/>
    </row>
    <row r="587" spans="1:62">
      <c r="A587" s="2"/>
      <c r="AR587" s="3"/>
      <c r="AT587" s="3"/>
      <c r="AV587" s="3"/>
      <c r="AX587" s="3"/>
      <c r="AZ587" s="3"/>
      <c r="BB587" s="3"/>
      <c r="BD587" s="3"/>
      <c r="BF587" s="3"/>
      <c r="BH587" s="3"/>
      <c r="BJ587" s="3"/>
    </row>
    <row r="588" spans="1:62">
      <c r="A588" s="2"/>
      <c r="AR588" s="3"/>
      <c r="AT588" s="3"/>
      <c r="AV588" s="3"/>
      <c r="AX588" s="3"/>
      <c r="AZ588" s="3"/>
      <c r="BB588" s="3"/>
      <c r="BD588" s="3"/>
      <c r="BF588" s="3"/>
      <c r="BH588" s="3"/>
      <c r="BJ588" s="3"/>
    </row>
    <row r="589" spans="1:62">
      <c r="A589" s="2"/>
      <c r="AR589" s="3"/>
      <c r="AT589" s="3"/>
      <c r="AV589" s="3"/>
      <c r="AX589" s="3"/>
      <c r="AZ589" s="3"/>
      <c r="BB589" s="3"/>
      <c r="BD589" s="3"/>
      <c r="BF589" s="3"/>
      <c r="BH589" s="3"/>
      <c r="BJ589" s="3"/>
    </row>
    <row r="590" spans="1:62">
      <c r="A590" s="2"/>
      <c r="AR590" s="3"/>
      <c r="AT590" s="3"/>
      <c r="AV590" s="3"/>
      <c r="AX590" s="3"/>
      <c r="AZ590" s="3"/>
      <c r="BB590" s="3"/>
      <c r="BD590" s="3"/>
      <c r="BF590" s="3"/>
      <c r="BH590" s="3"/>
      <c r="BJ590" s="3"/>
    </row>
    <row r="591" spans="1:62">
      <c r="A591" s="2"/>
      <c r="AR591" s="3"/>
      <c r="AT591" s="3"/>
      <c r="AV591" s="3"/>
      <c r="AX591" s="3"/>
      <c r="AZ591" s="3"/>
      <c r="BB591" s="3"/>
      <c r="BD591" s="3"/>
      <c r="BF591" s="3"/>
      <c r="BH591" s="3"/>
      <c r="BJ591" s="3"/>
    </row>
    <row r="592" spans="1:62">
      <c r="A592" s="2"/>
      <c r="AR592" s="3"/>
      <c r="AT592" s="3"/>
      <c r="AV592" s="3"/>
      <c r="AX592" s="3"/>
      <c r="AZ592" s="3"/>
      <c r="BB592" s="3"/>
      <c r="BD592" s="3"/>
      <c r="BF592" s="3"/>
      <c r="BH592" s="3"/>
      <c r="BJ592" s="3"/>
    </row>
    <row r="593" spans="1:62">
      <c r="A593" s="2"/>
      <c r="AR593" s="3"/>
      <c r="AT593" s="3"/>
      <c r="AV593" s="3"/>
      <c r="AX593" s="3"/>
      <c r="AZ593" s="3"/>
      <c r="BB593" s="3"/>
      <c r="BD593" s="3"/>
      <c r="BF593" s="3"/>
      <c r="BH593" s="3"/>
      <c r="BJ593" s="3"/>
    </row>
    <row r="594" spans="1:62">
      <c r="A594" s="2"/>
      <c r="AR594" s="3"/>
      <c r="AT594" s="3"/>
      <c r="AV594" s="3"/>
      <c r="AX594" s="3"/>
      <c r="AZ594" s="3"/>
      <c r="BB594" s="3"/>
      <c r="BD594" s="3"/>
      <c r="BF594" s="3"/>
      <c r="BH594" s="3"/>
      <c r="BJ594" s="3"/>
    </row>
    <row r="595" spans="1:62">
      <c r="A595" s="2"/>
      <c r="AR595" s="3"/>
      <c r="AT595" s="3"/>
      <c r="AV595" s="3"/>
      <c r="AX595" s="3"/>
      <c r="AZ595" s="3"/>
      <c r="BB595" s="3"/>
      <c r="BD595" s="3"/>
      <c r="BF595" s="3"/>
      <c r="BH595" s="3"/>
      <c r="BJ595" s="3"/>
    </row>
    <row r="596" spans="1:62">
      <c r="A596" s="2"/>
      <c r="AR596" s="3"/>
      <c r="AT596" s="3"/>
      <c r="AV596" s="3"/>
      <c r="AX596" s="3"/>
      <c r="AZ596" s="3"/>
      <c r="BB596" s="3"/>
      <c r="BD596" s="3"/>
      <c r="BF596" s="3"/>
      <c r="BH596" s="3"/>
      <c r="BJ596" s="3"/>
    </row>
    <row r="597" spans="1:62">
      <c r="A597" s="2"/>
      <c r="AR597" s="3"/>
      <c r="AT597" s="3"/>
      <c r="AV597" s="3"/>
      <c r="AX597" s="3"/>
      <c r="AZ597" s="3"/>
      <c r="BB597" s="3"/>
      <c r="BD597" s="3"/>
      <c r="BF597" s="3"/>
      <c r="BH597" s="3"/>
      <c r="BJ597" s="3"/>
    </row>
    <row r="598" spans="1:62">
      <c r="A598" s="2"/>
      <c r="AR598" s="3"/>
      <c r="AT598" s="3"/>
      <c r="AV598" s="3"/>
      <c r="AX598" s="3"/>
      <c r="AZ598" s="3"/>
      <c r="BB598" s="3"/>
      <c r="BD598" s="3"/>
      <c r="BF598" s="3"/>
      <c r="BH598" s="3"/>
      <c r="BJ598" s="3"/>
    </row>
    <row r="599" spans="1:62">
      <c r="A599" s="2"/>
      <c r="AR599" s="3"/>
      <c r="AT599" s="3"/>
      <c r="AV599" s="3"/>
      <c r="AX599" s="3"/>
      <c r="AZ599" s="3"/>
      <c r="BB599" s="3"/>
      <c r="BD599" s="3"/>
      <c r="BF599" s="3"/>
      <c r="BH599" s="3"/>
      <c r="BJ599" s="3"/>
    </row>
    <row r="600" spans="1:62">
      <c r="A600" s="2"/>
      <c r="AR600" s="3"/>
      <c r="AT600" s="3"/>
      <c r="AV600" s="3"/>
      <c r="AX600" s="3"/>
      <c r="AZ600" s="3"/>
      <c r="BB600" s="3"/>
      <c r="BD600" s="3"/>
      <c r="BF600" s="3"/>
      <c r="BH600" s="3"/>
      <c r="BJ600" s="3"/>
    </row>
    <row r="601" spans="1:62">
      <c r="A601" s="2"/>
      <c r="AR601" s="3"/>
      <c r="AT601" s="3"/>
      <c r="AV601" s="3"/>
      <c r="AX601" s="3"/>
      <c r="AZ601" s="3"/>
      <c r="BB601" s="3"/>
      <c r="BD601" s="3"/>
      <c r="BF601" s="3"/>
      <c r="BH601" s="3"/>
      <c r="BJ601" s="3"/>
    </row>
    <row r="602" spans="1:62">
      <c r="A602" s="2"/>
      <c r="AR602" s="3"/>
      <c r="AT602" s="3"/>
      <c r="AV602" s="3"/>
      <c r="AX602" s="3"/>
      <c r="AZ602" s="3"/>
      <c r="BB602" s="3"/>
      <c r="BD602" s="3"/>
      <c r="BF602" s="3"/>
      <c r="BH602" s="3"/>
      <c r="BJ602" s="3"/>
    </row>
    <row r="603" spans="1:62">
      <c r="A603" s="2"/>
      <c r="AR603" s="3"/>
      <c r="AT603" s="3"/>
      <c r="AV603" s="3"/>
      <c r="AX603" s="3"/>
      <c r="AZ603" s="3"/>
      <c r="BB603" s="3"/>
      <c r="BD603" s="3"/>
      <c r="BF603" s="3"/>
      <c r="BH603" s="3"/>
      <c r="BJ603" s="3"/>
    </row>
    <row r="604" spans="1:62">
      <c r="A604" s="2"/>
      <c r="AR604" s="3"/>
      <c r="AT604" s="3"/>
      <c r="AV604" s="3"/>
      <c r="AX604" s="3"/>
      <c r="AZ604" s="3"/>
      <c r="BB604" s="3"/>
      <c r="BD604" s="3"/>
      <c r="BF604" s="3"/>
      <c r="BH604" s="3"/>
      <c r="BJ604" s="3"/>
    </row>
    <row r="605" spans="1:62">
      <c r="A605" s="2"/>
      <c r="AR605" s="3"/>
      <c r="AT605" s="3"/>
      <c r="AV605" s="3"/>
      <c r="AX605" s="3"/>
      <c r="AZ605" s="3"/>
      <c r="BB605" s="3"/>
      <c r="BD605" s="3"/>
      <c r="BF605" s="3"/>
      <c r="BH605" s="3"/>
      <c r="BJ605" s="3"/>
    </row>
    <row r="606" spans="1:62">
      <c r="A606" s="2"/>
      <c r="AR606" s="3"/>
      <c r="AT606" s="3"/>
      <c r="AV606" s="3"/>
      <c r="AX606" s="3"/>
      <c r="AZ606" s="3"/>
      <c r="BB606" s="3"/>
      <c r="BD606" s="3"/>
      <c r="BF606" s="3"/>
      <c r="BH606" s="3"/>
      <c r="BJ606" s="3"/>
    </row>
    <row r="607" spans="1:62">
      <c r="A607" s="2"/>
      <c r="AR607" s="3"/>
      <c r="AT607" s="3"/>
      <c r="AV607" s="3"/>
      <c r="AX607" s="3"/>
      <c r="AZ607" s="3"/>
      <c r="BB607" s="3"/>
      <c r="BD607" s="3"/>
      <c r="BF607" s="3"/>
      <c r="BH607" s="3"/>
      <c r="BJ607" s="3"/>
    </row>
    <row r="608" spans="1:62">
      <c r="A608" s="2"/>
      <c r="AR608" s="3"/>
      <c r="AT608" s="3"/>
      <c r="AV608" s="3"/>
      <c r="AX608" s="3"/>
      <c r="AZ608" s="3"/>
      <c r="BB608" s="3"/>
      <c r="BD608" s="3"/>
      <c r="BF608" s="3"/>
      <c r="BH608" s="3"/>
      <c r="BJ608" s="3"/>
    </row>
    <row r="609" spans="1:62">
      <c r="A609" s="2"/>
      <c r="AR609" s="3"/>
      <c r="AT609" s="3"/>
      <c r="AV609" s="3"/>
      <c r="AX609" s="3"/>
      <c r="AZ609" s="3"/>
      <c r="BB609" s="3"/>
      <c r="BD609" s="3"/>
      <c r="BF609" s="3"/>
      <c r="BH609" s="3"/>
      <c r="BJ609" s="3"/>
    </row>
    <row r="610" spans="1:62">
      <c r="A610" s="2"/>
      <c r="AR610" s="3"/>
      <c r="AT610" s="3"/>
      <c r="AV610" s="3"/>
      <c r="AX610" s="3"/>
      <c r="AZ610" s="3"/>
      <c r="BB610" s="3"/>
      <c r="BD610" s="3"/>
      <c r="BF610" s="3"/>
      <c r="BH610" s="3"/>
      <c r="BJ610" s="3"/>
    </row>
    <row r="611" spans="1:62">
      <c r="A611" s="2"/>
      <c r="AR611" s="3"/>
      <c r="AT611" s="3"/>
      <c r="AV611" s="3"/>
      <c r="AX611" s="3"/>
      <c r="AZ611" s="3"/>
      <c r="BB611" s="3"/>
      <c r="BD611" s="3"/>
      <c r="BF611" s="3"/>
      <c r="BH611" s="3"/>
      <c r="BJ611" s="3"/>
    </row>
    <row r="612" spans="1:62">
      <c r="A612" s="2"/>
      <c r="AR612" s="3"/>
      <c r="AT612" s="3"/>
      <c r="AV612" s="3"/>
      <c r="AX612" s="3"/>
      <c r="AZ612" s="3"/>
      <c r="BB612" s="3"/>
      <c r="BD612" s="3"/>
      <c r="BF612" s="3"/>
      <c r="BH612" s="3"/>
      <c r="BJ612" s="3"/>
    </row>
    <row r="613" spans="1:62">
      <c r="A613" s="2"/>
      <c r="AR613" s="3"/>
      <c r="AT613" s="3"/>
      <c r="AV613" s="3"/>
      <c r="AX613" s="3"/>
      <c r="AZ613" s="3"/>
      <c r="BB613" s="3"/>
      <c r="BD613" s="3"/>
      <c r="BF613" s="3"/>
      <c r="BH613" s="3"/>
      <c r="BJ613" s="3"/>
    </row>
    <row r="614" spans="1:62">
      <c r="A614" s="2"/>
      <c r="AR614" s="3"/>
      <c r="AT614" s="3"/>
      <c r="AV614" s="3"/>
      <c r="AX614" s="3"/>
      <c r="AZ614" s="3"/>
      <c r="BB614" s="3"/>
      <c r="BD614" s="3"/>
      <c r="BF614" s="3"/>
      <c r="BH614" s="3"/>
      <c r="BJ614" s="3"/>
    </row>
    <row r="615" spans="1:62">
      <c r="A615" s="2"/>
      <c r="AR615" s="3"/>
      <c r="AT615" s="3"/>
      <c r="AV615" s="3"/>
      <c r="AX615" s="3"/>
      <c r="AZ615" s="3"/>
      <c r="BB615" s="3"/>
      <c r="BD615" s="3"/>
      <c r="BF615" s="3"/>
      <c r="BH615" s="3"/>
      <c r="BJ615" s="3"/>
    </row>
    <row r="616" spans="1:62">
      <c r="A616" s="2"/>
      <c r="AR616" s="3"/>
      <c r="AT616" s="3"/>
      <c r="AV616" s="3"/>
      <c r="AX616" s="3"/>
      <c r="AZ616" s="3"/>
      <c r="BB616" s="3"/>
      <c r="BD616" s="3"/>
      <c r="BF616" s="3"/>
      <c r="BH616" s="3"/>
      <c r="BJ616" s="3"/>
    </row>
  </sheetData>
  <mergeCells count="3">
    <mergeCell ref="B1:T1"/>
    <mergeCell ref="W1:AO1"/>
    <mergeCell ref="AR1:B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0C6F-02C9-4E63-B6C6-A143E9ABA2CB}">
  <dimension ref="A1:BK2060"/>
  <sheetViews>
    <sheetView zoomScale="85" zoomScaleNormal="85" workbookViewId="0">
      <pane xSplit="1" ySplit="2" topLeftCell="B972" activePane="bottomRight" state="frozen"/>
      <selection activeCell="A3" sqref="A3:BJ9"/>
      <selection pane="topRight" activeCell="A3" sqref="A3:BJ9"/>
      <selection pane="bottomLeft" activeCell="A3" sqref="A3:BJ9"/>
      <selection pane="bottomRight" activeCell="A3" sqref="A3:BJ9"/>
    </sheetView>
  </sheetViews>
  <sheetFormatPr defaultColWidth="9.140625" defaultRowHeight="12.75"/>
  <cols>
    <col min="1" max="1" width="11" style="5" bestFit="1" customWidth="1"/>
    <col min="2" max="2" width="13.5703125" style="6" customWidth="1"/>
    <col min="3" max="3" width="13.5703125" style="13" customWidth="1"/>
    <col min="4" max="21" width="13.5703125" style="6" customWidth="1"/>
    <col min="22" max="22" width="9.140625" style="6"/>
    <col min="23" max="42" width="13.7109375" style="6" customWidth="1"/>
    <col min="43" max="63" width="13.5703125" style="6" customWidth="1"/>
    <col min="64" max="16384" width="9.140625" style="6"/>
  </cols>
  <sheetData>
    <row r="1" spans="1:63" ht="15.75">
      <c r="B1" s="28" t="s">
        <v>13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W1" s="28" t="s">
        <v>1</v>
      </c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 t="s">
        <v>2</v>
      </c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3">
      <c r="A2" s="5" t="s">
        <v>14</v>
      </c>
      <c r="B2" s="7" t="s">
        <v>3</v>
      </c>
      <c r="C2" s="7" t="s">
        <v>15</v>
      </c>
      <c r="D2" s="7" t="s">
        <v>4</v>
      </c>
      <c r="E2" s="7" t="s">
        <v>16</v>
      </c>
      <c r="F2" s="7" t="s">
        <v>5</v>
      </c>
      <c r="G2" s="7" t="s">
        <v>17</v>
      </c>
      <c r="H2" s="7" t="s">
        <v>6</v>
      </c>
      <c r="I2" s="7" t="s">
        <v>18</v>
      </c>
      <c r="J2" s="7" t="s">
        <v>7</v>
      </c>
      <c r="K2" s="7" t="s">
        <v>16</v>
      </c>
      <c r="L2" s="7" t="s">
        <v>8</v>
      </c>
      <c r="M2" s="7" t="s">
        <v>17</v>
      </c>
      <c r="N2" s="7" t="s">
        <v>9</v>
      </c>
      <c r="O2" s="7" t="s">
        <v>18</v>
      </c>
      <c r="P2" s="7" t="s">
        <v>10</v>
      </c>
      <c r="Q2" s="7" t="s">
        <v>16</v>
      </c>
      <c r="R2" s="7" t="s">
        <v>11</v>
      </c>
      <c r="S2" s="7" t="s">
        <v>17</v>
      </c>
      <c r="T2" s="7" t="s">
        <v>12</v>
      </c>
      <c r="U2" s="7" t="s">
        <v>18</v>
      </c>
      <c r="W2" s="7" t="s">
        <v>3</v>
      </c>
      <c r="X2" s="7" t="s">
        <v>15</v>
      </c>
      <c r="Y2" s="7" t="s">
        <v>4</v>
      </c>
      <c r="Z2" s="7" t="s">
        <v>16</v>
      </c>
      <c r="AA2" s="7" t="s">
        <v>5</v>
      </c>
      <c r="AB2" s="7" t="s">
        <v>17</v>
      </c>
      <c r="AC2" s="7" t="s">
        <v>6</v>
      </c>
      <c r="AD2" s="7" t="s">
        <v>18</v>
      </c>
      <c r="AE2" s="7" t="s">
        <v>7</v>
      </c>
      <c r="AF2" s="7" t="s">
        <v>16</v>
      </c>
      <c r="AG2" s="7" t="s">
        <v>8</v>
      </c>
      <c r="AH2" s="7" t="s">
        <v>17</v>
      </c>
      <c r="AI2" s="7" t="s">
        <v>9</v>
      </c>
      <c r="AJ2" s="7" t="s">
        <v>18</v>
      </c>
      <c r="AK2" s="7" t="s">
        <v>10</v>
      </c>
      <c r="AL2" s="7" t="s">
        <v>16</v>
      </c>
      <c r="AM2" s="7" t="s">
        <v>11</v>
      </c>
      <c r="AN2" s="7" t="s">
        <v>17</v>
      </c>
      <c r="AO2" s="7" t="s">
        <v>12</v>
      </c>
      <c r="AP2" s="7" t="s">
        <v>18</v>
      </c>
      <c r="AQ2" s="7"/>
      <c r="AR2" s="7" t="s">
        <v>3</v>
      </c>
      <c r="AS2" s="7" t="s">
        <v>15</v>
      </c>
      <c r="AT2" s="7" t="s">
        <v>4</v>
      </c>
      <c r="AU2" s="7" t="s">
        <v>16</v>
      </c>
      <c r="AV2" s="7" t="s">
        <v>5</v>
      </c>
      <c r="AW2" s="7" t="s">
        <v>17</v>
      </c>
      <c r="AX2" s="7" t="s">
        <v>6</v>
      </c>
      <c r="AY2" s="7" t="s">
        <v>18</v>
      </c>
      <c r="AZ2" s="7" t="s">
        <v>7</v>
      </c>
      <c r="BA2" s="7" t="s">
        <v>16</v>
      </c>
      <c r="BB2" s="7" t="s">
        <v>8</v>
      </c>
      <c r="BC2" s="7" t="s">
        <v>17</v>
      </c>
      <c r="BD2" s="7" t="s">
        <v>9</v>
      </c>
      <c r="BE2" s="7" t="s">
        <v>18</v>
      </c>
      <c r="BF2" s="7" t="s">
        <v>10</v>
      </c>
      <c r="BG2" s="7" t="s">
        <v>16</v>
      </c>
      <c r="BH2" s="7" t="s">
        <v>11</v>
      </c>
      <c r="BI2" s="7" t="s">
        <v>17</v>
      </c>
      <c r="BJ2" s="7" t="s">
        <v>12</v>
      </c>
      <c r="BK2" s="6" t="s">
        <v>18</v>
      </c>
    </row>
    <row r="3" spans="1:63">
      <c r="A3" s="5">
        <v>38881</v>
      </c>
      <c r="B3" s="8">
        <v>283576</v>
      </c>
      <c r="C3" s="5"/>
      <c r="D3" s="8">
        <v>56074</v>
      </c>
      <c r="E3" s="8"/>
      <c r="F3" s="8">
        <v>14522</v>
      </c>
      <c r="H3" s="8">
        <v>41552</v>
      </c>
      <c r="J3" s="8">
        <v>126596</v>
      </c>
      <c r="L3" s="8">
        <v>185062</v>
      </c>
      <c r="N3" s="8">
        <v>-58466</v>
      </c>
      <c r="P3" s="8">
        <v>59814</v>
      </c>
      <c r="R3" s="8">
        <v>180084</v>
      </c>
      <c r="T3" s="8">
        <v>-120270</v>
      </c>
      <c r="W3" s="8">
        <v>201077</v>
      </c>
      <c r="X3" s="5"/>
      <c r="Y3" s="8">
        <v>18205</v>
      </c>
      <c r="Z3" s="8"/>
      <c r="AA3" s="8">
        <v>24234</v>
      </c>
      <c r="AC3" s="8">
        <v>-6029</v>
      </c>
      <c r="AE3" s="8">
        <v>100324</v>
      </c>
      <c r="AG3" s="8">
        <v>105004</v>
      </c>
      <c r="AI3" s="8">
        <v>-4680</v>
      </c>
      <c r="AK3" s="8">
        <v>98194</v>
      </c>
      <c r="AM3" s="8">
        <v>103064</v>
      </c>
      <c r="AO3" s="8">
        <v>-4870</v>
      </c>
      <c r="AR3" s="8">
        <v>1651025</v>
      </c>
      <c r="AS3" s="8"/>
      <c r="AT3" s="8">
        <v>217971</v>
      </c>
      <c r="AU3" s="8"/>
      <c r="AV3" s="8">
        <v>31383</v>
      </c>
      <c r="AW3" s="8"/>
      <c r="AX3" s="8">
        <f>AT3-AV3</f>
        <v>186588</v>
      </c>
      <c r="AY3" s="8"/>
      <c r="AZ3" s="8">
        <v>674914</v>
      </c>
      <c r="BA3" s="8"/>
      <c r="BB3" s="8">
        <v>796074</v>
      </c>
      <c r="BC3" s="8"/>
      <c r="BD3" s="8">
        <f>AZ3-BB3</f>
        <v>-121160</v>
      </c>
      <c r="BE3" s="8"/>
      <c r="BF3" s="8">
        <v>287963</v>
      </c>
      <c r="BG3" s="8"/>
      <c r="BH3" s="8">
        <v>781118</v>
      </c>
      <c r="BI3" s="8"/>
      <c r="BJ3" s="8">
        <f>BF3-BH3</f>
        <v>-493155</v>
      </c>
      <c r="BK3" s="8"/>
    </row>
    <row r="4" spans="1:63">
      <c r="A4" s="5">
        <v>38888</v>
      </c>
      <c r="B4" s="8">
        <v>274033</v>
      </c>
      <c r="C4" s="8">
        <f>B4-B3</f>
        <v>-9543</v>
      </c>
      <c r="D4" s="8">
        <v>39927</v>
      </c>
      <c r="E4" s="8">
        <f>D4-D3</f>
        <v>-16147</v>
      </c>
      <c r="F4" s="8">
        <v>20096</v>
      </c>
      <c r="G4" s="8">
        <f>F4-F3</f>
        <v>5574</v>
      </c>
      <c r="H4" s="8">
        <v>19831</v>
      </c>
      <c r="I4" s="8">
        <f>H4-H3</f>
        <v>-21721</v>
      </c>
      <c r="J4" s="8">
        <v>141435</v>
      </c>
      <c r="K4" s="8">
        <f>J4-J3</f>
        <v>14839</v>
      </c>
      <c r="L4" s="8">
        <v>170027</v>
      </c>
      <c r="M4" s="8">
        <f>L4-L3</f>
        <v>-15035</v>
      </c>
      <c r="N4" s="8">
        <v>-28592</v>
      </c>
      <c r="O4" s="8">
        <f>N4-N3</f>
        <v>29874</v>
      </c>
      <c r="P4" s="8">
        <v>76280</v>
      </c>
      <c r="Q4" s="8">
        <f>P4-P3</f>
        <v>16466</v>
      </c>
      <c r="R4" s="8">
        <v>164982</v>
      </c>
      <c r="S4" s="8">
        <f>R4-R3</f>
        <v>-15102</v>
      </c>
      <c r="T4" s="8">
        <v>-88702</v>
      </c>
      <c r="U4" s="8">
        <f>T4-T3</f>
        <v>31568</v>
      </c>
      <c r="W4" s="8">
        <v>191263</v>
      </c>
      <c r="X4" s="8">
        <f>W4-W3</f>
        <v>-9814</v>
      </c>
      <c r="Y4" s="8">
        <v>14897</v>
      </c>
      <c r="Z4" s="8">
        <f>Y4-Y3</f>
        <v>-3308</v>
      </c>
      <c r="AA4" s="8">
        <v>22329</v>
      </c>
      <c r="AB4" s="8">
        <f>AA4-AA3</f>
        <v>-1905</v>
      </c>
      <c r="AC4" s="8">
        <v>-7432</v>
      </c>
      <c r="AD4" s="8">
        <f>AC4-AC3</f>
        <v>-1403</v>
      </c>
      <c r="AE4" s="8">
        <v>97897</v>
      </c>
      <c r="AF4" s="8">
        <f>AE4-AE3</f>
        <v>-2427</v>
      </c>
      <c r="AG4" s="8">
        <v>98855</v>
      </c>
      <c r="AH4" s="8">
        <f>AG4-AG3</f>
        <v>-6149</v>
      </c>
      <c r="AI4" s="8">
        <v>-958</v>
      </c>
      <c r="AJ4" s="8">
        <f>AI4-AI3</f>
        <v>3722</v>
      </c>
      <c r="AK4" s="8">
        <v>95515</v>
      </c>
      <c r="AL4" s="8">
        <f>AK4-AK3</f>
        <v>-2679</v>
      </c>
      <c r="AM4" s="8">
        <v>97465</v>
      </c>
      <c r="AN4" s="8">
        <f>AM4-AM3</f>
        <v>-5599</v>
      </c>
      <c r="AO4" s="8">
        <v>-1950</v>
      </c>
      <c r="AP4" s="8">
        <f>AO4-AO3</f>
        <v>2920</v>
      </c>
      <c r="AR4" s="8">
        <v>1660431</v>
      </c>
      <c r="AS4" s="8">
        <f>AR4-AR3</f>
        <v>9406</v>
      </c>
      <c r="AT4" s="8">
        <v>188222</v>
      </c>
      <c r="AU4" s="8">
        <f>AT4-AT3</f>
        <v>-29749</v>
      </c>
      <c r="AV4" s="8">
        <v>51725</v>
      </c>
      <c r="AW4" s="8">
        <f>AV4-AV3</f>
        <v>20342</v>
      </c>
      <c r="AX4" s="8">
        <f t="shared" ref="AX4:AX67" si="0">AT4-AV4</f>
        <v>136497</v>
      </c>
      <c r="AY4" s="8">
        <f>AX4-AX3</f>
        <v>-50091</v>
      </c>
      <c r="AZ4" s="8">
        <v>696804</v>
      </c>
      <c r="BA4" s="8">
        <f>AZ4-AZ3</f>
        <v>21890</v>
      </c>
      <c r="BB4" s="8">
        <v>761953</v>
      </c>
      <c r="BC4" s="8">
        <f>BB4-BB3</f>
        <v>-34121</v>
      </c>
      <c r="BD4" s="8">
        <f t="shared" ref="BD4:BD67" si="1">AZ4-BB4</f>
        <v>-65149</v>
      </c>
      <c r="BE4" s="8">
        <f>BD4-BD3</f>
        <v>56011</v>
      </c>
      <c r="BF4" s="8">
        <v>313909</v>
      </c>
      <c r="BG4" s="8">
        <f>BF4-BF3</f>
        <v>25946</v>
      </c>
      <c r="BH4" s="8">
        <v>742914</v>
      </c>
      <c r="BI4" s="8">
        <f>BH4-BH3</f>
        <v>-38204</v>
      </c>
      <c r="BJ4" s="8">
        <f t="shared" ref="BJ4:BJ67" si="2">BF4-BH4</f>
        <v>-429005</v>
      </c>
      <c r="BK4" s="8">
        <f>BJ4-BJ3</f>
        <v>64150</v>
      </c>
    </row>
    <row r="5" spans="1:63">
      <c r="A5" s="5">
        <v>38895</v>
      </c>
      <c r="B5" s="8">
        <v>249213</v>
      </c>
      <c r="C5" s="8"/>
      <c r="D5" s="8">
        <v>39994</v>
      </c>
      <c r="E5" s="8"/>
      <c r="F5" s="8">
        <v>13903</v>
      </c>
      <c r="G5" s="8"/>
      <c r="H5" s="8">
        <v>26091</v>
      </c>
      <c r="I5" s="8"/>
      <c r="J5" s="8">
        <v>128342</v>
      </c>
      <c r="K5" s="8"/>
      <c r="L5" s="8">
        <v>164960</v>
      </c>
      <c r="M5" s="8"/>
      <c r="N5" s="8">
        <v>-36618</v>
      </c>
      <c r="O5" s="8"/>
      <c r="P5" s="8">
        <v>63966</v>
      </c>
      <c r="Q5" s="8"/>
      <c r="R5" s="8">
        <v>162240</v>
      </c>
      <c r="S5" s="8"/>
      <c r="T5" s="8">
        <v>-98274</v>
      </c>
      <c r="U5" s="8"/>
      <c r="W5" s="8">
        <v>197286</v>
      </c>
      <c r="X5" s="8"/>
      <c r="Y5" s="8">
        <v>12064</v>
      </c>
      <c r="Z5" s="8"/>
      <c r="AA5" s="8">
        <v>31416</v>
      </c>
      <c r="AB5" s="8"/>
      <c r="AC5" s="8">
        <v>-19352</v>
      </c>
      <c r="AD5" s="8"/>
      <c r="AE5" s="8">
        <v>108461</v>
      </c>
      <c r="AF5" s="8"/>
      <c r="AG5" s="8">
        <v>92086</v>
      </c>
      <c r="AH5" s="8"/>
      <c r="AI5" s="8">
        <v>16375</v>
      </c>
      <c r="AJ5" s="8"/>
      <c r="AK5" s="8">
        <v>106425</v>
      </c>
      <c r="AL5" s="8"/>
      <c r="AM5" s="8">
        <v>90078</v>
      </c>
      <c r="AN5" s="8"/>
      <c r="AO5" s="8">
        <v>16347</v>
      </c>
      <c r="AP5" s="8"/>
      <c r="AR5" s="8">
        <v>1599046</v>
      </c>
      <c r="AS5" s="8"/>
      <c r="AT5" s="8">
        <v>192676</v>
      </c>
      <c r="AU5" s="8"/>
      <c r="AV5" s="8">
        <v>85370</v>
      </c>
      <c r="AW5" s="8"/>
      <c r="AX5" s="8">
        <v>107306</v>
      </c>
      <c r="AY5" s="8"/>
      <c r="AZ5" s="8">
        <v>693035</v>
      </c>
      <c r="BA5" s="8"/>
      <c r="BB5" s="8">
        <v>742622</v>
      </c>
      <c r="BC5" s="8"/>
      <c r="BD5" s="8">
        <v>-49587</v>
      </c>
      <c r="BE5" s="8"/>
      <c r="BF5" s="8">
        <v>310586</v>
      </c>
      <c r="BG5" s="8"/>
      <c r="BH5" s="8">
        <v>714314</v>
      </c>
      <c r="BI5" s="8"/>
      <c r="BJ5" s="8">
        <v>-403728</v>
      </c>
      <c r="BK5" s="8">
        <f t="shared" ref="BK5:BK68" si="3">BJ5-BJ4</f>
        <v>25277</v>
      </c>
    </row>
    <row r="6" spans="1:63">
      <c r="A6" s="5">
        <v>38902</v>
      </c>
      <c r="B6" s="8">
        <v>268341</v>
      </c>
      <c r="C6" s="8"/>
      <c r="D6" s="8">
        <v>53249</v>
      </c>
      <c r="E6" s="8"/>
      <c r="F6" s="8">
        <v>12314</v>
      </c>
      <c r="G6" s="8"/>
      <c r="H6" s="8">
        <v>40935</v>
      </c>
      <c r="I6" s="8"/>
      <c r="J6" s="8">
        <v>125077</v>
      </c>
      <c r="K6" s="8"/>
      <c r="L6" s="8">
        <v>184465</v>
      </c>
      <c r="M6" s="8"/>
      <c r="N6" s="8">
        <v>-59388</v>
      </c>
      <c r="O6" s="8"/>
      <c r="P6" s="8">
        <v>59509</v>
      </c>
      <c r="Q6" s="8"/>
      <c r="R6" s="8">
        <v>181589</v>
      </c>
      <c r="S6" s="8"/>
      <c r="T6" s="8">
        <v>-122080</v>
      </c>
      <c r="U6" s="8"/>
      <c r="W6" s="8">
        <v>198744</v>
      </c>
      <c r="X6" s="8"/>
      <c r="Y6" s="8" t="e">
        <v>#N/A</v>
      </c>
      <c r="Z6" s="8"/>
      <c r="AA6" s="8" t="e">
        <v>#N/A</v>
      </c>
      <c r="AB6" s="8"/>
      <c r="AC6" s="8" t="e">
        <v>#N/A</v>
      </c>
      <c r="AD6" s="8"/>
      <c r="AE6" s="8">
        <v>107734</v>
      </c>
      <c r="AF6" s="8"/>
      <c r="AG6" s="8">
        <v>97554</v>
      </c>
      <c r="AH6" s="8"/>
      <c r="AI6" s="8">
        <v>10180</v>
      </c>
      <c r="AJ6" s="8"/>
      <c r="AK6" s="8" t="e">
        <v>#N/A</v>
      </c>
      <c r="AL6" s="8"/>
      <c r="AM6" s="8" t="e">
        <v>#N/A</v>
      </c>
      <c r="AN6" s="8"/>
      <c r="AO6" s="8" t="e">
        <v>#N/A</v>
      </c>
      <c r="AP6" s="8"/>
      <c r="AR6" s="8">
        <v>1630673</v>
      </c>
      <c r="AS6" s="8"/>
      <c r="AT6" s="8">
        <v>215391</v>
      </c>
      <c r="AU6" s="8"/>
      <c r="AV6" s="8">
        <v>97802</v>
      </c>
      <c r="AW6" s="8"/>
      <c r="AX6" s="8">
        <v>117589</v>
      </c>
      <c r="AY6" s="8"/>
      <c r="AZ6" s="8">
        <v>679145</v>
      </c>
      <c r="BA6" s="8"/>
      <c r="BB6" s="8">
        <v>753462</v>
      </c>
      <c r="BC6" s="8"/>
      <c r="BD6" s="8">
        <v>-74317</v>
      </c>
      <c r="BE6" s="8"/>
      <c r="BF6" s="8">
        <v>290596</v>
      </c>
      <c r="BG6" s="8"/>
      <c r="BH6" s="8">
        <v>728224</v>
      </c>
      <c r="BI6" s="8"/>
      <c r="BJ6" s="8">
        <v>-437628</v>
      </c>
      <c r="BK6" s="8">
        <f t="shared" si="3"/>
        <v>-33900</v>
      </c>
    </row>
    <row r="7" spans="1:63">
      <c r="A7" s="5">
        <v>38909</v>
      </c>
      <c r="B7" s="8">
        <v>301281</v>
      </c>
      <c r="C7" s="8"/>
      <c r="D7" s="8">
        <v>76595</v>
      </c>
      <c r="E7" s="8"/>
      <c r="F7" s="8">
        <v>12493</v>
      </c>
      <c r="G7" s="8"/>
      <c r="H7" s="8">
        <v>64102</v>
      </c>
      <c r="I7" s="8"/>
      <c r="J7" s="8">
        <v>124867</v>
      </c>
      <c r="K7" s="8"/>
      <c r="L7" s="8">
        <v>209930</v>
      </c>
      <c r="M7" s="8"/>
      <c r="N7" s="8">
        <v>-85063</v>
      </c>
      <c r="O7" s="8"/>
      <c r="P7" s="8">
        <v>55126</v>
      </c>
      <c r="Q7" s="8"/>
      <c r="R7" s="8">
        <v>206659</v>
      </c>
      <c r="S7" s="8"/>
      <c r="T7" s="8">
        <v>-151533</v>
      </c>
      <c r="U7" s="8"/>
      <c r="W7" s="8">
        <v>201955</v>
      </c>
      <c r="X7" s="8"/>
      <c r="Y7" s="8">
        <v>15692</v>
      </c>
      <c r="Z7" s="8"/>
      <c r="AA7" s="8">
        <v>32586</v>
      </c>
      <c r="AB7" s="8"/>
      <c r="AC7" s="8">
        <v>-16894</v>
      </c>
      <c r="AD7" s="8"/>
      <c r="AE7" s="8">
        <v>108335</v>
      </c>
      <c r="AF7" s="8"/>
      <c r="AG7" s="8">
        <v>101023</v>
      </c>
      <c r="AH7" s="8"/>
      <c r="AI7" s="8">
        <v>7312</v>
      </c>
      <c r="AJ7" s="8"/>
      <c r="AK7" s="8">
        <v>105584</v>
      </c>
      <c r="AL7" s="8"/>
      <c r="AM7" s="8">
        <v>97739</v>
      </c>
      <c r="AN7" s="8"/>
      <c r="AO7" s="8">
        <v>7845</v>
      </c>
      <c r="AP7" s="8"/>
      <c r="AR7" s="8">
        <v>1671220</v>
      </c>
      <c r="AS7" s="8"/>
      <c r="AT7" s="8">
        <v>227375</v>
      </c>
      <c r="AU7" s="8"/>
      <c r="AV7" s="8">
        <v>66799</v>
      </c>
      <c r="AW7" s="8"/>
      <c r="AX7" s="8">
        <v>160576</v>
      </c>
      <c r="AY7" s="8"/>
      <c r="AZ7" s="8">
        <v>686978</v>
      </c>
      <c r="BA7" s="8"/>
      <c r="BB7" s="8">
        <v>785176</v>
      </c>
      <c r="BC7" s="8"/>
      <c r="BD7" s="8">
        <v>-98198</v>
      </c>
      <c r="BE7" s="8"/>
      <c r="BF7" s="8">
        <v>288127</v>
      </c>
      <c r="BG7" s="8"/>
      <c r="BH7" s="8">
        <v>765627</v>
      </c>
      <c r="BI7" s="8"/>
      <c r="BJ7" s="8">
        <v>-477500</v>
      </c>
      <c r="BK7" s="8">
        <f t="shared" si="3"/>
        <v>-39872</v>
      </c>
    </row>
    <row r="8" spans="1:63">
      <c r="A8" s="5">
        <v>38916</v>
      </c>
      <c r="B8" s="8">
        <v>313126</v>
      </c>
      <c r="C8" s="8">
        <f t="shared" ref="C8:C71" si="4">B8-B7</f>
        <v>11845</v>
      </c>
      <c r="D8" s="8">
        <v>79255</v>
      </c>
      <c r="E8" s="8">
        <f t="shared" ref="E8:E71" si="5">D8-D7</f>
        <v>2660</v>
      </c>
      <c r="F8" s="8">
        <v>15377</v>
      </c>
      <c r="G8" s="8">
        <f t="shared" ref="G8:G71" si="6">F8-F7</f>
        <v>2884</v>
      </c>
      <c r="H8" s="8">
        <v>63878</v>
      </c>
      <c r="I8" s="8">
        <f t="shared" ref="I8:I71" si="7">H8-H7</f>
        <v>-224</v>
      </c>
      <c r="J8" s="8">
        <v>139893</v>
      </c>
      <c r="K8" s="8">
        <f t="shared" ref="K8:K71" si="8">J8-J7</f>
        <v>15026</v>
      </c>
      <c r="L8" s="8">
        <v>225215</v>
      </c>
      <c r="M8" s="8">
        <f t="shared" ref="M8:M71" si="9">L8-L7</f>
        <v>15285</v>
      </c>
      <c r="N8" s="8">
        <v>-85322</v>
      </c>
      <c r="O8" s="8">
        <f t="shared" ref="O8:O71" si="10">N8-N7</f>
        <v>-259</v>
      </c>
      <c r="P8" s="8">
        <v>70238</v>
      </c>
      <c r="Q8" s="8">
        <f t="shared" ref="Q8:Q71" si="11">P8-P7</f>
        <v>15112</v>
      </c>
      <c r="R8" s="8">
        <v>222034</v>
      </c>
      <c r="S8" s="8">
        <f t="shared" ref="S8:S71" si="12">R8-R7</f>
        <v>15375</v>
      </c>
      <c r="T8" s="8">
        <v>-151796</v>
      </c>
      <c r="U8" s="8">
        <f t="shared" ref="U8:U71" si="13">T8-T7</f>
        <v>-263</v>
      </c>
      <c r="W8" s="8">
        <v>224584</v>
      </c>
      <c r="X8" s="8">
        <f t="shared" ref="X8:X71" si="14">W8-W7</f>
        <v>22629</v>
      </c>
      <c r="Y8" s="8">
        <v>15573</v>
      </c>
      <c r="Z8" s="8">
        <f t="shared" ref="Z8:Z71" si="15">Y8-Y7</f>
        <v>-119</v>
      </c>
      <c r="AA8" s="8">
        <v>46643</v>
      </c>
      <c r="AB8" s="8">
        <f t="shared" ref="AB8:AD68" si="16">AA8-AA7</f>
        <v>14057</v>
      </c>
      <c r="AC8" s="8">
        <v>-31070</v>
      </c>
      <c r="AD8" s="8">
        <f t="shared" si="16"/>
        <v>-14176</v>
      </c>
      <c r="AE8" s="8">
        <v>126209</v>
      </c>
      <c r="AF8" s="8">
        <f t="shared" ref="AF8:AF71" si="17">AE8-AE7</f>
        <v>17874</v>
      </c>
      <c r="AG8" s="8">
        <v>110447</v>
      </c>
      <c r="AH8" s="8">
        <f t="shared" ref="AH8:AH71" si="18">AG8-AG7</f>
        <v>9424</v>
      </c>
      <c r="AI8" s="8">
        <v>15762</v>
      </c>
      <c r="AJ8" s="8">
        <f t="shared" ref="AJ8:AJ71" si="19">AI8-AI7</f>
        <v>8450</v>
      </c>
      <c r="AK8" s="8">
        <v>123718</v>
      </c>
      <c r="AL8" s="8">
        <f t="shared" ref="AL8:AL71" si="20">AK8-AK7</f>
        <v>18134</v>
      </c>
      <c r="AM8" s="8">
        <v>106173</v>
      </c>
      <c r="AN8" s="8">
        <f t="shared" ref="AN8:AN71" si="21">AM8-AM7</f>
        <v>8434</v>
      </c>
      <c r="AO8" s="8">
        <v>17545</v>
      </c>
      <c r="AP8" s="8">
        <f t="shared" ref="AP8:AP71" si="22">AO8-AO7</f>
        <v>9700</v>
      </c>
      <c r="AR8" s="8">
        <v>1666137</v>
      </c>
      <c r="AS8" s="8">
        <f t="shared" ref="AS8:AS71" si="23">AR8-AR7</f>
        <v>-5083</v>
      </c>
      <c r="AT8" s="8">
        <v>224003</v>
      </c>
      <c r="AU8" s="8">
        <f t="shared" ref="AU8:AU71" si="24">AT8-AT7</f>
        <v>-3372</v>
      </c>
      <c r="AV8" s="8">
        <v>33658</v>
      </c>
      <c r="AW8" s="8">
        <f t="shared" ref="AW8:AW71" si="25">AV8-AV7</f>
        <v>-33141</v>
      </c>
      <c r="AX8" s="8">
        <f t="shared" si="0"/>
        <v>190345</v>
      </c>
      <c r="AY8" s="8">
        <f t="shared" ref="AY8:AY71" si="26">AX8-AX7</f>
        <v>29769</v>
      </c>
      <c r="AZ8" s="8">
        <v>692755</v>
      </c>
      <c r="BA8" s="8">
        <f t="shared" ref="BA8:BA71" si="27">AZ8-AZ7</f>
        <v>5777</v>
      </c>
      <c r="BB8" s="8">
        <v>793931</v>
      </c>
      <c r="BC8" s="8">
        <f t="shared" ref="BC8:BC71" si="28">BB8-BB7</f>
        <v>8755</v>
      </c>
      <c r="BD8" s="8">
        <f t="shared" si="1"/>
        <v>-101176</v>
      </c>
      <c r="BE8" s="8">
        <f t="shared" ref="BE8:BE71" si="29">BD8-BD7</f>
        <v>-2978</v>
      </c>
      <c r="BF8" s="8">
        <v>284985</v>
      </c>
      <c r="BG8" s="8">
        <f t="shared" ref="BG8:BG71" si="30">BF8-BF7</f>
        <v>-3142</v>
      </c>
      <c r="BH8" s="8">
        <v>779133</v>
      </c>
      <c r="BI8" s="8">
        <f t="shared" ref="BI8:BI71" si="31">BH8-BH7</f>
        <v>13506</v>
      </c>
      <c r="BJ8" s="8">
        <f t="shared" si="2"/>
        <v>-494148</v>
      </c>
      <c r="BK8" s="8">
        <f t="shared" si="3"/>
        <v>-16648</v>
      </c>
    </row>
    <row r="9" spans="1:63">
      <c r="A9" s="5">
        <v>38923</v>
      </c>
      <c r="B9" s="8">
        <v>305727</v>
      </c>
      <c r="C9" s="8">
        <f t="shared" si="4"/>
        <v>-7399</v>
      </c>
      <c r="D9" s="8">
        <v>72804</v>
      </c>
      <c r="E9" s="8">
        <f t="shared" si="5"/>
        <v>-6451</v>
      </c>
      <c r="F9" s="8">
        <v>14004</v>
      </c>
      <c r="G9" s="8">
        <f t="shared" si="6"/>
        <v>-1373</v>
      </c>
      <c r="H9" s="8">
        <v>58800</v>
      </c>
      <c r="I9" s="8">
        <f t="shared" si="7"/>
        <v>-5078</v>
      </c>
      <c r="J9" s="8">
        <v>141700</v>
      </c>
      <c r="K9" s="8">
        <f t="shared" si="8"/>
        <v>1807</v>
      </c>
      <c r="L9" s="8">
        <v>222217</v>
      </c>
      <c r="M9" s="8">
        <f t="shared" si="9"/>
        <v>-2998</v>
      </c>
      <c r="N9" s="8">
        <v>-80517</v>
      </c>
      <c r="O9" s="8">
        <f t="shared" si="10"/>
        <v>4805</v>
      </c>
      <c r="P9" s="8">
        <v>72245</v>
      </c>
      <c r="Q9" s="8">
        <f t="shared" si="11"/>
        <v>2007</v>
      </c>
      <c r="R9" s="8">
        <v>218875</v>
      </c>
      <c r="S9" s="8">
        <f t="shared" si="12"/>
        <v>-3159</v>
      </c>
      <c r="T9" s="8">
        <v>-146630</v>
      </c>
      <c r="U9" s="8">
        <f t="shared" si="13"/>
        <v>5166</v>
      </c>
      <c r="W9" s="8">
        <v>223029</v>
      </c>
      <c r="X9" s="8">
        <f t="shared" si="14"/>
        <v>-1555</v>
      </c>
      <c r="Y9" s="8">
        <v>16447</v>
      </c>
      <c r="Z9" s="8">
        <f t="shared" si="15"/>
        <v>874</v>
      </c>
      <c r="AA9" s="8">
        <v>49433</v>
      </c>
      <c r="AB9" s="8">
        <f t="shared" si="16"/>
        <v>2790</v>
      </c>
      <c r="AC9" s="8">
        <v>-32986</v>
      </c>
      <c r="AD9" s="8">
        <f t="shared" si="16"/>
        <v>-1916</v>
      </c>
      <c r="AE9" s="8">
        <v>125378</v>
      </c>
      <c r="AF9" s="8">
        <f t="shared" si="17"/>
        <v>-831</v>
      </c>
      <c r="AG9" s="8">
        <v>107479</v>
      </c>
      <c r="AH9" s="8">
        <f t="shared" si="18"/>
        <v>-2968</v>
      </c>
      <c r="AI9" s="8">
        <v>17899</v>
      </c>
      <c r="AJ9" s="8">
        <f t="shared" si="19"/>
        <v>2137</v>
      </c>
      <c r="AK9" s="8">
        <v>122804</v>
      </c>
      <c r="AL9" s="8">
        <f t="shared" si="20"/>
        <v>-914</v>
      </c>
      <c r="AM9" s="8">
        <v>102295</v>
      </c>
      <c r="AN9" s="8">
        <f t="shared" si="21"/>
        <v>-3878</v>
      </c>
      <c r="AO9" s="8">
        <v>20509</v>
      </c>
      <c r="AP9" s="8">
        <f t="shared" si="22"/>
        <v>2964</v>
      </c>
      <c r="AR9" s="8">
        <v>1703133</v>
      </c>
      <c r="AS9" s="8">
        <f t="shared" si="23"/>
        <v>36996</v>
      </c>
      <c r="AT9" s="8">
        <v>220761</v>
      </c>
      <c r="AU9" s="8">
        <f t="shared" si="24"/>
        <v>-3242</v>
      </c>
      <c r="AV9" s="8">
        <v>48723</v>
      </c>
      <c r="AW9" s="8">
        <f t="shared" si="25"/>
        <v>15065</v>
      </c>
      <c r="AX9" s="8">
        <f t="shared" si="0"/>
        <v>172038</v>
      </c>
      <c r="AY9" s="8">
        <f t="shared" si="26"/>
        <v>-18307</v>
      </c>
      <c r="AZ9" s="8">
        <v>694637</v>
      </c>
      <c r="BA9" s="8">
        <f t="shared" si="27"/>
        <v>1882</v>
      </c>
      <c r="BB9" s="8">
        <v>790821</v>
      </c>
      <c r="BC9" s="8">
        <f t="shared" si="28"/>
        <v>-3110</v>
      </c>
      <c r="BD9" s="8">
        <f t="shared" si="1"/>
        <v>-96184</v>
      </c>
      <c r="BE9" s="8">
        <f t="shared" si="29"/>
        <v>4992</v>
      </c>
      <c r="BF9" s="8">
        <v>293000</v>
      </c>
      <c r="BG9" s="8">
        <f t="shared" si="30"/>
        <v>8015</v>
      </c>
      <c r="BH9" s="8">
        <v>774021</v>
      </c>
      <c r="BI9" s="8">
        <f t="shared" si="31"/>
        <v>-5112</v>
      </c>
      <c r="BJ9" s="8">
        <f t="shared" si="2"/>
        <v>-481021</v>
      </c>
      <c r="BK9" s="8">
        <f t="shared" si="3"/>
        <v>13127</v>
      </c>
    </row>
    <row r="10" spans="1:63">
      <c r="A10" s="5">
        <v>38930</v>
      </c>
      <c r="B10" s="8">
        <v>308851</v>
      </c>
      <c r="C10" s="8">
        <f t="shared" si="4"/>
        <v>3124</v>
      </c>
      <c r="D10" s="8">
        <v>68863</v>
      </c>
      <c r="E10" s="8">
        <f t="shared" si="5"/>
        <v>-3941</v>
      </c>
      <c r="F10" s="8">
        <v>11006</v>
      </c>
      <c r="G10" s="8">
        <f t="shared" si="6"/>
        <v>-2998</v>
      </c>
      <c r="H10" s="8">
        <v>57857</v>
      </c>
      <c r="I10" s="8">
        <f t="shared" si="7"/>
        <v>-943</v>
      </c>
      <c r="J10" s="8">
        <v>139396</v>
      </c>
      <c r="K10" s="8">
        <f t="shared" si="8"/>
        <v>-2304</v>
      </c>
      <c r="L10" s="8">
        <v>220556</v>
      </c>
      <c r="M10" s="8">
        <f t="shared" si="9"/>
        <v>-1661</v>
      </c>
      <c r="N10" s="8">
        <v>-81160</v>
      </c>
      <c r="O10" s="8">
        <f t="shared" si="10"/>
        <v>-643</v>
      </c>
      <c r="P10" s="8">
        <v>70439</v>
      </c>
      <c r="Q10" s="8">
        <f t="shared" si="11"/>
        <v>-1806</v>
      </c>
      <c r="R10" s="8">
        <v>217406</v>
      </c>
      <c r="S10" s="8">
        <f t="shared" si="12"/>
        <v>-1469</v>
      </c>
      <c r="T10" s="8">
        <v>-146967</v>
      </c>
      <c r="U10" s="8">
        <f t="shared" si="13"/>
        <v>-337</v>
      </c>
      <c r="W10" s="8">
        <v>236932</v>
      </c>
      <c r="X10" s="8">
        <f t="shared" si="14"/>
        <v>13903</v>
      </c>
      <c r="Y10" s="8">
        <v>14315</v>
      </c>
      <c r="Z10" s="8">
        <f t="shared" si="15"/>
        <v>-2132</v>
      </c>
      <c r="AA10" s="8">
        <v>56029</v>
      </c>
      <c r="AB10" s="8">
        <f t="shared" si="16"/>
        <v>6596</v>
      </c>
      <c r="AC10" s="8">
        <v>-41714</v>
      </c>
      <c r="AD10" s="8">
        <f t="shared" si="16"/>
        <v>-8728</v>
      </c>
      <c r="AE10" s="8">
        <v>137705</v>
      </c>
      <c r="AF10" s="8">
        <f t="shared" si="17"/>
        <v>12327</v>
      </c>
      <c r="AG10" s="8">
        <v>109926</v>
      </c>
      <c r="AH10" s="8">
        <f t="shared" si="18"/>
        <v>2447</v>
      </c>
      <c r="AI10" s="8">
        <v>27779</v>
      </c>
      <c r="AJ10" s="8">
        <f t="shared" si="19"/>
        <v>9880</v>
      </c>
      <c r="AK10" s="8">
        <v>131749</v>
      </c>
      <c r="AL10" s="8">
        <f t="shared" si="20"/>
        <v>8945</v>
      </c>
      <c r="AM10" s="8">
        <v>104048</v>
      </c>
      <c r="AN10" s="8">
        <f t="shared" si="21"/>
        <v>1753</v>
      </c>
      <c r="AO10" s="8">
        <v>27701</v>
      </c>
      <c r="AP10" s="8">
        <f t="shared" si="22"/>
        <v>7192</v>
      </c>
      <c r="AR10" s="8">
        <v>1731018</v>
      </c>
      <c r="AS10" s="8">
        <f t="shared" si="23"/>
        <v>27885</v>
      </c>
      <c r="AT10" s="8">
        <v>231366</v>
      </c>
      <c r="AU10" s="8">
        <f t="shared" si="24"/>
        <v>10605</v>
      </c>
      <c r="AV10" s="8">
        <v>60325</v>
      </c>
      <c r="AW10" s="8">
        <f t="shared" si="25"/>
        <v>11602</v>
      </c>
      <c r="AX10" s="8">
        <f t="shared" si="0"/>
        <v>171041</v>
      </c>
      <c r="AY10" s="8">
        <f t="shared" si="26"/>
        <v>-997</v>
      </c>
      <c r="AZ10" s="8">
        <v>692719</v>
      </c>
      <c r="BA10" s="8">
        <f t="shared" si="27"/>
        <v>-1918</v>
      </c>
      <c r="BB10" s="8">
        <v>785508</v>
      </c>
      <c r="BC10" s="8">
        <f t="shared" si="28"/>
        <v>-5313</v>
      </c>
      <c r="BD10" s="8">
        <f t="shared" si="1"/>
        <v>-92789</v>
      </c>
      <c r="BE10" s="8">
        <f t="shared" si="29"/>
        <v>3395</v>
      </c>
      <c r="BF10" s="8">
        <v>283494</v>
      </c>
      <c r="BG10" s="8">
        <f t="shared" si="30"/>
        <v>-9506</v>
      </c>
      <c r="BH10" s="8">
        <v>769550</v>
      </c>
      <c r="BI10" s="8">
        <f t="shared" si="31"/>
        <v>-4471</v>
      </c>
      <c r="BJ10" s="8">
        <f t="shared" si="2"/>
        <v>-486056</v>
      </c>
      <c r="BK10" s="8">
        <f t="shared" si="3"/>
        <v>-5035</v>
      </c>
    </row>
    <row r="11" spans="1:63">
      <c r="A11" s="5">
        <v>38937</v>
      </c>
      <c r="B11" s="8">
        <v>299780</v>
      </c>
      <c r="C11" s="8">
        <f t="shared" si="4"/>
        <v>-9071</v>
      </c>
      <c r="D11" s="8">
        <v>68192</v>
      </c>
      <c r="E11" s="8">
        <f t="shared" si="5"/>
        <v>-671</v>
      </c>
      <c r="F11" s="8">
        <v>9342</v>
      </c>
      <c r="G11" s="8">
        <f t="shared" si="6"/>
        <v>-1664</v>
      </c>
      <c r="H11" s="8">
        <v>58850</v>
      </c>
      <c r="I11" s="8">
        <f t="shared" si="7"/>
        <v>993</v>
      </c>
      <c r="J11" s="8">
        <v>135021</v>
      </c>
      <c r="K11" s="8">
        <f t="shared" si="8"/>
        <v>-4375</v>
      </c>
      <c r="L11" s="8">
        <v>213573</v>
      </c>
      <c r="M11" s="8">
        <f t="shared" si="9"/>
        <v>-6983</v>
      </c>
      <c r="N11" s="8">
        <v>-78552</v>
      </c>
      <c r="O11" s="8">
        <f t="shared" si="10"/>
        <v>2608</v>
      </c>
      <c r="P11" s="8">
        <v>66863</v>
      </c>
      <c r="Q11" s="8">
        <f t="shared" si="11"/>
        <v>-3576</v>
      </c>
      <c r="R11" s="8">
        <v>210179</v>
      </c>
      <c r="S11" s="8">
        <f t="shared" si="12"/>
        <v>-7227</v>
      </c>
      <c r="T11" s="8">
        <v>-143316</v>
      </c>
      <c r="U11" s="8">
        <f t="shared" si="13"/>
        <v>3651</v>
      </c>
      <c r="W11" s="8">
        <v>246157</v>
      </c>
      <c r="X11" s="8">
        <f t="shared" si="14"/>
        <v>9225</v>
      </c>
      <c r="Y11" s="8">
        <v>15596</v>
      </c>
      <c r="Z11" s="8">
        <f t="shared" si="15"/>
        <v>1281</v>
      </c>
      <c r="AA11" s="8">
        <v>60731</v>
      </c>
      <c r="AB11" s="8">
        <f t="shared" si="16"/>
        <v>4702</v>
      </c>
      <c r="AC11" s="8">
        <v>-45135</v>
      </c>
      <c r="AD11" s="8">
        <f t="shared" si="16"/>
        <v>-3421</v>
      </c>
      <c r="AE11" s="8">
        <v>141209</v>
      </c>
      <c r="AF11" s="8">
        <f t="shared" si="17"/>
        <v>3504</v>
      </c>
      <c r="AG11" s="8">
        <v>110161</v>
      </c>
      <c r="AH11" s="8">
        <f t="shared" si="18"/>
        <v>235</v>
      </c>
      <c r="AI11" s="8">
        <v>31048</v>
      </c>
      <c r="AJ11" s="8">
        <f t="shared" si="19"/>
        <v>3269</v>
      </c>
      <c r="AK11" s="8">
        <v>138474</v>
      </c>
      <c r="AL11" s="8">
        <f t="shared" si="20"/>
        <v>6725</v>
      </c>
      <c r="AM11" s="8">
        <v>103641</v>
      </c>
      <c r="AN11" s="8">
        <f t="shared" si="21"/>
        <v>-407</v>
      </c>
      <c r="AO11" s="8">
        <v>34833</v>
      </c>
      <c r="AP11" s="8">
        <f t="shared" si="22"/>
        <v>7132</v>
      </c>
      <c r="AR11" s="8">
        <v>1699740</v>
      </c>
      <c r="AS11" s="8">
        <f t="shared" si="23"/>
        <v>-31278</v>
      </c>
      <c r="AT11" s="8">
        <v>223341</v>
      </c>
      <c r="AU11" s="8">
        <f t="shared" si="24"/>
        <v>-8025</v>
      </c>
      <c r="AV11" s="8">
        <v>64325</v>
      </c>
      <c r="AW11" s="8">
        <f t="shared" si="25"/>
        <v>4000</v>
      </c>
      <c r="AX11" s="8">
        <f t="shared" si="0"/>
        <v>159016</v>
      </c>
      <c r="AY11" s="8">
        <f t="shared" si="26"/>
        <v>-12025</v>
      </c>
      <c r="AZ11" s="8">
        <v>692038</v>
      </c>
      <c r="BA11" s="8">
        <f t="shared" si="27"/>
        <v>-681</v>
      </c>
      <c r="BB11" s="8">
        <v>767996</v>
      </c>
      <c r="BC11" s="8">
        <f t="shared" si="28"/>
        <v>-17512</v>
      </c>
      <c r="BD11" s="8">
        <f t="shared" si="1"/>
        <v>-75958</v>
      </c>
      <c r="BE11" s="8">
        <f t="shared" si="29"/>
        <v>16831</v>
      </c>
      <c r="BF11" s="8">
        <v>280528</v>
      </c>
      <c r="BG11" s="8">
        <f t="shared" si="30"/>
        <v>-2966</v>
      </c>
      <c r="BH11" s="8">
        <v>752304</v>
      </c>
      <c r="BI11" s="8">
        <f t="shared" si="31"/>
        <v>-17246</v>
      </c>
      <c r="BJ11" s="8">
        <f t="shared" si="2"/>
        <v>-471776</v>
      </c>
      <c r="BK11" s="8">
        <f t="shared" si="3"/>
        <v>14280</v>
      </c>
    </row>
    <row r="12" spans="1:63">
      <c r="A12" s="5">
        <v>38944</v>
      </c>
      <c r="B12" s="8">
        <v>287874</v>
      </c>
      <c r="C12" s="8">
        <f t="shared" si="4"/>
        <v>-11906</v>
      </c>
      <c r="D12" s="8">
        <v>49830</v>
      </c>
      <c r="E12" s="8">
        <f t="shared" si="5"/>
        <v>-18362</v>
      </c>
      <c r="F12" s="8">
        <v>15456</v>
      </c>
      <c r="G12" s="8">
        <f t="shared" si="6"/>
        <v>6114</v>
      </c>
      <c r="H12" s="8">
        <v>34374</v>
      </c>
      <c r="I12" s="8">
        <f t="shared" si="7"/>
        <v>-24476</v>
      </c>
      <c r="J12" s="8">
        <v>142704</v>
      </c>
      <c r="K12" s="8">
        <f t="shared" si="8"/>
        <v>7683</v>
      </c>
      <c r="L12" s="8">
        <v>192424</v>
      </c>
      <c r="M12" s="8">
        <f t="shared" si="9"/>
        <v>-21149</v>
      </c>
      <c r="N12" s="8">
        <v>-49720</v>
      </c>
      <c r="O12" s="8">
        <f t="shared" si="10"/>
        <v>28832</v>
      </c>
      <c r="P12" s="8">
        <v>75666</v>
      </c>
      <c r="Q12" s="8">
        <f t="shared" si="11"/>
        <v>8803</v>
      </c>
      <c r="R12" s="8">
        <v>189432</v>
      </c>
      <c r="S12" s="8">
        <f t="shared" si="12"/>
        <v>-20747</v>
      </c>
      <c r="T12" s="8">
        <v>-113766</v>
      </c>
      <c r="U12" s="8">
        <f t="shared" si="13"/>
        <v>29550</v>
      </c>
      <c r="W12" s="8">
        <v>253540</v>
      </c>
      <c r="X12" s="8">
        <f t="shared" si="14"/>
        <v>7383</v>
      </c>
      <c r="Y12" s="8">
        <v>14437</v>
      </c>
      <c r="Z12" s="8">
        <f t="shared" si="15"/>
        <v>-1159</v>
      </c>
      <c r="AA12" s="8">
        <v>60762</v>
      </c>
      <c r="AB12" s="8">
        <f t="shared" si="16"/>
        <v>31</v>
      </c>
      <c r="AC12" s="8">
        <v>-46325</v>
      </c>
      <c r="AD12" s="8">
        <f t="shared" si="16"/>
        <v>-1190</v>
      </c>
      <c r="AE12" s="8">
        <v>142726</v>
      </c>
      <c r="AF12" s="8">
        <f t="shared" si="17"/>
        <v>1517</v>
      </c>
      <c r="AG12" s="8">
        <v>111910</v>
      </c>
      <c r="AH12" s="8">
        <f t="shared" si="18"/>
        <v>1749</v>
      </c>
      <c r="AI12" s="8">
        <v>30816</v>
      </c>
      <c r="AJ12" s="8">
        <f t="shared" si="19"/>
        <v>-232</v>
      </c>
      <c r="AK12" s="8">
        <v>140026</v>
      </c>
      <c r="AL12" s="8">
        <f t="shared" si="20"/>
        <v>1552</v>
      </c>
      <c r="AM12" s="8">
        <v>104000</v>
      </c>
      <c r="AN12" s="8">
        <f t="shared" si="21"/>
        <v>359</v>
      </c>
      <c r="AO12" s="8">
        <v>36026</v>
      </c>
      <c r="AP12" s="8">
        <f t="shared" si="22"/>
        <v>1193</v>
      </c>
      <c r="AR12" s="8">
        <v>1704444</v>
      </c>
      <c r="AS12" s="8">
        <f t="shared" si="23"/>
        <v>4704</v>
      </c>
      <c r="AT12" s="8">
        <v>193068</v>
      </c>
      <c r="AU12" s="8">
        <f t="shared" si="24"/>
        <v>-30273</v>
      </c>
      <c r="AV12" s="8">
        <v>102958</v>
      </c>
      <c r="AW12" s="8">
        <f t="shared" si="25"/>
        <v>38633</v>
      </c>
      <c r="AX12" s="8">
        <f t="shared" si="0"/>
        <v>90110</v>
      </c>
      <c r="AY12" s="8">
        <f t="shared" si="26"/>
        <v>-68906</v>
      </c>
      <c r="AZ12" s="8">
        <v>733304</v>
      </c>
      <c r="BA12" s="8">
        <f t="shared" si="27"/>
        <v>41266</v>
      </c>
      <c r="BB12" s="8">
        <v>741158</v>
      </c>
      <c r="BC12" s="8">
        <f t="shared" si="28"/>
        <v>-26838</v>
      </c>
      <c r="BD12" s="8">
        <f t="shared" si="1"/>
        <v>-7854</v>
      </c>
      <c r="BE12" s="8">
        <f t="shared" si="29"/>
        <v>68104</v>
      </c>
      <c r="BF12" s="8">
        <v>334372</v>
      </c>
      <c r="BG12" s="8">
        <f t="shared" si="30"/>
        <v>53844</v>
      </c>
      <c r="BH12" s="8">
        <v>723013</v>
      </c>
      <c r="BI12" s="8">
        <f t="shared" si="31"/>
        <v>-29291</v>
      </c>
      <c r="BJ12" s="8">
        <f t="shared" si="2"/>
        <v>-388641</v>
      </c>
      <c r="BK12" s="8">
        <f t="shared" si="3"/>
        <v>83135</v>
      </c>
    </row>
    <row r="13" spans="1:63">
      <c r="A13" s="5">
        <v>38951</v>
      </c>
      <c r="B13" s="8">
        <v>289585</v>
      </c>
      <c r="C13" s="8">
        <f t="shared" si="4"/>
        <v>1711</v>
      </c>
      <c r="D13" s="8">
        <v>43995</v>
      </c>
      <c r="E13" s="8">
        <f t="shared" si="5"/>
        <v>-5835</v>
      </c>
      <c r="F13" s="8">
        <v>15917</v>
      </c>
      <c r="G13" s="8">
        <f t="shared" si="6"/>
        <v>461</v>
      </c>
      <c r="H13" s="8">
        <v>28078</v>
      </c>
      <c r="I13" s="8">
        <f t="shared" si="7"/>
        <v>-6296</v>
      </c>
      <c r="J13" s="8">
        <v>144643</v>
      </c>
      <c r="K13" s="8">
        <f t="shared" si="8"/>
        <v>1939</v>
      </c>
      <c r="L13" s="8">
        <v>184163</v>
      </c>
      <c r="M13" s="8">
        <f t="shared" si="9"/>
        <v>-8261</v>
      </c>
      <c r="N13" s="8">
        <v>-39520</v>
      </c>
      <c r="O13" s="8">
        <f t="shared" si="10"/>
        <v>10200</v>
      </c>
      <c r="P13" s="8">
        <v>76550</v>
      </c>
      <c r="Q13" s="8">
        <f t="shared" si="11"/>
        <v>884</v>
      </c>
      <c r="R13" s="8">
        <v>181669</v>
      </c>
      <c r="S13" s="8">
        <f t="shared" si="12"/>
        <v>-7763</v>
      </c>
      <c r="T13" s="8">
        <v>-105119</v>
      </c>
      <c r="U13" s="8">
        <f t="shared" si="13"/>
        <v>8647</v>
      </c>
      <c r="W13" s="8">
        <v>264917</v>
      </c>
      <c r="X13" s="8">
        <f t="shared" si="14"/>
        <v>11377</v>
      </c>
      <c r="Y13" s="8">
        <v>13884</v>
      </c>
      <c r="Z13" s="8">
        <f t="shared" si="15"/>
        <v>-553</v>
      </c>
      <c r="AA13" s="8">
        <v>64605</v>
      </c>
      <c r="AB13" s="8">
        <f t="shared" si="16"/>
        <v>3843</v>
      </c>
      <c r="AC13" s="8">
        <v>-50721</v>
      </c>
      <c r="AD13" s="8">
        <f t="shared" si="16"/>
        <v>-4396</v>
      </c>
      <c r="AE13" s="8">
        <v>146942</v>
      </c>
      <c r="AF13" s="8">
        <f t="shared" si="17"/>
        <v>4216</v>
      </c>
      <c r="AG13" s="8">
        <v>113687</v>
      </c>
      <c r="AH13" s="8">
        <f t="shared" si="18"/>
        <v>1777</v>
      </c>
      <c r="AI13" s="8">
        <v>33255</v>
      </c>
      <c r="AJ13" s="8">
        <f t="shared" si="19"/>
        <v>2439</v>
      </c>
      <c r="AK13" s="8">
        <v>144465</v>
      </c>
      <c r="AL13" s="8">
        <f t="shared" si="20"/>
        <v>4439</v>
      </c>
      <c r="AM13" s="8">
        <v>105157</v>
      </c>
      <c r="AN13" s="8">
        <f t="shared" si="21"/>
        <v>1157</v>
      </c>
      <c r="AO13" s="8">
        <v>39308</v>
      </c>
      <c r="AP13" s="8">
        <f t="shared" si="22"/>
        <v>3282</v>
      </c>
      <c r="AR13" s="8">
        <v>1701840</v>
      </c>
      <c r="AS13" s="8">
        <f t="shared" si="23"/>
        <v>-2604</v>
      </c>
      <c r="AT13" s="8">
        <v>197270</v>
      </c>
      <c r="AU13" s="8">
        <f t="shared" si="24"/>
        <v>4202</v>
      </c>
      <c r="AV13" s="8">
        <v>116636</v>
      </c>
      <c r="AW13" s="8">
        <f t="shared" si="25"/>
        <v>13678</v>
      </c>
      <c r="AX13" s="8">
        <f t="shared" si="0"/>
        <v>80634</v>
      </c>
      <c r="AY13" s="8">
        <f t="shared" si="26"/>
        <v>-9476</v>
      </c>
      <c r="AZ13" s="8">
        <v>742542</v>
      </c>
      <c r="BA13" s="8">
        <f t="shared" si="27"/>
        <v>9238</v>
      </c>
      <c r="BB13" s="8">
        <v>727616</v>
      </c>
      <c r="BC13" s="8">
        <f t="shared" si="28"/>
        <v>-13542</v>
      </c>
      <c r="BD13" s="8">
        <f t="shared" si="1"/>
        <v>14926</v>
      </c>
      <c r="BE13" s="8">
        <f t="shared" si="29"/>
        <v>22780</v>
      </c>
      <c r="BF13" s="8">
        <v>339327</v>
      </c>
      <c r="BG13" s="8">
        <f t="shared" si="30"/>
        <v>4955</v>
      </c>
      <c r="BH13" s="8">
        <v>707231</v>
      </c>
      <c r="BI13" s="8">
        <f t="shared" si="31"/>
        <v>-15782</v>
      </c>
      <c r="BJ13" s="8">
        <f t="shared" si="2"/>
        <v>-367904</v>
      </c>
      <c r="BK13" s="8">
        <f t="shared" si="3"/>
        <v>20737</v>
      </c>
    </row>
    <row r="14" spans="1:63">
      <c r="A14" s="5">
        <v>38958</v>
      </c>
      <c r="B14" s="8">
        <v>285727</v>
      </c>
      <c r="C14" s="8">
        <f t="shared" si="4"/>
        <v>-3858</v>
      </c>
      <c r="D14" s="8">
        <v>39609</v>
      </c>
      <c r="E14" s="8">
        <f t="shared" si="5"/>
        <v>-4386</v>
      </c>
      <c r="F14" s="8">
        <v>24278</v>
      </c>
      <c r="G14" s="8">
        <f t="shared" si="6"/>
        <v>8361</v>
      </c>
      <c r="H14" s="8">
        <v>15331</v>
      </c>
      <c r="I14" s="8">
        <f t="shared" si="7"/>
        <v>-12747</v>
      </c>
      <c r="J14" s="8">
        <v>148343</v>
      </c>
      <c r="K14" s="8">
        <f t="shared" si="8"/>
        <v>3700</v>
      </c>
      <c r="L14" s="8">
        <v>174157</v>
      </c>
      <c r="M14" s="8">
        <f t="shared" si="9"/>
        <v>-10006</v>
      </c>
      <c r="N14" s="8">
        <v>-25814</v>
      </c>
      <c r="O14" s="8">
        <f t="shared" si="10"/>
        <v>13706</v>
      </c>
      <c r="P14" s="8">
        <v>79735</v>
      </c>
      <c r="Q14" s="8">
        <f t="shared" si="11"/>
        <v>3185</v>
      </c>
      <c r="R14" s="8">
        <v>170732</v>
      </c>
      <c r="S14" s="8">
        <f t="shared" si="12"/>
        <v>-10937</v>
      </c>
      <c r="T14" s="8">
        <v>-90997</v>
      </c>
      <c r="U14" s="8">
        <f t="shared" si="13"/>
        <v>14122</v>
      </c>
      <c r="W14" s="8">
        <v>257179</v>
      </c>
      <c r="X14" s="8">
        <f t="shared" si="14"/>
        <v>-7738</v>
      </c>
      <c r="Y14" s="8">
        <v>13353</v>
      </c>
      <c r="Z14" s="8">
        <f t="shared" si="15"/>
        <v>-531</v>
      </c>
      <c r="AA14" s="8">
        <v>62356</v>
      </c>
      <c r="AB14" s="8">
        <f t="shared" si="16"/>
        <v>-2249</v>
      </c>
      <c r="AC14" s="8">
        <v>-49003</v>
      </c>
      <c r="AD14" s="8">
        <f t="shared" si="16"/>
        <v>1718</v>
      </c>
      <c r="AE14" s="8">
        <v>144066</v>
      </c>
      <c r="AF14" s="8">
        <f t="shared" si="17"/>
        <v>-2876</v>
      </c>
      <c r="AG14" s="8">
        <v>108243</v>
      </c>
      <c r="AH14" s="8">
        <f t="shared" si="18"/>
        <v>-5444</v>
      </c>
      <c r="AI14" s="8">
        <v>35823</v>
      </c>
      <c r="AJ14" s="8">
        <f t="shared" si="19"/>
        <v>2568</v>
      </c>
      <c r="AK14" s="8">
        <v>141237</v>
      </c>
      <c r="AL14" s="8">
        <f t="shared" si="20"/>
        <v>-3228</v>
      </c>
      <c r="AM14" s="8">
        <v>99251</v>
      </c>
      <c r="AN14" s="8">
        <f t="shared" si="21"/>
        <v>-5906</v>
      </c>
      <c r="AO14" s="8">
        <v>41986</v>
      </c>
      <c r="AP14" s="8">
        <f t="shared" si="22"/>
        <v>2678</v>
      </c>
      <c r="AR14" s="8">
        <v>1625725</v>
      </c>
      <c r="AS14" s="8">
        <f t="shared" si="23"/>
        <v>-76115</v>
      </c>
      <c r="AT14" s="8">
        <v>210127</v>
      </c>
      <c r="AU14" s="8">
        <f t="shared" si="24"/>
        <v>12857</v>
      </c>
      <c r="AV14" s="8">
        <v>124710</v>
      </c>
      <c r="AW14" s="8">
        <f t="shared" si="25"/>
        <v>8074</v>
      </c>
      <c r="AX14" s="8">
        <f t="shared" si="0"/>
        <v>85417</v>
      </c>
      <c r="AY14" s="8">
        <f t="shared" si="26"/>
        <v>4783</v>
      </c>
      <c r="AZ14" s="8">
        <v>707346</v>
      </c>
      <c r="BA14" s="8">
        <f t="shared" si="27"/>
        <v>-35196</v>
      </c>
      <c r="BB14" s="8">
        <v>702548</v>
      </c>
      <c r="BC14" s="8">
        <f t="shared" si="28"/>
        <v>-25068</v>
      </c>
      <c r="BD14" s="8">
        <f t="shared" si="1"/>
        <v>4798</v>
      </c>
      <c r="BE14" s="8">
        <f t="shared" si="29"/>
        <v>-10128</v>
      </c>
      <c r="BF14" s="8">
        <v>298897</v>
      </c>
      <c r="BG14" s="8">
        <f t="shared" si="30"/>
        <v>-40430</v>
      </c>
      <c r="BH14" s="8">
        <v>682005</v>
      </c>
      <c r="BI14" s="8">
        <f t="shared" si="31"/>
        <v>-25226</v>
      </c>
      <c r="BJ14" s="8">
        <f t="shared" si="2"/>
        <v>-383108</v>
      </c>
      <c r="BK14" s="8">
        <f t="shared" si="3"/>
        <v>-15204</v>
      </c>
    </row>
    <row r="15" spans="1:63">
      <c r="A15" s="5">
        <v>38965</v>
      </c>
      <c r="B15" s="8">
        <v>279157</v>
      </c>
      <c r="C15" s="8">
        <f t="shared" si="4"/>
        <v>-6570</v>
      </c>
      <c r="D15" s="8">
        <v>37851</v>
      </c>
      <c r="E15" s="8">
        <f t="shared" si="5"/>
        <v>-1758</v>
      </c>
      <c r="F15" s="8">
        <v>25888</v>
      </c>
      <c r="G15" s="8">
        <f t="shared" si="6"/>
        <v>1610</v>
      </c>
      <c r="H15" s="8">
        <v>11963</v>
      </c>
      <c r="I15" s="8">
        <f t="shared" si="7"/>
        <v>-3368</v>
      </c>
      <c r="J15" s="8">
        <v>146114</v>
      </c>
      <c r="K15" s="8">
        <f t="shared" si="8"/>
        <v>-2229</v>
      </c>
      <c r="L15" s="8">
        <v>168602</v>
      </c>
      <c r="M15" s="8">
        <f t="shared" si="9"/>
        <v>-5555</v>
      </c>
      <c r="N15" s="8">
        <v>-22488</v>
      </c>
      <c r="O15" s="8">
        <f t="shared" si="10"/>
        <v>3326</v>
      </c>
      <c r="P15" s="8">
        <v>75683</v>
      </c>
      <c r="Q15" s="8">
        <f t="shared" si="11"/>
        <v>-4052</v>
      </c>
      <c r="R15" s="8">
        <v>164684</v>
      </c>
      <c r="S15" s="8">
        <f t="shared" si="12"/>
        <v>-6048</v>
      </c>
      <c r="T15" s="8">
        <v>-89001</v>
      </c>
      <c r="U15" s="8">
        <f t="shared" si="13"/>
        <v>1996</v>
      </c>
      <c r="W15" s="8">
        <v>260297</v>
      </c>
      <c r="X15" s="8">
        <f t="shared" si="14"/>
        <v>3118</v>
      </c>
      <c r="Y15" s="8">
        <v>14865</v>
      </c>
      <c r="Z15" s="8">
        <f t="shared" si="15"/>
        <v>1512</v>
      </c>
      <c r="AA15" s="8">
        <v>59156</v>
      </c>
      <c r="AB15" s="8">
        <f t="shared" si="16"/>
        <v>-3200</v>
      </c>
      <c r="AC15" s="8">
        <v>-44291</v>
      </c>
      <c r="AD15" s="8">
        <f t="shared" si="16"/>
        <v>4712</v>
      </c>
      <c r="AE15" s="8">
        <v>145767</v>
      </c>
      <c r="AF15" s="8">
        <f t="shared" si="17"/>
        <v>1701</v>
      </c>
      <c r="AG15" s="8">
        <v>115658</v>
      </c>
      <c r="AH15" s="8">
        <f t="shared" si="18"/>
        <v>7415</v>
      </c>
      <c r="AI15" s="8">
        <v>30109</v>
      </c>
      <c r="AJ15" s="8">
        <f t="shared" si="19"/>
        <v>-5714</v>
      </c>
      <c r="AK15" s="8">
        <v>142819</v>
      </c>
      <c r="AL15" s="8">
        <f t="shared" si="20"/>
        <v>1582</v>
      </c>
      <c r="AM15" s="8">
        <v>105470</v>
      </c>
      <c r="AN15" s="8">
        <f t="shared" si="21"/>
        <v>6219</v>
      </c>
      <c r="AO15" s="8">
        <v>37349</v>
      </c>
      <c r="AP15" s="8">
        <f t="shared" si="22"/>
        <v>-4637</v>
      </c>
      <c r="AR15" s="8">
        <v>1635746</v>
      </c>
      <c r="AS15" s="8">
        <f t="shared" si="23"/>
        <v>10021</v>
      </c>
      <c r="AT15" s="8">
        <v>215646</v>
      </c>
      <c r="AU15" s="8">
        <f t="shared" si="24"/>
        <v>5519</v>
      </c>
      <c r="AV15" s="8">
        <v>119073</v>
      </c>
      <c r="AW15" s="8">
        <f t="shared" si="25"/>
        <v>-5637</v>
      </c>
      <c r="AX15" s="8">
        <f t="shared" si="0"/>
        <v>96573</v>
      </c>
      <c r="AY15" s="8">
        <f t="shared" si="26"/>
        <v>11156</v>
      </c>
      <c r="AZ15" s="8">
        <v>694823</v>
      </c>
      <c r="BA15" s="8">
        <f t="shared" si="27"/>
        <v>-12523</v>
      </c>
      <c r="BB15" s="8">
        <v>703651</v>
      </c>
      <c r="BC15" s="8">
        <f t="shared" si="28"/>
        <v>1103</v>
      </c>
      <c r="BD15" s="8">
        <f t="shared" si="1"/>
        <v>-8828</v>
      </c>
      <c r="BE15" s="8">
        <f t="shared" si="29"/>
        <v>-13626</v>
      </c>
      <c r="BF15" s="8">
        <v>279970</v>
      </c>
      <c r="BG15" s="8">
        <f t="shared" si="30"/>
        <v>-18927</v>
      </c>
      <c r="BH15" s="8">
        <v>679567</v>
      </c>
      <c r="BI15" s="8">
        <f t="shared" si="31"/>
        <v>-2438</v>
      </c>
      <c r="BJ15" s="8">
        <f t="shared" si="2"/>
        <v>-399597</v>
      </c>
      <c r="BK15" s="8">
        <f t="shared" si="3"/>
        <v>-16489</v>
      </c>
    </row>
    <row r="16" spans="1:63">
      <c r="A16" s="5">
        <v>38972</v>
      </c>
      <c r="B16" s="8">
        <v>286750</v>
      </c>
      <c r="C16" s="8">
        <f t="shared" si="4"/>
        <v>7593</v>
      </c>
      <c r="D16" s="8">
        <v>33443</v>
      </c>
      <c r="E16" s="8">
        <f t="shared" si="5"/>
        <v>-4408</v>
      </c>
      <c r="F16" s="8">
        <v>34540</v>
      </c>
      <c r="G16" s="8">
        <f t="shared" si="6"/>
        <v>8652</v>
      </c>
      <c r="H16" s="8">
        <v>-1097</v>
      </c>
      <c r="I16" s="8">
        <f t="shared" si="7"/>
        <v>-13060</v>
      </c>
      <c r="J16" s="8">
        <v>152120</v>
      </c>
      <c r="K16" s="8">
        <f t="shared" si="8"/>
        <v>6006</v>
      </c>
      <c r="L16" s="8">
        <v>160850</v>
      </c>
      <c r="M16" s="8">
        <f t="shared" si="9"/>
        <v>-7752</v>
      </c>
      <c r="N16" s="8">
        <v>-8730</v>
      </c>
      <c r="O16" s="8">
        <f t="shared" si="10"/>
        <v>13758</v>
      </c>
      <c r="P16" s="8">
        <v>80220</v>
      </c>
      <c r="Q16" s="8">
        <f t="shared" si="11"/>
        <v>4537</v>
      </c>
      <c r="R16" s="8">
        <v>155295</v>
      </c>
      <c r="S16" s="8">
        <f t="shared" si="12"/>
        <v>-9389</v>
      </c>
      <c r="T16" s="8">
        <v>-75075</v>
      </c>
      <c r="U16" s="8">
        <f t="shared" si="13"/>
        <v>13926</v>
      </c>
      <c r="W16" s="8">
        <v>274243</v>
      </c>
      <c r="X16" s="8">
        <f t="shared" si="14"/>
        <v>13946</v>
      </c>
      <c r="Y16" s="8">
        <v>12911</v>
      </c>
      <c r="Z16" s="8">
        <f t="shared" si="15"/>
        <v>-1954</v>
      </c>
      <c r="AA16" s="8">
        <v>68126</v>
      </c>
      <c r="AB16" s="8">
        <f t="shared" si="16"/>
        <v>8970</v>
      </c>
      <c r="AC16" s="8">
        <v>-55215</v>
      </c>
      <c r="AD16" s="8">
        <f t="shared" si="16"/>
        <v>-10924</v>
      </c>
      <c r="AE16" s="8">
        <v>155281</v>
      </c>
      <c r="AF16" s="8">
        <f t="shared" si="17"/>
        <v>9514</v>
      </c>
      <c r="AG16" s="8">
        <v>115924</v>
      </c>
      <c r="AH16" s="8">
        <f t="shared" si="18"/>
        <v>266</v>
      </c>
      <c r="AI16" s="8">
        <v>39357</v>
      </c>
      <c r="AJ16" s="8">
        <f t="shared" si="19"/>
        <v>9248</v>
      </c>
      <c r="AK16" s="8">
        <v>152522</v>
      </c>
      <c r="AL16" s="8">
        <f t="shared" si="20"/>
        <v>9703</v>
      </c>
      <c r="AM16" s="8">
        <v>106919</v>
      </c>
      <c r="AN16" s="8">
        <f t="shared" si="21"/>
        <v>1449</v>
      </c>
      <c r="AO16" s="8">
        <v>45603</v>
      </c>
      <c r="AP16" s="8">
        <f t="shared" si="22"/>
        <v>8254</v>
      </c>
      <c r="AR16" s="8">
        <v>1657493</v>
      </c>
      <c r="AS16" s="8">
        <f t="shared" si="23"/>
        <v>21747</v>
      </c>
      <c r="AT16" s="8">
        <v>197439</v>
      </c>
      <c r="AU16" s="8">
        <f t="shared" si="24"/>
        <v>-18207</v>
      </c>
      <c r="AV16" s="8">
        <v>123342</v>
      </c>
      <c r="AW16" s="8">
        <f t="shared" si="25"/>
        <v>4269</v>
      </c>
      <c r="AX16" s="8">
        <f t="shared" si="0"/>
        <v>74097</v>
      </c>
      <c r="AY16" s="8">
        <f t="shared" si="26"/>
        <v>-22476</v>
      </c>
      <c r="AZ16" s="8">
        <v>716087</v>
      </c>
      <c r="BA16" s="8">
        <f t="shared" si="27"/>
        <v>21264</v>
      </c>
      <c r="BB16" s="8">
        <v>694009</v>
      </c>
      <c r="BC16" s="8">
        <f t="shared" si="28"/>
        <v>-9642</v>
      </c>
      <c r="BD16" s="8">
        <f t="shared" si="1"/>
        <v>22078</v>
      </c>
      <c r="BE16" s="8">
        <f t="shared" si="29"/>
        <v>30906</v>
      </c>
      <c r="BF16" s="8">
        <v>303081</v>
      </c>
      <c r="BG16" s="8">
        <f t="shared" si="30"/>
        <v>23111</v>
      </c>
      <c r="BH16" s="8">
        <v>670827</v>
      </c>
      <c r="BI16" s="8">
        <f t="shared" si="31"/>
        <v>-8740</v>
      </c>
      <c r="BJ16" s="8">
        <f t="shared" si="2"/>
        <v>-367746</v>
      </c>
      <c r="BK16" s="8">
        <f t="shared" si="3"/>
        <v>31851</v>
      </c>
    </row>
    <row r="17" spans="1:63">
      <c r="A17" s="5">
        <v>38979</v>
      </c>
      <c r="B17" s="8">
        <v>295106</v>
      </c>
      <c r="C17" s="8">
        <f t="shared" si="4"/>
        <v>8356</v>
      </c>
      <c r="D17" s="8">
        <v>33875</v>
      </c>
      <c r="E17" s="8">
        <f t="shared" si="5"/>
        <v>432</v>
      </c>
      <c r="F17" s="8">
        <v>39149</v>
      </c>
      <c r="G17" s="8">
        <f t="shared" si="6"/>
        <v>4609</v>
      </c>
      <c r="H17" s="8">
        <v>-5274</v>
      </c>
      <c r="I17" s="8">
        <f t="shared" si="7"/>
        <v>-4177</v>
      </c>
      <c r="J17" s="8">
        <v>153819</v>
      </c>
      <c r="K17" s="8">
        <f t="shared" si="8"/>
        <v>1699</v>
      </c>
      <c r="L17" s="8">
        <v>158774</v>
      </c>
      <c r="M17" s="8">
        <f t="shared" si="9"/>
        <v>-2076</v>
      </c>
      <c r="N17" s="8">
        <v>-4955</v>
      </c>
      <c r="O17" s="8">
        <f t="shared" si="10"/>
        <v>3775</v>
      </c>
      <c r="P17" s="8">
        <v>81285</v>
      </c>
      <c r="Q17" s="8">
        <f t="shared" si="11"/>
        <v>1065</v>
      </c>
      <c r="R17" s="8">
        <v>152921</v>
      </c>
      <c r="S17" s="8">
        <f t="shared" si="12"/>
        <v>-2374</v>
      </c>
      <c r="T17" s="8">
        <v>-71636</v>
      </c>
      <c r="U17" s="8">
        <f t="shared" si="13"/>
        <v>3439</v>
      </c>
      <c r="W17" s="8">
        <v>265883</v>
      </c>
      <c r="X17" s="8">
        <f t="shared" si="14"/>
        <v>-8360</v>
      </c>
      <c r="Y17" s="8">
        <v>14239</v>
      </c>
      <c r="Z17" s="8">
        <f t="shared" si="15"/>
        <v>1328</v>
      </c>
      <c r="AA17" s="8">
        <v>57608</v>
      </c>
      <c r="AB17" s="8">
        <f t="shared" si="16"/>
        <v>-10518</v>
      </c>
      <c r="AC17" s="8">
        <v>-43369</v>
      </c>
      <c r="AD17" s="8">
        <f t="shared" si="16"/>
        <v>11846</v>
      </c>
      <c r="AE17" s="8">
        <v>145525</v>
      </c>
      <c r="AF17" s="8">
        <f t="shared" si="17"/>
        <v>-9756</v>
      </c>
      <c r="AG17" s="8">
        <v>119483</v>
      </c>
      <c r="AH17" s="8">
        <f t="shared" si="18"/>
        <v>3559</v>
      </c>
      <c r="AI17" s="8">
        <v>26042</v>
      </c>
      <c r="AJ17" s="8">
        <f t="shared" si="19"/>
        <v>-13315</v>
      </c>
      <c r="AK17" s="8">
        <v>142881</v>
      </c>
      <c r="AL17" s="8">
        <f t="shared" si="20"/>
        <v>-9641</v>
      </c>
      <c r="AM17" s="8">
        <v>111259</v>
      </c>
      <c r="AN17" s="8">
        <f t="shared" si="21"/>
        <v>4340</v>
      </c>
      <c r="AO17" s="8">
        <v>31622</v>
      </c>
      <c r="AP17" s="8">
        <f t="shared" si="22"/>
        <v>-13981</v>
      </c>
      <c r="AR17" s="8">
        <v>1639081</v>
      </c>
      <c r="AS17" s="8">
        <f t="shared" si="23"/>
        <v>-18412</v>
      </c>
      <c r="AT17" s="8">
        <v>210962</v>
      </c>
      <c r="AU17" s="8">
        <f t="shared" si="24"/>
        <v>13523</v>
      </c>
      <c r="AV17" s="8">
        <v>112747</v>
      </c>
      <c r="AW17" s="8">
        <f t="shared" si="25"/>
        <v>-10595</v>
      </c>
      <c r="AX17" s="8">
        <f t="shared" si="0"/>
        <v>98215</v>
      </c>
      <c r="AY17" s="8">
        <f t="shared" si="26"/>
        <v>24118</v>
      </c>
      <c r="AZ17" s="8">
        <v>697639</v>
      </c>
      <c r="BA17" s="8">
        <f t="shared" si="27"/>
        <v>-18448</v>
      </c>
      <c r="BB17" s="8">
        <v>701739</v>
      </c>
      <c r="BC17" s="8">
        <f t="shared" si="28"/>
        <v>7730</v>
      </c>
      <c r="BD17" s="8">
        <f t="shared" si="1"/>
        <v>-4100</v>
      </c>
      <c r="BE17" s="8">
        <f t="shared" si="29"/>
        <v>-26178</v>
      </c>
      <c r="BF17" s="8">
        <v>289802</v>
      </c>
      <c r="BG17" s="8">
        <f t="shared" si="30"/>
        <v>-13279</v>
      </c>
      <c r="BH17" s="8">
        <v>678403</v>
      </c>
      <c r="BI17" s="8">
        <f t="shared" si="31"/>
        <v>7576</v>
      </c>
      <c r="BJ17" s="8">
        <f t="shared" si="2"/>
        <v>-388601</v>
      </c>
      <c r="BK17" s="8">
        <f t="shared" si="3"/>
        <v>-20855</v>
      </c>
    </row>
    <row r="18" spans="1:63">
      <c r="A18" s="5">
        <v>38986</v>
      </c>
      <c r="B18" s="8">
        <v>287221</v>
      </c>
      <c r="C18" s="8">
        <f t="shared" si="4"/>
        <v>-7885</v>
      </c>
      <c r="D18" s="8">
        <v>27581</v>
      </c>
      <c r="E18" s="8">
        <f t="shared" si="5"/>
        <v>-6294</v>
      </c>
      <c r="F18" s="8">
        <v>39443</v>
      </c>
      <c r="G18" s="8">
        <f t="shared" si="6"/>
        <v>294</v>
      </c>
      <c r="H18" s="8">
        <v>-11862</v>
      </c>
      <c r="I18" s="8">
        <f t="shared" si="7"/>
        <v>-6588</v>
      </c>
      <c r="J18" s="8">
        <v>157455</v>
      </c>
      <c r="K18" s="8">
        <f t="shared" si="8"/>
        <v>3636</v>
      </c>
      <c r="L18" s="8">
        <v>148532</v>
      </c>
      <c r="M18" s="8">
        <f t="shared" si="9"/>
        <v>-10242</v>
      </c>
      <c r="N18" s="8">
        <v>8923</v>
      </c>
      <c r="O18" s="8">
        <f t="shared" si="10"/>
        <v>13878</v>
      </c>
      <c r="P18" s="8">
        <v>88077</v>
      </c>
      <c r="Q18" s="8">
        <f t="shared" si="11"/>
        <v>6792</v>
      </c>
      <c r="R18" s="8">
        <v>141484</v>
      </c>
      <c r="S18" s="8">
        <f t="shared" si="12"/>
        <v>-11437</v>
      </c>
      <c r="T18" s="8">
        <v>-53407</v>
      </c>
      <c r="U18" s="8">
        <f t="shared" si="13"/>
        <v>18229</v>
      </c>
      <c r="W18" s="8">
        <v>242971</v>
      </c>
      <c r="X18" s="8">
        <f t="shared" si="14"/>
        <v>-22912</v>
      </c>
      <c r="Y18" s="8">
        <v>13284</v>
      </c>
      <c r="Z18" s="8">
        <f t="shared" si="15"/>
        <v>-955</v>
      </c>
      <c r="AA18" s="8">
        <v>49947</v>
      </c>
      <c r="AB18" s="8">
        <f t="shared" si="16"/>
        <v>-7661</v>
      </c>
      <c r="AC18" s="8">
        <v>-36663</v>
      </c>
      <c r="AD18" s="8">
        <f t="shared" si="16"/>
        <v>6706</v>
      </c>
      <c r="AE18" s="8">
        <v>137128</v>
      </c>
      <c r="AF18" s="8">
        <f t="shared" si="17"/>
        <v>-8397</v>
      </c>
      <c r="AG18" s="8">
        <v>114485</v>
      </c>
      <c r="AH18" s="8">
        <f t="shared" si="18"/>
        <v>-4998</v>
      </c>
      <c r="AI18" s="8">
        <v>22643</v>
      </c>
      <c r="AJ18" s="8">
        <f t="shared" si="19"/>
        <v>-3399</v>
      </c>
      <c r="AK18" s="8">
        <v>134923</v>
      </c>
      <c r="AL18" s="8">
        <f t="shared" si="20"/>
        <v>-7958</v>
      </c>
      <c r="AM18" s="8">
        <v>107792</v>
      </c>
      <c r="AN18" s="8">
        <f t="shared" si="21"/>
        <v>-3467</v>
      </c>
      <c r="AO18" s="8">
        <v>27131</v>
      </c>
      <c r="AP18" s="8">
        <f t="shared" si="22"/>
        <v>-4491</v>
      </c>
      <c r="AR18" s="8">
        <v>1651672</v>
      </c>
      <c r="AS18" s="8">
        <f t="shared" si="23"/>
        <v>12591</v>
      </c>
      <c r="AT18" s="8">
        <v>235713</v>
      </c>
      <c r="AU18" s="8">
        <f t="shared" si="24"/>
        <v>24751</v>
      </c>
      <c r="AV18" s="8">
        <v>68384</v>
      </c>
      <c r="AW18" s="8">
        <f t="shared" si="25"/>
        <v>-44363</v>
      </c>
      <c r="AX18" s="8">
        <f t="shared" si="0"/>
        <v>167329</v>
      </c>
      <c r="AY18" s="8">
        <f t="shared" si="26"/>
        <v>69114</v>
      </c>
      <c r="AZ18" s="8">
        <v>693855</v>
      </c>
      <c r="BA18" s="8">
        <f t="shared" si="27"/>
        <v>-3784</v>
      </c>
      <c r="BB18" s="8">
        <v>751563</v>
      </c>
      <c r="BC18" s="8">
        <f t="shared" si="28"/>
        <v>49824</v>
      </c>
      <c r="BD18" s="8">
        <f t="shared" si="1"/>
        <v>-57708</v>
      </c>
      <c r="BE18" s="8">
        <f t="shared" si="29"/>
        <v>-53608</v>
      </c>
      <c r="BF18" s="8">
        <v>277640</v>
      </c>
      <c r="BG18" s="8">
        <f t="shared" si="30"/>
        <v>-12162</v>
      </c>
      <c r="BH18" s="8">
        <v>727527</v>
      </c>
      <c r="BI18" s="8">
        <f t="shared" si="31"/>
        <v>49124</v>
      </c>
      <c r="BJ18" s="8">
        <f t="shared" si="2"/>
        <v>-449887</v>
      </c>
      <c r="BK18" s="8">
        <f t="shared" si="3"/>
        <v>-61286</v>
      </c>
    </row>
    <row r="19" spans="1:63">
      <c r="A19" s="5">
        <v>38993</v>
      </c>
      <c r="B19" s="8">
        <v>283318</v>
      </c>
      <c r="C19" s="8">
        <f t="shared" si="4"/>
        <v>-3903</v>
      </c>
      <c r="D19" s="8">
        <v>25809</v>
      </c>
      <c r="E19" s="8">
        <f t="shared" si="5"/>
        <v>-1772</v>
      </c>
      <c r="F19" s="8">
        <v>44213</v>
      </c>
      <c r="G19" s="8">
        <f t="shared" si="6"/>
        <v>4770</v>
      </c>
      <c r="H19" s="8">
        <v>-18404</v>
      </c>
      <c r="I19" s="8">
        <f t="shared" si="7"/>
        <v>-6542</v>
      </c>
      <c r="J19" s="8">
        <v>156376</v>
      </c>
      <c r="K19" s="8">
        <f t="shared" si="8"/>
        <v>-1079</v>
      </c>
      <c r="L19" s="8">
        <v>142428</v>
      </c>
      <c r="M19" s="8">
        <f t="shared" si="9"/>
        <v>-6104</v>
      </c>
      <c r="N19" s="8">
        <v>13948</v>
      </c>
      <c r="O19" s="8">
        <f t="shared" si="10"/>
        <v>5025</v>
      </c>
      <c r="P19" s="8">
        <v>86330</v>
      </c>
      <c r="Q19" s="8">
        <f t="shared" si="11"/>
        <v>-1747</v>
      </c>
      <c r="R19" s="8">
        <v>134684</v>
      </c>
      <c r="S19" s="8">
        <f t="shared" si="12"/>
        <v>-6800</v>
      </c>
      <c r="T19" s="8">
        <v>-48354</v>
      </c>
      <c r="U19" s="8">
        <f t="shared" si="13"/>
        <v>5053</v>
      </c>
      <c r="W19" s="8">
        <v>236995</v>
      </c>
      <c r="X19" s="8">
        <f t="shared" si="14"/>
        <v>-5976</v>
      </c>
      <c r="Y19" s="8">
        <v>12348</v>
      </c>
      <c r="Z19" s="8">
        <f t="shared" si="15"/>
        <v>-936</v>
      </c>
      <c r="AA19" s="8">
        <v>50329</v>
      </c>
      <c r="AB19" s="8">
        <f t="shared" si="16"/>
        <v>382</v>
      </c>
      <c r="AC19" s="8">
        <v>-37981</v>
      </c>
      <c r="AD19" s="8">
        <f t="shared" si="16"/>
        <v>-1318</v>
      </c>
      <c r="AE19" s="8">
        <v>128008</v>
      </c>
      <c r="AF19" s="8">
        <f t="shared" si="17"/>
        <v>-9120</v>
      </c>
      <c r="AG19" s="8">
        <v>107122</v>
      </c>
      <c r="AH19" s="8">
        <f t="shared" si="18"/>
        <v>-7363</v>
      </c>
      <c r="AI19" s="8">
        <v>20886</v>
      </c>
      <c r="AJ19" s="8">
        <f t="shared" si="19"/>
        <v>-1757</v>
      </c>
      <c r="AK19" s="8">
        <v>125600</v>
      </c>
      <c r="AL19" s="8">
        <f t="shared" si="20"/>
        <v>-9323</v>
      </c>
      <c r="AM19" s="8">
        <v>100678</v>
      </c>
      <c r="AN19" s="8">
        <f t="shared" si="21"/>
        <v>-7114</v>
      </c>
      <c r="AO19" s="8">
        <v>24922</v>
      </c>
      <c r="AP19" s="8">
        <f t="shared" si="22"/>
        <v>-2209</v>
      </c>
      <c r="AR19" s="8">
        <v>1658557</v>
      </c>
      <c r="AS19" s="8">
        <f t="shared" si="23"/>
        <v>6885</v>
      </c>
      <c r="AT19" s="8">
        <v>244102</v>
      </c>
      <c r="AU19" s="8">
        <f t="shared" si="24"/>
        <v>8389</v>
      </c>
      <c r="AV19" s="8">
        <v>42973</v>
      </c>
      <c r="AW19" s="8">
        <f t="shared" si="25"/>
        <v>-25411</v>
      </c>
      <c r="AX19" s="8">
        <f t="shared" si="0"/>
        <v>201129</v>
      </c>
      <c r="AY19" s="8">
        <f t="shared" si="26"/>
        <v>33800</v>
      </c>
      <c r="AZ19" s="8">
        <v>697282</v>
      </c>
      <c r="BA19" s="8">
        <f t="shared" si="27"/>
        <v>3427</v>
      </c>
      <c r="BB19" s="8">
        <v>777716</v>
      </c>
      <c r="BC19" s="8">
        <f t="shared" si="28"/>
        <v>26153</v>
      </c>
      <c r="BD19" s="8">
        <f t="shared" si="1"/>
        <v>-80434</v>
      </c>
      <c r="BE19" s="8">
        <f t="shared" si="29"/>
        <v>-22726</v>
      </c>
      <c r="BF19" s="8">
        <v>280254</v>
      </c>
      <c r="BG19" s="8">
        <f t="shared" si="30"/>
        <v>2614</v>
      </c>
      <c r="BH19" s="8">
        <v>757111</v>
      </c>
      <c r="BI19" s="8">
        <f t="shared" si="31"/>
        <v>29584</v>
      </c>
      <c r="BJ19" s="8">
        <f t="shared" si="2"/>
        <v>-476857</v>
      </c>
      <c r="BK19" s="8">
        <f t="shared" si="3"/>
        <v>-26970</v>
      </c>
    </row>
    <row r="20" spans="1:63">
      <c r="A20" s="5">
        <v>39000</v>
      </c>
      <c r="B20" s="8">
        <v>281871</v>
      </c>
      <c r="C20" s="8">
        <f t="shared" si="4"/>
        <v>-1447</v>
      </c>
      <c r="D20" s="8">
        <v>24596</v>
      </c>
      <c r="E20" s="8">
        <f t="shared" si="5"/>
        <v>-1213</v>
      </c>
      <c r="F20" s="8">
        <v>38244</v>
      </c>
      <c r="G20" s="8">
        <f t="shared" si="6"/>
        <v>-5969</v>
      </c>
      <c r="H20" s="8">
        <v>-13648</v>
      </c>
      <c r="I20" s="8">
        <f t="shared" si="7"/>
        <v>4756</v>
      </c>
      <c r="J20" s="8">
        <v>159221</v>
      </c>
      <c r="K20" s="8">
        <f t="shared" si="8"/>
        <v>2845</v>
      </c>
      <c r="L20" s="8">
        <v>152319</v>
      </c>
      <c r="M20" s="8">
        <f t="shared" si="9"/>
        <v>9891</v>
      </c>
      <c r="N20" s="8">
        <v>6902</v>
      </c>
      <c r="O20" s="8">
        <f t="shared" si="10"/>
        <v>-7046</v>
      </c>
      <c r="P20" s="8">
        <v>91918</v>
      </c>
      <c r="Q20" s="8">
        <f t="shared" si="11"/>
        <v>5588</v>
      </c>
      <c r="R20" s="8">
        <v>145769</v>
      </c>
      <c r="S20" s="8">
        <f t="shared" si="12"/>
        <v>11085</v>
      </c>
      <c r="T20" s="8">
        <v>-53851</v>
      </c>
      <c r="U20" s="8">
        <f t="shared" si="13"/>
        <v>-5497</v>
      </c>
      <c r="W20" s="8">
        <v>229892</v>
      </c>
      <c r="X20" s="8">
        <f t="shared" si="14"/>
        <v>-7103</v>
      </c>
      <c r="Y20" s="8">
        <v>14075</v>
      </c>
      <c r="Z20" s="8">
        <f t="shared" si="15"/>
        <v>1727</v>
      </c>
      <c r="AA20" s="8">
        <v>44118</v>
      </c>
      <c r="AB20" s="8">
        <f t="shared" si="16"/>
        <v>-6211</v>
      </c>
      <c r="AC20" s="8">
        <v>-30043</v>
      </c>
      <c r="AD20" s="8">
        <f t="shared" si="16"/>
        <v>7938</v>
      </c>
      <c r="AE20" s="8">
        <v>122615</v>
      </c>
      <c r="AF20" s="8">
        <f t="shared" si="17"/>
        <v>-5393</v>
      </c>
      <c r="AG20" s="8">
        <v>110641</v>
      </c>
      <c r="AH20" s="8">
        <f t="shared" si="18"/>
        <v>3519</v>
      </c>
      <c r="AI20" s="8">
        <v>11974</v>
      </c>
      <c r="AJ20" s="8">
        <f t="shared" si="19"/>
        <v>-8912</v>
      </c>
      <c r="AK20" s="8">
        <v>120049</v>
      </c>
      <c r="AL20" s="8">
        <f t="shared" si="20"/>
        <v>-5551</v>
      </c>
      <c r="AM20" s="8">
        <v>104829</v>
      </c>
      <c r="AN20" s="8">
        <f t="shared" si="21"/>
        <v>4151</v>
      </c>
      <c r="AO20" s="8">
        <v>15220</v>
      </c>
      <c r="AP20" s="8">
        <f t="shared" si="22"/>
        <v>-9702</v>
      </c>
      <c r="AR20" s="8">
        <v>1704664</v>
      </c>
      <c r="AS20" s="8">
        <f t="shared" si="23"/>
        <v>46107</v>
      </c>
      <c r="AT20" s="8">
        <v>245040</v>
      </c>
      <c r="AU20" s="8">
        <f t="shared" si="24"/>
        <v>938</v>
      </c>
      <c r="AV20" s="8">
        <v>31242</v>
      </c>
      <c r="AW20" s="8">
        <f t="shared" si="25"/>
        <v>-11731</v>
      </c>
      <c r="AX20" s="8">
        <f t="shared" si="0"/>
        <v>213798</v>
      </c>
      <c r="AY20" s="8">
        <f t="shared" si="26"/>
        <v>12669</v>
      </c>
      <c r="AZ20" s="8">
        <v>697727</v>
      </c>
      <c r="BA20" s="8">
        <f t="shared" si="27"/>
        <v>445</v>
      </c>
      <c r="BB20" s="8">
        <v>808902</v>
      </c>
      <c r="BC20" s="8">
        <f t="shared" si="28"/>
        <v>31186</v>
      </c>
      <c r="BD20" s="8">
        <f t="shared" si="1"/>
        <v>-111175</v>
      </c>
      <c r="BE20" s="8">
        <f t="shared" si="29"/>
        <v>-30741</v>
      </c>
      <c r="BF20" s="8">
        <v>276831</v>
      </c>
      <c r="BG20" s="8">
        <f t="shared" si="30"/>
        <v>-3423</v>
      </c>
      <c r="BH20" s="8">
        <v>787081</v>
      </c>
      <c r="BI20" s="8">
        <f t="shared" si="31"/>
        <v>29970</v>
      </c>
      <c r="BJ20" s="8">
        <f t="shared" si="2"/>
        <v>-510250</v>
      </c>
      <c r="BK20" s="8">
        <f t="shared" si="3"/>
        <v>-33393</v>
      </c>
    </row>
    <row r="21" spans="1:63">
      <c r="A21" s="5">
        <v>39007</v>
      </c>
      <c r="B21" s="8">
        <v>288196</v>
      </c>
      <c r="C21" s="8">
        <f t="shared" si="4"/>
        <v>6325</v>
      </c>
      <c r="D21" s="8">
        <v>28108</v>
      </c>
      <c r="E21" s="8">
        <f t="shared" si="5"/>
        <v>3512</v>
      </c>
      <c r="F21" s="8">
        <v>27291</v>
      </c>
      <c r="G21" s="8">
        <f t="shared" si="6"/>
        <v>-10953</v>
      </c>
      <c r="H21" s="8">
        <v>817</v>
      </c>
      <c r="I21" s="8">
        <f t="shared" si="7"/>
        <v>14465</v>
      </c>
      <c r="J21" s="8">
        <v>156957</v>
      </c>
      <c r="K21" s="8">
        <f t="shared" si="8"/>
        <v>-2264</v>
      </c>
      <c r="L21" s="8">
        <v>169302</v>
      </c>
      <c r="M21" s="8">
        <f t="shared" si="9"/>
        <v>16983</v>
      </c>
      <c r="N21" s="8">
        <v>-12345</v>
      </c>
      <c r="O21" s="8">
        <f t="shared" si="10"/>
        <v>-19247</v>
      </c>
      <c r="P21" s="8">
        <v>91831</v>
      </c>
      <c r="Q21" s="8">
        <f t="shared" si="11"/>
        <v>-87</v>
      </c>
      <c r="R21" s="8">
        <v>164257</v>
      </c>
      <c r="S21" s="8">
        <f t="shared" si="12"/>
        <v>18488</v>
      </c>
      <c r="T21" s="8">
        <v>-72426</v>
      </c>
      <c r="U21" s="8">
        <f t="shared" si="13"/>
        <v>-18575</v>
      </c>
      <c r="W21" s="8">
        <v>222487</v>
      </c>
      <c r="X21" s="8">
        <f t="shared" si="14"/>
        <v>-7405</v>
      </c>
      <c r="Y21" s="8">
        <v>17723</v>
      </c>
      <c r="Z21" s="8">
        <f t="shared" si="15"/>
        <v>3648</v>
      </c>
      <c r="AA21" s="8">
        <v>28482</v>
      </c>
      <c r="AB21" s="8">
        <f t="shared" si="16"/>
        <v>-15636</v>
      </c>
      <c r="AC21" s="8">
        <v>-10759</v>
      </c>
      <c r="AD21" s="8">
        <f t="shared" si="16"/>
        <v>19284</v>
      </c>
      <c r="AE21" s="8">
        <v>108084</v>
      </c>
      <c r="AF21" s="8">
        <f t="shared" si="17"/>
        <v>-14531</v>
      </c>
      <c r="AG21" s="8">
        <v>121886</v>
      </c>
      <c r="AH21" s="8">
        <f t="shared" si="18"/>
        <v>11245</v>
      </c>
      <c r="AI21" s="8">
        <v>-13802</v>
      </c>
      <c r="AJ21" s="8">
        <f t="shared" si="19"/>
        <v>-25776</v>
      </c>
      <c r="AK21" s="8">
        <v>105344</v>
      </c>
      <c r="AL21" s="8">
        <f t="shared" si="20"/>
        <v>-14705</v>
      </c>
      <c r="AM21" s="8">
        <v>119267</v>
      </c>
      <c r="AN21" s="8">
        <f t="shared" si="21"/>
        <v>14438</v>
      </c>
      <c r="AO21" s="8">
        <v>-13923</v>
      </c>
      <c r="AP21" s="8">
        <f t="shared" si="22"/>
        <v>-29143</v>
      </c>
      <c r="AR21" s="8">
        <v>1834478</v>
      </c>
      <c r="AS21" s="8">
        <f t="shared" si="23"/>
        <v>129814</v>
      </c>
      <c r="AT21" s="8">
        <v>262308</v>
      </c>
      <c r="AU21" s="8">
        <f t="shared" si="24"/>
        <v>17268</v>
      </c>
      <c r="AV21" s="8">
        <v>15053</v>
      </c>
      <c r="AW21" s="8">
        <f t="shared" si="25"/>
        <v>-16189</v>
      </c>
      <c r="AX21" s="8">
        <f t="shared" si="0"/>
        <v>247255</v>
      </c>
      <c r="AY21" s="8">
        <f t="shared" si="26"/>
        <v>33457</v>
      </c>
      <c r="AZ21" s="8">
        <v>748572</v>
      </c>
      <c r="BA21" s="8">
        <f t="shared" si="27"/>
        <v>50845</v>
      </c>
      <c r="BB21" s="8">
        <v>895958</v>
      </c>
      <c r="BC21" s="8">
        <f t="shared" si="28"/>
        <v>87056</v>
      </c>
      <c r="BD21" s="8">
        <f t="shared" si="1"/>
        <v>-147386</v>
      </c>
      <c r="BE21" s="8">
        <f t="shared" si="29"/>
        <v>-36211</v>
      </c>
      <c r="BF21" s="8">
        <v>311142</v>
      </c>
      <c r="BG21" s="8">
        <f t="shared" si="30"/>
        <v>34311</v>
      </c>
      <c r="BH21" s="8">
        <v>867608</v>
      </c>
      <c r="BI21" s="8">
        <f t="shared" si="31"/>
        <v>80527</v>
      </c>
      <c r="BJ21" s="8">
        <f t="shared" si="2"/>
        <v>-556466</v>
      </c>
      <c r="BK21" s="8">
        <f t="shared" si="3"/>
        <v>-46216</v>
      </c>
    </row>
    <row r="22" spans="1:63">
      <c r="A22" s="5">
        <v>39014</v>
      </c>
      <c r="B22" s="8">
        <v>284082</v>
      </c>
      <c r="C22" s="8">
        <f t="shared" si="4"/>
        <v>-4114</v>
      </c>
      <c r="D22" s="8">
        <v>31879</v>
      </c>
      <c r="E22" s="8">
        <f t="shared" si="5"/>
        <v>3771</v>
      </c>
      <c r="F22" s="8">
        <v>6890</v>
      </c>
      <c r="G22" s="8">
        <f t="shared" si="6"/>
        <v>-20401</v>
      </c>
      <c r="H22" s="8">
        <v>24989</v>
      </c>
      <c r="I22" s="8">
        <f t="shared" si="7"/>
        <v>24172</v>
      </c>
      <c r="J22" s="8">
        <v>141129</v>
      </c>
      <c r="K22" s="8">
        <f t="shared" si="8"/>
        <v>-15828</v>
      </c>
      <c r="L22" s="8">
        <v>187196</v>
      </c>
      <c r="M22" s="8">
        <f t="shared" si="9"/>
        <v>17894</v>
      </c>
      <c r="N22" s="8">
        <v>-46067</v>
      </c>
      <c r="O22" s="8">
        <f t="shared" si="10"/>
        <v>-33722</v>
      </c>
      <c r="P22" s="8">
        <v>74563</v>
      </c>
      <c r="Q22" s="8">
        <f t="shared" si="11"/>
        <v>-17268</v>
      </c>
      <c r="R22" s="8">
        <v>181436</v>
      </c>
      <c r="S22" s="8">
        <f t="shared" si="12"/>
        <v>17179</v>
      </c>
      <c r="T22" s="8">
        <v>-106873</v>
      </c>
      <c r="U22" s="8">
        <f t="shared" si="13"/>
        <v>-34447</v>
      </c>
      <c r="W22" s="8">
        <v>225422</v>
      </c>
      <c r="X22" s="8">
        <f t="shared" si="14"/>
        <v>2935</v>
      </c>
      <c r="Y22" s="8">
        <v>20550</v>
      </c>
      <c r="Z22" s="8">
        <f t="shared" si="15"/>
        <v>2827</v>
      </c>
      <c r="AA22" s="8">
        <v>24590</v>
      </c>
      <c r="AB22" s="8">
        <f t="shared" si="16"/>
        <v>-3892</v>
      </c>
      <c r="AC22" s="8">
        <v>-4040</v>
      </c>
      <c r="AD22" s="8">
        <f t="shared" si="16"/>
        <v>6719</v>
      </c>
      <c r="AE22" s="8">
        <v>106549</v>
      </c>
      <c r="AF22" s="8">
        <f t="shared" si="17"/>
        <v>-1535</v>
      </c>
      <c r="AG22" s="8">
        <v>129376</v>
      </c>
      <c r="AH22" s="8">
        <f t="shared" si="18"/>
        <v>7490</v>
      </c>
      <c r="AI22" s="8">
        <v>-22827</v>
      </c>
      <c r="AJ22" s="8">
        <f t="shared" si="19"/>
        <v>-9025</v>
      </c>
      <c r="AK22" s="8">
        <v>102781</v>
      </c>
      <c r="AL22" s="8">
        <f t="shared" si="20"/>
        <v>-2563</v>
      </c>
      <c r="AM22" s="8">
        <v>127474</v>
      </c>
      <c r="AN22" s="8">
        <f t="shared" si="21"/>
        <v>8207</v>
      </c>
      <c r="AO22" s="8">
        <v>-24693</v>
      </c>
      <c r="AP22" s="8">
        <f t="shared" si="22"/>
        <v>-10770</v>
      </c>
      <c r="AR22" s="8">
        <v>1905066</v>
      </c>
      <c r="AS22" s="8">
        <f t="shared" si="23"/>
        <v>70588</v>
      </c>
      <c r="AT22" s="8">
        <v>252275</v>
      </c>
      <c r="AU22" s="8">
        <f t="shared" si="24"/>
        <v>-10033</v>
      </c>
      <c r="AV22" s="8">
        <v>5706</v>
      </c>
      <c r="AW22" s="8">
        <f t="shared" si="25"/>
        <v>-9347</v>
      </c>
      <c r="AX22" s="8">
        <f t="shared" si="0"/>
        <v>246569</v>
      </c>
      <c r="AY22" s="8">
        <f t="shared" si="26"/>
        <v>-686</v>
      </c>
      <c r="AZ22" s="8">
        <v>769089</v>
      </c>
      <c r="BA22" s="8">
        <f t="shared" si="27"/>
        <v>20517</v>
      </c>
      <c r="BB22" s="8">
        <v>936258</v>
      </c>
      <c r="BC22" s="8">
        <f t="shared" si="28"/>
        <v>40300</v>
      </c>
      <c r="BD22" s="8">
        <f t="shared" si="1"/>
        <v>-167169</v>
      </c>
      <c r="BE22" s="8">
        <f t="shared" si="29"/>
        <v>-19783</v>
      </c>
      <c r="BF22" s="8">
        <v>330638</v>
      </c>
      <c r="BG22" s="8">
        <f t="shared" si="30"/>
        <v>19496</v>
      </c>
      <c r="BH22" s="8">
        <v>905697</v>
      </c>
      <c r="BI22" s="8">
        <f t="shared" si="31"/>
        <v>38089</v>
      </c>
      <c r="BJ22" s="8">
        <f t="shared" si="2"/>
        <v>-575059</v>
      </c>
      <c r="BK22" s="8">
        <f t="shared" si="3"/>
        <v>-18593</v>
      </c>
    </row>
    <row r="23" spans="1:63">
      <c r="A23" s="5">
        <v>39021</v>
      </c>
      <c r="B23" s="8">
        <v>296845</v>
      </c>
      <c r="C23" s="8">
        <f t="shared" si="4"/>
        <v>12763</v>
      </c>
      <c r="D23" s="8">
        <v>40740</v>
      </c>
      <c r="E23" s="8">
        <f t="shared" si="5"/>
        <v>8861</v>
      </c>
      <c r="F23" s="8">
        <v>10241</v>
      </c>
      <c r="G23" s="8">
        <f t="shared" si="6"/>
        <v>3351</v>
      </c>
      <c r="H23" s="8">
        <v>30499</v>
      </c>
      <c r="I23" s="8">
        <f t="shared" si="7"/>
        <v>5510</v>
      </c>
      <c r="J23" s="8">
        <v>147423</v>
      </c>
      <c r="K23" s="8">
        <f t="shared" si="8"/>
        <v>6294</v>
      </c>
      <c r="L23" s="8">
        <v>197197</v>
      </c>
      <c r="M23" s="8">
        <f t="shared" si="9"/>
        <v>10001</v>
      </c>
      <c r="N23" s="8">
        <v>-49774</v>
      </c>
      <c r="O23" s="8">
        <f t="shared" si="10"/>
        <v>-3707</v>
      </c>
      <c r="P23" s="8">
        <v>78940</v>
      </c>
      <c r="Q23" s="8">
        <f t="shared" si="11"/>
        <v>4377</v>
      </c>
      <c r="R23" s="8">
        <v>191287</v>
      </c>
      <c r="S23" s="8">
        <f t="shared" si="12"/>
        <v>9851</v>
      </c>
      <c r="T23" s="8">
        <v>-112347</v>
      </c>
      <c r="U23" s="8">
        <f t="shared" si="13"/>
        <v>-5474</v>
      </c>
      <c r="W23" s="8">
        <v>233442</v>
      </c>
      <c r="X23" s="8">
        <f t="shared" si="14"/>
        <v>8020</v>
      </c>
      <c r="Y23" s="8">
        <v>30976</v>
      </c>
      <c r="Z23" s="8">
        <f t="shared" si="15"/>
        <v>10426</v>
      </c>
      <c r="AA23" s="8">
        <v>18591</v>
      </c>
      <c r="AB23" s="8">
        <f t="shared" si="16"/>
        <v>-5999</v>
      </c>
      <c r="AC23" s="8">
        <v>12385</v>
      </c>
      <c r="AD23" s="8">
        <f t="shared" si="16"/>
        <v>16425</v>
      </c>
      <c r="AE23" s="8">
        <v>101093</v>
      </c>
      <c r="AF23" s="8">
        <f t="shared" si="17"/>
        <v>-5456</v>
      </c>
      <c r="AG23" s="8">
        <v>142717</v>
      </c>
      <c r="AH23" s="8">
        <f t="shared" si="18"/>
        <v>13341</v>
      </c>
      <c r="AI23" s="8">
        <v>-41624</v>
      </c>
      <c r="AJ23" s="8">
        <f t="shared" si="19"/>
        <v>-18797</v>
      </c>
      <c r="AK23" s="8">
        <v>95655</v>
      </c>
      <c r="AL23" s="8">
        <f t="shared" si="20"/>
        <v>-7126</v>
      </c>
      <c r="AM23" s="8">
        <v>140960</v>
      </c>
      <c r="AN23" s="8">
        <f t="shared" si="21"/>
        <v>13486</v>
      </c>
      <c r="AO23" s="8">
        <v>-45305</v>
      </c>
      <c r="AP23" s="8">
        <f t="shared" si="22"/>
        <v>-20612</v>
      </c>
      <c r="AR23" s="8">
        <v>1931056</v>
      </c>
      <c r="AS23" s="8">
        <f t="shared" si="23"/>
        <v>25990</v>
      </c>
      <c r="AT23" s="8">
        <v>257382</v>
      </c>
      <c r="AU23" s="8">
        <f t="shared" si="24"/>
        <v>5107</v>
      </c>
      <c r="AV23" s="8">
        <v>10796</v>
      </c>
      <c r="AW23" s="8">
        <f t="shared" si="25"/>
        <v>5090</v>
      </c>
      <c r="AX23" s="8">
        <f t="shared" si="0"/>
        <v>246586</v>
      </c>
      <c r="AY23" s="8">
        <f t="shared" si="26"/>
        <v>17</v>
      </c>
      <c r="AZ23" s="8">
        <v>800763</v>
      </c>
      <c r="BA23" s="8">
        <f t="shared" si="27"/>
        <v>31674</v>
      </c>
      <c r="BB23" s="8">
        <v>938967</v>
      </c>
      <c r="BC23" s="8">
        <f t="shared" si="28"/>
        <v>2709</v>
      </c>
      <c r="BD23" s="8">
        <f t="shared" si="1"/>
        <v>-138204</v>
      </c>
      <c r="BE23" s="8">
        <f t="shared" si="29"/>
        <v>28965</v>
      </c>
      <c r="BF23" s="8">
        <v>357449</v>
      </c>
      <c r="BG23" s="8">
        <f t="shared" si="30"/>
        <v>26811</v>
      </c>
      <c r="BH23" s="8">
        <v>906595</v>
      </c>
      <c r="BI23" s="8">
        <f t="shared" si="31"/>
        <v>898</v>
      </c>
      <c r="BJ23" s="8">
        <f t="shared" si="2"/>
        <v>-549146</v>
      </c>
      <c r="BK23" s="8">
        <f t="shared" si="3"/>
        <v>25913</v>
      </c>
    </row>
    <row r="24" spans="1:63">
      <c r="A24" s="5">
        <v>39028</v>
      </c>
      <c r="B24" s="8">
        <v>307139</v>
      </c>
      <c r="C24" s="8">
        <f t="shared" si="4"/>
        <v>10294</v>
      </c>
      <c r="D24" s="8">
        <v>49820</v>
      </c>
      <c r="E24" s="8">
        <f t="shared" si="5"/>
        <v>9080</v>
      </c>
      <c r="F24" s="8">
        <v>10441</v>
      </c>
      <c r="G24" s="8">
        <f t="shared" si="6"/>
        <v>200</v>
      </c>
      <c r="H24" s="8">
        <v>39379</v>
      </c>
      <c r="I24" s="8">
        <f t="shared" si="7"/>
        <v>8880</v>
      </c>
      <c r="J24" s="8">
        <v>141431</v>
      </c>
      <c r="K24" s="8">
        <f t="shared" si="8"/>
        <v>-5992</v>
      </c>
      <c r="L24" s="8">
        <v>205208</v>
      </c>
      <c r="M24" s="8">
        <f t="shared" si="9"/>
        <v>8011</v>
      </c>
      <c r="N24" s="8">
        <v>-63777</v>
      </c>
      <c r="O24" s="8">
        <f t="shared" si="10"/>
        <v>-14003</v>
      </c>
      <c r="P24" s="8">
        <v>66677</v>
      </c>
      <c r="Q24" s="8">
        <f t="shared" si="11"/>
        <v>-12263</v>
      </c>
      <c r="R24" s="8">
        <v>197725</v>
      </c>
      <c r="S24" s="8">
        <f t="shared" si="12"/>
        <v>6438</v>
      </c>
      <c r="T24" s="8">
        <v>-131048</v>
      </c>
      <c r="U24" s="8">
        <f t="shared" si="13"/>
        <v>-18701</v>
      </c>
      <c r="W24" s="8">
        <v>245096</v>
      </c>
      <c r="X24" s="8">
        <f t="shared" si="14"/>
        <v>11654</v>
      </c>
      <c r="Y24" s="8">
        <v>35489</v>
      </c>
      <c r="Z24" s="8">
        <f t="shared" si="15"/>
        <v>4513</v>
      </c>
      <c r="AA24" s="8">
        <v>13162</v>
      </c>
      <c r="AB24" s="8">
        <f t="shared" si="16"/>
        <v>-5429</v>
      </c>
      <c r="AC24" s="8">
        <v>22327</v>
      </c>
      <c r="AD24" s="8">
        <f t="shared" si="16"/>
        <v>9942</v>
      </c>
      <c r="AE24" s="8">
        <v>105277</v>
      </c>
      <c r="AF24" s="8">
        <f t="shared" si="17"/>
        <v>4184</v>
      </c>
      <c r="AG24" s="8">
        <v>157408</v>
      </c>
      <c r="AH24" s="8">
        <f t="shared" si="18"/>
        <v>14691</v>
      </c>
      <c r="AI24" s="8">
        <v>-52131</v>
      </c>
      <c r="AJ24" s="8">
        <f t="shared" si="19"/>
        <v>-10507</v>
      </c>
      <c r="AK24" s="8">
        <v>98505</v>
      </c>
      <c r="AL24" s="8">
        <f t="shared" si="20"/>
        <v>2850</v>
      </c>
      <c r="AM24" s="8">
        <v>155990</v>
      </c>
      <c r="AN24" s="8">
        <f t="shared" si="21"/>
        <v>15030</v>
      </c>
      <c r="AO24" s="8">
        <v>-57485</v>
      </c>
      <c r="AP24" s="8">
        <f t="shared" si="22"/>
        <v>-12180</v>
      </c>
      <c r="AR24" s="8">
        <v>2067296</v>
      </c>
      <c r="AS24" s="8">
        <f t="shared" si="23"/>
        <v>136240</v>
      </c>
      <c r="AT24" s="8">
        <v>272180</v>
      </c>
      <c r="AU24" s="8">
        <f t="shared" si="24"/>
        <v>14798</v>
      </c>
      <c r="AV24" s="8">
        <v>8757</v>
      </c>
      <c r="AW24" s="8">
        <f t="shared" si="25"/>
        <v>-2039</v>
      </c>
      <c r="AX24" s="8">
        <f t="shared" si="0"/>
        <v>263423</v>
      </c>
      <c r="AY24" s="8">
        <f t="shared" si="26"/>
        <v>16837</v>
      </c>
      <c r="AZ24" s="8">
        <v>822287</v>
      </c>
      <c r="BA24" s="8">
        <f t="shared" si="27"/>
        <v>21524</v>
      </c>
      <c r="BB24" s="8">
        <v>1002104</v>
      </c>
      <c r="BC24" s="8">
        <f t="shared" si="28"/>
        <v>63137</v>
      </c>
      <c r="BD24" s="8">
        <f t="shared" si="1"/>
        <v>-179817</v>
      </c>
      <c r="BE24" s="8">
        <f t="shared" si="29"/>
        <v>-41613</v>
      </c>
      <c r="BF24" s="8">
        <v>381353</v>
      </c>
      <c r="BG24" s="8">
        <f t="shared" si="30"/>
        <v>23904</v>
      </c>
      <c r="BH24" s="8">
        <v>966124</v>
      </c>
      <c r="BI24" s="8">
        <f t="shared" si="31"/>
        <v>59529</v>
      </c>
      <c r="BJ24" s="8">
        <f t="shared" si="2"/>
        <v>-584771</v>
      </c>
      <c r="BK24" s="8">
        <f t="shared" si="3"/>
        <v>-35625</v>
      </c>
    </row>
    <row r="25" spans="1:63">
      <c r="A25" s="5">
        <v>39035</v>
      </c>
      <c r="B25" s="8">
        <v>323188</v>
      </c>
      <c r="C25" s="8">
        <f t="shared" si="4"/>
        <v>16049</v>
      </c>
      <c r="D25" s="8">
        <v>60835</v>
      </c>
      <c r="E25" s="8">
        <f t="shared" si="5"/>
        <v>11015</v>
      </c>
      <c r="F25" s="8">
        <v>7273</v>
      </c>
      <c r="G25" s="8">
        <f t="shared" si="6"/>
        <v>-3168</v>
      </c>
      <c r="H25" s="8">
        <v>53562</v>
      </c>
      <c r="I25" s="8">
        <f t="shared" si="7"/>
        <v>14183</v>
      </c>
      <c r="J25" s="8">
        <v>142305</v>
      </c>
      <c r="K25" s="8">
        <f t="shared" si="8"/>
        <v>874</v>
      </c>
      <c r="L25" s="8">
        <v>223535</v>
      </c>
      <c r="M25" s="8">
        <f t="shared" si="9"/>
        <v>18327</v>
      </c>
      <c r="N25" s="8">
        <v>-81230</v>
      </c>
      <c r="O25" s="8">
        <f t="shared" si="10"/>
        <v>-17453</v>
      </c>
      <c r="P25" s="8">
        <v>65300</v>
      </c>
      <c r="Q25" s="8">
        <f t="shared" si="11"/>
        <v>-1377</v>
      </c>
      <c r="R25" s="8">
        <v>213497</v>
      </c>
      <c r="S25" s="8">
        <f t="shared" si="12"/>
        <v>15772</v>
      </c>
      <c r="T25" s="8">
        <v>-148197</v>
      </c>
      <c r="U25" s="8">
        <f t="shared" si="13"/>
        <v>-17149</v>
      </c>
      <c r="W25" s="8">
        <v>241080</v>
      </c>
      <c r="X25" s="8">
        <f t="shared" si="14"/>
        <v>-4016</v>
      </c>
      <c r="Y25" s="8">
        <v>37321</v>
      </c>
      <c r="Z25" s="8">
        <f t="shared" si="15"/>
        <v>1832</v>
      </c>
      <c r="AA25" s="8">
        <v>13860</v>
      </c>
      <c r="AB25" s="8">
        <f t="shared" si="16"/>
        <v>698</v>
      </c>
      <c r="AC25" s="8">
        <v>23461</v>
      </c>
      <c r="AD25" s="8">
        <f t="shared" si="16"/>
        <v>1134</v>
      </c>
      <c r="AE25" s="8">
        <v>105783</v>
      </c>
      <c r="AF25" s="8">
        <f t="shared" si="17"/>
        <v>506</v>
      </c>
      <c r="AG25" s="8">
        <v>159912</v>
      </c>
      <c r="AH25" s="8">
        <f t="shared" si="18"/>
        <v>2504</v>
      </c>
      <c r="AI25" s="8">
        <v>-54129</v>
      </c>
      <c r="AJ25" s="8">
        <f t="shared" si="19"/>
        <v>-1998</v>
      </c>
      <c r="AK25" s="8">
        <v>98597</v>
      </c>
      <c r="AL25" s="8">
        <f t="shared" si="20"/>
        <v>92</v>
      </c>
      <c r="AM25" s="8">
        <v>158487</v>
      </c>
      <c r="AN25" s="8">
        <f t="shared" si="21"/>
        <v>2497</v>
      </c>
      <c r="AO25" s="8">
        <v>-59890</v>
      </c>
      <c r="AP25" s="8">
        <f t="shared" si="22"/>
        <v>-2405</v>
      </c>
      <c r="AR25" s="8">
        <v>2063733</v>
      </c>
      <c r="AS25" s="8">
        <f t="shared" si="23"/>
        <v>-3563</v>
      </c>
      <c r="AT25" s="8">
        <v>278265</v>
      </c>
      <c r="AU25" s="8">
        <f t="shared" si="24"/>
        <v>6085</v>
      </c>
      <c r="AV25" s="8">
        <v>9119</v>
      </c>
      <c r="AW25" s="8">
        <f t="shared" si="25"/>
        <v>362</v>
      </c>
      <c r="AX25" s="8">
        <f t="shared" si="0"/>
        <v>269146</v>
      </c>
      <c r="AY25" s="8">
        <f t="shared" si="26"/>
        <v>5723</v>
      </c>
      <c r="AZ25" s="8">
        <v>844263</v>
      </c>
      <c r="BA25" s="8">
        <f t="shared" si="27"/>
        <v>21976</v>
      </c>
      <c r="BB25" s="8">
        <v>1031705</v>
      </c>
      <c r="BC25" s="8">
        <f t="shared" si="28"/>
        <v>29601</v>
      </c>
      <c r="BD25" s="8">
        <f t="shared" si="1"/>
        <v>-187442</v>
      </c>
      <c r="BE25" s="8">
        <f t="shared" si="29"/>
        <v>-7625</v>
      </c>
      <c r="BF25" s="8">
        <v>401419</v>
      </c>
      <c r="BG25" s="8">
        <f t="shared" si="30"/>
        <v>20066</v>
      </c>
      <c r="BH25" s="8">
        <v>982054</v>
      </c>
      <c r="BI25" s="8">
        <f t="shared" si="31"/>
        <v>15930</v>
      </c>
      <c r="BJ25" s="8">
        <f t="shared" si="2"/>
        <v>-580635</v>
      </c>
      <c r="BK25" s="8">
        <f t="shared" si="3"/>
        <v>4136</v>
      </c>
    </row>
    <row r="26" spans="1:63">
      <c r="A26" s="5">
        <v>39042</v>
      </c>
      <c r="B26" s="8">
        <v>323188</v>
      </c>
      <c r="C26" s="8">
        <f t="shared" si="4"/>
        <v>0</v>
      </c>
      <c r="D26" s="8">
        <v>62119</v>
      </c>
      <c r="E26" s="8">
        <f t="shared" si="5"/>
        <v>1284</v>
      </c>
      <c r="F26" s="8">
        <v>6973</v>
      </c>
      <c r="G26" s="8">
        <f t="shared" si="6"/>
        <v>-300</v>
      </c>
      <c r="H26" s="8">
        <v>55146</v>
      </c>
      <c r="I26" s="8">
        <f t="shared" si="7"/>
        <v>1584</v>
      </c>
      <c r="J26" s="8">
        <v>138727</v>
      </c>
      <c r="K26" s="8">
        <f t="shared" si="8"/>
        <v>-3578</v>
      </c>
      <c r="L26" s="8">
        <v>223535</v>
      </c>
      <c r="M26" s="8">
        <f t="shared" si="9"/>
        <v>0</v>
      </c>
      <c r="N26" s="8">
        <v>-84263</v>
      </c>
      <c r="O26" s="8">
        <f t="shared" si="10"/>
        <v>-3033</v>
      </c>
      <c r="P26" s="8">
        <v>63375</v>
      </c>
      <c r="Q26" s="8">
        <f t="shared" si="11"/>
        <v>-1925</v>
      </c>
      <c r="R26" s="8">
        <v>218285</v>
      </c>
      <c r="S26" s="8">
        <f t="shared" si="12"/>
        <v>4788</v>
      </c>
      <c r="T26" s="8">
        <v>-154910</v>
      </c>
      <c r="U26" s="8">
        <f t="shared" si="13"/>
        <v>-6713</v>
      </c>
      <c r="W26" s="8">
        <v>241080</v>
      </c>
      <c r="X26" s="8">
        <f t="shared" si="14"/>
        <v>0</v>
      </c>
      <c r="Y26" s="8">
        <v>35305</v>
      </c>
      <c r="Z26" s="8">
        <f t="shared" si="15"/>
        <v>-2016</v>
      </c>
      <c r="AA26" s="8">
        <v>14032</v>
      </c>
      <c r="AB26" s="8">
        <f t="shared" si="16"/>
        <v>172</v>
      </c>
      <c r="AC26" s="8">
        <v>21273</v>
      </c>
      <c r="AD26" s="8">
        <f t="shared" si="16"/>
        <v>-2188</v>
      </c>
      <c r="AE26" s="8">
        <v>103614</v>
      </c>
      <c r="AF26" s="8">
        <f t="shared" si="17"/>
        <v>-2169</v>
      </c>
      <c r="AG26" s="8">
        <v>159912</v>
      </c>
      <c r="AH26" s="8">
        <f t="shared" si="18"/>
        <v>0</v>
      </c>
      <c r="AI26" s="8">
        <v>-50907</v>
      </c>
      <c r="AJ26" s="8">
        <f t="shared" si="19"/>
        <v>3222</v>
      </c>
      <c r="AK26" s="8">
        <v>96557</v>
      </c>
      <c r="AL26" s="8">
        <f t="shared" si="20"/>
        <v>-2040</v>
      </c>
      <c r="AM26" s="8">
        <v>153101</v>
      </c>
      <c r="AN26" s="8">
        <f t="shared" si="21"/>
        <v>-5386</v>
      </c>
      <c r="AO26" s="8">
        <v>-56544</v>
      </c>
      <c r="AP26" s="8">
        <f t="shared" si="22"/>
        <v>3346</v>
      </c>
      <c r="AR26" s="8">
        <v>2063733</v>
      </c>
      <c r="AS26" s="8">
        <f t="shared" si="23"/>
        <v>0</v>
      </c>
      <c r="AT26" s="8">
        <v>281078</v>
      </c>
      <c r="AU26" s="8">
        <f t="shared" si="24"/>
        <v>2813</v>
      </c>
      <c r="AV26" s="8">
        <v>3699</v>
      </c>
      <c r="AW26" s="8">
        <f t="shared" si="25"/>
        <v>-5420</v>
      </c>
      <c r="AX26" s="8">
        <f t="shared" si="0"/>
        <v>277379</v>
      </c>
      <c r="AY26" s="8">
        <f t="shared" si="26"/>
        <v>8233</v>
      </c>
      <c r="AZ26" s="8">
        <v>816086</v>
      </c>
      <c r="BA26" s="8">
        <f t="shared" si="27"/>
        <v>-28177</v>
      </c>
      <c r="BB26" s="8">
        <v>1031705</v>
      </c>
      <c r="BC26" s="8">
        <f t="shared" si="28"/>
        <v>0</v>
      </c>
      <c r="BD26" s="8">
        <f t="shared" si="1"/>
        <v>-215619</v>
      </c>
      <c r="BE26" s="8">
        <f t="shared" si="29"/>
        <v>-28177</v>
      </c>
      <c r="BF26" s="8">
        <v>381591</v>
      </c>
      <c r="BG26" s="8">
        <f t="shared" si="30"/>
        <v>-19828</v>
      </c>
      <c r="BH26" s="8">
        <v>956070</v>
      </c>
      <c r="BI26" s="8">
        <f t="shared" si="31"/>
        <v>-25984</v>
      </c>
      <c r="BJ26" s="8">
        <f t="shared" si="2"/>
        <v>-574479</v>
      </c>
      <c r="BK26" s="8">
        <f t="shared" si="3"/>
        <v>6156</v>
      </c>
    </row>
    <row r="27" spans="1:63">
      <c r="A27" s="5">
        <v>39049</v>
      </c>
      <c r="B27" s="8">
        <v>320744</v>
      </c>
      <c r="C27" s="8">
        <f t="shared" si="4"/>
        <v>-2444</v>
      </c>
      <c r="D27" s="8">
        <v>60515</v>
      </c>
      <c r="E27" s="8">
        <f t="shared" si="5"/>
        <v>-1604</v>
      </c>
      <c r="F27" s="8">
        <v>6760</v>
      </c>
      <c r="G27" s="8">
        <f t="shared" si="6"/>
        <v>-213</v>
      </c>
      <c r="H27" s="8">
        <v>53755</v>
      </c>
      <c r="I27" s="8">
        <f t="shared" si="7"/>
        <v>-1391</v>
      </c>
      <c r="J27" s="8">
        <v>142619</v>
      </c>
      <c r="K27" s="8">
        <f t="shared" si="8"/>
        <v>3892</v>
      </c>
      <c r="L27" s="8">
        <v>224329</v>
      </c>
      <c r="M27" s="8">
        <f t="shared" si="9"/>
        <v>794</v>
      </c>
      <c r="N27" s="8">
        <v>-81710</v>
      </c>
      <c r="O27" s="8">
        <f t="shared" si="10"/>
        <v>2553</v>
      </c>
      <c r="P27" s="8">
        <v>67635</v>
      </c>
      <c r="Q27" s="8">
        <f t="shared" si="11"/>
        <v>4260</v>
      </c>
      <c r="R27" s="8">
        <v>220484</v>
      </c>
      <c r="S27" s="8">
        <f t="shared" si="12"/>
        <v>2199</v>
      </c>
      <c r="T27" s="8">
        <v>-152849</v>
      </c>
      <c r="U27" s="8">
        <f t="shared" si="13"/>
        <v>2061</v>
      </c>
      <c r="W27" s="8">
        <v>233777</v>
      </c>
      <c r="X27" s="8">
        <f t="shared" si="14"/>
        <v>-7303</v>
      </c>
      <c r="Y27" s="8">
        <v>36111</v>
      </c>
      <c r="Z27" s="8">
        <f t="shared" si="15"/>
        <v>806</v>
      </c>
      <c r="AA27" s="8">
        <v>14417</v>
      </c>
      <c r="AB27" s="8">
        <f t="shared" si="16"/>
        <v>385</v>
      </c>
      <c r="AC27" s="8">
        <v>21694</v>
      </c>
      <c r="AD27" s="8">
        <f t="shared" si="16"/>
        <v>421</v>
      </c>
      <c r="AE27" s="8">
        <v>107213</v>
      </c>
      <c r="AF27" s="8">
        <f t="shared" si="17"/>
        <v>3599</v>
      </c>
      <c r="AG27" s="8">
        <v>157476</v>
      </c>
      <c r="AH27" s="8">
        <f t="shared" si="18"/>
        <v>-2436</v>
      </c>
      <c r="AI27" s="8">
        <v>-50263</v>
      </c>
      <c r="AJ27" s="8">
        <f t="shared" si="19"/>
        <v>644</v>
      </c>
      <c r="AK27" s="8">
        <v>99340</v>
      </c>
      <c r="AL27" s="8">
        <f t="shared" si="20"/>
        <v>2783</v>
      </c>
      <c r="AM27" s="8">
        <v>156067</v>
      </c>
      <c r="AN27" s="8">
        <f t="shared" si="21"/>
        <v>2966</v>
      </c>
      <c r="AO27" s="8">
        <v>-56727</v>
      </c>
      <c r="AP27" s="8">
        <f t="shared" si="22"/>
        <v>-183</v>
      </c>
      <c r="AR27" s="8">
        <v>1900334</v>
      </c>
      <c r="AS27" s="8">
        <f t="shared" si="23"/>
        <v>-163399</v>
      </c>
      <c r="AT27" s="8">
        <v>272551</v>
      </c>
      <c r="AU27" s="8">
        <f t="shared" si="24"/>
        <v>-8527</v>
      </c>
      <c r="AV27" s="8">
        <v>8695</v>
      </c>
      <c r="AW27" s="8">
        <f t="shared" si="25"/>
        <v>4996</v>
      </c>
      <c r="AX27" s="8">
        <f t="shared" si="0"/>
        <v>263856</v>
      </c>
      <c r="AY27" s="8">
        <f t="shared" si="26"/>
        <v>-13523</v>
      </c>
      <c r="AZ27" s="8">
        <v>825490</v>
      </c>
      <c r="BA27" s="8">
        <f t="shared" si="27"/>
        <v>9404</v>
      </c>
      <c r="BB27" s="8">
        <v>1026978</v>
      </c>
      <c r="BC27" s="8">
        <f t="shared" si="28"/>
        <v>-4727</v>
      </c>
      <c r="BD27" s="8">
        <f t="shared" si="1"/>
        <v>-201488</v>
      </c>
      <c r="BE27" s="8">
        <f t="shared" si="29"/>
        <v>14131</v>
      </c>
      <c r="BF27" s="8">
        <v>388814</v>
      </c>
      <c r="BG27" s="8">
        <f t="shared" si="30"/>
        <v>7223</v>
      </c>
      <c r="BH27" s="8">
        <v>993630</v>
      </c>
      <c r="BI27" s="8">
        <f t="shared" si="31"/>
        <v>37560</v>
      </c>
      <c r="BJ27" s="8">
        <f t="shared" si="2"/>
        <v>-604816</v>
      </c>
      <c r="BK27" s="8">
        <f t="shared" si="3"/>
        <v>-30337</v>
      </c>
    </row>
    <row r="28" spans="1:63">
      <c r="A28" s="5">
        <v>39056</v>
      </c>
      <c r="B28" s="8">
        <v>313362</v>
      </c>
      <c r="C28" s="8">
        <f t="shared" si="4"/>
        <v>-7382</v>
      </c>
      <c r="D28" s="8">
        <v>62821</v>
      </c>
      <c r="E28" s="8">
        <f t="shared" si="5"/>
        <v>2306</v>
      </c>
      <c r="F28" s="8">
        <v>9357</v>
      </c>
      <c r="G28" s="8">
        <f t="shared" si="6"/>
        <v>2597</v>
      </c>
      <c r="H28" s="8">
        <v>53464</v>
      </c>
      <c r="I28" s="8">
        <f t="shared" si="7"/>
        <v>-291</v>
      </c>
      <c r="J28" s="8">
        <v>140757</v>
      </c>
      <c r="K28" s="8">
        <f t="shared" si="8"/>
        <v>-1862</v>
      </c>
      <c r="L28" s="8">
        <v>218621</v>
      </c>
      <c r="M28" s="8">
        <f t="shared" si="9"/>
        <v>-5708</v>
      </c>
      <c r="N28" s="8">
        <v>-77864</v>
      </c>
      <c r="O28" s="8">
        <f t="shared" si="10"/>
        <v>3846</v>
      </c>
      <c r="P28" s="8">
        <v>65515</v>
      </c>
      <c r="Q28" s="8">
        <f t="shared" si="11"/>
        <v>-2120</v>
      </c>
      <c r="R28" s="8">
        <v>213445</v>
      </c>
      <c r="S28" s="8">
        <f t="shared" si="12"/>
        <v>-7039</v>
      </c>
      <c r="T28" s="8">
        <v>-147930</v>
      </c>
      <c r="U28" s="8">
        <f t="shared" si="13"/>
        <v>4919</v>
      </c>
      <c r="W28" s="8">
        <v>226476</v>
      </c>
      <c r="X28" s="8">
        <f t="shared" si="14"/>
        <v>-7301</v>
      </c>
      <c r="Y28" s="8">
        <v>28358</v>
      </c>
      <c r="Z28" s="8">
        <f t="shared" si="15"/>
        <v>-7753</v>
      </c>
      <c r="AA28" s="8">
        <v>17623</v>
      </c>
      <c r="AB28" s="8">
        <f t="shared" si="16"/>
        <v>3206</v>
      </c>
      <c r="AC28" s="8">
        <v>10735</v>
      </c>
      <c r="AD28" s="8">
        <f t="shared" si="16"/>
        <v>-10959</v>
      </c>
      <c r="AE28" s="8">
        <v>114812</v>
      </c>
      <c r="AF28" s="8">
        <f t="shared" si="17"/>
        <v>7599</v>
      </c>
      <c r="AG28" s="8">
        <v>145125</v>
      </c>
      <c r="AH28" s="8">
        <f t="shared" si="18"/>
        <v>-12351</v>
      </c>
      <c r="AI28" s="8">
        <v>-30313</v>
      </c>
      <c r="AJ28" s="8">
        <f t="shared" si="19"/>
        <v>19950</v>
      </c>
      <c r="AK28" s="8">
        <v>108210</v>
      </c>
      <c r="AL28" s="8">
        <f t="shared" si="20"/>
        <v>8870</v>
      </c>
      <c r="AM28" s="8">
        <v>143452</v>
      </c>
      <c r="AN28" s="8">
        <f t="shared" si="21"/>
        <v>-12615</v>
      </c>
      <c r="AO28" s="8">
        <v>-35242</v>
      </c>
      <c r="AP28" s="8">
        <f t="shared" si="22"/>
        <v>21485</v>
      </c>
      <c r="AR28" s="8">
        <v>1897803</v>
      </c>
      <c r="AS28" s="8">
        <f t="shared" si="23"/>
        <v>-2531</v>
      </c>
      <c r="AT28" s="8">
        <v>264718</v>
      </c>
      <c r="AU28" s="8">
        <f t="shared" si="24"/>
        <v>-7833</v>
      </c>
      <c r="AV28" s="8">
        <v>7326</v>
      </c>
      <c r="AW28" s="8">
        <f t="shared" si="25"/>
        <v>-1369</v>
      </c>
      <c r="AX28" s="8">
        <f t="shared" si="0"/>
        <v>257392</v>
      </c>
      <c r="AY28" s="8">
        <f t="shared" si="26"/>
        <v>-6464</v>
      </c>
      <c r="AZ28" s="8">
        <v>828852</v>
      </c>
      <c r="BA28" s="8">
        <f t="shared" si="27"/>
        <v>3362</v>
      </c>
      <c r="BB28" s="8">
        <v>1016741</v>
      </c>
      <c r="BC28" s="8">
        <f t="shared" si="28"/>
        <v>-10237</v>
      </c>
      <c r="BD28" s="8">
        <f t="shared" si="1"/>
        <v>-187889</v>
      </c>
      <c r="BE28" s="8">
        <f t="shared" si="29"/>
        <v>13599</v>
      </c>
      <c r="BF28" s="8">
        <v>387401</v>
      </c>
      <c r="BG28" s="8">
        <f t="shared" si="30"/>
        <v>-1413</v>
      </c>
      <c r="BH28" s="8">
        <v>982164</v>
      </c>
      <c r="BI28" s="8">
        <f t="shared" si="31"/>
        <v>-11466</v>
      </c>
      <c r="BJ28" s="8">
        <f t="shared" si="2"/>
        <v>-594763</v>
      </c>
      <c r="BK28" s="8">
        <f t="shared" si="3"/>
        <v>10053</v>
      </c>
    </row>
    <row r="29" spans="1:63">
      <c r="A29" s="5">
        <v>39063</v>
      </c>
      <c r="B29" s="8">
        <v>309287</v>
      </c>
      <c r="C29" s="8">
        <f t="shared" si="4"/>
        <v>-4075</v>
      </c>
      <c r="D29" s="8">
        <v>61953</v>
      </c>
      <c r="E29" s="8">
        <f t="shared" si="5"/>
        <v>-868</v>
      </c>
      <c r="F29" s="8">
        <v>10179</v>
      </c>
      <c r="G29" s="8">
        <f t="shared" si="6"/>
        <v>822</v>
      </c>
      <c r="H29" s="8">
        <v>51774</v>
      </c>
      <c r="I29" s="8">
        <f t="shared" si="7"/>
        <v>-1690</v>
      </c>
      <c r="J29" s="8">
        <v>140742</v>
      </c>
      <c r="K29" s="8">
        <f t="shared" si="8"/>
        <v>-15</v>
      </c>
      <c r="L29" s="8">
        <v>216179</v>
      </c>
      <c r="M29" s="8">
        <f t="shared" si="9"/>
        <v>-2442</v>
      </c>
      <c r="N29" s="8">
        <v>-75437</v>
      </c>
      <c r="O29" s="8">
        <f t="shared" si="10"/>
        <v>2427</v>
      </c>
      <c r="P29" s="8">
        <v>64232</v>
      </c>
      <c r="Q29" s="8">
        <f t="shared" si="11"/>
        <v>-1283</v>
      </c>
      <c r="R29" s="8">
        <v>208954</v>
      </c>
      <c r="S29" s="8">
        <f t="shared" si="12"/>
        <v>-4491</v>
      </c>
      <c r="T29" s="8">
        <v>-144722</v>
      </c>
      <c r="U29" s="8">
        <f t="shared" si="13"/>
        <v>3208</v>
      </c>
      <c r="W29" s="8">
        <v>226162</v>
      </c>
      <c r="X29" s="8">
        <f t="shared" si="14"/>
        <v>-314</v>
      </c>
      <c r="Y29" s="8">
        <v>26679</v>
      </c>
      <c r="Z29" s="8">
        <f t="shared" si="15"/>
        <v>-1679</v>
      </c>
      <c r="AA29" s="8">
        <v>14939</v>
      </c>
      <c r="AB29" s="8">
        <f t="shared" si="16"/>
        <v>-2684</v>
      </c>
      <c r="AC29" s="8">
        <v>11740</v>
      </c>
      <c r="AD29" s="8">
        <f t="shared" si="16"/>
        <v>1005</v>
      </c>
      <c r="AE29" s="8">
        <v>116034</v>
      </c>
      <c r="AF29" s="8">
        <f t="shared" si="17"/>
        <v>1222</v>
      </c>
      <c r="AG29" s="8">
        <v>146864</v>
      </c>
      <c r="AH29" s="8">
        <f t="shared" si="18"/>
        <v>1739</v>
      </c>
      <c r="AI29" s="8">
        <v>-30830</v>
      </c>
      <c r="AJ29" s="8">
        <f t="shared" si="19"/>
        <v>-517</v>
      </c>
      <c r="AK29" s="8">
        <v>109251</v>
      </c>
      <c r="AL29" s="8">
        <f t="shared" si="20"/>
        <v>1041</v>
      </c>
      <c r="AM29" s="8">
        <v>145881</v>
      </c>
      <c r="AN29" s="8">
        <f t="shared" si="21"/>
        <v>2429</v>
      </c>
      <c r="AO29" s="8">
        <v>-36630</v>
      </c>
      <c r="AP29" s="8">
        <f t="shared" si="22"/>
        <v>-1388</v>
      </c>
      <c r="AR29" s="8">
        <v>1918795</v>
      </c>
      <c r="AS29" s="8">
        <f t="shared" si="23"/>
        <v>20992</v>
      </c>
      <c r="AT29" s="8">
        <v>275832</v>
      </c>
      <c r="AU29" s="8">
        <f t="shared" si="24"/>
        <v>11114</v>
      </c>
      <c r="AV29" s="8">
        <v>5907</v>
      </c>
      <c r="AW29" s="8">
        <f t="shared" si="25"/>
        <v>-1419</v>
      </c>
      <c r="AX29" s="8">
        <f t="shared" si="0"/>
        <v>269925</v>
      </c>
      <c r="AY29" s="8">
        <f t="shared" si="26"/>
        <v>12533</v>
      </c>
      <c r="AZ29" s="8">
        <v>828774</v>
      </c>
      <c r="BA29" s="8">
        <f t="shared" si="27"/>
        <v>-78</v>
      </c>
      <c r="BB29" s="8">
        <v>1019731</v>
      </c>
      <c r="BC29" s="8">
        <f t="shared" si="28"/>
        <v>2990</v>
      </c>
      <c r="BD29" s="8">
        <f t="shared" si="1"/>
        <v>-190957</v>
      </c>
      <c r="BE29" s="8">
        <f t="shared" si="29"/>
        <v>-3068</v>
      </c>
      <c r="BF29" s="8">
        <v>390823</v>
      </c>
      <c r="BG29" s="8">
        <f t="shared" si="30"/>
        <v>3422</v>
      </c>
      <c r="BH29" s="8">
        <v>986646</v>
      </c>
      <c r="BI29" s="8">
        <f t="shared" si="31"/>
        <v>4482</v>
      </c>
      <c r="BJ29" s="8">
        <f t="shared" si="2"/>
        <v>-595823</v>
      </c>
      <c r="BK29" s="8">
        <f t="shared" si="3"/>
        <v>-1060</v>
      </c>
    </row>
    <row r="30" spans="1:63">
      <c r="A30" s="5">
        <v>39070</v>
      </c>
      <c r="B30" s="8">
        <v>305179</v>
      </c>
      <c r="C30" s="8">
        <f t="shared" si="4"/>
        <v>-4108</v>
      </c>
      <c r="D30" s="8">
        <v>55747</v>
      </c>
      <c r="E30" s="8">
        <f t="shared" si="5"/>
        <v>-6206</v>
      </c>
      <c r="F30" s="8">
        <v>9847</v>
      </c>
      <c r="G30" s="8">
        <f t="shared" si="6"/>
        <v>-332</v>
      </c>
      <c r="H30" s="8">
        <v>45900</v>
      </c>
      <c r="I30" s="8">
        <f t="shared" si="7"/>
        <v>-5874</v>
      </c>
      <c r="J30" s="8">
        <v>145847</v>
      </c>
      <c r="K30" s="8">
        <f t="shared" si="8"/>
        <v>5105</v>
      </c>
      <c r="L30" s="8">
        <v>207150</v>
      </c>
      <c r="M30" s="8">
        <f t="shared" si="9"/>
        <v>-9029</v>
      </c>
      <c r="N30" s="8">
        <v>-61303</v>
      </c>
      <c r="O30" s="8">
        <f t="shared" si="10"/>
        <v>14134</v>
      </c>
      <c r="P30" s="8">
        <v>70925</v>
      </c>
      <c r="Q30" s="8">
        <f t="shared" si="11"/>
        <v>6693</v>
      </c>
      <c r="R30" s="8">
        <v>200032</v>
      </c>
      <c r="S30" s="8">
        <f t="shared" si="12"/>
        <v>-8922</v>
      </c>
      <c r="T30" s="8">
        <v>-129107</v>
      </c>
      <c r="U30" s="8">
        <f t="shared" si="13"/>
        <v>15615</v>
      </c>
      <c r="W30" s="8">
        <v>225546</v>
      </c>
      <c r="X30" s="8">
        <f t="shared" si="14"/>
        <v>-616</v>
      </c>
      <c r="Y30" s="8">
        <v>22568</v>
      </c>
      <c r="Z30" s="8">
        <f t="shared" si="15"/>
        <v>-4111</v>
      </c>
      <c r="AA30" s="8">
        <v>16524</v>
      </c>
      <c r="AB30" s="8">
        <f t="shared" si="16"/>
        <v>1585</v>
      </c>
      <c r="AC30" s="8">
        <v>6044</v>
      </c>
      <c r="AD30" s="8">
        <f t="shared" si="16"/>
        <v>-5696</v>
      </c>
      <c r="AE30" s="8">
        <v>118230</v>
      </c>
      <c r="AF30" s="8">
        <f t="shared" si="17"/>
        <v>2196</v>
      </c>
      <c r="AG30" s="8">
        <v>142083</v>
      </c>
      <c r="AH30" s="8">
        <f t="shared" si="18"/>
        <v>-4781</v>
      </c>
      <c r="AI30" s="8">
        <v>-23853</v>
      </c>
      <c r="AJ30" s="8">
        <f t="shared" si="19"/>
        <v>6977</v>
      </c>
      <c r="AK30" s="8">
        <v>111135</v>
      </c>
      <c r="AL30" s="8">
        <f t="shared" si="20"/>
        <v>1884</v>
      </c>
      <c r="AM30" s="8">
        <v>141100</v>
      </c>
      <c r="AN30" s="8">
        <f t="shared" si="21"/>
        <v>-4781</v>
      </c>
      <c r="AO30" s="8">
        <v>-29965</v>
      </c>
      <c r="AP30" s="8">
        <f t="shared" si="22"/>
        <v>6665</v>
      </c>
      <c r="AR30" s="8">
        <v>1926939</v>
      </c>
      <c r="AS30" s="8">
        <f t="shared" si="23"/>
        <v>8144</v>
      </c>
      <c r="AT30" s="8">
        <v>278944</v>
      </c>
      <c r="AU30" s="8">
        <f t="shared" si="24"/>
        <v>3112</v>
      </c>
      <c r="AV30" s="8">
        <v>6884</v>
      </c>
      <c r="AW30" s="8">
        <f t="shared" si="25"/>
        <v>977</v>
      </c>
      <c r="AX30" s="8">
        <f t="shared" si="0"/>
        <v>272060</v>
      </c>
      <c r="AY30" s="8">
        <f t="shared" si="26"/>
        <v>2135</v>
      </c>
      <c r="AZ30" s="8">
        <v>828861</v>
      </c>
      <c r="BA30" s="8">
        <f t="shared" si="27"/>
        <v>87</v>
      </c>
      <c r="BB30" s="8">
        <v>1015902</v>
      </c>
      <c r="BC30" s="8">
        <f t="shared" si="28"/>
        <v>-3829</v>
      </c>
      <c r="BD30" s="8">
        <f t="shared" si="1"/>
        <v>-187041</v>
      </c>
      <c r="BE30" s="8">
        <f t="shared" si="29"/>
        <v>3916</v>
      </c>
      <c r="BF30" s="8">
        <v>395378</v>
      </c>
      <c r="BG30" s="8">
        <f t="shared" si="30"/>
        <v>4555</v>
      </c>
      <c r="BH30" s="8">
        <v>985868</v>
      </c>
      <c r="BI30" s="8">
        <f t="shared" si="31"/>
        <v>-778</v>
      </c>
      <c r="BJ30" s="8">
        <f t="shared" si="2"/>
        <v>-590490</v>
      </c>
      <c r="BK30" s="8">
        <f t="shared" si="3"/>
        <v>5333</v>
      </c>
    </row>
    <row r="31" spans="1:63">
      <c r="A31" s="5">
        <v>39077</v>
      </c>
      <c r="B31" s="8">
        <v>292012</v>
      </c>
      <c r="C31" s="8">
        <f t="shared" si="4"/>
        <v>-13167</v>
      </c>
      <c r="D31" s="8">
        <v>51511</v>
      </c>
      <c r="E31" s="8">
        <f t="shared" si="5"/>
        <v>-4236</v>
      </c>
      <c r="F31" s="8">
        <v>9352</v>
      </c>
      <c r="G31" s="8">
        <f t="shared" si="6"/>
        <v>-495</v>
      </c>
      <c r="H31" s="8">
        <v>42159</v>
      </c>
      <c r="I31" s="8">
        <f t="shared" si="7"/>
        <v>-3741</v>
      </c>
      <c r="J31" s="8">
        <v>142833</v>
      </c>
      <c r="K31" s="8">
        <f t="shared" si="8"/>
        <v>-3014</v>
      </c>
      <c r="L31" s="8">
        <v>201456</v>
      </c>
      <c r="M31" s="8">
        <f t="shared" si="9"/>
        <v>-5694</v>
      </c>
      <c r="N31" s="8">
        <v>-58623</v>
      </c>
      <c r="O31" s="8">
        <f t="shared" si="10"/>
        <v>2680</v>
      </c>
      <c r="P31" s="8">
        <v>69357</v>
      </c>
      <c r="Q31" s="8">
        <f t="shared" si="11"/>
        <v>-1568</v>
      </c>
      <c r="R31" s="8">
        <v>194692</v>
      </c>
      <c r="S31" s="8">
        <f t="shared" si="12"/>
        <v>-5340</v>
      </c>
      <c r="T31" s="8">
        <v>-125335</v>
      </c>
      <c r="U31" s="8">
        <f t="shared" si="13"/>
        <v>3772</v>
      </c>
      <c r="W31" s="8">
        <v>212641</v>
      </c>
      <c r="X31" s="8">
        <f t="shared" si="14"/>
        <v>-12905</v>
      </c>
      <c r="Y31" s="8">
        <v>23773</v>
      </c>
      <c r="Z31" s="8">
        <f t="shared" si="15"/>
        <v>1205</v>
      </c>
      <c r="AA31" s="8">
        <v>16337</v>
      </c>
      <c r="AB31" s="8">
        <f t="shared" si="16"/>
        <v>-187</v>
      </c>
      <c r="AC31" s="8">
        <v>7436</v>
      </c>
      <c r="AD31" s="8">
        <f t="shared" si="16"/>
        <v>1392</v>
      </c>
      <c r="AE31" s="8">
        <v>109862</v>
      </c>
      <c r="AF31" s="8">
        <f t="shared" si="17"/>
        <v>-8368</v>
      </c>
      <c r="AG31" s="8">
        <v>136324</v>
      </c>
      <c r="AH31" s="8">
        <f t="shared" si="18"/>
        <v>-5759</v>
      </c>
      <c r="AI31" s="8">
        <v>-26462</v>
      </c>
      <c r="AJ31" s="8">
        <f t="shared" si="19"/>
        <v>-2609</v>
      </c>
      <c r="AK31" s="8">
        <v>102297</v>
      </c>
      <c r="AL31" s="8">
        <f t="shared" si="20"/>
        <v>-8838</v>
      </c>
      <c r="AM31" s="8">
        <v>135341</v>
      </c>
      <c r="AN31" s="8">
        <f t="shared" si="21"/>
        <v>-5759</v>
      </c>
      <c r="AO31" s="8">
        <v>-33044</v>
      </c>
      <c r="AP31" s="8">
        <f t="shared" si="22"/>
        <v>-3079</v>
      </c>
      <c r="AR31" s="8">
        <v>1965459</v>
      </c>
      <c r="AS31" s="8">
        <f t="shared" si="23"/>
        <v>38520</v>
      </c>
      <c r="AT31" s="8">
        <v>279084</v>
      </c>
      <c r="AU31" s="8">
        <f t="shared" si="24"/>
        <v>140</v>
      </c>
      <c r="AV31" s="8">
        <v>5072</v>
      </c>
      <c r="AW31" s="8">
        <f t="shared" si="25"/>
        <v>-1812</v>
      </c>
      <c r="AX31" s="8">
        <f t="shared" si="0"/>
        <v>274012</v>
      </c>
      <c r="AY31" s="8">
        <f t="shared" si="26"/>
        <v>1952</v>
      </c>
      <c r="AZ31" s="8">
        <v>834607</v>
      </c>
      <c r="BA31" s="8">
        <f t="shared" si="27"/>
        <v>5746</v>
      </c>
      <c r="BB31" s="8">
        <v>1037900</v>
      </c>
      <c r="BC31" s="8">
        <f t="shared" si="28"/>
        <v>21998</v>
      </c>
      <c r="BD31" s="8">
        <f t="shared" si="1"/>
        <v>-203293</v>
      </c>
      <c r="BE31" s="8">
        <f t="shared" si="29"/>
        <v>-16252</v>
      </c>
      <c r="BF31" s="8">
        <v>398347</v>
      </c>
      <c r="BG31" s="8">
        <f t="shared" si="30"/>
        <v>2969</v>
      </c>
      <c r="BH31" s="8">
        <v>1007765</v>
      </c>
      <c r="BI31" s="8">
        <f t="shared" si="31"/>
        <v>21897</v>
      </c>
      <c r="BJ31" s="8">
        <f t="shared" si="2"/>
        <v>-609418</v>
      </c>
      <c r="BK31" s="8">
        <f t="shared" si="3"/>
        <v>-18928</v>
      </c>
    </row>
    <row r="32" spans="1:63">
      <c r="A32" s="5">
        <v>39091</v>
      </c>
      <c r="B32" s="8">
        <v>284729</v>
      </c>
      <c r="C32" s="8">
        <f t="shared" si="4"/>
        <v>-7283</v>
      </c>
      <c r="D32" s="8">
        <v>53909</v>
      </c>
      <c r="E32" s="8">
        <f t="shared" si="5"/>
        <v>2398</v>
      </c>
      <c r="F32" s="8">
        <v>14227</v>
      </c>
      <c r="G32" s="8">
        <f t="shared" si="6"/>
        <v>4875</v>
      </c>
      <c r="H32" s="8">
        <v>39682</v>
      </c>
      <c r="I32" s="8">
        <f t="shared" si="7"/>
        <v>-2477</v>
      </c>
      <c r="J32" s="8">
        <v>139304</v>
      </c>
      <c r="K32" s="8">
        <f t="shared" si="8"/>
        <v>-3529</v>
      </c>
      <c r="L32" s="8">
        <v>189671</v>
      </c>
      <c r="M32" s="8">
        <f t="shared" si="9"/>
        <v>-11785</v>
      </c>
      <c r="N32" s="8">
        <v>-50367</v>
      </c>
      <c r="O32" s="8">
        <f t="shared" si="10"/>
        <v>8256</v>
      </c>
      <c r="P32" s="8">
        <v>64932</v>
      </c>
      <c r="Q32" s="8">
        <f t="shared" si="11"/>
        <v>-4425</v>
      </c>
      <c r="R32" s="8">
        <v>183141</v>
      </c>
      <c r="S32" s="8">
        <f t="shared" si="12"/>
        <v>-11551</v>
      </c>
      <c r="T32" s="8">
        <v>-118209</v>
      </c>
      <c r="U32" s="8">
        <f t="shared" si="13"/>
        <v>7126</v>
      </c>
      <c r="W32" s="8">
        <v>206766</v>
      </c>
      <c r="X32" s="8">
        <f t="shared" si="14"/>
        <v>-5875</v>
      </c>
      <c r="Y32" s="8">
        <v>23049</v>
      </c>
      <c r="Z32" s="8">
        <f t="shared" si="15"/>
        <v>-724</v>
      </c>
      <c r="AA32" s="8">
        <v>18098</v>
      </c>
      <c r="AB32" s="8">
        <f t="shared" si="16"/>
        <v>1761</v>
      </c>
      <c r="AC32" s="8">
        <v>4951</v>
      </c>
      <c r="AD32" s="8">
        <f t="shared" si="16"/>
        <v>-2485</v>
      </c>
      <c r="AE32" s="8">
        <v>109028</v>
      </c>
      <c r="AF32" s="8">
        <f t="shared" si="17"/>
        <v>-834</v>
      </c>
      <c r="AG32" s="8">
        <v>128033</v>
      </c>
      <c r="AH32" s="8">
        <f t="shared" si="18"/>
        <v>-8291</v>
      </c>
      <c r="AI32" s="8">
        <v>-19005</v>
      </c>
      <c r="AJ32" s="8">
        <f t="shared" si="19"/>
        <v>7457</v>
      </c>
      <c r="AK32" s="8">
        <v>100062</v>
      </c>
      <c r="AL32" s="8">
        <f t="shared" si="20"/>
        <v>-2235</v>
      </c>
      <c r="AM32" s="8">
        <v>127051</v>
      </c>
      <c r="AN32" s="8">
        <f t="shared" si="21"/>
        <v>-8290</v>
      </c>
      <c r="AO32" s="8">
        <v>-26989</v>
      </c>
      <c r="AP32" s="8">
        <f t="shared" si="22"/>
        <v>6055</v>
      </c>
      <c r="AR32" s="8">
        <v>1982035</v>
      </c>
      <c r="AS32" s="8">
        <f t="shared" si="23"/>
        <v>16576</v>
      </c>
      <c r="AT32" s="8">
        <v>250530</v>
      </c>
      <c r="AU32" s="8">
        <f t="shared" si="24"/>
        <v>-28554</v>
      </c>
      <c r="AV32" s="8">
        <v>25492</v>
      </c>
      <c r="AW32" s="8">
        <f t="shared" si="25"/>
        <v>20420</v>
      </c>
      <c r="AX32" s="8">
        <f t="shared" si="0"/>
        <v>225038</v>
      </c>
      <c r="AY32" s="8">
        <f t="shared" si="26"/>
        <v>-48974</v>
      </c>
      <c r="AZ32" s="8">
        <v>854154</v>
      </c>
      <c r="BA32" s="8">
        <f t="shared" si="27"/>
        <v>19547</v>
      </c>
      <c r="BB32" s="8">
        <v>985298</v>
      </c>
      <c r="BC32" s="8">
        <f t="shared" si="28"/>
        <v>-52602</v>
      </c>
      <c r="BD32" s="8">
        <f t="shared" si="1"/>
        <v>-131144</v>
      </c>
      <c r="BE32" s="8">
        <f t="shared" si="29"/>
        <v>72149</v>
      </c>
      <c r="BF32" s="8">
        <v>434591</v>
      </c>
      <c r="BG32" s="8">
        <f t="shared" si="30"/>
        <v>36244</v>
      </c>
      <c r="BH32" s="8">
        <v>955655</v>
      </c>
      <c r="BI32" s="8">
        <f t="shared" si="31"/>
        <v>-52110</v>
      </c>
      <c r="BJ32" s="8">
        <f t="shared" si="2"/>
        <v>-521064</v>
      </c>
      <c r="BK32" s="8">
        <f t="shared" si="3"/>
        <v>88354</v>
      </c>
    </row>
    <row r="33" spans="1:63">
      <c r="A33" s="5">
        <v>39098</v>
      </c>
      <c r="B33" s="8">
        <v>285977</v>
      </c>
      <c r="C33" s="8">
        <f t="shared" si="4"/>
        <v>1248</v>
      </c>
      <c r="D33" s="8">
        <v>51011</v>
      </c>
      <c r="E33" s="8">
        <f t="shared" si="5"/>
        <v>-2898</v>
      </c>
      <c r="F33" s="8">
        <v>11065</v>
      </c>
      <c r="G33" s="8">
        <f t="shared" si="6"/>
        <v>-3162</v>
      </c>
      <c r="H33" s="8">
        <v>39946</v>
      </c>
      <c r="I33" s="8">
        <f t="shared" si="7"/>
        <v>264</v>
      </c>
      <c r="J33" s="8">
        <v>137628</v>
      </c>
      <c r="K33" s="8">
        <f t="shared" si="8"/>
        <v>-1676</v>
      </c>
      <c r="L33" s="8">
        <v>188245</v>
      </c>
      <c r="M33" s="8">
        <f t="shared" si="9"/>
        <v>-1426</v>
      </c>
      <c r="N33" s="8">
        <v>-50617</v>
      </c>
      <c r="O33" s="8">
        <f t="shared" si="10"/>
        <v>-250</v>
      </c>
      <c r="P33" s="8">
        <v>65997</v>
      </c>
      <c r="Q33" s="8">
        <f t="shared" si="11"/>
        <v>1065</v>
      </c>
      <c r="R33" s="8">
        <v>181851</v>
      </c>
      <c r="S33" s="8">
        <f t="shared" si="12"/>
        <v>-1290</v>
      </c>
      <c r="T33" s="8">
        <v>-115854</v>
      </c>
      <c r="U33" s="8">
        <f t="shared" si="13"/>
        <v>2355</v>
      </c>
      <c r="W33" s="8">
        <v>215860</v>
      </c>
      <c r="X33" s="8">
        <f t="shared" si="14"/>
        <v>9094</v>
      </c>
      <c r="Y33" s="8">
        <v>31123</v>
      </c>
      <c r="Z33" s="8">
        <f t="shared" si="15"/>
        <v>8074</v>
      </c>
      <c r="AA33" s="8">
        <v>15383</v>
      </c>
      <c r="AB33" s="8">
        <f t="shared" si="16"/>
        <v>-2715</v>
      </c>
      <c r="AC33" s="8">
        <v>15740</v>
      </c>
      <c r="AD33" s="8">
        <f t="shared" si="16"/>
        <v>10789</v>
      </c>
      <c r="AE33" s="8">
        <v>106856</v>
      </c>
      <c r="AF33" s="8">
        <f t="shared" si="17"/>
        <v>-2172</v>
      </c>
      <c r="AG33" s="8">
        <v>140866</v>
      </c>
      <c r="AH33" s="8">
        <f t="shared" si="18"/>
        <v>12833</v>
      </c>
      <c r="AI33" s="8">
        <v>-34010</v>
      </c>
      <c r="AJ33" s="8">
        <f t="shared" si="19"/>
        <v>-15005</v>
      </c>
      <c r="AK33" s="8">
        <v>98890</v>
      </c>
      <c r="AL33" s="8">
        <f t="shared" si="20"/>
        <v>-1172</v>
      </c>
      <c r="AM33" s="8">
        <v>139467</v>
      </c>
      <c r="AN33" s="8">
        <f t="shared" si="21"/>
        <v>12416</v>
      </c>
      <c r="AO33" s="8">
        <v>-40577</v>
      </c>
      <c r="AP33" s="8">
        <f t="shared" si="22"/>
        <v>-13588</v>
      </c>
      <c r="AR33" s="8">
        <v>2116104</v>
      </c>
      <c r="AS33" s="8">
        <f t="shared" si="23"/>
        <v>134069</v>
      </c>
      <c r="AT33" s="8">
        <v>286488</v>
      </c>
      <c r="AU33" s="8">
        <f t="shared" si="24"/>
        <v>35958</v>
      </c>
      <c r="AV33" s="8">
        <v>18411</v>
      </c>
      <c r="AW33" s="8">
        <f t="shared" si="25"/>
        <v>-7081</v>
      </c>
      <c r="AX33" s="8">
        <f t="shared" si="0"/>
        <v>268077</v>
      </c>
      <c r="AY33" s="8">
        <f t="shared" si="26"/>
        <v>43039</v>
      </c>
      <c r="AZ33" s="8">
        <v>836864</v>
      </c>
      <c r="BA33" s="8">
        <f t="shared" si="27"/>
        <v>-17290</v>
      </c>
      <c r="BB33" s="8">
        <v>1061162</v>
      </c>
      <c r="BC33" s="8">
        <f t="shared" si="28"/>
        <v>75864</v>
      </c>
      <c r="BD33" s="8">
        <f t="shared" si="1"/>
        <v>-224298</v>
      </c>
      <c r="BE33" s="8">
        <f t="shared" si="29"/>
        <v>-93154</v>
      </c>
      <c r="BF33" s="8">
        <v>448657</v>
      </c>
      <c r="BG33" s="8">
        <f t="shared" si="30"/>
        <v>14066</v>
      </c>
      <c r="BH33" s="8">
        <v>1022615</v>
      </c>
      <c r="BI33" s="8">
        <f t="shared" si="31"/>
        <v>66960</v>
      </c>
      <c r="BJ33" s="8">
        <f t="shared" si="2"/>
        <v>-573958</v>
      </c>
      <c r="BK33" s="8">
        <f t="shared" si="3"/>
        <v>-52894</v>
      </c>
    </row>
    <row r="34" spans="1:63">
      <c r="A34" s="5">
        <v>39105</v>
      </c>
      <c r="B34" s="8">
        <v>301040</v>
      </c>
      <c r="C34" s="8">
        <f t="shared" si="4"/>
        <v>15063</v>
      </c>
      <c r="D34" s="8">
        <v>59597</v>
      </c>
      <c r="E34" s="8">
        <f t="shared" si="5"/>
        <v>8586</v>
      </c>
      <c r="F34" s="8">
        <v>6688</v>
      </c>
      <c r="G34" s="8">
        <f t="shared" si="6"/>
        <v>-4377</v>
      </c>
      <c r="H34" s="8">
        <v>52909</v>
      </c>
      <c r="I34" s="8">
        <f t="shared" si="7"/>
        <v>12963</v>
      </c>
      <c r="J34" s="8">
        <v>134303</v>
      </c>
      <c r="K34" s="8">
        <f t="shared" si="8"/>
        <v>-3325</v>
      </c>
      <c r="L34" s="8">
        <v>203693</v>
      </c>
      <c r="M34" s="8">
        <f t="shared" si="9"/>
        <v>15448</v>
      </c>
      <c r="N34" s="8">
        <v>-69390</v>
      </c>
      <c r="O34" s="8">
        <f t="shared" si="10"/>
        <v>-18773</v>
      </c>
      <c r="P34" s="8">
        <v>60654</v>
      </c>
      <c r="Q34" s="8">
        <f t="shared" si="11"/>
        <v>-5343</v>
      </c>
      <c r="R34" s="8">
        <v>197424</v>
      </c>
      <c r="S34" s="8">
        <f t="shared" si="12"/>
        <v>15573</v>
      </c>
      <c r="T34" s="8">
        <v>-136770</v>
      </c>
      <c r="U34" s="8">
        <f t="shared" si="13"/>
        <v>-20916</v>
      </c>
      <c r="W34" s="8">
        <v>228105</v>
      </c>
      <c r="X34" s="8">
        <f t="shared" si="14"/>
        <v>12245</v>
      </c>
      <c r="Y34" s="8">
        <v>40587</v>
      </c>
      <c r="Z34" s="8">
        <f t="shared" si="15"/>
        <v>9464</v>
      </c>
      <c r="AA34" s="8">
        <v>13556</v>
      </c>
      <c r="AB34" s="8">
        <f t="shared" si="16"/>
        <v>-1827</v>
      </c>
      <c r="AC34" s="8">
        <v>27031</v>
      </c>
      <c r="AD34" s="8">
        <f t="shared" si="16"/>
        <v>11291</v>
      </c>
      <c r="AE34" s="8">
        <v>105738</v>
      </c>
      <c r="AF34" s="8">
        <f t="shared" si="17"/>
        <v>-1118</v>
      </c>
      <c r="AG34" s="8">
        <v>152893</v>
      </c>
      <c r="AH34" s="8">
        <f t="shared" si="18"/>
        <v>12027</v>
      </c>
      <c r="AI34" s="8">
        <v>-47155</v>
      </c>
      <c r="AJ34" s="8">
        <f t="shared" si="19"/>
        <v>-13145</v>
      </c>
      <c r="AK34" s="8">
        <v>96072</v>
      </c>
      <c r="AL34" s="8">
        <f t="shared" si="20"/>
        <v>-2818</v>
      </c>
      <c r="AM34" s="8">
        <v>150568</v>
      </c>
      <c r="AN34" s="8">
        <f t="shared" si="21"/>
        <v>11101</v>
      </c>
      <c r="AO34" s="8">
        <v>-54496</v>
      </c>
      <c r="AP34" s="8">
        <f t="shared" si="22"/>
        <v>-13919</v>
      </c>
      <c r="AR34" s="8">
        <v>2165406</v>
      </c>
      <c r="AS34" s="8">
        <f t="shared" si="23"/>
        <v>49302</v>
      </c>
      <c r="AT34" s="8">
        <v>294773</v>
      </c>
      <c r="AU34" s="8">
        <f t="shared" si="24"/>
        <v>8285</v>
      </c>
      <c r="AV34" s="8">
        <v>14604</v>
      </c>
      <c r="AW34" s="8">
        <f t="shared" si="25"/>
        <v>-3807</v>
      </c>
      <c r="AX34" s="8">
        <f t="shared" si="0"/>
        <v>280169</v>
      </c>
      <c r="AY34" s="8">
        <f t="shared" si="26"/>
        <v>12092</v>
      </c>
      <c r="AZ34" s="8">
        <v>855960</v>
      </c>
      <c r="BA34" s="8">
        <f t="shared" si="27"/>
        <v>19096</v>
      </c>
      <c r="BB34" s="8">
        <v>1108691</v>
      </c>
      <c r="BC34" s="8">
        <f t="shared" si="28"/>
        <v>47529</v>
      </c>
      <c r="BD34" s="8">
        <f t="shared" si="1"/>
        <v>-252731</v>
      </c>
      <c r="BE34" s="8">
        <f t="shared" si="29"/>
        <v>-28433</v>
      </c>
      <c r="BF34" s="8">
        <v>473517</v>
      </c>
      <c r="BG34" s="8">
        <f t="shared" si="30"/>
        <v>24860</v>
      </c>
      <c r="BH34" s="8">
        <v>1066810</v>
      </c>
      <c r="BI34" s="8">
        <f t="shared" si="31"/>
        <v>44195</v>
      </c>
      <c r="BJ34" s="8">
        <f t="shared" si="2"/>
        <v>-593293</v>
      </c>
      <c r="BK34" s="8">
        <f t="shared" si="3"/>
        <v>-19335</v>
      </c>
    </row>
    <row r="35" spans="1:63">
      <c r="A35" s="5">
        <v>39112</v>
      </c>
      <c r="B35" s="8">
        <v>297968</v>
      </c>
      <c r="C35" s="8">
        <f t="shared" si="4"/>
        <v>-3072</v>
      </c>
      <c r="D35" s="8">
        <v>58442</v>
      </c>
      <c r="E35" s="8">
        <f t="shared" si="5"/>
        <v>-1155</v>
      </c>
      <c r="F35" s="8">
        <v>4750</v>
      </c>
      <c r="G35" s="8">
        <f t="shared" si="6"/>
        <v>-1938</v>
      </c>
      <c r="H35" s="8">
        <v>53692</v>
      </c>
      <c r="I35" s="8">
        <f t="shared" si="7"/>
        <v>783</v>
      </c>
      <c r="J35" s="8">
        <v>131882</v>
      </c>
      <c r="K35" s="8">
        <f t="shared" si="8"/>
        <v>-2421</v>
      </c>
      <c r="L35" s="8">
        <v>205273</v>
      </c>
      <c r="M35" s="8">
        <f t="shared" si="9"/>
        <v>1580</v>
      </c>
      <c r="N35" s="8">
        <v>-73391</v>
      </c>
      <c r="O35" s="8">
        <f t="shared" si="10"/>
        <v>-4001</v>
      </c>
      <c r="P35" s="8">
        <v>58778</v>
      </c>
      <c r="Q35" s="8">
        <f t="shared" si="11"/>
        <v>-1876</v>
      </c>
      <c r="R35" s="8">
        <v>197752</v>
      </c>
      <c r="S35" s="8">
        <f t="shared" si="12"/>
        <v>328</v>
      </c>
      <c r="T35" s="8">
        <v>-138974</v>
      </c>
      <c r="U35" s="8">
        <f t="shared" si="13"/>
        <v>-2204</v>
      </c>
      <c r="W35" s="8">
        <v>237717</v>
      </c>
      <c r="X35" s="8">
        <f t="shared" si="14"/>
        <v>9612</v>
      </c>
      <c r="Y35" s="8">
        <v>43254</v>
      </c>
      <c r="Z35" s="8">
        <f t="shared" si="15"/>
        <v>2667</v>
      </c>
      <c r="AA35" s="8">
        <v>15872</v>
      </c>
      <c r="AB35" s="8">
        <f t="shared" si="16"/>
        <v>2316</v>
      </c>
      <c r="AC35" s="8">
        <v>27382</v>
      </c>
      <c r="AD35" s="8">
        <f t="shared" si="16"/>
        <v>351</v>
      </c>
      <c r="AE35" s="8">
        <v>107826</v>
      </c>
      <c r="AF35" s="8">
        <f t="shared" si="17"/>
        <v>2088</v>
      </c>
      <c r="AG35" s="8">
        <v>159871</v>
      </c>
      <c r="AH35" s="8">
        <f t="shared" si="18"/>
        <v>6978</v>
      </c>
      <c r="AI35" s="8">
        <v>-52045</v>
      </c>
      <c r="AJ35" s="8">
        <f t="shared" si="19"/>
        <v>-4890</v>
      </c>
      <c r="AK35" s="8">
        <v>97424</v>
      </c>
      <c r="AL35" s="8">
        <f t="shared" si="20"/>
        <v>1352</v>
      </c>
      <c r="AM35" s="8">
        <v>157563</v>
      </c>
      <c r="AN35" s="8">
        <f t="shared" si="21"/>
        <v>6995</v>
      </c>
      <c r="AO35" s="8">
        <v>-60139</v>
      </c>
      <c r="AP35" s="8">
        <f t="shared" si="22"/>
        <v>-5643</v>
      </c>
      <c r="AR35" s="8">
        <v>2117734</v>
      </c>
      <c r="AS35" s="8">
        <f t="shared" si="23"/>
        <v>-47672</v>
      </c>
      <c r="AT35" s="8">
        <v>290415</v>
      </c>
      <c r="AU35" s="8">
        <f t="shared" si="24"/>
        <v>-4358</v>
      </c>
      <c r="AV35" s="8">
        <v>13644</v>
      </c>
      <c r="AW35" s="8">
        <f t="shared" si="25"/>
        <v>-960</v>
      </c>
      <c r="AX35" s="8">
        <f t="shared" si="0"/>
        <v>276771</v>
      </c>
      <c r="AY35" s="8">
        <f t="shared" si="26"/>
        <v>-3398</v>
      </c>
      <c r="AZ35" s="8">
        <v>839993</v>
      </c>
      <c r="BA35" s="8">
        <f t="shared" si="27"/>
        <v>-15967</v>
      </c>
      <c r="BB35" s="8">
        <v>1087914</v>
      </c>
      <c r="BC35" s="8">
        <f t="shared" si="28"/>
        <v>-20777</v>
      </c>
      <c r="BD35" s="8">
        <f t="shared" si="1"/>
        <v>-247921</v>
      </c>
      <c r="BE35" s="8">
        <f t="shared" si="29"/>
        <v>4810</v>
      </c>
      <c r="BF35" s="8">
        <v>465299</v>
      </c>
      <c r="BG35" s="8">
        <f t="shared" si="30"/>
        <v>-8218</v>
      </c>
      <c r="BH35" s="8">
        <v>1048791</v>
      </c>
      <c r="BI35" s="8">
        <f t="shared" si="31"/>
        <v>-18019</v>
      </c>
      <c r="BJ35" s="8">
        <f t="shared" si="2"/>
        <v>-583492</v>
      </c>
      <c r="BK35" s="8">
        <f t="shared" si="3"/>
        <v>9801</v>
      </c>
    </row>
    <row r="36" spans="1:63">
      <c r="A36" s="5">
        <v>39119</v>
      </c>
      <c r="B36" s="8">
        <v>317960</v>
      </c>
      <c r="C36" s="8">
        <f t="shared" si="4"/>
        <v>19992</v>
      </c>
      <c r="D36" s="8">
        <v>73286</v>
      </c>
      <c r="E36" s="8">
        <f t="shared" si="5"/>
        <v>14844</v>
      </c>
      <c r="F36" s="8">
        <v>9774</v>
      </c>
      <c r="G36" s="8">
        <f t="shared" si="6"/>
        <v>5024</v>
      </c>
      <c r="H36" s="8">
        <v>63512</v>
      </c>
      <c r="I36" s="8">
        <f t="shared" si="7"/>
        <v>9820</v>
      </c>
      <c r="J36" s="8">
        <v>134450</v>
      </c>
      <c r="K36" s="8">
        <f t="shared" si="8"/>
        <v>2568</v>
      </c>
      <c r="L36" s="8">
        <v>219682</v>
      </c>
      <c r="M36" s="8">
        <f t="shared" si="9"/>
        <v>14409</v>
      </c>
      <c r="N36" s="8">
        <v>-85232</v>
      </c>
      <c r="O36" s="8">
        <f t="shared" si="10"/>
        <v>-11841</v>
      </c>
      <c r="P36" s="8">
        <v>55885</v>
      </c>
      <c r="Q36" s="8">
        <f t="shared" si="11"/>
        <v>-2893</v>
      </c>
      <c r="R36" s="8">
        <v>213128</v>
      </c>
      <c r="S36" s="8">
        <f t="shared" si="12"/>
        <v>15376</v>
      </c>
      <c r="T36" s="8">
        <v>-157243</v>
      </c>
      <c r="U36" s="8">
        <f t="shared" si="13"/>
        <v>-18269</v>
      </c>
      <c r="W36" s="8">
        <v>242641</v>
      </c>
      <c r="X36" s="8">
        <f t="shared" si="14"/>
        <v>4924</v>
      </c>
      <c r="Y36" s="8">
        <v>46501</v>
      </c>
      <c r="Z36" s="8">
        <f t="shared" si="15"/>
        <v>3247</v>
      </c>
      <c r="AA36" s="8">
        <v>12329</v>
      </c>
      <c r="AB36" s="8">
        <f t="shared" si="16"/>
        <v>-3543</v>
      </c>
      <c r="AC36" s="8">
        <v>34172</v>
      </c>
      <c r="AD36" s="8">
        <f t="shared" si="16"/>
        <v>6790</v>
      </c>
      <c r="AE36" s="8">
        <v>106701</v>
      </c>
      <c r="AF36" s="8">
        <f t="shared" si="17"/>
        <v>-1125</v>
      </c>
      <c r="AG36" s="8">
        <v>166160</v>
      </c>
      <c r="AH36" s="8">
        <f t="shared" si="18"/>
        <v>6289</v>
      </c>
      <c r="AI36" s="8">
        <v>-59459</v>
      </c>
      <c r="AJ36" s="8">
        <f t="shared" si="19"/>
        <v>-7414</v>
      </c>
      <c r="AK36" s="8">
        <v>96034</v>
      </c>
      <c r="AL36" s="8">
        <f t="shared" si="20"/>
        <v>-1390</v>
      </c>
      <c r="AM36" s="8">
        <v>163869</v>
      </c>
      <c r="AN36" s="8">
        <f t="shared" si="21"/>
        <v>6306</v>
      </c>
      <c r="AO36" s="8">
        <v>-67835</v>
      </c>
      <c r="AP36" s="8">
        <f t="shared" si="22"/>
        <v>-7696</v>
      </c>
      <c r="AR36" s="8">
        <v>2124616</v>
      </c>
      <c r="AS36" s="8">
        <f t="shared" si="23"/>
        <v>6882</v>
      </c>
      <c r="AT36" s="8">
        <v>284311</v>
      </c>
      <c r="AU36" s="8">
        <f t="shared" si="24"/>
        <v>-6104</v>
      </c>
      <c r="AV36" s="8">
        <v>22482</v>
      </c>
      <c r="AW36" s="8">
        <f t="shared" si="25"/>
        <v>8838</v>
      </c>
      <c r="AX36" s="8">
        <f t="shared" si="0"/>
        <v>261829</v>
      </c>
      <c r="AY36" s="8">
        <f t="shared" si="26"/>
        <v>-14942</v>
      </c>
      <c r="AZ36" s="8">
        <v>843022</v>
      </c>
      <c r="BA36" s="8">
        <f t="shared" si="27"/>
        <v>3029</v>
      </c>
      <c r="BB36" s="8">
        <v>1078375</v>
      </c>
      <c r="BC36" s="8">
        <f t="shared" si="28"/>
        <v>-9539</v>
      </c>
      <c r="BD36" s="8">
        <f t="shared" si="1"/>
        <v>-235353</v>
      </c>
      <c r="BE36" s="8">
        <f t="shared" si="29"/>
        <v>12568</v>
      </c>
      <c r="BF36" s="8">
        <v>472896</v>
      </c>
      <c r="BG36" s="8">
        <f t="shared" si="30"/>
        <v>7597</v>
      </c>
      <c r="BH36" s="8">
        <v>1039512</v>
      </c>
      <c r="BI36" s="8">
        <f t="shared" si="31"/>
        <v>-9279</v>
      </c>
      <c r="BJ36" s="8">
        <f t="shared" si="2"/>
        <v>-566616</v>
      </c>
      <c r="BK36" s="8">
        <f t="shared" si="3"/>
        <v>16876</v>
      </c>
    </row>
    <row r="37" spans="1:63">
      <c r="A37" s="5">
        <v>39126</v>
      </c>
      <c r="B37" s="8">
        <v>332968</v>
      </c>
      <c r="C37" s="8">
        <f t="shared" si="4"/>
        <v>15008</v>
      </c>
      <c r="D37" s="8">
        <v>72321</v>
      </c>
      <c r="E37" s="8">
        <f t="shared" si="5"/>
        <v>-965</v>
      </c>
      <c r="F37" s="8">
        <v>9726</v>
      </c>
      <c r="G37" s="8">
        <f t="shared" si="6"/>
        <v>-48</v>
      </c>
      <c r="H37" s="8">
        <v>62595</v>
      </c>
      <c r="I37" s="8">
        <f t="shared" si="7"/>
        <v>-917</v>
      </c>
      <c r="J37" s="8">
        <v>145189</v>
      </c>
      <c r="K37" s="8">
        <f t="shared" si="8"/>
        <v>10739</v>
      </c>
      <c r="L37" s="8">
        <v>230247</v>
      </c>
      <c r="M37" s="8">
        <f t="shared" si="9"/>
        <v>10565</v>
      </c>
      <c r="N37" s="8">
        <v>-85058</v>
      </c>
      <c r="O37" s="8">
        <f t="shared" si="10"/>
        <v>174</v>
      </c>
      <c r="P37" s="8">
        <v>62677</v>
      </c>
      <c r="Q37" s="8">
        <f t="shared" si="11"/>
        <v>6792</v>
      </c>
      <c r="R37" s="8">
        <v>222201</v>
      </c>
      <c r="S37" s="8">
        <f t="shared" si="12"/>
        <v>9073</v>
      </c>
      <c r="T37" s="8">
        <v>-159524</v>
      </c>
      <c r="U37" s="8">
        <f t="shared" si="13"/>
        <v>-2281</v>
      </c>
      <c r="W37" s="8">
        <v>253793</v>
      </c>
      <c r="X37" s="8">
        <f t="shared" si="14"/>
        <v>11152</v>
      </c>
      <c r="Y37" s="8">
        <v>59490</v>
      </c>
      <c r="Z37" s="8">
        <f t="shared" si="15"/>
        <v>12989</v>
      </c>
      <c r="AA37" s="8">
        <v>9110</v>
      </c>
      <c r="AB37" s="8">
        <f t="shared" si="16"/>
        <v>-3219</v>
      </c>
      <c r="AC37" s="8">
        <v>50380</v>
      </c>
      <c r="AD37" s="8">
        <f t="shared" si="16"/>
        <v>16208</v>
      </c>
      <c r="AE37" s="8">
        <v>98493</v>
      </c>
      <c r="AF37" s="8">
        <f t="shared" si="17"/>
        <v>-8208</v>
      </c>
      <c r="AG37" s="8">
        <v>175550</v>
      </c>
      <c r="AH37" s="8">
        <f t="shared" si="18"/>
        <v>9390</v>
      </c>
      <c r="AI37" s="8">
        <v>-77057</v>
      </c>
      <c r="AJ37" s="8">
        <f t="shared" si="19"/>
        <v>-17598</v>
      </c>
      <c r="AK37" s="8">
        <v>86961</v>
      </c>
      <c r="AL37" s="8">
        <f t="shared" si="20"/>
        <v>-9073</v>
      </c>
      <c r="AM37" s="8">
        <v>173195</v>
      </c>
      <c r="AN37" s="8">
        <f t="shared" si="21"/>
        <v>9326</v>
      </c>
      <c r="AO37" s="8">
        <v>-86234</v>
      </c>
      <c r="AP37" s="8">
        <f t="shared" si="22"/>
        <v>-18399</v>
      </c>
      <c r="AR37" s="8">
        <v>2146315</v>
      </c>
      <c r="AS37" s="8">
        <f t="shared" si="23"/>
        <v>21699</v>
      </c>
      <c r="AT37" s="8">
        <v>312197</v>
      </c>
      <c r="AU37" s="8">
        <f t="shared" si="24"/>
        <v>27886</v>
      </c>
      <c r="AV37" s="8">
        <v>18390</v>
      </c>
      <c r="AW37" s="8">
        <f t="shared" si="25"/>
        <v>-4092</v>
      </c>
      <c r="AX37" s="8">
        <f t="shared" si="0"/>
        <v>293807</v>
      </c>
      <c r="AY37" s="8">
        <f t="shared" si="26"/>
        <v>31978</v>
      </c>
      <c r="AZ37" s="8">
        <v>826715</v>
      </c>
      <c r="BA37" s="8">
        <f t="shared" si="27"/>
        <v>-16307</v>
      </c>
      <c r="BB37" s="8">
        <v>1100483</v>
      </c>
      <c r="BC37" s="8">
        <f t="shared" si="28"/>
        <v>22108</v>
      </c>
      <c r="BD37" s="8">
        <f t="shared" si="1"/>
        <v>-273768</v>
      </c>
      <c r="BE37" s="8">
        <f t="shared" si="29"/>
        <v>-38415</v>
      </c>
      <c r="BF37" s="8">
        <v>458629</v>
      </c>
      <c r="BG37" s="8">
        <f t="shared" si="30"/>
        <v>-14267</v>
      </c>
      <c r="BH37" s="8">
        <v>1063373</v>
      </c>
      <c r="BI37" s="8">
        <f t="shared" si="31"/>
        <v>23861</v>
      </c>
      <c r="BJ37" s="8">
        <f t="shared" si="2"/>
        <v>-604744</v>
      </c>
      <c r="BK37" s="8">
        <f t="shared" si="3"/>
        <v>-38128</v>
      </c>
    </row>
    <row r="38" spans="1:63">
      <c r="A38" s="5">
        <v>39133</v>
      </c>
      <c r="B38" s="8">
        <v>331389</v>
      </c>
      <c r="C38" s="8">
        <f t="shared" si="4"/>
        <v>-1579</v>
      </c>
      <c r="D38" s="8">
        <v>70091</v>
      </c>
      <c r="E38" s="8">
        <f t="shared" si="5"/>
        <v>-2230</v>
      </c>
      <c r="F38" s="8">
        <v>7991</v>
      </c>
      <c r="G38" s="8">
        <f t="shared" si="6"/>
        <v>-1735</v>
      </c>
      <c r="H38" s="8">
        <v>62100</v>
      </c>
      <c r="I38" s="8">
        <f t="shared" si="7"/>
        <v>-495</v>
      </c>
      <c r="J38" s="8">
        <v>138279</v>
      </c>
      <c r="K38" s="8">
        <f t="shared" si="8"/>
        <v>-6910</v>
      </c>
      <c r="L38" s="8">
        <v>225404</v>
      </c>
      <c r="M38" s="8">
        <f t="shared" si="9"/>
        <v>-4843</v>
      </c>
      <c r="N38" s="8">
        <v>-87125</v>
      </c>
      <c r="O38" s="8">
        <f t="shared" si="10"/>
        <v>-2067</v>
      </c>
      <c r="P38" s="8">
        <v>56912</v>
      </c>
      <c r="Q38" s="8">
        <f t="shared" si="11"/>
        <v>-5765</v>
      </c>
      <c r="R38" s="8">
        <v>218335</v>
      </c>
      <c r="S38" s="8">
        <f t="shared" si="12"/>
        <v>-3866</v>
      </c>
      <c r="T38" s="8">
        <v>-161423</v>
      </c>
      <c r="U38" s="8">
        <f t="shared" si="13"/>
        <v>-1899</v>
      </c>
      <c r="W38" s="8">
        <v>263665</v>
      </c>
      <c r="X38" s="8">
        <f t="shared" si="14"/>
        <v>9872</v>
      </c>
      <c r="Y38" s="8">
        <v>65260</v>
      </c>
      <c r="Z38" s="8">
        <f t="shared" si="15"/>
        <v>5770</v>
      </c>
      <c r="AA38" s="8">
        <v>8912</v>
      </c>
      <c r="AB38" s="8">
        <f t="shared" si="16"/>
        <v>-198</v>
      </c>
      <c r="AC38" s="8">
        <v>56348</v>
      </c>
      <c r="AD38" s="8">
        <f t="shared" si="16"/>
        <v>5968</v>
      </c>
      <c r="AE38" s="8">
        <v>97043</v>
      </c>
      <c r="AF38" s="8">
        <f t="shared" si="17"/>
        <v>-1450</v>
      </c>
      <c r="AG38" s="8">
        <v>181675</v>
      </c>
      <c r="AH38" s="8">
        <f t="shared" si="18"/>
        <v>6125</v>
      </c>
      <c r="AI38" s="8">
        <v>-84632</v>
      </c>
      <c r="AJ38" s="8">
        <f t="shared" si="19"/>
        <v>-7575</v>
      </c>
      <c r="AK38" s="8">
        <v>86973</v>
      </c>
      <c r="AL38" s="8">
        <f t="shared" si="20"/>
        <v>12</v>
      </c>
      <c r="AM38" s="8">
        <v>179329</v>
      </c>
      <c r="AN38" s="8">
        <f t="shared" si="21"/>
        <v>6134</v>
      </c>
      <c r="AO38" s="8">
        <v>-92356</v>
      </c>
      <c r="AP38" s="8">
        <f t="shared" si="22"/>
        <v>-6122</v>
      </c>
      <c r="AR38" s="8">
        <v>2178460</v>
      </c>
      <c r="AS38" s="8">
        <f t="shared" si="23"/>
        <v>32145</v>
      </c>
      <c r="AT38" s="8">
        <v>320256</v>
      </c>
      <c r="AU38" s="8">
        <f t="shared" si="24"/>
        <v>8059</v>
      </c>
      <c r="AV38" s="8">
        <v>20202</v>
      </c>
      <c r="AW38" s="8">
        <f t="shared" si="25"/>
        <v>1812</v>
      </c>
      <c r="AX38" s="8">
        <f t="shared" si="0"/>
        <v>300054</v>
      </c>
      <c r="AY38" s="8">
        <f t="shared" si="26"/>
        <v>6247</v>
      </c>
      <c r="AZ38" s="8">
        <v>846812</v>
      </c>
      <c r="BA38" s="8">
        <f t="shared" si="27"/>
        <v>20097</v>
      </c>
      <c r="BB38" s="8">
        <v>1133789</v>
      </c>
      <c r="BC38" s="8">
        <f t="shared" si="28"/>
        <v>33306</v>
      </c>
      <c r="BD38" s="8">
        <f t="shared" si="1"/>
        <v>-286977</v>
      </c>
      <c r="BE38" s="8">
        <f t="shared" si="29"/>
        <v>-13209</v>
      </c>
      <c r="BF38" s="8">
        <v>467190</v>
      </c>
      <c r="BG38" s="8">
        <f t="shared" si="30"/>
        <v>8561</v>
      </c>
      <c r="BH38" s="8">
        <v>1094997</v>
      </c>
      <c r="BI38" s="8">
        <f t="shared" si="31"/>
        <v>31624</v>
      </c>
      <c r="BJ38" s="8">
        <f t="shared" si="2"/>
        <v>-627807</v>
      </c>
      <c r="BK38" s="8">
        <f t="shared" si="3"/>
        <v>-23063</v>
      </c>
    </row>
    <row r="39" spans="1:63">
      <c r="A39" s="5">
        <v>39140</v>
      </c>
      <c r="B39" s="8">
        <v>311955</v>
      </c>
      <c r="C39" s="8">
        <f t="shared" si="4"/>
        <v>-19434</v>
      </c>
      <c r="D39" s="8">
        <v>71807</v>
      </c>
      <c r="E39" s="8">
        <f t="shared" si="5"/>
        <v>1716</v>
      </c>
      <c r="F39" s="8">
        <v>3999</v>
      </c>
      <c r="G39" s="8">
        <f t="shared" si="6"/>
        <v>-3992</v>
      </c>
      <c r="H39" s="8">
        <v>67808</v>
      </c>
      <c r="I39" s="8">
        <f t="shared" si="7"/>
        <v>5708</v>
      </c>
      <c r="J39" s="8">
        <v>135330</v>
      </c>
      <c r="K39" s="8">
        <f t="shared" si="8"/>
        <v>-2949</v>
      </c>
      <c r="L39" s="8">
        <v>220199</v>
      </c>
      <c r="M39" s="8">
        <f t="shared" si="9"/>
        <v>-5205</v>
      </c>
      <c r="N39" s="8">
        <v>-84869</v>
      </c>
      <c r="O39" s="8">
        <f t="shared" si="10"/>
        <v>2256</v>
      </c>
      <c r="P39" s="8">
        <v>52964</v>
      </c>
      <c r="Q39" s="8">
        <f t="shared" si="11"/>
        <v>-3948</v>
      </c>
      <c r="R39" s="8">
        <v>213572</v>
      </c>
      <c r="S39" s="8">
        <f t="shared" si="12"/>
        <v>-4763</v>
      </c>
      <c r="T39" s="8">
        <v>-160608</v>
      </c>
      <c r="U39" s="8">
        <f t="shared" si="13"/>
        <v>815</v>
      </c>
      <c r="W39" s="8">
        <v>253982</v>
      </c>
      <c r="X39" s="8">
        <f t="shared" si="14"/>
        <v>-9683</v>
      </c>
      <c r="Y39" s="8">
        <v>60168</v>
      </c>
      <c r="Z39" s="8">
        <f t="shared" si="15"/>
        <v>-5092</v>
      </c>
      <c r="AA39" s="8">
        <v>8154</v>
      </c>
      <c r="AB39" s="8">
        <f t="shared" si="16"/>
        <v>-758</v>
      </c>
      <c r="AC39" s="8">
        <v>52014</v>
      </c>
      <c r="AD39" s="8">
        <f t="shared" si="16"/>
        <v>-4334</v>
      </c>
      <c r="AE39" s="8">
        <v>94349</v>
      </c>
      <c r="AF39" s="8">
        <f t="shared" si="17"/>
        <v>-2694</v>
      </c>
      <c r="AG39" s="8">
        <v>163649</v>
      </c>
      <c r="AH39" s="8">
        <f t="shared" si="18"/>
        <v>-18026</v>
      </c>
      <c r="AI39" s="8">
        <v>-69300</v>
      </c>
      <c r="AJ39" s="8">
        <f t="shared" si="19"/>
        <v>15332</v>
      </c>
      <c r="AK39" s="8">
        <v>83853</v>
      </c>
      <c r="AL39" s="8">
        <f t="shared" si="20"/>
        <v>-3120</v>
      </c>
      <c r="AM39" s="8">
        <v>161209</v>
      </c>
      <c r="AN39" s="8">
        <f t="shared" si="21"/>
        <v>-18120</v>
      </c>
      <c r="AO39" s="8">
        <v>-77356</v>
      </c>
      <c r="AP39" s="8">
        <f t="shared" si="22"/>
        <v>15000</v>
      </c>
      <c r="AR39" s="8">
        <v>2056876</v>
      </c>
      <c r="AS39" s="8">
        <f t="shared" si="23"/>
        <v>-121584</v>
      </c>
      <c r="AT39" s="8">
        <v>312784</v>
      </c>
      <c r="AU39" s="8">
        <f t="shared" si="24"/>
        <v>-7472</v>
      </c>
      <c r="AV39" s="8">
        <v>18728</v>
      </c>
      <c r="AW39" s="8">
        <f t="shared" si="25"/>
        <v>-1474</v>
      </c>
      <c r="AX39" s="8">
        <f t="shared" si="0"/>
        <v>294056</v>
      </c>
      <c r="AY39" s="8">
        <f t="shared" si="26"/>
        <v>-5998</v>
      </c>
      <c r="AZ39" s="8">
        <v>805163</v>
      </c>
      <c r="BA39" s="8">
        <f t="shared" si="27"/>
        <v>-41649</v>
      </c>
      <c r="BB39" s="8">
        <v>1078308</v>
      </c>
      <c r="BC39" s="8">
        <f t="shared" si="28"/>
        <v>-55481</v>
      </c>
      <c r="BD39" s="8">
        <f t="shared" si="1"/>
        <v>-273145</v>
      </c>
      <c r="BE39" s="8">
        <f t="shared" si="29"/>
        <v>13832</v>
      </c>
      <c r="BF39" s="8">
        <v>431566</v>
      </c>
      <c r="BG39" s="8">
        <f t="shared" si="30"/>
        <v>-35624</v>
      </c>
      <c r="BH39" s="8">
        <v>1052496</v>
      </c>
      <c r="BI39" s="8">
        <f t="shared" si="31"/>
        <v>-42501</v>
      </c>
      <c r="BJ39" s="8">
        <f t="shared" si="2"/>
        <v>-620930</v>
      </c>
      <c r="BK39" s="8">
        <f t="shared" si="3"/>
        <v>6877</v>
      </c>
    </row>
    <row r="40" spans="1:63">
      <c r="A40" s="5">
        <v>39147</v>
      </c>
      <c r="B40" s="8">
        <v>296781</v>
      </c>
      <c r="C40" s="8">
        <f t="shared" si="4"/>
        <v>-15174</v>
      </c>
      <c r="D40" s="8">
        <v>62906</v>
      </c>
      <c r="E40" s="8">
        <f t="shared" si="5"/>
        <v>-8901</v>
      </c>
      <c r="F40" s="8">
        <v>6297</v>
      </c>
      <c r="G40" s="8">
        <f t="shared" si="6"/>
        <v>2298</v>
      </c>
      <c r="H40" s="8">
        <v>56609</v>
      </c>
      <c r="I40" s="8">
        <f t="shared" si="7"/>
        <v>-11199</v>
      </c>
      <c r="J40" s="8">
        <v>138073</v>
      </c>
      <c r="K40" s="8">
        <f t="shared" si="8"/>
        <v>2743</v>
      </c>
      <c r="L40" s="8">
        <v>201881</v>
      </c>
      <c r="M40" s="8">
        <f t="shared" si="9"/>
        <v>-18318</v>
      </c>
      <c r="N40" s="8">
        <v>-63808</v>
      </c>
      <c r="O40" s="8">
        <f t="shared" si="10"/>
        <v>21061</v>
      </c>
      <c r="P40" s="8">
        <v>59020</v>
      </c>
      <c r="Q40" s="8">
        <f t="shared" si="11"/>
        <v>6056</v>
      </c>
      <c r="R40" s="8">
        <v>195817</v>
      </c>
      <c r="S40" s="8">
        <f t="shared" si="12"/>
        <v>-17755</v>
      </c>
      <c r="T40" s="8">
        <v>-136797</v>
      </c>
      <c r="U40" s="8">
        <f t="shared" si="13"/>
        <v>23811</v>
      </c>
      <c r="W40" s="8">
        <v>238098</v>
      </c>
      <c r="X40" s="8">
        <f t="shared" si="14"/>
        <v>-15884</v>
      </c>
      <c r="Y40" s="8">
        <v>47983</v>
      </c>
      <c r="Z40" s="8">
        <f t="shared" si="15"/>
        <v>-12185</v>
      </c>
      <c r="AA40" s="8">
        <v>9910</v>
      </c>
      <c r="AB40" s="8">
        <f t="shared" si="16"/>
        <v>1756</v>
      </c>
      <c r="AC40" s="8">
        <v>38073</v>
      </c>
      <c r="AD40" s="8">
        <f t="shared" si="16"/>
        <v>-13941</v>
      </c>
      <c r="AE40" s="8">
        <v>95588</v>
      </c>
      <c r="AF40" s="8">
        <f t="shared" si="17"/>
        <v>1239</v>
      </c>
      <c r="AG40" s="8">
        <v>150761</v>
      </c>
      <c r="AH40" s="8">
        <f t="shared" si="18"/>
        <v>-12888</v>
      </c>
      <c r="AI40" s="8">
        <v>-55173</v>
      </c>
      <c r="AJ40" s="8">
        <f t="shared" si="19"/>
        <v>14127</v>
      </c>
      <c r="AK40" s="8">
        <v>87240</v>
      </c>
      <c r="AL40" s="8">
        <f t="shared" si="20"/>
        <v>3387</v>
      </c>
      <c r="AM40" s="8">
        <v>148030</v>
      </c>
      <c r="AN40" s="8">
        <f t="shared" si="21"/>
        <v>-13179</v>
      </c>
      <c r="AO40" s="8">
        <v>-60790</v>
      </c>
      <c r="AP40" s="8">
        <f t="shared" si="22"/>
        <v>16566</v>
      </c>
      <c r="AR40" s="8">
        <v>2044698</v>
      </c>
      <c r="AS40" s="8">
        <f t="shared" si="23"/>
        <v>-12178</v>
      </c>
      <c r="AT40" s="8">
        <v>290721</v>
      </c>
      <c r="AU40" s="8">
        <f t="shared" si="24"/>
        <v>-22063</v>
      </c>
      <c r="AV40" s="8">
        <v>24978</v>
      </c>
      <c r="AW40" s="8">
        <f t="shared" si="25"/>
        <v>6250</v>
      </c>
      <c r="AX40" s="8">
        <f t="shared" si="0"/>
        <v>265743</v>
      </c>
      <c r="AY40" s="8">
        <f t="shared" si="26"/>
        <v>-28313</v>
      </c>
      <c r="AZ40" s="8">
        <v>820390</v>
      </c>
      <c r="BA40" s="8">
        <f t="shared" si="27"/>
        <v>15227</v>
      </c>
      <c r="BB40" s="8">
        <v>1057088</v>
      </c>
      <c r="BC40" s="8">
        <f t="shared" si="28"/>
        <v>-21220</v>
      </c>
      <c r="BD40" s="8">
        <f t="shared" si="1"/>
        <v>-236698</v>
      </c>
      <c r="BE40" s="8">
        <f t="shared" si="29"/>
        <v>36447</v>
      </c>
      <c r="BF40" s="8">
        <v>447108</v>
      </c>
      <c r="BG40" s="8">
        <f t="shared" si="30"/>
        <v>15542</v>
      </c>
      <c r="BH40" s="8">
        <v>1031237</v>
      </c>
      <c r="BI40" s="8">
        <f t="shared" si="31"/>
        <v>-21259</v>
      </c>
      <c r="BJ40" s="8">
        <f t="shared" si="2"/>
        <v>-584129</v>
      </c>
      <c r="BK40" s="8">
        <f t="shared" si="3"/>
        <v>36801</v>
      </c>
    </row>
    <row r="41" spans="1:63">
      <c r="A41" s="5">
        <v>39154</v>
      </c>
      <c r="B41" s="8">
        <v>301952</v>
      </c>
      <c r="C41" s="8">
        <f t="shared" si="4"/>
        <v>5171</v>
      </c>
      <c r="D41" s="8">
        <v>62905</v>
      </c>
      <c r="E41" s="8">
        <f t="shared" si="5"/>
        <v>-1</v>
      </c>
      <c r="F41" s="8">
        <v>5982</v>
      </c>
      <c r="G41" s="8">
        <f t="shared" si="6"/>
        <v>-315</v>
      </c>
      <c r="H41" s="8">
        <v>56923</v>
      </c>
      <c r="I41" s="8">
        <f t="shared" si="7"/>
        <v>314</v>
      </c>
      <c r="J41" s="8">
        <v>139110</v>
      </c>
      <c r="K41" s="8">
        <f t="shared" si="8"/>
        <v>1037</v>
      </c>
      <c r="L41" s="8">
        <v>215570</v>
      </c>
      <c r="M41" s="8">
        <f t="shared" si="9"/>
        <v>13689</v>
      </c>
      <c r="N41" s="8">
        <v>-76460</v>
      </c>
      <c r="O41" s="8">
        <f t="shared" si="10"/>
        <v>-12652</v>
      </c>
      <c r="P41" s="8">
        <v>59805</v>
      </c>
      <c r="Q41" s="8">
        <f t="shared" si="11"/>
        <v>785</v>
      </c>
      <c r="R41" s="8">
        <v>208846</v>
      </c>
      <c r="S41" s="8">
        <f t="shared" si="12"/>
        <v>13029</v>
      </c>
      <c r="T41" s="8">
        <v>-149041</v>
      </c>
      <c r="U41" s="8">
        <f t="shared" si="13"/>
        <v>-12244</v>
      </c>
      <c r="W41" s="8">
        <v>236946</v>
      </c>
      <c r="X41" s="8">
        <f t="shared" si="14"/>
        <v>-1152</v>
      </c>
      <c r="Y41" s="8">
        <v>44089</v>
      </c>
      <c r="Z41" s="8">
        <f t="shared" si="15"/>
        <v>-3894</v>
      </c>
      <c r="AA41" s="8">
        <v>11467</v>
      </c>
      <c r="AB41" s="8">
        <f t="shared" si="16"/>
        <v>1557</v>
      </c>
      <c r="AC41" s="8">
        <v>32622</v>
      </c>
      <c r="AD41" s="8">
        <f t="shared" si="16"/>
        <v>-5451</v>
      </c>
      <c r="AE41" s="8">
        <v>96418</v>
      </c>
      <c r="AF41" s="8">
        <f t="shared" si="17"/>
        <v>830</v>
      </c>
      <c r="AG41" s="8">
        <v>156542</v>
      </c>
      <c r="AH41" s="8">
        <f t="shared" si="18"/>
        <v>5781</v>
      </c>
      <c r="AI41" s="8">
        <v>-60124</v>
      </c>
      <c r="AJ41" s="8">
        <f t="shared" si="19"/>
        <v>-4951</v>
      </c>
      <c r="AK41" s="8">
        <v>87888</v>
      </c>
      <c r="AL41" s="8">
        <f t="shared" si="20"/>
        <v>648</v>
      </c>
      <c r="AM41" s="8">
        <v>153056</v>
      </c>
      <c r="AN41" s="8">
        <f t="shared" si="21"/>
        <v>5026</v>
      </c>
      <c r="AO41" s="8">
        <v>-65168</v>
      </c>
      <c r="AP41" s="8">
        <f t="shared" si="22"/>
        <v>-4378</v>
      </c>
      <c r="AR41" s="8">
        <v>2040518</v>
      </c>
      <c r="AS41" s="8">
        <f t="shared" si="23"/>
        <v>-4180</v>
      </c>
      <c r="AT41" s="8">
        <v>257790</v>
      </c>
      <c r="AU41" s="8">
        <f t="shared" si="24"/>
        <v>-32931</v>
      </c>
      <c r="AV41" s="8">
        <v>22401</v>
      </c>
      <c r="AW41" s="8">
        <f t="shared" si="25"/>
        <v>-2577</v>
      </c>
      <c r="AX41" s="8">
        <f t="shared" si="0"/>
        <v>235389</v>
      </c>
      <c r="AY41" s="8">
        <f t="shared" si="26"/>
        <v>-30354</v>
      </c>
      <c r="AZ41" s="8">
        <v>840783</v>
      </c>
      <c r="BA41" s="8">
        <f t="shared" si="27"/>
        <v>20393</v>
      </c>
      <c r="BB41" s="8">
        <v>1046272</v>
      </c>
      <c r="BC41" s="8">
        <f t="shared" si="28"/>
        <v>-10816</v>
      </c>
      <c r="BD41" s="8">
        <f t="shared" si="1"/>
        <v>-205489</v>
      </c>
      <c r="BE41" s="8">
        <f t="shared" si="29"/>
        <v>31209</v>
      </c>
      <c r="BF41" s="8">
        <v>469430</v>
      </c>
      <c r="BG41" s="8">
        <f t="shared" si="30"/>
        <v>22322</v>
      </c>
      <c r="BH41" s="8">
        <v>1019106</v>
      </c>
      <c r="BI41" s="8">
        <f t="shared" si="31"/>
        <v>-12131</v>
      </c>
      <c r="BJ41" s="8">
        <f t="shared" si="2"/>
        <v>-549676</v>
      </c>
      <c r="BK41" s="8">
        <f t="shared" si="3"/>
        <v>34453</v>
      </c>
    </row>
    <row r="42" spans="1:63">
      <c r="A42" s="5">
        <v>39161</v>
      </c>
      <c r="B42" s="8">
        <v>315477</v>
      </c>
      <c r="C42" s="8">
        <f t="shared" si="4"/>
        <v>13525</v>
      </c>
      <c r="D42" s="8">
        <v>66343</v>
      </c>
      <c r="E42" s="8">
        <f t="shared" si="5"/>
        <v>3438</v>
      </c>
      <c r="F42" s="8">
        <v>6685</v>
      </c>
      <c r="G42" s="8">
        <f t="shared" si="6"/>
        <v>703</v>
      </c>
      <c r="H42" s="8">
        <v>59658</v>
      </c>
      <c r="I42" s="8">
        <f t="shared" si="7"/>
        <v>2735</v>
      </c>
      <c r="J42" s="8">
        <v>144589</v>
      </c>
      <c r="K42" s="8">
        <f t="shared" si="8"/>
        <v>5479</v>
      </c>
      <c r="L42" s="8">
        <v>224294</v>
      </c>
      <c r="M42" s="8">
        <f t="shared" si="9"/>
        <v>8724</v>
      </c>
      <c r="N42" s="8">
        <v>-79705</v>
      </c>
      <c r="O42" s="8">
        <f t="shared" si="10"/>
        <v>-3245</v>
      </c>
      <c r="P42" s="8">
        <v>63632</v>
      </c>
      <c r="Q42" s="8">
        <f t="shared" si="11"/>
        <v>3827</v>
      </c>
      <c r="R42" s="8">
        <v>216828</v>
      </c>
      <c r="S42" s="8">
        <f t="shared" si="12"/>
        <v>7982</v>
      </c>
      <c r="T42" s="8">
        <v>-153196</v>
      </c>
      <c r="U42" s="8">
        <f t="shared" si="13"/>
        <v>-4155</v>
      </c>
      <c r="W42" s="8">
        <v>237675</v>
      </c>
      <c r="X42" s="8">
        <f t="shared" si="14"/>
        <v>729</v>
      </c>
      <c r="Y42" s="8">
        <v>41414</v>
      </c>
      <c r="Z42" s="8">
        <f t="shared" si="15"/>
        <v>-2675</v>
      </c>
      <c r="AA42" s="8">
        <v>11798</v>
      </c>
      <c r="AB42" s="8">
        <f t="shared" si="16"/>
        <v>331</v>
      </c>
      <c r="AC42" s="8">
        <v>29616</v>
      </c>
      <c r="AD42" s="8">
        <f t="shared" si="16"/>
        <v>-3006</v>
      </c>
      <c r="AE42" s="8">
        <v>95123</v>
      </c>
      <c r="AF42" s="8">
        <f t="shared" si="17"/>
        <v>-1295</v>
      </c>
      <c r="AG42" s="8">
        <v>152048</v>
      </c>
      <c r="AH42" s="8">
        <f t="shared" si="18"/>
        <v>-4494</v>
      </c>
      <c r="AI42" s="8">
        <v>-56925</v>
      </c>
      <c r="AJ42" s="8">
        <f t="shared" si="19"/>
        <v>3199</v>
      </c>
      <c r="AK42" s="8">
        <v>86513</v>
      </c>
      <c r="AL42" s="8">
        <f t="shared" si="20"/>
        <v>-1375</v>
      </c>
      <c r="AM42" s="8">
        <v>147660</v>
      </c>
      <c r="AN42" s="8">
        <f t="shared" si="21"/>
        <v>-5396</v>
      </c>
      <c r="AO42" s="8">
        <v>-61147</v>
      </c>
      <c r="AP42" s="8">
        <f t="shared" si="22"/>
        <v>4021</v>
      </c>
      <c r="AR42" s="8">
        <v>2069720</v>
      </c>
      <c r="AS42" s="8">
        <f t="shared" si="23"/>
        <v>29202</v>
      </c>
      <c r="AT42" s="8">
        <v>249890</v>
      </c>
      <c r="AU42" s="8">
        <f t="shared" si="24"/>
        <v>-7900</v>
      </c>
      <c r="AV42" s="8">
        <v>18172</v>
      </c>
      <c r="AW42" s="8">
        <f t="shared" si="25"/>
        <v>-4229</v>
      </c>
      <c r="AX42" s="8">
        <f t="shared" si="0"/>
        <v>231718</v>
      </c>
      <c r="AY42" s="8">
        <f t="shared" si="26"/>
        <v>-3671</v>
      </c>
      <c r="AZ42" s="8">
        <v>848951</v>
      </c>
      <c r="BA42" s="8">
        <f t="shared" si="27"/>
        <v>8168</v>
      </c>
      <c r="BB42" s="8">
        <v>1056676</v>
      </c>
      <c r="BC42" s="8">
        <f t="shared" si="28"/>
        <v>10404</v>
      </c>
      <c r="BD42" s="8">
        <f t="shared" si="1"/>
        <v>-207725</v>
      </c>
      <c r="BE42" s="8">
        <f t="shared" si="29"/>
        <v>-2236</v>
      </c>
      <c r="BF42" s="8">
        <v>479573</v>
      </c>
      <c r="BG42" s="8">
        <f t="shared" si="30"/>
        <v>10143</v>
      </c>
      <c r="BH42" s="8">
        <v>1029705</v>
      </c>
      <c r="BI42" s="8">
        <f t="shared" si="31"/>
        <v>10599</v>
      </c>
      <c r="BJ42" s="8">
        <f t="shared" si="2"/>
        <v>-550132</v>
      </c>
      <c r="BK42" s="8">
        <f t="shared" si="3"/>
        <v>-456</v>
      </c>
    </row>
    <row r="43" spans="1:63">
      <c r="A43" s="5">
        <v>39168</v>
      </c>
      <c r="B43" s="8">
        <v>342741</v>
      </c>
      <c r="C43" s="8">
        <f t="shared" si="4"/>
        <v>27264</v>
      </c>
      <c r="D43" s="8">
        <v>78406</v>
      </c>
      <c r="E43" s="8">
        <f t="shared" si="5"/>
        <v>12063</v>
      </c>
      <c r="F43" s="8">
        <v>6972</v>
      </c>
      <c r="G43" s="8">
        <f t="shared" si="6"/>
        <v>287</v>
      </c>
      <c r="H43" s="8">
        <v>71434</v>
      </c>
      <c r="I43" s="8">
        <f t="shared" si="7"/>
        <v>11776</v>
      </c>
      <c r="J43" s="8">
        <v>150960</v>
      </c>
      <c r="K43" s="8">
        <f t="shared" si="8"/>
        <v>6371</v>
      </c>
      <c r="L43" s="8">
        <v>244550</v>
      </c>
      <c r="M43" s="8">
        <f t="shared" si="9"/>
        <v>20256</v>
      </c>
      <c r="N43" s="8">
        <v>-93590</v>
      </c>
      <c r="O43" s="8">
        <f t="shared" si="10"/>
        <v>-13885</v>
      </c>
      <c r="P43" s="8">
        <v>68660</v>
      </c>
      <c r="Q43" s="8">
        <f t="shared" si="11"/>
        <v>5028</v>
      </c>
      <c r="R43" s="8">
        <v>236983</v>
      </c>
      <c r="S43" s="8">
        <f t="shared" si="12"/>
        <v>20155</v>
      </c>
      <c r="T43" s="8">
        <v>-168323</v>
      </c>
      <c r="U43" s="8">
        <f t="shared" si="13"/>
        <v>-15127</v>
      </c>
      <c r="W43" s="8">
        <v>231854</v>
      </c>
      <c r="X43" s="8">
        <f t="shared" si="14"/>
        <v>-5821</v>
      </c>
      <c r="Y43" s="8">
        <v>36836</v>
      </c>
      <c r="Z43" s="8">
        <f t="shared" si="15"/>
        <v>-4578</v>
      </c>
      <c r="AA43" s="8">
        <v>14010</v>
      </c>
      <c r="AB43" s="8">
        <f t="shared" si="16"/>
        <v>2212</v>
      </c>
      <c r="AC43" s="8">
        <v>22826</v>
      </c>
      <c r="AD43" s="8">
        <f t="shared" si="16"/>
        <v>-6790</v>
      </c>
      <c r="AE43" s="8">
        <v>95801</v>
      </c>
      <c r="AF43" s="8">
        <f t="shared" si="17"/>
        <v>678</v>
      </c>
      <c r="AG43" s="8">
        <v>146491</v>
      </c>
      <c r="AH43" s="8">
        <f t="shared" si="18"/>
        <v>-5557</v>
      </c>
      <c r="AI43" s="8">
        <v>-50690</v>
      </c>
      <c r="AJ43" s="8">
        <f t="shared" si="19"/>
        <v>6235</v>
      </c>
      <c r="AK43" s="8">
        <v>87223</v>
      </c>
      <c r="AL43" s="8">
        <f t="shared" si="20"/>
        <v>710</v>
      </c>
      <c r="AM43" s="8">
        <v>141121</v>
      </c>
      <c r="AN43" s="8">
        <f t="shared" si="21"/>
        <v>-6539</v>
      </c>
      <c r="AO43" s="8">
        <v>-53898</v>
      </c>
      <c r="AP43" s="8">
        <f t="shared" si="22"/>
        <v>7249</v>
      </c>
      <c r="AR43" s="8">
        <v>2047064</v>
      </c>
      <c r="AS43" s="8">
        <f t="shared" si="23"/>
        <v>-22656</v>
      </c>
      <c r="AT43" s="8">
        <v>240116</v>
      </c>
      <c r="AU43" s="8">
        <f t="shared" si="24"/>
        <v>-9774</v>
      </c>
      <c r="AV43" s="8">
        <v>22564</v>
      </c>
      <c r="AW43" s="8">
        <f t="shared" si="25"/>
        <v>4392</v>
      </c>
      <c r="AX43" s="8">
        <f t="shared" si="0"/>
        <v>217552</v>
      </c>
      <c r="AY43" s="8">
        <f t="shared" si="26"/>
        <v>-14166</v>
      </c>
      <c r="AZ43" s="8">
        <v>849823</v>
      </c>
      <c r="BA43" s="8">
        <f t="shared" si="27"/>
        <v>872</v>
      </c>
      <c r="BB43" s="8">
        <v>1035686</v>
      </c>
      <c r="BC43" s="8">
        <f t="shared" si="28"/>
        <v>-20990</v>
      </c>
      <c r="BD43" s="8">
        <f t="shared" si="1"/>
        <v>-185863</v>
      </c>
      <c r="BE43" s="8">
        <f t="shared" si="29"/>
        <v>21862</v>
      </c>
      <c r="BF43" s="8">
        <v>471046</v>
      </c>
      <c r="BG43" s="8">
        <f t="shared" si="30"/>
        <v>-8527</v>
      </c>
      <c r="BH43" s="8">
        <v>1007270</v>
      </c>
      <c r="BI43" s="8">
        <f t="shared" si="31"/>
        <v>-22435</v>
      </c>
      <c r="BJ43" s="8">
        <f t="shared" si="2"/>
        <v>-536224</v>
      </c>
      <c r="BK43" s="8">
        <f t="shared" si="3"/>
        <v>13908</v>
      </c>
    </row>
    <row r="44" spans="1:63">
      <c r="A44" s="5">
        <v>39175</v>
      </c>
      <c r="B44" s="8">
        <v>352807</v>
      </c>
      <c r="C44" s="8">
        <f t="shared" si="4"/>
        <v>10066</v>
      </c>
      <c r="D44" s="8">
        <v>80819</v>
      </c>
      <c r="E44" s="8">
        <f t="shared" si="5"/>
        <v>2413</v>
      </c>
      <c r="F44" s="8">
        <v>5019</v>
      </c>
      <c r="G44" s="8">
        <f t="shared" si="6"/>
        <v>-1953</v>
      </c>
      <c r="H44" s="8">
        <v>75800</v>
      </c>
      <c r="I44" s="8">
        <f t="shared" si="7"/>
        <v>4366</v>
      </c>
      <c r="J44" s="8">
        <v>160755</v>
      </c>
      <c r="K44" s="8">
        <f t="shared" si="8"/>
        <v>9795</v>
      </c>
      <c r="L44" s="8">
        <v>256857</v>
      </c>
      <c r="M44" s="8">
        <f t="shared" si="9"/>
        <v>12307</v>
      </c>
      <c r="N44" s="8">
        <v>-96102</v>
      </c>
      <c r="O44" s="8">
        <f t="shared" si="10"/>
        <v>-2512</v>
      </c>
      <c r="P44" s="8">
        <v>76554</v>
      </c>
      <c r="Q44" s="8">
        <f t="shared" si="11"/>
        <v>7894</v>
      </c>
      <c r="R44" s="8">
        <v>249819</v>
      </c>
      <c r="S44" s="8">
        <f t="shared" si="12"/>
        <v>12836</v>
      </c>
      <c r="T44" s="8">
        <v>-173265</v>
      </c>
      <c r="U44" s="8">
        <f t="shared" si="13"/>
        <v>-4942</v>
      </c>
      <c r="W44" s="8">
        <v>237773</v>
      </c>
      <c r="X44" s="8">
        <f t="shared" si="14"/>
        <v>5919</v>
      </c>
      <c r="Y44" s="8">
        <v>33328</v>
      </c>
      <c r="Z44" s="8">
        <f t="shared" si="15"/>
        <v>-3508</v>
      </c>
      <c r="AA44" s="8">
        <v>14347</v>
      </c>
      <c r="AB44" s="8">
        <f t="shared" si="16"/>
        <v>337</v>
      </c>
      <c r="AC44" s="8">
        <v>18981</v>
      </c>
      <c r="AD44" s="8">
        <f t="shared" si="16"/>
        <v>-3845</v>
      </c>
      <c r="AE44" s="8">
        <v>100862</v>
      </c>
      <c r="AF44" s="8">
        <f t="shared" si="17"/>
        <v>5061</v>
      </c>
      <c r="AG44" s="8">
        <v>147987</v>
      </c>
      <c r="AH44" s="8">
        <f t="shared" si="18"/>
        <v>1496</v>
      </c>
      <c r="AI44" s="8">
        <v>-47125</v>
      </c>
      <c r="AJ44" s="8">
        <f t="shared" si="19"/>
        <v>3565</v>
      </c>
      <c r="AK44" s="8">
        <v>92942</v>
      </c>
      <c r="AL44" s="8">
        <f t="shared" si="20"/>
        <v>5719</v>
      </c>
      <c r="AM44" s="8">
        <v>142228</v>
      </c>
      <c r="AN44" s="8">
        <f t="shared" si="21"/>
        <v>1107</v>
      </c>
      <c r="AO44" s="8">
        <v>-49286</v>
      </c>
      <c r="AP44" s="8">
        <f t="shared" si="22"/>
        <v>4612</v>
      </c>
      <c r="AR44" s="8">
        <v>2073836</v>
      </c>
      <c r="AS44" s="8">
        <f t="shared" si="23"/>
        <v>26772</v>
      </c>
      <c r="AT44" s="8">
        <v>176513</v>
      </c>
      <c r="AU44" s="8">
        <f t="shared" si="24"/>
        <v>-63603</v>
      </c>
      <c r="AV44" s="8">
        <v>25588</v>
      </c>
      <c r="AW44" s="8">
        <f t="shared" si="25"/>
        <v>3024</v>
      </c>
      <c r="AX44" s="8">
        <f t="shared" si="0"/>
        <v>150925</v>
      </c>
      <c r="AY44" s="8">
        <f t="shared" si="26"/>
        <v>-66627</v>
      </c>
      <c r="AZ44" s="8">
        <v>877696</v>
      </c>
      <c r="BA44" s="8">
        <f t="shared" si="27"/>
        <v>27873</v>
      </c>
      <c r="BB44" s="8">
        <v>992690</v>
      </c>
      <c r="BC44" s="8">
        <f t="shared" si="28"/>
        <v>-42996</v>
      </c>
      <c r="BD44" s="8">
        <f t="shared" si="1"/>
        <v>-114994</v>
      </c>
      <c r="BE44" s="8">
        <f t="shared" si="29"/>
        <v>70869</v>
      </c>
      <c r="BF44" s="8">
        <v>520546</v>
      </c>
      <c r="BG44" s="8">
        <f t="shared" si="30"/>
        <v>49500</v>
      </c>
      <c r="BH44" s="8">
        <v>962764</v>
      </c>
      <c r="BI44" s="8">
        <f t="shared" si="31"/>
        <v>-44506</v>
      </c>
      <c r="BJ44" s="8">
        <f t="shared" si="2"/>
        <v>-442218</v>
      </c>
      <c r="BK44" s="8">
        <f t="shared" si="3"/>
        <v>94006</v>
      </c>
    </row>
    <row r="45" spans="1:63">
      <c r="A45" s="5">
        <v>39182</v>
      </c>
      <c r="B45" s="8">
        <v>360431</v>
      </c>
      <c r="C45" s="8">
        <f t="shared" si="4"/>
        <v>7624</v>
      </c>
      <c r="D45" s="8">
        <v>86246</v>
      </c>
      <c r="E45" s="8">
        <f t="shared" si="5"/>
        <v>5427</v>
      </c>
      <c r="F45" s="8">
        <v>5461</v>
      </c>
      <c r="G45" s="8">
        <f t="shared" si="6"/>
        <v>442</v>
      </c>
      <c r="H45" s="8">
        <v>80785</v>
      </c>
      <c r="I45" s="8">
        <f t="shared" si="7"/>
        <v>4985</v>
      </c>
      <c r="J45" s="8">
        <v>161679</v>
      </c>
      <c r="K45" s="8">
        <f t="shared" si="8"/>
        <v>924</v>
      </c>
      <c r="L45" s="8">
        <v>261489</v>
      </c>
      <c r="M45" s="8">
        <f t="shared" si="9"/>
        <v>4632</v>
      </c>
      <c r="N45" s="8">
        <v>-99810</v>
      </c>
      <c r="O45" s="8">
        <f t="shared" si="10"/>
        <v>-3708</v>
      </c>
      <c r="P45" s="8">
        <v>76476</v>
      </c>
      <c r="Q45" s="8">
        <f t="shared" si="11"/>
        <v>-78</v>
      </c>
      <c r="R45" s="8">
        <v>254622</v>
      </c>
      <c r="S45" s="8">
        <f t="shared" si="12"/>
        <v>4803</v>
      </c>
      <c r="T45" s="8">
        <v>-178146</v>
      </c>
      <c r="U45" s="8">
        <f t="shared" si="13"/>
        <v>-4881</v>
      </c>
      <c r="W45" s="8">
        <v>246790</v>
      </c>
      <c r="X45" s="8">
        <f t="shared" si="14"/>
        <v>9017</v>
      </c>
      <c r="Y45" s="8">
        <v>30255</v>
      </c>
      <c r="Z45" s="8">
        <f t="shared" si="15"/>
        <v>-3073</v>
      </c>
      <c r="AA45" s="8">
        <v>15400</v>
      </c>
      <c r="AB45" s="8">
        <f t="shared" si="16"/>
        <v>1053</v>
      </c>
      <c r="AC45" s="8">
        <v>14855</v>
      </c>
      <c r="AD45" s="8">
        <f t="shared" si="16"/>
        <v>-4126</v>
      </c>
      <c r="AE45" s="8">
        <v>112611</v>
      </c>
      <c r="AF45" s="8">
        <f t="shared" si="17"/>
        <v>11749</v>
      </c>
      <c r="AG45" s="8">
        <v>151674</v>
      </c>
      <c r="AH45" s="8">
        <f t="shared" si="18"/>
        <v>3687</v>
      </c>
      <c r="AI45" s="8">
        <v>-39063</v>
      </c>
      <c r="AJ45" s="8">
        <f t="shared" si="19"/>
        <v>8062</v>
      </c>
      <c r="AK45" s="8">
        <v>105290</v>
      </c>
      <c r="AL45" s="8">
        <f t="shared" si="20"/>
        <v>12348</v>
      </c>
      <c r="AM45" s="8">
        <v>146699</v>
      </c>
      <c r="AN45" s="8">
        <f t="shared" si="21"/>
        <v>4471</v>
      </c>
      <c r="AO45" s="8">
        <v>-41409</v>
      </c>
      <c r="AP45" s="8">
        <f t="shared" si="22"/>
        <v>7877</v>
      </c>
      <c r="AR45" s="8">
        <v>2064809</v>
      </c>
      <c r="AS45" s="8">
        <f t="shared" si="23"/>
        <v>-9027</v>
      </c>
      <c r="AT45" s="8">
        <v>183146</v>
      </c>
      <c r="AU45" s="8">
        <f t="shared" si="24"/>
        <v>6633</v>
      </c>
      <c r="AV45" s="8">
        <v>26099</v>
      </c>
      <c r="AW45" s="8">
        <f t="shared" si="25"/>
        <v>511</v>
      </c>
      <c r="AX45" s="8">
        <f t="shared" si="0"/>
        <v>157047</v>
      </c>
      <c r="AY45" s="8">
        <f t="shared" si="26"/>
        <v>6122</v>
      </c>
      <c r="AZ45" s="8">
        <v>851367</v>
      </c>
      <c r="BA45" s="8">
        <f t="shared" si="27"/>
        <v>-26329</v>
      </c>
      <c r="BB45" s="8">
        <v>983304</v>
      </c>
      <c r="BC45" s="8">
        <f t="shared" si="28"/>
        <v>-9386</v>
      </c>
      <c r="BD45" s="8">
        <f t="shared" si="1"/>
        <v>-131937</v>
      </c>
      <c r="BE45" s="8">
        <f t="shared" si="29"/>
        <v>-16943</v>
      </c>
      <c r="BF45" s="8">
        <v>500926</v>
      </c>
      <c r="BG45" s="8">
        <f t="shared" si="30"/>
        <v>-19620</v>
      </c>
      <c r="BH45" s="8">
        <v>957164</v>
      </c>
      <c r="BI45" s="8">
        <f t="shared" si="31"/>
        <v>-5600</v>
      </c>
      <c r="BJ45" s="8">
        <f t="shared" si="2"/>
        <v>-456238</v>
      </c>
      <c r="BK45" s="8">
        <f t="shared" si="3"/>
        <v>-14020</v>
      </c>
    </row>
    <row r="46" spans="1:63">
      <c r="A46" s="5">
        <v>39189</v>
      </c>
      <c r="B46" s="8">
        <v>351314</v>
      </c>
      <c r="C46" s="8">
        <f t="shared" si="4"/>
        <v>-9117</v>
      </c>
      <c r="D46" s="8">
        <v>81053</v>
      </c>
      <c r="E46" s="8">
        <f t="shared" si="5"/>
        <v>-5193</v>
      </c>
      <c r="F46" s="8">
        <v>6797</v>
      </c>
      <c r="G46" s="8">
        <f t="shared" si="6"/>
        <v>1336</v>
      </c>
      <c r="H46" s="8">
        <v>74256</v>
      </c>
      <c r="I46" s="8">
        <f t="shared" si="7"/>
        <v>-6529</v>
      </c>
      <c r="J46" s="8">
        <v>164647</v>
      </c>
      <c r="K46" s="8">
        <f t="shared" si="8"/>
        <v>2968</v>
      </c>
      <c r="L46" s="8">
        <v>254586</v>
      </c>
      <c r="M46" s="8">
        <f t="shared" si="9"/>
        <v>-6903</v>
      </c>
      <c r="N46" s="8">
        <v>-89939</v>
      </c>
      <c r="O46" s="8">
        <f t="shared" si="10"/>
        <v>9871</v>
      </c>
      <c r="P46" s="8">
        <v>78405</v>
      </c>
      <c r="Q46" s="8">
        <f t="shared" si="11"/>
        <v>1929</v>
      </c>
      <c r="R46" s="8">
        <v>245382</v>
      </c>
      <c r="S46" s="8">
        <f t="shared" si="12"/>
        <v>-9240</v>
      </c>
      <c r="T46" s="8">
        <v>-166977</v>
      </c>
      <c r="U46" s="8">
        <f t="shared" si="13"/>
        <v>11169</v>
      </c>
      <c r="W46" s="8">
        <v>247257</v>
      </c>
      <c r="X46" s="8">
        <f t="shared" si="14"/>
        <v>467</v>
      </c>
      <c r="Y46" s="8">
        <v>27096</v>
      </c>
      <c r="Z46" s="8">
        <f t="shared" si="15"/>
        <v>-3159</v>
      </c>
      <c r="AA46" s="8">
        <v>16459</v>
      </c>
      <c r="AB46" s="8">
        <f t="shared" si="16"/>
        <v>1059</v>
      </c>
      <c r="AC46" s="8">
        <v>10637</v>
      </c>
      <c r="AD46" s="8">
        <f t="shared" si="16"/>
        <v>-4218</v>
      </c>
      <c r="AE46" s="8">
        <v>119243</v>
      </c>
      <c r="AF46" s="8">
        <f t="shared" si="17"/>
        <v>6632</v>
      </c>
      <c r="AG46" s="8">
        <v>151931</v>
      </c>
      <c r="AH46" s="8">
        <f t="shared" si="18"/>
        <v>257</v>
      </c>
      <c r="AI46" s="8">
        <v>-32688</v>
      </c>
      <c r="AJ46" s="8">
        <f t="shared" si="19"/>
        <v>6375</v>
      </c>
      <c r="AK46" s="8">
        <v>113232</v>
      </c>
      <c r="AL46" s="8">
        <f t="shared" si="20"/>
        <v>7942</v>
      </c>
      <c r="AM46" s="8">
        <v>147541</v>
      </c>
      <c r="AN46" s="8">
        <f t="shared" si="21"/>
        <v>842</v>
      </c>
      <c r="AO46" s="8">
        <v>-34309</v>
      </c>
      <c r="AP46" s="8">
        <f t="shared" si="22"/>
        <v>7100</v>
      </c>
      <c r="AR46" s="8">
        <v>2026793</v>
      </c>
      <c r="AS46" s="8">
        <f t="shared" si="23"/>
        <v>-38016</v>
      </c>
      <c r="AT46" s="8">
        <v>186081</v>
      </c>
      <c r="AU46" s="8">
        <f t="shared" si="24"/>
        <v>2935</v>
      </c>
      <c r="AV46" s="8">
        <v>32170</v>
      </c>
      <c r="AW46" s="8">
        <f t="shared" si="25"/>
        <v>6071</v>
      </c>
      <c r="AX46" s="8">
        <f t="shared" si="0"/>
        <v>153911</v>
      </c>
      <c r="AY46" s="8">
        <f t="shared" si="26"/>
        <v>-3136</v>
      </c>
      <c r="AZ46" s="8">
        <v>864792</v>
      </c>
      <c r="BA46" s="8">
        <f t="shared" si="27"/>
        <v>13425</v>
      </c>
      <c r="BB46" s="8">
        <v>963883</v>
      </c>
      <c r="BC46" s="8">
        <f t="shared" si="28"/>
        <v>-19421</v>
      </c>
      <c r="BD46" s="8">
        <f t="shared" si="1"/>
        <v>-99091</v>
      </c>
      <c r="BE46" s="8">
        <f t="shared" si="29"/>
        <v>32846</v>
      </c>
      <c r="BF46" s="8">
        <v>483498</v>
      </c>
      <c r="BG46" s="8">
        <f t="shared" si="30"/>
        <v>-17428</v>
      </c>
      <c r="BH46" s="8">
        <v>925614</v>
      </c>
      <c r="BI46" s="8">
        <f t="shared" si="31"/>
        <v>-31550</v>
      </c>
      <c r="BJ46" s="8">
        <f t="shared" si="2"/>
        <v>-442116</v>
      </c>
      <c r="BK46" s="8">
        <f t="shared" si="3"/>
        <v>14122</v>
      </c>
    </row>
    <row r="47" spans="1:63">
      <c r="A47" s="5">
        <v>39196</v>
      </c>
      <c r="B47" s="8">
        <v>329345</v>
      </c>
      <c r="C47" s="8">
        <f t="shared" si="4"/>
        <v>-21969</v>
      </c>
      <c r="D47" s="8">
        <v>71990</v>
      </c>
      <c r="E47" s="8">
        <f t="shared" si="5"/>
        <v>-9063</v>
      </c>
      <c r="F47" s="8">
        <v>8649</v>
      </c>
      <c r="G47" s="8">
        <f t="shared" si="6"/>
        <v>1852</v>
      </c>
      <c r="H47" s="8">
        <v>63341</v>
      </c>
      <c r="I47" s="8">
        <f t="shared" si="7"/>
        <v>-10915</v>
      </c>
      <c r="J47" s="8">
        <v>162051</v>
      </c>
      <c r="K47" s="8">
        <f t="shared" si="8"/>
        <v>-2596</v>
      </c>
      <c r="L47" s="8">
        <v>239683</v>
      </c>
      <c r="M47" s="8">
        <f t="shared" si="9"/>
        <v>-14903</v>
      </c>
      <c r="N47" s="8">
        <v>-77632</v>
      </c>
      <c r="O47" s="8">
        <f t="shared" si="10"/>
        <v>12307</v>
      </c>
      <c r="P47" s="8">
        <v>78851</v>
      </c>
      <c r="Q47" s="8">
        <f t="shared" si="11"/>
        <v>446</v>
      </c>
      <c r="R47" s="8">
        <v>230946</v>
      </c>
      <c r="S47" s="8">
        <f t="shared" si="12"/>
        <v>-14436</v>
      </c>
      <c r="T47" s="8">
        <v>-152095</v>
      </c>
      <c r="U47" s="8">
        <f t="shared" si="13"/>
        <v>14882</v>
      </c>
      <c r="W47" s="8">
        <v>234577</v>
      </c>
      <c r="X47" s="8">
        <f t="shared" si="14"/>
        <v>-12680</v>
      </c>
      <c r="Y47" s="8">
        <v>23485</v>
      </c>
      <c r="Z47" s="8">
        <f t="shared" si="15"/>
        <v>-3611</v>
      </c>
      <c r="AA47" s="8">
        <v>14111</v>
      </c>
      <c r="AB47" s="8">
        <f t="shared" si="16"/>
        <v>-2348</v>
      </c>
      <c r="AC47" s="8">
        <v>9374</v>
      </c>
      <c r="AD47" s="8">
        <f t="shared" si="16"/>
        <v>-1263</v>
      </c>
      <c r="AE47" s="8">
        <v>117366</v>
      </c>
      <c r="AF47" s="8">
        <f t="shared" si="17"/>
        <v>-1877</v>
      </c>
      <c r="AG47" s="8">
        <v>146199</v>
      </c>
      <c r="AH47" s="8">
        <f t="shared" si="18"/>
        <v>-5732</v>
      </c>
      <c r="AI47" s="8">
        <v>-28833</v>
      </c>
      <c r="AJ47" s="8">
        <f t="shared" si="19"/>
        <v>3855</v>
      </c>
      <c r="AK47" s="8">
        <v>111765</v>
      </c>
      <c r="AL47" s="8">
        <f t="shared" si="20"/>
        <v>-1467</v>
      </c>
      <c r="AM47" s="8">
        <v>141978</v>
      </c>
      <c r="AN47" s="8">
        <f t="shared" si="21"/>
        <v>-5563</v>
      </c>
      <c r="AO47" s="8">
        <v>-30213</v>
      </c>
      <c r="AP47" s="8">
        <f t="shared" si="22"/>
        <v>4096</v>
      </c>
      <c r="AR47" s="8">
        <v>1843103</v>
      </c>
      <c r="AS47" s="8">
        <f t="shared" si="23"/>
        <v>-183690</v>
      </c>
      <c r="AT47" s="8">
        <v>194164</v>
      </c>
      <c r="AU47" s="8">
        <f t="shared" si="24"/>
        <v>8083</v>
      </c>
      <c r="AV47" s="8">
        <v>31655</v>
      </c>
      <c r="AW47" s="8">
        <f t="shared" si="25"/>
        <v>-515</v>
      </c>
      <c r="AX47" s="8">
        <f t="shared" si="0"/>
        <v>162509</v>
      </c>
      <c r="AY47" s="8">
        <f t="shared" si="26"/>
        <v>8598</v>
      </c>
      <c r="AZ47" s="8">
        <v>826379</v>
      </c>
      <c r="BA47" s="8">
        <f t="shared" si="27"/>
        <v>-38413</v>
      </c>
      <c r="BB47" s="8">
        <v>927572</v>
      </c>
      <c r="BC47" s="8">
        <f t="shared" si="28"/>
        <v>-36311</v>
      </c>
      <c r="BD47" s="8">
        <f t="shared" si="1"/>
        <v>-101193</v>
      </c>
      <c r="BE47" s="8">
        <f t="shared" si="29"/>
        <v>-2102</v>
      </c>
      <c r="BF47" s="8">
        <v>448229</v>
      </c>
      <c r="BG47" s="8">
        <f t="shared" si="30"/>
        <v>-35269</v>
      </c>
      <c r="BH47" s="8">
        <v>890469</v>
      </c>
      <c r="BI47" s="8">
        <f t="shared" si="31"/>
        <v>-35145</v>
      </c>
      <c r="BJ47" s="8">
        <f t="shared" si="2"/>
        <v>-442240</v>
      </c>
      <c r="BK47" s="8">
        <f t="shared" si="3"/>
        <v>-124</v>
      </c>
    </row>
    <row r="48" spans="1:63">
      <c r="A48" s="5">
        <v>39203</v>
      </c>
      <c r="B48" s="8">
        <v>333678</v>
      </c>
      <c r="C48" s="8">
        <f t="shared" si="4"/>
        <v>4333</v>
      </c>
      <c r="D48" s="8">
        <v>81431</v>
      </c>
      <c r="E48" s="8">
        <f t="shared" si="5"/>
        <v>9441</v>
      </c>
      <c r="F48" s="8">
        <v>5616</v>
      </c>
      <c r="G48" s="8">
        <f t="shared" si="6"/>
        <v>-3033</v>
      </c>
      <c r="H48" s="8">
        <v>75815</v>
      </c>
      <c r="I48" s="8">
        <f t="shared" si="7"/>
        <v>12474</v>
      </c>
      <c r="J48" s="8">
        <v>156707</v>
      </c>
      <c r="K48" s="8">
        <f t="shared" si="8"/>
        <v>-5344</v>
      </c>
      <c r="L48" s="8">
        <v>246217</v>
      </c>
      <c r="M48" s="8">
        <f t="shared" si="9"/>
        <v>6534</v>
      </c>
      <c r="N48" s="8">
        <v>-89510</v>
      </c>
      <c r="O48" s="8">
        <f t="shared" si="10"/>
        <v>-11878</v>
      </c>
      <c r="P48" s="8">
        <v>71435</v>
      </c>
      <c r="Q48" s="8">
        <f t="shared" si="11"/>
        <v>-7416</v>
      </c>
      <c r="R48" s="8">
        <v>237828</v>
      </c>
      <c r="S48" s="8">
        <f t="shared" si="12"/>
        <v>6882</v>
      </c>
      <c r="T48" s="8">
        <v>-166393</v>
      </c>
      <c r="U48" s="8">
        <f t="shared" si="13"/>
        <v>-14298</v>
      </c>
      <c r="W48" s="8">
        <v>234024</v>
      </c>
      <c r="X48" s="8">
        <f t="shared" si="14"/>
        <v>-553</v>
      </c>
      <c r="Y48" s="8">
        <v>29937</v>
      </c>
      <c r="Z48" s="8">
        <f t="shared" si="15"/>
        <v>6452</v>
      </c>
      <c r="AA48" s="8">
        <v>16083</v>
      </c>
      <c r="AB48" s="8">
        <f t="shared" si="16"/>
        <v>1972</v>
      </c>
      <c r="AC48" s="8">
        <v>13854</v>
      </c>
      <c r="AD48" s="8">
        <f t="shared" si="16"/>
        <v>4480</v>
      </c>
      <c r="AE48" s="8">
        <v>111624</v>
      </c>
      <c r="AF48" s="8">
        <f t="shared" si="17"/>
        <v>-5742</v>
      </c>
      <c r="AG48" s="8">
        <v>140295</v>
      </c>
      <c r="AH48" s="8">
        <f t="shared" si="18"/>
        <v>-5904</v>
      </c>
      <c r="AI48" s="8">
        <v>-28671</v>
      </c>
      <c r="AJ48" s="8">
        <f t="shared" si="19"/>
        <v>162</v>
      </c>
      <c r="AK48" s="8">
        <v>106024</v>
      </c>
      <c r="AL48" s="8">
        <f t="shared" si="20"/>
        <v>-5741</v>
      </c>
      <c r="AM48" s="8">
        <v>135111</v>
      </c>
      <c r="AN48" s="8">
        <f t="shared" si="21"/>
        <v>-6867</v>
      </c>
      <c r="AO48" s="8">
        <v>-29087</v>
      </c>
      <c r="AP48" s="8">
        <f t="shared" si="22"/>
        <v>1126</v>
      </c>
      <c r="AR48" s="8">
        <v>1845252</v>
      </c>
      <c r="AS48" s="8">
        <f t="shared" si="23"/>
        <v>2149</v>
      </c>
      <c r="AT48" s="8">
        <v>212456</v>
      </c>
      <c r="AU48" s="8">
        <f t="shared" si="24"/>
        <v>18292</v>
      </c>
      <c r="AV48" s="8">
        <v>36681</v>
      </c>
      <c r="AW48" s="8">
        <f t="shared" si="25"/>
        <v>5026</v>
      </c>
      <c r="AX48" s="8">
        <f t="shared" si="0"/>
        <v>175775</v>
      </c>
      <c r="AY48" s="8">
        <f t="shared" si="26"/>
        <v>13266</v>
      </c>
      <c r="AZ48" s="8">
        <v>816479</v>
      </c>
      <c r="BA48" s="8">
        <f t="shared" si="27"/>
        <v>-9900</v>
      </c>
      <c r="BB48" s="8">
        <v>934398</v>
      </c>
      <c r="BC48" s="8">
        <f t="shared" si="28"/>
        <v>6826</v>
      </c>
      <c r="BD48" s="8">
        <f t="shared" si="1"/>
        <v>-117919</v>
      </c>
      <c r="BE48" s="8">
        <f t="shared" si="29"/>
        <v>-16726</v>
      </c>
      <c r="BF48" s="8">
        <v>437085</v>
      </c>
      <c r="BG48" s="8">
        <f t="shared" si="30"/>
        <v>-11144</v>
      </c>
      <c r="BH48" s="8">
        <v>897066</v>
      </c>
      <c r="BI48" s="8">
        <f t="shared" si="31"/>
        <v>6597</v>
      </c>
      <c r="BJ48" s="8">
        <f t="shared" si="2"/>
        <v>-459981</v>
      </c>
      <c r="BK48" s="8">
        <f t="shared" si="3"/>
        <v>-17741</v>
      </c>
    </row>
    <row r="49" spans="1:63">
      <c r="A49" s="5">
        <v>39210</v>
      </c>
      <c r="B49" s="8">
        <v>325126</v>
      </c>
      <c r="C49" s="8">
        <f t="shared" si="4"/>
        <v>-8552</v>
      </c>
      <c r="D49" s="8">
        <v>78360</v>
      </c>
      <c r="E49" s="8">
        <f t="shared" si="5"/>
        <v>-3071</v>
      </c>
      <c r="F49" s="8">
        <v>5587</v>
      </c>
      <c r="G49" s="8">
        <f t="shared" si="6"/>
        <v>-29</v>
      </c>
      <c r="H49" s="8">
        <v>72773</v>
      </c>
      <c r="I49" s="8">
        <f t="shared" si="7"/>
        <v>-3042</v>
      </c>
      <c r="J49" s="8">
        <v>152750</v>
      </c>
      <c r="K49" s="8">
        <f t="shared" si="8"/>
        <v>-3957</v>
      </c>
      <c r="L49" s="8">
        <v>238171</v>
      </c>
      <c r="M49" s="8">
        <f t="shared" si="9"/>
        <v>-8046</v>
      </c>
      <c r="N49" s="8">
        <v>-85421</v>
      </c>
      <c r="O49" s="8">
        <f t="shared" si="10"/>
        <v>4089</v>
      </c>
      <c r="P49" s="8">
        <v>68017</v>
      </c>
      <c r="Q49" s="8">
        <f t="shared" si="11"/>
        <v>-3418</v>
      </c>
      <c r="R49" s="8">
        <v>230867</v>
      </c>
      <c r="S49" s="8">
        <f t="shared" si="12"/>
        <v>-6961</v>
      </c>
      <c r="T49" s="8">
        <v>-162850</v>
      </c>
      <c r="U49" s="8">
        <f t="shared" si="13"/>
        <v>3543</v>
      </c>
      <c r="W49" s="8">
        <v>238972</v>
      </c>
      <c r="X49" s="8">
        <f t="shared" si="14"/>
        <v>4948</v>
      </c>
      <c r="Y49" s="8">
        <v>28426</v>
      </c>
      <c r="Z49" s="8">
        <f t="shared" si="15"/>
        <v>-1511</v>
      </c>
      <c r="AA49" s="8">
        <v>18780</v>
      </c>
      <c r="AB49" s="8">
        <f t="shared" si="16"/>
        <v>2697</v>
      </c>
      <c r="AC49" s="8">
        <v>9646</v>
      </c>
      <c r="AD49" s="8">
        <f t="shared" si="16"/>
        <v>-4208</v>
      </c>
      <c r="AE49" s="8">
        <v>117580</v>
      </c>
      <c r="AF49" s="8">
        <f t="shared" si="17"/>
        <v>5956</v>
      </c>
      <c r="AG49" s="8">
        <v>143273</v>
      </c>
      <c r="AH49" s="8">
        <f t="shared" si="18"/>
        <v>2978</v>
      </c>
      <c r="AI49" s="8">
        <v>-25693</v>
      </c>
      <c r="AJ49" s="8">
        <f t="shared" si="19"/>
        <v>2978</v>
      </c>
      <c r="AK49" s="8">
        <v>111320</v>
      </c>
      <c r="AL49" s="8">
        <f t="shared" si="20"/>
        <v>5296</v>
      </c>
      <c r="AM49" s="8">
        <v>137295</v>
      </c>
      <c r="AN49" s="8">
        <f t="shared" si="21"/>
        <v>2184</v>
      </c>
      <c r="AO49" s="8">
        <v>-25975</v>
      </c>
      <c r="AP49" s="8">
        <f t="shared" si="22"/>
        <v>3112</v>
      </c>
      <c r="AR49" s="8">
        <v>1838949</v>
      </c>
      <c r="AS49" s="8">
        <f t="shared" si="23"/>
        <v>-6303</v>
      </c>
      <c r="AT49" s="8">
        <v>201478</v>
      </c>
      <c r="AU49" s="8">
        <f t="shared" si="24"/>
        <v>-10978</v>
      </c>
      <c r="AV49" s="8">
        <v>36476</v>
      </c>
      <c r="AW49" s="8">
        <f t="shared" si="25"/>
        <v>-205</v>
      </c>
      <c r="AX49" s="8">
        <f t="shared" si="0"/>
        <v>165002</v>
      </c>
      <c r="AY49" s="8">
        <f t="shared" si="26"/>
        <v>-10773</v>
      </c>
      <c r="AZ49" s="8">
        <v>821994</v>
      </c>
      <c r="BA49" s="8">
        <f t="shared" si="27"/>
        <v>5515</v>
      </c>
      <c r="BB49" s="8">
        <v>927681</v>
      </c>
      <c r="BC49" s="8">
        <f t="shared" si="28"/>
        <v>-6717</v>
      </c>
      <c r="BD49" s="8">
        <f t="shared" si="1"/>
        <v>-105687</v>
      </c>
      <c r="BE49" s="8">
        <f t="shared" si="29"/>
        <v>12232</v>
      </c>
      <c r="BF49" s="8">
        <v>442512</v>
      </c>
      <c r="BG49" s="8">
        <f t="shared" si="30"/>
        <v>5427</v>
      </c>
      <c r="BH49" s="8">
        <v>891510</v>
      </c>
      <c r="BI49" s="8">
        <f t="shared" si="31"/>
        <v>-5556</v>
      </c>
      <c r="BJ49" s="8">
        <f t="shared" si="2"/>
        <v>-448998</v>
      </c>
      <c r="BK49" s="8">
        <f t="shared" si="3"/>
        <v>10983</v>
      </c>
    </row>
    <row r="50" spans="1:63">
      <c r="A50" s="5">
        <v>39217</v>
      </c>
      <c r="B50" s="8">
        <v>336549</v>
      </c>
      <c r="C50" s="8">
        <f t="shared" si="4"/>
        <v>11423</v>
      </c>
      <c r="D50" s="8">
        <v>80892</v>
      </c>
      <c r="E50" s="8">
        <f t="shared" si="5"/>
        <v>2532</v>
      </c>
      <c r="F50" s="8">
        <v>3810</v>
      </c>
      <c r="G50" s="8">
        <f t="shared" si="6"/>
        <v>-1777</v>
      </c>
      <c r="H50" s="8">
        <v>77082</v>
      </c>
      <c r="I50" s="8">
        <f t="shared" si="7"/>
        <v>4309</v>
      </c>
      <c r="J50" s="8">
        <v>157130</v>
      </c>
      <c r="K50" s="8">
        <f t="shared" si="8"/>
        <v>4380</v>
      </c>
      <c r="L50" s="8">
        <v>250463</v>
      </c>
      <c r="M50" s="8">
        <f t="shared" si="9"/>
        <v>12292</v>
      </c>
      <c r="N50" s="8">
        <v>-93333</v>
      </c>
      <c r="O50" s="8">
        <f t="shared" si="10"/>
        <v>-7912</v>
      </c>
      <c r="P50" s="8">
        <v>70104</v>
      </c>
      <c r="Q50" s="8">
        <f t="shared" si="11"/>
        <v>2087</v>
      </c>
      <c r="R50" s="8">
        <v>243669</v>
      </c>
      <c r="S50" s="8">
        <f t="shared" si="12"/>
        <v>12802</v>
      </c>
      <c r="T50" s="8">
        <v>-173565</v>
      </c>
      <c r="U50" s="8">
        <f t="shared" si="13"/>
        <v>-10715</v>
      </c>
      <c r="W50" s="8">
        <v>239517</v>
      </c>
      <c r="X50" s="8">
        <f t="shared" si="14"/>
        <v>545</v>
      </c>
      <c r="Y50" s="8">
        <v>29303</v>
      </c>
      <c r="Z50" s="8">
        <f t="shared" si="15"/>
        <v>877</v>
      </c>
      <c r="AA50" s="8">
        <v>19090</v>
      </c>
      <c r="AB50" s="8">
        <f t="shared" si="16"/>
        <v>310</v>
      </c>
      <c r="AC50" s="8">
        <v>10213</v>
      </c>
      <c r="AD50" s="8">
        <f t="shared" si="16"/>
        <v>567</v>
      </c>
      <c r="AE50" s="8">
        <v>115541</v>
      </c>
      <c r="AF50" s="8">
        <f t="shared" si="17"/>
        <v>-2039</v>
      </c>
      <c r="AG50" s="8">
        <v>148558</v>
      </c>
      <c r="AH50" s="8">
        <f t="shared" si="18"/>
        <v>5285</v>
      </c>
      <c r="AI50" s="8">
        <v>-33017</v>
      </c>
      <c r="AJ50" s="8">
        <f t="shared" si="19"/>
        <v>-7324</v>
      </c>
      <c r="AK50" s="8">
        <v>108254</v>
      </c>
      <c r="AL50" s="8">
        <f t="shared" si="20"/>
        <v>-3066</v>
      </c>
      <c r="AM50" s="8">
        <v>140782</v>
      </c>
      <c r="AN50" s="8">
        <f t="shared" si="21"/>
        <v>3487</v>
      </c>
      <c r="AO50" s="8">
        <v>-32528</v>
      </c>
      <c r="AP50" s="8">
        <f t="shared" si="22"/>
        <v>-6553</v>
      </c>
      <c r="AR50" s="8">
        <v>1854647</v>
      </c>
      <c r="AS50" s="8">
        <f t="shared" si="23"/>
        <v>15698</v>
      </c>
      <c r="AT50" s="8">
        <v>204125</v>
      </c>
      <c r="AU50" s="8">
        <f t="shared" si="24"/>
        <v>2647</v>
      </c>
      <c r="AV50" s="8">
        <v>44602</v>
      </c>
      <c r="AW50" s="8">
        <f t="shared" si="25"/>
        <v>8126</v>
      </c>
      <c r="AX50" s="8">
        <f t="shared" si="0"/>
        <v>159523</v>
      </c>
      <c r="AY50" s="8">
        <f t="shared" si="26"/>
        <v>-5479</v>
      </c>
      <c r="AZ50" s="8">
        <v>811828</v>
      </c>
      <c r="BA50" s="8">
        <f t="shared" si="27"/>
        <v>-10166</v>
      </c>
      <c r="BB50" s="8">
        <v>916320</v>
      </c>
      <c r="BC50" s="8">
        <f t="shared" si="28"/>
        <v>-11361</v>
      </c>
      <c r="BD50" s="8">
        <f t="shared" si="1"/>
        <v>-104492</v>
      </c>
      <c r="BE50" s="8">
        <f t="shared" si="29"/>
        <v>1195</v>
      </c>
      <c r="BF50" s="8">
        <v>437992</v>
      </c>
      <c r="BG50" s="8">
        <f t="shared" si="30"/>
        <v>-4520</v>
      </c>
      <c r="BH50" s="8">
        <v>879597</v>
      </c>
      <c r="BI50" s="8">
        <f t="shared" si="31"/>
        <v>-11913</v>
      </c>
      <c r="BJ50" s="8">
        <f t="shared" si="2"/>
        <v>-441605</v>
      </c>
      <c r="BK50" s="8">
        <f t="shared" si="3"/>
        <v>7393</v>
      </c>
    </row>
    <row r="51" spans="1:63">
      <c r="A51" s="5">
        <v>39224</v>
      </c>
      <c r="B51" s="8">
        <v>341846</v>
      </c>
      <c r="C51" s="8">
        <f t="shared" si="4"/>
        <v>5297</v>
      </c>
      <c r="D51" s="8">
        <v>80358</v>
      </c>
      <c r="E51" s="8">
        <f t="shared" si="5"/>
        <v>-534</v>
      </c>
      <c r="F51" s="8">
        <v>4528</v>
      </c>
      <c r="G51" s="8">
        <f t="shared" si="6"/>
        <v>718</v>
      </c>
      <c r="H51" s="8">
        <v>75830</v>
      </c>
      <c r="I51" s="8">
        <f t="shared" si="7"/>
        <v>-1252</v>
      </c>
      <c r="J51" s="8">
        <v>161789</v>
      </c>
      <c r="K51" s="8">
        <f t="shared" si="8"/>
        <v>4659</v>
      </c>
      <c r="L51" s="8">
        <v>250186</v>
      </c>
      <c r="M51" s="8">
        <f t="shared" si="9"/>
        <v>-277</v>
      </c>
      <c r="N51" s="8">
        <v>-88397</v>
      </c>
      <c r="O51" s="8">
        <f t="shared" si="10"/>
        <v>4936</v>
      </c>
      <c r="P51" s="8">
        <v>72002</v>
      </c>
      <c r="Q51" s="8">
        <f t="shared" si="11"/>
        <v>1898</v>
      </c>
      <c r="R51" s="8">
        <v>244329</v>
      </c>
      <c r="S51" s="8">
        <f t="shared" si="12"/>
        <v>660</v>
      </c>
      <c r="T51" s="8">
        <v>-172327</v>
      </c>
      <c r="U51" s="8">
        <f t="shared" si="13"/>
        <v>1238</v>
      </c>
      <c r="W51" s="8">
        <v>232978</v>
      </c>
      <c r="X51" s="8">
        <f t="shared" si="14"/>
        <v>-6539</v>
      </c>
      <c r="Y51" s="8">
        <v>33242</v>
      </c>
      <c r="Z51" s="8">
        <f t="shared" si="15"/>
        <v>3939</v>
      </c>
      <c r="AA51" s="8">
        <v>16342</v>
      </c>
      <c r="AB51" s="8">
        <f t="shared" si="16"/>
        <v>-2748</v>
      </c>
      <c r="AC51" s="8">
        <v>16900</v>
      </c>
      <c r="AD51" s="8">
        <f t="shared" si="16"/>
        <v>6687</v>
      </c>
      <c r="AE51" s="8">
        <v>107692</v>
      </c>
      <c r="AF51" s="8">
        <f t="shared" si="17"/>
        <v>-7849</v>
      </c>
      <c r="AG51" s="8">
        <v>149524</v>
      </c>
      <c r="AH51" s="8">
        <f t="shared" si="18"/>
        <v>966</v>
      </c>
      <c r="AI51" s="8">
        <v>-41832</v>
      </c>
      <c r="AJ51" s="8">
        <f t="shared" si="19"/>
        <v>-8815</v>
      </c>
      <c r="AK51" s="8">
        <v>99484</v>
      </c>
      <c r="AL51" s="8">
        <f t="shared" si="20"/>
        <v>-8770</v>
      </c>
      <c r="AM51" s="8">
        <v>141243</v>
      </c>
      <c r="AN51" s="8">
        <f t="shared" si="21"/>
        <v>461</v>
      </c>
      <c r="AO51" s="8">
        <v>-41759</v>
      </c>
      <c r="AP51" s="8">
        <f t="shared" si="22"/>
        <v>-9231</v>
      </c>
      <c r="AR51" s="8">
        <v>1824437</v>
      </c>
      <c r="AS51" s="8">
        <f t="shared" si="23"/>
        <v>-30210</v>
      </c>
      <c r="AT51" s="8">
        <v>193665</v>
      </c>
      <c r="AU51" s="8">
        <f t="shared" si="24"/>
        <v>-10460</v>
      </c>
      <c r="AV51" s="8">
        <v>47510</v>
      </c>
      <c r="AW51" s="8">
        <f t="shared" si="25"/>
        <v>2908</v>
      </c>
      <c r="AX51" s="8">
        <f t="shared" si="0"/>
        <v>146155</v>
      </c>
      <c r="AY51" s="8">
        <f t="shared" si="26"/>
        <v>-13368</v>
      </c>
      <c r="AZ51" s="8">
        <v>804373</v>
      </c>
      <c r="BA51" s="8">
        <f t="shared" si="27"/>
        <v>-7455</v>
      </c>
      <c r="BB51" s="8">
        <v>899445</v>
      </c>
      <c r="BC51" s="8">
        <f t="shared" si="28"/>
        <v>-16875</v>
      </c>
      <c r="BD51" s="8">
        <f t="shared" si="1"/>
        <v>-95072</v>
      </c>
      <c r="BE51" s="8">
        <f t="shared" si="29"/>
        <v>9420</v>
      </c>
      <c r="BF51" s="8">
        <v>431359</v>
      </c>
      <c r="BG51" s="8">
        <f t="shared" si="30"/>
        <v>-6633</v>
      </c>
      <c r="BH51" s="8">
        <v>860886</v>
      </c>
      <c r="BI51" s="8">
        <f t="shared" si="31"/>
        <v>-18711</v>
      </c>
      <c r="BJ51" s="8">
        <f t="shared" si="2"/>
        <v>-429527</v>
      </c>
      <c r="BK51" s="8">
        <f t="shared" si="3"/>
        <v>12078</v>
      </c>
    </row>
    <row r="52" spans="1:63">
      <c r="A52" s="5">
        <v>39231</v>
      </c>
      <c r="B52" s="8">
        <v>353686</v>
      </c>
      <c r="C52" s="8">
        <f t="shared" si="4"/>
        <v>11840</v>
      </c>
      <c r="D52" s="8">
        <v>81137</v>
      </c>
      <c r="E52" s="8">
        <f t="shared" si="5"/>
        <v>779</v>
      </c>
      <c r="F52" s="8">
        <v>6758</v>
      </c>
      <c r="G52" s="8">
        <f t="shared" si="6"/>
        <v>2230</v>
      </c>
      <c r="H52" s="8">
        <v>74379</v>
      </c>
      <c r="I52" s="8">
        <f t="shared" si="7"/>
        <v>-1451</v>
      </c>
      <c r="J52" s="8">
        <v>166888</v>
      </c>
      <c r="K52" s="8">
        <f t="shared" si="8"/>
        <v>5099</v>
      </c>
      <c r="L52" s="8">
        <v>255990</v>
      </c>
      <c r="M52" s="8">
        <f t="shared" si="9"/>
        <v>5804</v>
      </c>
      <c r="N52" s="8">
        <v>-89102</v>
      </c>
      <c r="O52" s="8">
        <f t="shared" si="10"/>
        <v>-705</v>
      </c>
      <c r="P52" s="8">
        <v>75738</v>
      </c>
      <c r="Q52" s="8">
        <f t="shared" si="11"/>
        <v>3736</v>
      </c>
      <c r="R52" s="8">
        <v>248742</v>
      </c>
      <c r="S52" s="8">
        <f t="shared" si="12"/>
        <v>4413</v>
      </c>
      <c r="T52" s="8">
        <v>-173004</v>
      </c>
      <c r="U52" s="8">
        <f t="shared" si="13"/>
        <v>-677</v>
      </c>
      <c r="W52" s="8">
        <v>233781</v>
      </c>
      <c r="X52" s="8">
        <f t="shared" si="14"/>
        <v>803</v>
      </c>
      <c r="Y52" s="8">
        <v>35295</v>
      </c>
      <c r="Z52" s="8">
        <f t="shared" si="15"/>
        <v>2053</v>
      </c>
      <c r="AA52" s="8">
        <v>14878</v>
      </c>
      <c r="AB52" s="8">
        <f t="shared" si="16"/>
        <v>-1464</v>
      </c>
      <c r="AC52" s="8">
        <v>20417</v>
      </c>
      <c r="AD52" s="8">
        <f t="shared" si="16"/>
        <v>3517</v>
      </c>
      <c r="AE52" s="8">
        <v>105288</v>
      </c>
      <c r="AF52" s="8">
        <f t="shared" si="17"/>
        <v>-2404</v>
      </c>
      <c r="AG52" s="8">
        <v>153497</v>
      </c>
      <c r="AH52" s="8">
        <f t="shared" si="18"/>
        <v>3973</v>
      </c>
      <c r="AI52" s="8">
        <v>-48209</v>
      </c>
      <c r="AJ52" s="8">
        <f t="shared" si="19"/>
        <v>-6377</v>
      </c>
      <c r="AK52" s="8">
        <v>96966</v>
      </c>
      <c r="AL52" s="8">
        <f t="shared" si="20"/>
        <v>-2518</v>
      </c>
      <c r="AM52" s="8">
        <v>145897</v>
      </c>
      <c r="AN52" s="8">
        <f t="shared" si="21"/>
        <v>4654</v>
      </c>
      <c r="AO52" s="8">
        <v>-48931</v>
      </c>
      <c r="AP52" s="8">
        <f t="shared" si="22"/>
        <v>-7172</v>
      </c>
      <c r="AR52" s="8">
        <v>1830297</v>
      </c>
      <c r="AS52" s="8">
        <f t="shared" si="23"/>
        <v>5860</v>
      </c>
      <c r="AT52" s="8">
        <v>190293</v>
      </c>
      <c r="AU52" s="8">
        <f t="shared" si="24"/>
        <v>-3372</v>
      </c>
      <c r="AV52" s="8">
        <v>55403</v>
      </c>
      <c r="AW52" s="8">
        <f t="shared" si="25"/>
        <v>7893</v>
      </c>
      <c r="AX52" s="8">
        <f t="shared" si="0"/>
        <v>134890</v>
      </c>
      <c r="AY52" s="8">
        <f t="shared" si="26"/>
        <v>-11265</v>
      </c>
      <c r="AZ52" s="8">
        <v>816913</v>
      </c>
      <c r="BA52" s="8">
        <f t="shared" si="27"/>
        <v>12540</v>
      </c>
      <c r="BB52" s="8">
        <v>895748</v>
      </c>
      <c r="BC52" s="8">
        <f t="shared" si="28"/>
        <v>-3697</v>
      </c>
      <c r="BD52" s="8">
        <f t="shared" si="1"/>
        <v>-78835</v>
      </c>
      <c r="BE52" s="8">
        <f t="shared" si="29"/>
        <v>16237</v>
      </c>
      <c r="BF52" s="8">
        <v>439114</v>
      </c>
      <c r="BG52" s="8">
        <f t="shared" si="30"/>
        <v>7755</v>
      </c>
      <c r="BH52" s="8">
        <v>856541</v>
      </c>
      <c r="BI52" s="8">
        <f t="shared" si="31"/>
        <v>-4345</v>
      </c>
      <c r="BJ52" s="8">
        <f t="shared" si="2"/>
        <v>-417427</v>
      </c>
      <c r="BK52" s="8">
        <f t="shared" si="3"/>
        <v>12100</v>
      </c>
    </row>
    <row r="53" spans="1:63">
      <c r="A53" s="5">
        <v>39238</v>
      </c>
      <c r="B53" s="8">
        <v>380041</v>
      </c>
      <c r="C53" s="8">
        <f t="shared" si="4"/>
        <v>26355</v>
      </c>
      <c r="D53" s="8">
        <v>81015</v>
      </c>
      <c r="E53" s="8">
        <f t="shared" si="5"/>
        <v>-122</v>
      </c>
      <c r="F53" s="8">
        <v>3191</v>
      </c>
      <c r="G53" s="8">
        <f t="shared" si="6"/>
        <v>-3567</v>
      </c>
      <c r="H53" s="8">
        <v>77824</v>
      </c>
      <c r="I53" s="8">
        <f t="shared" si="7"/>
        <v>3445</v>
      </c>
      <c r="J53" s="8">
        <v>182019</v>
      </c>
      <c r="K53" s="8">
        <f t="shared" si="8"/>
        <v>15131</v>
      </c>
      <c r="L53" s="8">
        <v>278600</v>
      </c>
      <c r="M53" s="8">
        <f t="shared" si="9"/>
        <v>22610</v>
      </c>
      <c r="N53" s="8">
        <v>-96581</v>
      </c>
      <c r="O53" s="8">
        <f t="shared" si="10"/>
        <v>-7479</v>
      </c>
      <c r="P53" s="8">
        <v>84445</v>
      </c>
      <c r="Q53" s="8">
        <f t="shared" si="11"/>
        <v>8707</v>
      </c>
      <c r="R53" s="8">
        <v>265894</v>
      </c>
      <c r="S53" s="8">
        <f t="shared" si="12"/>
        <v>17152</v>
      </c>
      <c r="T53" s="8">
        <v>-181449</v>
      </c>
      <c r="U53" s="8">
        <f t="shared" si="13"/>
        <v>-8445</v>
      </c>
      <c r="W53" s="8">
        <v>245743</v>
      </c>
      <c r="X53" s="8">
        <f t="shared" si="14"/>
        <v>11962</v>
      </c>
      <c r="Y53" s="8">
        <v>44018</v>
      </c>
      <c r="Z53" s="8">
        <f t="shared" si="15"/>
        <v>8723</v>
      </c>
      <c r="AA53" s="8">
        <v>13071</v>
      </c>
      <c r="AB53" s="8">
        <f t="shared" si="16"/>
        <v>-1807</v>
      </c>
      <c r="AC53" s="8">
        <v>30947</v>
      </c>
      <c r="AD53" s="8">
        <f t="shared" si="16"/>
        <v>10530</v>
      </c>
      <c r="AE53" s="8">
        <v>110384</v>
      </c>
      <c r="AF53" s="8">
        <f t="shared" si="17"/>
        <v>5096</v>
      </c>
      <c r="AG53" s="8">
        <v>168651</v>
      </c>
      <c r="AH53" s="8">
        <f t="shared" si="18"/>
        <v>15154</v>
      </c>
      <c r="AI53" s="8">
        <v>-58267</v>
      </c>
      <c r="AJ53" s="8">
        <f t="shared" si="19"/>
        <v>-10058</v>
      </c>
      <c r="AK53" s="8">
        <v>98937</v>
      </c>
      <c r="AL53" s="8">
        <f t="shared" si="20"/>
        <v>1971</v>
      </c>
      <c r="AM53" s="8">
        <v>160267</v>
      </c>
      <c r="AN53" s="8">
        <f t="shared" si="21"/>
        <v>14370</v>
      </c>
      <c r="AO53" s="8">
        <v>-61330</v>
      </c>
      <c r="AP53" s="8">
        <f t="shared" si="22"/>
        <v>-12399</v>
      </c>
      <c r="AR53" s="8">
        <v>1861219</v>
      </c>
      <c r="AS53" s="8">
        <f t="shared" si="23"/>
        <v>30922</v>
      </c>
      <c r="AT53" s="8">
        <v>209535</v>
      </c>
      <c r="AU53" s="8">
        <f t="shared" si="24"/>
        <v>19242</v>
      </c>
      <c r="AV53" s="8">
        <v>41117</v>
      </c>
      <c r="AW53" s="8">
        <f t="shared" si="25"/>
        <v>-14286</v>
      </c>
      <c r="AX53" s="8">
        <f t="shared" si="0"/>
        <v>168418</v>
      </c>
      <c r="AY53" s="8">
        <f t="shared" si="26"/>
        <v>33528</v>
      </c>
      <c r="AZ53" s="8">
        <v>798333</v>
      </c>
      <c r="BA53" s="8">
        <f t="shared" si="27"/>
        <v>-18580</v>
      </c>
      <c r="BB53" s="8">
        <v>926589</v>
      </c>
      <c r="BC53" s="8">
        <f t="shared" si="28"/>
        <v>30841</v>
      </c>
      <c r="BD53" s="8">
        <f t="shared" si="1"/>
        <v>-128256</v>
      </c>
      <c r="BE53" s="8">
        <f t="shared" si="29"/>
        <v>-49421</v>
      </c>
      <c r="BF53" s="8">
        <v>408551</v>
      </c>
      <c r="BG53" s="8">
        <f t="shared" si="30"/>
        <v>-30563</v>
      </c>
      <c r="BH53" s="8">
        <v>882564</v>
      </c>
      <c r="BI53" s="8">
        <f t="shared" si="31"/>
        <v>26023</v>
      </c>
      <c r="BJ53" s="8">
        <f t="shared" si="2"/>
        <v>-474013</v>
      </c>
      <c r="BK53" s="8">
        <f t="shared" si="3"/>
        <v>-56586</v>
      </c>
    </row>
    <row r="54" spans="1:63">
      <c r="A54" s="5">
        <v>39245</v>
      </c>
      <c r="B54" s="8">
        <v>359127</v>
      </c>
      <c r="C54" s="8">
        <f t="shared" si="4"/>
        <v>-20914</v>
      </c>
      <c r="D54" s="8">
        <v>79599</v>
      </c>
      <c r="E54" s="8">
        <f t="shared" si="5"/>
        <v>-1416</v>
      </c>
      <c r="F54" s="8">
        <v>2809</v>
      </c>
      <c r="G54" s="8">
        <f t="shared" si="6"/>
        <v>-382</v>
      </c>
      <c r="H54" s="8">
        <v>76790</v>
      </c>
      <c r="I54" s="8">
        <f t="shared" si="7"/>
        <v>-1034</v>
      </c>
      <c r="J54" s="8">
        <v>169004</v>
      </c>
      <c r="K54" s="8">
        <f t="shared" si="8"/>
        <v>-13015</v>
      </c>
      <c r="L54" s="8">
        <v>259739</v>
      </c>
      <c r="M54" s="8">
        <f t="shared" si="9"/>
        <v>-18861</v>
      </c>
      <c r="N54" s="8">
        <v>-90735</v>
      </c>
      <c r="O54" s="8">
        <f t="shared" si="10"/>
        <v>5846</v>
      </c>
      <c r="P54" s="8">
        <v>74975</v>
      </c>
      <c r="Q54" s="8">
        <f t="shared" si="11"/>
        <v>-9470</v>
      </c>
      <c r="R54" s="8">
        <v>247222</v>
      </c>
      <c r="S54" s="8">
        <f t="shared" si="12"/>
        <v>-18672</v>
      </c>
      <c r="T54" s="8">
        <v>-172247</v>
      </c>
      <c r="U54" s="8">
        <f t="shared" si="13"/>
        <v>9202</v>
      </c>
      <c r="W54" s="8">
        <v>246137</v>
      </c>
      <c r="X54" s="8">
        <f t="shared" si="14"/>
        <v>394</v>
      </c>
      <c r="Y54" s="8">
        <v>46175</v>
      </c>
      <c r="Z54" s="8">
        <f t="shared" si="15"/>
        <v>2157</v>
      </c>
      <c r="AA54" s="8">
        <v>9354</v>
      </c>
      <c r="AB54" s="8">
        <f t="shared" si="16"/>
        <v>-3717</v>
      </c>
      <c r="AC54" s="8">
        <v>36821</v>
      </c>
      <c r="AD54" s="8">
        <f t="shared" si="16"/>
        <v>5874</v>
      </c>
      <c r="AE54" s="8">
        <v>100136</v>
      </c>
      <c r="AF54" s="8">
        <f t="shared" si="17"/>
        <v>-10248</v>
      </c>
      <c r="AG54" s="8">
        <v>166838</v>
      </c>
      <c r="AH54" s="8">
        <f t="shared" si="18"/>
        <v>-1813</v>
      </c>
      <c r="AI54" s="8">
        <v>-66702</v>
      </c>
      <c r="AJ54" s="8">
        <f t="shared" si="19"/>
        <v>-8435</v>
      </c>
      <c r="AK54" s="8">
        <v>87872</v>
      </c>
      <c r="AL54" s="8">
        <f t="shared" si="20"/>
        <v>-11065</v>
      </c>
      <c r="AM54" s="8">
        <v>158977</v>
      </c>
      <c r="AN54" s="8">
        <f t="shared" si="21"/>
        <v>-1290</v>
      </c>
      <c r="AO54" s="8">
        <v>-71105</v>
      </c>
      <c r="AP54" s="8">
        <f t="shared" si="22"/>
        <v>-9775</v>
      </c>
      <c r="AR54" s="8">
        <v>1853611</v>
      </c>
      <c r="AS54" s="8">
        <f t="shared" si="23"/>
        <v>-7608</v>
      </c>
      <c r="AT54" s="8">
        <v>217686</v>
      </c>
      <c r="AU54" s="8">
        <f t="shared" si="24"/>
        <v>8151</v>
      </c>
      <c r="AV54" s="8">
        <v>34436</v>
      </c>
      <c r="AW54" s="8">
        <f t="shared" si="25"/>
        <v>-6681</v>
      </c>
      <c r="AX54" s="8">
        <f t="shared" si="0"/>
        <v>183250</v>
      </c>
      <c r="AY54" s="8">
        <f t="shared" si="26"/>
        <v>14832</v>
      </c>
      <c r="AZ54" s="8">
        <v>784020</v>
      </c>
      <c r="BA54" s="8">
        <f t="shared" si="27"/>
        <v>-14313</v>
      </c>
      <c r="BB54" s="8">
        <v>935411</v>
      </c>
      <c r="BC54" s="8">
        <f t="shared" si="28"/>
        <v>8822</v>
      </c>
      <c r="BD54" s="8">
        <f t="shared" si="1"/>
        <v>-151391</v>
      </c>
      <c r="BE54" s="8">
        <f t="shared" si="29"/>
        <v>-23135</v>
      </c>
      <c r="BF54" s="8">
        <v>397122</v>
      </c>
      <c r="BG54" s="8">
        <f t="shared" si="30"/>
        <v>-11429</v>
      </c>
      <c r="BH54" s="8">
        <v>893663</v>
      </c>
      <c r="BI54" s="8">
        <f t="shared" si="31"/>
        <v>11099</v>
      </c>
      <c r="BJ54" s="8">
        <f t="shared" si="2"/>
        <v>-496541</v>
      </c>
      <c r="BK54" s="8">
        <f t="shared" si="3"/>
        <v>-22528</v>
      </c>
    </row>
    <row r="55" spans="1:63">
      <c r="A55" s="5">
        <v>39252</v>
      </c>
      <c r="B55" s="8">
        <v>354553</v>
      </c>
      <c r="C55" s="8">
        <f t="shared" si="4"/>
        <v>-4574</v>
      </c>
      <c r="D55" s="8">
        <v>78751</v>
      </c>
      <c r="E55" s="8">
        <f t="shared" si="5"/>
        <v>-848</v>
      </c>
      <c r="F55" s="8">
        <v>2297</v>
      </c>
      <c r="G55" s="8">
        <f t="shared" si="6"/>
        <v>-512</v>
      </c>
      <c r="H55" s="8">
        <v>76454</v>
      </c>
      <c r="I55" s="8">
        <f t="shared" si="7"/>
        <v>-336</v>
      </c>
      <c r="J55" s="8">
        <v>168222</v>
      </c>
      <c r="K55" s="8">
        <f t="shared" si="8"/>
        <v>-782</v>
      </c>
      <c r="L55" s="8">
        <v>256750</v>
      </c>
      <c r="M55" s="8">
        <f t="shared" si="9"/>
        <v>-2989</v>
      </c>
      <c r="N55" s="8">
        <v>-88528</v>
      </c>
      <c r="O55" s="8">
        <f t="shared" si="10"/>
        <v>2207</v>
      </c>
      <c r="P55" s="8">
        <v>75653</v>
      </c>
      <c r="Q55" s="8">
        <f t="shared" si="11"/>
        <v>678</v>
      </c>
      <c r="R55" s="8">
        <v>244759</v>
      </c>
      <c r="S55" s="8">
        <f t="shared" si="12"/>
        <v>-2463</v>
      </c>
      <c r="T55" s="8">
        <v>-169106</v>
      </c>
      <c r="U55" s="8">
        <f t="shared" si="13"/>
        <v>3141</v>
      </c>
      <c r="W55" s="8">
        <v>247226</v>
      </c>
      <c r="X55" s="8">
        <f t="shared" si="14"/>
        <v>1089</v>
      </c>
      <c r="Y55" s="8">
        <v>50736</v>
      </c>
      <c r="Z55" s="8">
        <f t="shared" si="15"/>
        <v>4561</v>
      </c>
      <c r="AA55" s="8">
        <v>10673</v>
      </c>
      <c r="AB55" s="8">
        <f t="shared" si="16"/>
        <v>1319</v>
      </c>
      <c r="AC55" s="8">
        <v>40063</v>
      </c>
      <c r="AD55" s="8">
        <f t="shared" si="16"/>
        <v>3242</v>
      </c>
      <c r="AE55" s="8">
        <v>95756</v>
      </c>
      <c r="AF55" s="8">
        <f t="shared" si="17"/>
        <v>-4380</v>
      </c>
      <c r="AG55" s="8">
        <v>162624</v>
      </c>
      <c r="AH55" s="8">
        <f t="shared" si="18"/>
        <v>-4214</v>
      </c>
      <c r="AI55" s="8">
        <v>-66868</v>
      </c>
      <c r="AJ55" s="8">
        <f t="shared" si="19"/>
        <v>-166</v>
      </c>
      <c r="AK55" s="8">
        <v>83657</v>
      </c>
      <c r="AL55" s="8">
        <f t="shared" si="20"/>
        <v>-4215</v>
      </c>
      <c r="AM55" s="8">
        <v>156828</v>
      </c>
      <c r="AN55" s="8">
        <f t="shared" si="21"/>
        <v>-2149</v>
      </c>
      <c r="AO55" s="8">
        <v>-73171</v>
      </c>
      <c r="AP55" s="8">
        <f t="shared" si="22"/>
        <v>-2066</v>
      </c>
      <c r="AR55" s="8">
        <v>1851543</v>
      </c>
      <c r="AS55" s="8">
        <f t="shared" si="23"/>
        <v>-2068</v>
      </c>
      <c r="AT55" s="8">
        <v>248076</v>
      </c>
      <c r="AU55" s="8">
        <f t="shared" si="24"/>
        <v>30390</v>
      </c>
      <c r="AV55" s="8">
        <v>31551</v>
      </c>
      <c r="AW55" s="8">
        <f t="shared" si="25"/>
        <v>-2885</v>
      </c>
      <c r="AX55" s="8">
        <f t="shared" si="0"/>
        <v>216525</v>
      </c>
      <c r="AY55" s="8">
        <f t="shared" si="26"/>
        <v>33275</v>
      </c>
      <c r="AZ55" s="8">
        <v>765609</v>
      </c>
      <c r="BA55" s="8">
        <f t="shared" si="27"/>
        <v>-18411</v>
      </c>
      <c r="BB55" s="8">
        <v>946838</v>
      </c>
      <c r="BC55" s="8">
        <f t="shared" si="28"/>
        <v>11427</v>
      </c>
      <c r="BD55" s="8">
        <f t="shared" si="1"/>
        <v>-181229</v>
      </c>
      <c r="BE55" s="8">
        <f t="shared" si="29"/>
        <v>-29838</v>
      </c>
      <c r="BF55" s="8">
        <v>375978</v>
      </c>
      <c r="BG55" s="8">
        <f t="shared" si="30"/>
        <v>-21144</v>
      </c>
      <c r="BH55" s="8">
        <v>900278</v>
      </c>
      <c r="BI55" s="8">
        <f t="shared" si="31"/>
        <v>6615</v>
      </c>
      <c r="BJ55" s="8">
        <f t="shared" si="2"/>
        <v>-524300</v>
      </c>
      <c r="BK55" s="8">
        <f t="shared" si="3"/>
        <v>-27759</v>
      </c>
    </row>
    <row r="56" spans="1:63">
      <c r="A56" s="5">
        <v>39259</v>
      </c>
      <c r="B56" s="8">
        <v>319501</v>
      </c>
      <c r="C56" s="8">
        <f t="shared" si="4"/>
        <v>-35052</v>
      </c>
      <c r="D56" s="8">
        <v>63399</v>
      </c>
      <c r="E56" s="8">
        <f t="shared" si="5"/>
        <v>-15352</v>
      </c>
      <c r="F56" s="8">
        <v>3642</v>
      </c>
      <c r="G56" s="8">
        <f t="shared" si="6"/>
        <v>1345</v>
      </c>
      <c r="H56" s="8">
        <v>59757</v>
      </c>
      <c r="I56" s="8">
        <f t="shared" si="7"/>
        <v>-16697</v>
      </c>
      <c r="J56" s="8">
        <v>159764</v>
      </c>
      <c r="K56" s="8">
        <f t="shared" si="8"/>
        <v>-8458</v>
      </c>
      <c r="L56" s="8">
        <v>229188</v>
      </c>
      <c r="M56" s="8">
        <f t="shared" si="9"/>
        <v>-27562</v>
      </c>
      <c r="N56" s="8">
        <v>-69424</v>
      </c>
      <c r="O56" s="8">
        <f t="shared" si="10"/>
        <v>19104</v>
      </c>
      <c r="P56" s="8">
        <v>64658</v>
      </c>
      <c r="Q56" s="8">
        <f t="shared" si="11"/>
        <v>-10995</v>
      </c>
      <c r="R56" s="8">
        <v>220853</v>
      </c>
      <c r="S56" s="8">
        <f t="shared" si="12"/>
        <v>-23906</v>
      </c>
      <c r="T56" s="8">
        <v>-156195</v>
      </c>
      <c r="U56" s="8">
        <f t="shared" si="13"/>
        <v>12911</v>
      </c>
      <c r="W56" s="8">
        <v>224552</v>
      </c>
      <c r="X56" s="8">
        <f t="shared" si="14"/>
        <v>-22674</v>
      </c>
      <c r="Y56" s="8">
        <v>44869</v>
      </c>
      <c r="Z56" s="8">
        <f t="shared" si="15"/>
        <v>-5867</v>
      </c>
      <c r="AA56" s="8">
        <v>9173</v>
      </c>
      <c r="AB56" s="8">
        <f t="shared" si="16"/>
        <v>-1500</v>
      </c>
      <c r="AC56" s="8">
        <v>35696</v>
      </c>
      <c r="AD56" s="8">
        <f t="shared" si="16"/>
        <v>-4367</v>
      </c>
      <c r="AE56" s="8">
        <v>90464</v>
      </c>
      <c r="AF56" s="8">
        <f t="shared" si="17"/>
        <v>-5292</v>
      </c>
      <c r="AG56" s="8">
        <v>152840</v>
      </c>
      <c r="AH56" s="8">
        <f t="shared" si="18"/>
        <v>-9784</v>
      </c>
      <c r="AI56" s="8">
        <v>-62376</v>
      </c>
      <c r="AJ56" s="8">
        <f t="shared" si="19"/>
        <v>4492</v>
      </c>
      <c r="AK56" s="8">
        <v>82018</v>
      </c>
      <c r="AL56" s="8">
        <f t="shared" si="20"/>
        <v>-1639</v>
      </c>
      <c r="AM56" s="8">
        <v>149021</v>
      </c>
      <c r="AN56" s="8">
        <f t="shared" si="21"/>
        <v>-7807</v>
      </c>
      <c r="AO56" s="8">
        <v>-67003</v>
      </c>
      <c r="AP56" s="8">
        <f t="shared" si="22"/>
        <v>6168</v>
      </c>
      <c r="AR56" s="8">
        <v>1656375</v>
      </c>
      <c r="AS56" s="8">
        <f t="shared" si="23"/>
        <v>-195168</v>
      </c>
      <c r="AT56" s="8">
        <v>211101</v>
      </c>
      <c r="AU56" s="8">
        <f t="shared" si="24"/>
        <v>-36975</v>
      </c>
      <c r="AV56" s="8">
        <v>34843</v>
      </c>
      <c r="AW56" s="8">
        <f t="shared" si="25"/>
        <v>3292</v>
      </c>
      <c r="AX56" s="8">
        <f t="shared" si="0"/>
        <v>176258</v>
      </c>
      <c r="AY56" s="8">
        <f t="shared" si="26"/>
        <v>-40267</v>
      </c>
      <c r="AZ56" s="8">
        <v>737605</v>
      </c>
      <c r="BA56" s="8">
        <f t="shared" si="27"/>
        <v>-28004</v>
      </c>
      <c r="BB56" s="8">
        <v>867044</v>
      </c>
      <c r="BC56" s="8">
        <f t="shared" si="28"/>
        <v>-79794</v>
      </c>
      <c r="BD56" s="8">
        <f t="shared" si="1"/>
        <v>-129439</v>
      </c>
      <c r="BE56" s="8">
        <f t="shared" si="29"/>
        <v>51790</v>
      </c>
      <c r="BF56" s="8">
        <v>354348</v>
      </c>
      <c r="BG56" s="8">
        <f t="shared" si="30"/>
        <v>-21630</v>
      </c>
      <c r="BH56" s="8">
        <v>831862</v>
      </c>
      <c r="BI56" s="8">
        <f t="shared" si="31"/>
        <v>-68416</v>
      </c>
      <c r="BJ56" s="8">
        <f t="shared" si="2"/>
        <v>-477514</v>
      </c>
      <c r="BK56" s="8">
        <f t="shared" si="3"/>
        <v>46786</v>
      </c>
    </row>
    <row r="57" spans="1:63">
      <c r="A57" s="5">
        <v>39266</v>
      </c>
      <c r="B57" s="8">
        <v>319675</v>
      </c>
      <c r="C57" s="8">
        <f t="shared" si="4"/>
        <v>174</v>
      </c>
      <c r="D57" s="8">
        <v>72085</v>
      </c>
      <c r="E57" s="8">
        <f t="shared" si="5"/>
        <v>8686</v>
      </c>
      <c r="F57" s="8">
        <v>4452</v>
      </c>
      <c r="G57" s="8">
        <f t="shared" si="6"/>
        <v>810</v>
      </c>
      <c r="H57" s="8">
        <v>67633</v>
      </c>
      <c r="I57" s="8">
        <f t="shared" si="7"/>
        <v>7876</v>
      </c>
      <c r="J57" s="8">
        <v>158309</v>
      </c>
      <c r="K57" s="8">
        <f t="shared" si="8"/>
        <v>-1455</v>
      </c>
      <c r="L57" s="8">
        <v>235931</v>
      </c>
      <c r="M57" s="8">
        <f t="shared" si="9"/>
        <v>6743</v>
      </c>
      <c r="N57" s="8">
        <v>-77622</v>
      </c>
      <c r="O57" s="8">
        <f t="shared" si="10"/>
        <v>-8198</v>
      </c>
      <c r="P57" s="8">
        <v>63924</v>
      </c>
      <c r="Q57" s="8">
        <f t="shared" si="11"/>
        <v>-734</v>
      </c>
      <c r="R57" s="8">
        <v>227692</v>
      </c>
      <c r="S57" s="8">
        <f t="shared" si="12"/>
        <v>6839</v>
      </c>
      <c r="T57" s="8">
        <v>-163768</v>
      </c>
      <c r="U57" s="8">
        <f t="shared" si="13"/>
        <v>-7573</v>
      </c>
      <c r="W57" s="8">
        <v>225492</v>
      </c>
      <c r="X57" s="8">
        <f t="shared" si="14"/>
        <v>940</v>
      </c>
      <c r="Y57" s="8">
        <v>48428</v>
      </c>
      <c r="Z57" s="8">
        <f t="shared" si="15"/>
        <v>3559</v>
      </c>
      <c r="AA57" s="8">
        <v>6449</v>
      </c>
      <c r="AB57" s="8">
        <f t="shared" si="16"/>
        <v>-2724</v>
      </c>
      <c r="AC57" s="8">
        <v>41979</v>
      </c>
      <c r="AD57" s="8">
        <f t="shared" si="16"/>
        <v>6283</v>
      </c>
      <c r="AE57" s="8">
        <v>91505</v>
      </c>
      <c r="AF57" s="8">
        <f t="shared" si="17"/>
        <v>1041</v>
      </c>
      <c r="AG57" s="8">
        <v>156410</v>
      </c>
      <c r="AH57" s="8">
        <f t="shared" si="18"/>
        <v>3570</v>
      </c>
      <c r="AI57" s="8">
        <v>-64905</v>
      </c>
      <c r="AJ57" s="8">
        <f t="shared" si="19"/>
        <v>-2529</v>
      </c>
      <c r="AK57" s="8">
        <v>84593</v>
      </c>
      <c r="AL57" s="8">
        <f t="shared" si="20"/>
        <v>2575</v>
      </c>
      <c r="AM57" s="8">
        <v>153931</v>
      </c>
      <c r="AN57" s="8">
        <f t="shared" si="21"/>
        <v>4910</v>
      </c>
      <c r="AO57" s="8">
        <v>-69338</v>
      </c>
      <c r="AP57" s="8">
        <f t="shared" si="22"/>
        <v>-2335</v>
      </c>
      <c r="AR57" s="8">
        <v>1661833</v>
      </c>
      <c r="AS57" s="8">
        <f t="shared" si="23"/>
        <v>5458</v>
      </c>
      <c r="AT57" s="8">
        <v>199914</v>
      </c>
      <c r="AU57" s="8">
        <f t="shared" si="24"/>
        <v>-11187</v>
      </c>
      <c r="AV57" s="8">
        <v>58813</v>
      </c>
      <c r="AW57" s="8">
        <f t="shared" si="25"/>
        <v>23970</v>
      </c>
      <c r="AX57" s="8">
        <f t="shared" si="0"/>
        <v>141101</v>
      </c>
      <c r="AY57" s="8">
        <f t="shared" si="26"/>
        <v>-35157</v>
      </c>
      <c r="AZ57" s="8">
        <v>758069</v>
      </c>
      <c r="BA57" s="8">
        <f t="shared" si="27"/>
        <v>20464</v>
      </c>
      <c r="BB57" s="8">
        <v>823760</v>
      </c>
      <c r="BC57" s="8">
        <f t="shared" si="28"/>
        <v>-43284</v>
      </c>
      <c r="BD57" s="8">
        <f t="shared" si="1"/>
        <v>-65691</v>
      </c>
      <c r="BE57" s="8">
        <f t="shared" si="29"/>
        <v>63748</v>
      </c>
      <c r="BF57" s="8">
        <v>381674</v>
      </c>
      <c r="BG57" s="8">
        <f t="shared" si="30"/>
        <v>27326</v>
      </c>
      <c r="BH57" s="8">
        <v>788021</v>
      </c>
      <c r="BI57" s="8">
        <f t="shared" si="31"/>
        <v>-43841</v>
      </c>
      <c r="BJ57" s="8">
        <f t="shared" si="2"/>
        <v>-406347</v>
      </c>
      <c r="BK57" s="8">
        <f t="shared" si="3"/>
        <v>71167</v>
      </c>
    </row>
    <row r="58" spans="1:63">
      <c r="A58" s="5">
        <v>39273</v>
      </c>
      <c r="B58" s="8">
        <v>322515</v>
      </c>
      <c r="C58" s="8">
        <f t="shared" si="4"/>
        <v>2840</v>
      </c>
      <c r="D58" s="8">
        <v>75348</v>
      </c>
      <c r="E58" s="8">
        <f t="shared" si="5"/>
        <v>3263</v>
      </c>
      <c r="F58" s="8">
        <v>5640</v>
      </c>
      <c r="G58" s="8">
        <f t="shared" si="6"/>
        <v>1188</v>
      </c>
      <c r="H58" s="8">
        <v>69708</v>
      </c>
      <c r="I58" s="8">
        <f t="shared" si="7"/>
        <v>2075</v>
      </c>
      <c r="J58" s="8">
        <v>157859</v>
      </c>
      <c r="K58" s="8">
        <f t="shared" si="8"/>
        <v>-450</v>
      </c>
      <c r="L58" s="8">
        <v>239303</v>
      </c>
      <c r="M58" s="8">
        <f t="shared" si="9"/>
        <v>3372</v>
      </c>
      <c r="N58" s="8">
        <v>-81444</v>
      </c>
      <c r="O58" s="8">
        <f t="shared" si="10"/>
        <v>-3822</v>
      </c>
      <c r="P58" s="8">
        <v>61493</v>
      </c>
      <c r="Q58" s="8">
        <f t="shared" si="11"/>
        <v>-2431</v>
      </c>
      <c r="R58" s="8">
        <v>231366</v>
      </c>
      <c r="S58" s="8">
        <f t="shared" si="12"/>
        <v>3674</v>
      </c>
      <c r="T58" s="8">
        <v>-169873</v>
      </c>
      <c r="U58" s="8">
        <f t="shared" si="13"/>
        <v>-6105</v>
      </c>
      <c r="W58" s="8">
        <v>234937</v>
      </c>
      <c r="X58" s="8">
        <f t="shared" si="14"/>
        <v>9445</v>
      </c>
      <c r="Y58" s="8">
        <v>54127</v>
      </c>
      <c r="Z58" s="8">
        <f t="shared" si="15"/>
        <v>5699</v>
      </c>
      <c r="AA58" s="8">
        <v>5185</v>
      </c>
      <c r="AB58" s="8">
        <f t="shared" si="16"/>
        <v>-1264</v>
      </c>
      <c r="AC58" s="8">
        <v>48942</v>
      </c>
      <c r="AD58" s="8">
        <f t="shared" si="16"/>
        <v>6963</v>
      </c>
      <c r="AE58" s="8">
        <v>89572</v>
      </c>
      <c r="AF58" s="8">
        <f t="shared" si="17"/>
        <v>-1933</v>
      </c>
      <c r="AG58" s="8">
        <v>166286</v>
      </c>
      <c r="AH58" s="8">
        <f t="shared" si="18"/>
        <v>9876</v>
      </c>
      <c r="AI58" s="8">
        <v>-76714</v>
      </c>
      <c r="AJ58" s="8">
        <f t="shared" si="19"/>
        <v>-11809</v>
      </c>
      <c r="AK58" s="8">
        <v>81454</v>
      </c>
      <c r="AL58" s="8">
        <f t="shared" si="20"/>
        <v>-3139</v>
      </c>
      <c r="AM58" s="8">
        <v>162931</v>
      </c>
      <c r="AN58" s="8">
        <f t="shared" si="21"/>
        <v>9000</v>
      </c>
      <c r="AO58" s="8">
        <v>-81477</v>
      </c>
      <c r="AP58" s="8">
        <f t="shared" si="22"/>
        <v>-12139</v>
      </c>
      <c r="AR58" s="8">
        <v>1675341</v>
      </c>
      <c r="AS58" s="8">
        <f t="shared" si="23"/>
        <v>13508</v>
      </c>
      <c r="AT58" s="8">
        <v>211071</v>
      </c>
      <c r="AU58" s="8">
        <f t="shared" si="24"/>
        <v>11157</v>
      </c>
      <c r="AV58" s="8">
        <v>62878</v>
      </c>
      <c r="AW58" s="8">
        <f t="shared" si="25"/>
        <v>4065</v>
      </c>
      <c r="AX58" s="8">
        <f t="shared" si="0"/>
        <v>148193</v>
      </c>
      <c r="AY58" s="8">
        <f t="shared" si="26"/>
        <v>7092</v>
      </c>
      <c r="AZ58" s="8">
        <v>742762</v>
      </c>
      <c r="BA58" s="8">
        <f t="shared" si="27"/>
        <v>-15307</v>
      </c>
      <c r="BB58" s="8">
        <v>821362</v>
      </c>
      <c r="BC58" s="8">
        <f t="shared" si="28"/>
        <v>-2398</v>
      </c>
      <c r="BD58" s="8">
        <f t="shared" si="1"/>
        <v>-78600</v>
      </c>
      <c r="BE58" s="8">
        <f t="shared" si="29"/>
        <v>-12909</v>
      </c>
      <c r="BF58" s="8">
        <v>364278</v>
      </c>
      <c r="BG58" s="8">
        <f t="shared" si="30"/>
        <v>-17396</v>
      </c>
      <c r="BH58" s="8">
        <v>782660</v>
      </c>
      <c r="BI58" s="8">
        <f t="shared" si="31"/>
        <v>-5361</v>
      </c>
      <c r="BJ58" s="8">
        <f t="shared" si="2"/>
        <v>-418382</v>
      </c>
      <c r="BK58" s="8">
        <f t="shared" si="3"/>
        <v>-12035</v>
      </c>
    </row>
    <row r="59" spans="1:63">
      <c r="A59" s="5">
        <v>39280</v>
      </c>
      <c r="B59" s="8">
        <v>336816</v>
      </c>
      <c r="C59" s="8">
        <f t="shared" si="4"/>
        <v>14301</v>
      </c>
      <c r="D59" s="8">
        <v>72560</v>
      </c>
      <c r="E59" s="8">
        <f t="shared" si="5"/>
        <v>-2788</v>
      </c>
      <c r="F59" s="8">
        <v>6079</v>
      </c>
      <c r="G59" s="8">
        <f t="shared" si="6"/>
        <v>439</v>
      </c>
      <c r="H59" s="8">
        <v>66481</v>
      </c>
      <c r="I59" s="8">
        <f t="shared" si="7"/>
        <v>-3227</v>
      </c>
      <c r="J59" s="8">
        <v>170561</v>
      </c>
      <c r="K59" s="8">
        <f t="shared" si="8"/>
        <v>12702</v>
      </c>
      <c r="L59" s="8">
        <v>247800</v>
      </c>
      <c r="M59" s="8">
        <f t="shared" si="9"/>
        <v>8497</v>
      </c>
      <c r="N59" s="8">
        <v>-77239</v>
      </c>
      <c r="O59" s="8">
        <f t="shared" si="10"/>
        <v>4205</v>
      </c>
      <c r="P59" s="8">
        <v>73223</v>
      </c>
      <c r="Q59" s="8">
        <f t="shared" si="11"/>
        <v>11730</v>
      </c>
      <c r="R59" s="8">
        <v>239519</v>
      </c>
      <c r="S59" s="8">
        <f t="shared" si="12"/>
        <v>8153</v>
      </c>
      <c r="T59" s="8">
        <v>-166296</v>
      </c>
      <c r="U59" s="8">
        <f t="shared" si="13"/>
        <v>3577</v>
      </c>
      <c r="W59" s="8">
        <v>233191</v>
      </c>
      <c r="X59" s="8">
        <f t="shared" si="14"/>
        <v>-1746</v>
      </c>
      <c r="Y59" s="8">
        <v>54382</v>
      </c>
      <c r="Z59" s="8">
        <f t="shared" si="15"/>
        <v>255</v>
      </c>
      <c r="AA59" s="8">
        <v>4540</v>
      </c>
      <c r="AB59" s="8">
        <f t="shared" si="16"/>
        <v>-645</v>
      </c>
      <c r="AC59" s="8">
        <v>49842</v>
      </c>
      <c r="AD59" s="8">
        <f t="shared" si="16"/>
        <v>900</v>
      </c>
      <c r="AE59" s="8">
        <v>92120</v>
      </c>
      <c r="AF59" s="8">
        <f t="shared" si="17"/>
        <v>2548</v>
      </c>
      <c r="AG59" s="8">
        <v>166250</v>
      </c>
      <c r="AH59" s="8">
        <f t="shared" si="18"/>
        <v>-36</v>
      </c>
      <c r="AI59" s="8">
        <v>-74130</v>
      </c>
      <c r="AJ59" s="8">
        <f t="shared" si="19"/>
        <v>2584</v>
      </c>
      <c r="AK59" s="8">
        <v>84120</v>
      </c>
      <c r="AL59" s="8">
        <f t="shared" si="20"/>
        <v>2666</v>
      </c>
      <c r="AM59" s="8">
        <v>163002</v>
      </c>
      <c r="AN59" s="8">
        <f t="shared" si="21"/>
        <v>71</v>
      </c>
      <c r="AO59" s="8">
        <v>-78882</v>
      </c>
      <c r="AP59" s="8">
        <f t="shared" si="22"/>
        <v>2595</v>
      </c>
      <c r="AR59" s="8">
        <v>1719601</v>
      </c>
      <c r="AS59" s="8">
        <f t="shared" si="23"/>
        <v>44260</v>
      </c>
      <c r="AT59" s="8">
        <v>197153</v>
      </c>
      <c r="AU59" s="8">
        <f t="shared" si="24"/>
        <v>-13918</v>
      </c>
      <c r="AV59" s="8">
        <v>80089</v>
      </c>
      <c r="AW59" s="8">
        <f t="shared" si="25"/>
        <v>17211</v>
      </c>
      <c r="AX59" s="8">
        <f t="shared" si="0"/>
        <v>117064</v>
      </c>
      <c r="AY59" s="8">
        <f t="shared" si="26"/>
        <v>-31129</v>
      </c>
      <c r="AZ59" s="8">
        <v>765570</v>
      </c>
      <c r="BA59" s="8">
        <f t="shared" si="27"/>
        <v>22808</v>
      </c>
      <c r="BB59" s="8">
        <v>801769</v>
      </c>
      <c r="BC59" s="8">
        <f t="shared" si="28"/>
        <v>-19593</v>
      </c>
      <c r="BD59" s="8">
        <f t="shared" si="1"/>
        <v>-36199</v>
      </c>
      <c r="BE59" s="8">
        <f t="shared" si="29"/>
        <v>42401</v>
      </c>
      <c r="BF59" s="8">
        <v>389395</v>
      </c>
      <c r="BG59" s="8">
        <f t="shared" si="30"/>
        <v>25117</v>
      </c>
      <c r="BH59" s="8">
        <v>763727</v>
      </c>
      <c r="BI59" s="8">
        <f t="shared" si="31"/>
        <v>-18933</v>
      </c>
      <c r="BJ59" s="8">
        <f t="shared" si="2"/>
        <v>-374332</v>
      </c>
      <c r="BK59" s="8">
        <f t="shared" si="3"/>
        <v>44050</v>
      </c>
    </row>
    <row r="60" spans="1:63">
      <c r="A60" s="5">
        <v>39287</v>
      </c>
      <c r="B60" s="8">
        <v>333832</v>
      </c>
      <c r="C60" s="8">
        <f t="shared" si="4"/>
        <v>-2984</v>
      </c>
      <c r="D60" s="8">
        <v>69439</v>
      </c>
      <c r="E60" s="8">
        <f t="shared" si="5"/>
        <v>-3121</v>
      </c>
      <c r="F60" s="8">
        <v>6002</v>
      </c>
      <c r="G60" s="8">
        <f t="shared" si="6"/>
        <v>-77</v>
      </c>
      <c r="H60" s="8">
        <v>63437</v>
      </c>
      <c r="I60" s="8">
        <f t="shared" si="7"/>
        <v>-3044</v>
      </c>
      <c r="J60" s="8">
        <v>170236</v>
      </c>
      <c r="K60" s="8">
        <f t="shared" si="8"/>
        <v>-325</v>
      </c>
      <c r="L60" s="8">
        <v>242798</v>
      </c>
      <c r="M60" s="8">
        <f t="shared" si="9"/>
        <v>-5002</v>
      </c>
      <c r="N60" s="8">
        <v>-72562</v>
      </c>
      <c r="O60" s="8">
        <f t="shared" si="10"/>
        <v>4677</v>
      </c>
      <c r="P60" s="8">
        <v>74997</v>
      </c>
      <c r="Q60" s="8">
        <f t="shared" si="11"/>
        <v>1774</v>
      </c>
      <c r="R60" s="8">
        <v>234092</v>
      </c>
      <c r="S60" s="8">
        <f t="shared" si="12"/>
        <v>-5427</v>
      </c>
      <c r="T60" s="8">
        <v>-159095</v>
      </c>
      <c r="U60" s="8">
        <f t="shared" si="13"/>
        <v>7201</v>
      </c>
      <c r="W60" s="8">
        <v>224186</v>
      </c>
      <c r="X60" s="8">
        <f t="shared" si="14"/>
        <v>-9005</v>
      </c>
      <c r="Y60" s="8">
        <v>43735</v>
      </c>
      <c r="Z60" s="8">
        <f t="shared" si="15"/>
        <v>-10647</v>
      </c>
      <c r="AA60" s="8">
        <v>5732</v>
      </c>
      <c r="AB60" s="8">
        <f t="shared" si="16"/>
        <v>1192</v>
      </c>
      <c r="AC60" s="8">
        <v>38003</v>
      </c>
      <c r="AD60" s="8">
        <f t="shared" si="16"/>
        <v>-11839</v>
      </c>
      <c r="AE60" s="8">
        <v>93862</v>
      </c>
      <c r="AF60" s="8">
        <f t="shared" si="17"/>
        <v>1742</v>
      </c>
      <c r="AG60" s="8">
        <v>153206</v>
      </c>
      <c r="AH60" s="8">
        <f t="shared" si="18"/>
        <v>-13044</v>
      </c>
      <c r="AI60" s="8">
        <v>-59344</v>
      </c>
      <c r="AJ60" s="8">
        <f t="shared" si="19"/>
        <v>14786</v>
      </c>
      <c r="AK60" s="8">
        <v>86373</v>
      </c>
      <c r="AL60" s="8">
        <f t="shared" si="20"/>
        <v>2253</v>
      </c>
      <c r="AM60" s="8">
        <v>150643</v>
      </c>
      <c r="AN60" s="8">
        <f t="shared" si="21"/>
        <v>-12359</v>
      </c>
      <c r="AO60" s="8">
        <v>-64270</v>
      </c>
      <c r="AP60" s="8">
        <f t="shared" si="22"/>
        <v>14612</v>
      </c>
      <c r="AR60" s="8">
        <v>1714010</v>
      </c>
      <c r="AS60" s="8">
        <f t="shared" si="23"/>
        <v>-5591</v>
      </c>
      <c r="AT60" s="8">
        <v>191441</v>
      </c>
      <c r="AU60" s="8">
        <f t="shared" si="24"/>
        <v>-5712</v>
      </c>
      <c r="AV60" s="8">
        <v>79328</v>
      </c>
      <c r="AW60" s="8">
        <f t="shared" si="25"/>
        <v>-761</v>
      </c>
      <c r="AX60" s="8">
        <f t="shared" si="0"/>
        <v>112113</v>
      </c>
      <c r="AY60" s="8">
        <f t="shared" si="26"/>
        <v>-4951</v>
      </c>
      <c r="AZ60" s="8">
        <v>780626</v>
      </c>
      <c r="BA60" s="8">
        <f t="shared" si="27"/>
        <v>15056</v>
      </c>
      <c r="BB60" s="8">
        <v>804759</v>
      </c>
      <c r="BC60" s="8">
        <f t="shared" si="28"/>
        <v>2990</v>
      </c>
      <c r="BD60" s="8">
        <f t="shared" si="1"/>
        <v>-24133</v>
      </c>
      <c r="BE60" s="8">
        <f t="shared" si="29"/>
        <v>12066</v>
      </c>
      <c r="BF60" s="8">
        <v>404625</v>
      </c>
      <c r="BG60" s="8">
        <f t="shared" si="30"/>
        <v>15230</v>
      </c>
      <c r="BH60" s="8">
        <v>764590</v>
      </c>
      <c r="BI60" s="8">
        <f t="shared" si="31"/>
        <v>863</v>
      </c>
      <c r="BJ60" s="8">
        <f t="shared" si="2"/>
        <v>-359965</v>
      </c>
      <c r="BK60" s="8">
        <f t="shared" si="3"/>
        <v>14367</v>
      </c>
    </row>
    <row r="61" spans="1:63">
      <c r="A61" s="5">
        <v>39294</v>
      </c>
      <c r="B61" s="8">
        <v>327776</v>
      </c>
      <c r="C61" s="8">
        <f t="shared" si="4"/>
        <v>-6056</v>
      </c>
      <c r="D61" s="8">
        <v>67317</v>
      </c>
      <c r="E61" s="8">
        <f t="shared" si="5"/>
        <v>-2122</v>
      </c>
      <c r="F61" s="8">
        <v>7068</v>
      </c>
      <c r="G61" s="8">
        <f t="shared" si="6"/>
        <v>1066</v>
      </c>
      <c r="H61" s="8">
        <v>60249</v>
      </c>
      <c r="I61" s="8">
        <f t="shared" si="7"/>
        <v>-3188</v>
      </c>
      <c r="J61" s="8">
        <v>161389</v>
      </c>
      <c r="K61" s="8">
        <f t="shared" si="8"/>
        <v>-8847</v>
      </c>
      <c r="L61" s="8">
        <v>233776</v>
      </c>
      <c r="M61" s="8">
        <f t="shared" si="9"/>
        <v>-9022</v>
      </c>
      <c r="N61" s="8">
        <v>-72387</v>
      </c>
      <c r="O61" s="8">
        <f t="shared" si="10"/>
        <v>175</v>
      </c>
      <c r="P61" s="8">
        <v>64802</v>
      </c>
      <c r="Q61" s="8">
        <f t="shared" si="11"/>
        <v>-10195</v>
      </c>
      <c r="R61" s="8">
        <v>225371</v>
      </c>
      <c r="S61" s="8">
        <f t="shared" si="12"/>
        <v>-8721</v>
      </c>
      <c r="T61" s="8">
        <v>-160569</v>
      </c>
      <c r="U61" s="8">
        <f t="shared" si="13"/>
        <v>-1474</v>
      </c>
      <c r="W61" s="8">
        <v>216417</v>
      </c>
      <c r="X61" s="8">
        <f t="shared" si="14"/>
        <v>-7769</v>
      </c>
      <c r="Y61" s="8">
        <v>39611</v>
      </c>
      <c r="Z61" s="8">
        <f t="shared" si="15"/>
        <v>-4124</v>
      </c>
      <c r="AA61" s="8">
        <v>10614</v>
      </c>
      <c r="AB61" s="8">
        <f t="shared" si="16"/>
        <v>4882</v>
      </c>
      <c r="AC61" s="8">
        <v>28997</v>
      </c>
      <c r="AD61" s="8">
        <f t="shared" si="16"/>
        <v>-9006</v>
      </c>
      <c r="AE61" s="8">
        <v>91889</v>
      </c>
      <c r="AF61" s="8">
        <f t="shared" si="17"/>
        <v>-1973</v>
      </c>
      <c r="AG61" s="8">
        <v>143333</v>
      </c>
      <c r="AH61" s="8">
        <f t="shared" si="18"/>
        <v>-9873</v>
      </c>
      <c r="AI61" s="8">
        <v>-51444</v>
      </c>
      <c r="AJ61" s="8">
        <f t="shared" si="19"/>
        <v>7900</v>
      </c>
      <c r="AK61" s="8">
        <v>85491</v>
      </c>
      <c r="AL61" s="8">
        <f t="shared" si="20"/>
        <v>-882</v>
      </c>
      <c r="AM61" s="8">
        <v>140858</v>
      </c>
      <c r="AN61" s="8">
        <f t="shared" si="21"/>
        <v>-9785</v>
      </c>
      <c r="AO61" s="8">
        <v>-55367</v>
      </c>
      <c r="AP61" s="8">
        <f t="shared" si="22"/>
        <v>8903</v>
      </c>
      <c r="AR61" s="8">
        <v>1679356</v>
      </c>
      <c r="AS61" s="8">
        <f t="shared" si="23"/>
        <v>-34654</v>
      </c>
      <c r="AT61" s="8">
        <v>193278</v>
      </c>
      <c r="AU61" s="8">
        <f t="shared" si="24"/>
        <v>1837</v>
      </c>
      <c r="AV61" s="8">
        <v>75389</v>
      </c>
      <c r="AW61" s="8">
        <f t="shared" si="25"/>
        <v>-3939</v>
      </c>
      <c r="AX61" s="8">
        <f t="shared" si="0"/>
        <v>117889</v>
      </c>
      <c r="AY61" s="8">
        <f t="shared" si="26"/>
        <v>5776</v>
      </c>
      <c r="AZ61" s="8">
        <v>752576</v>
      </c>
      <c r="BA61" s="8">
        <f t="shared" si="27"/>
        <v>-28050</v>
      </c>
      <c r="BB61" s="8">
        <v>791031</v>
      </c>
      <c r="BC61" s="8">
        <f t="shared" si="28"/>
        <v>-13728</v>
      </c>
      <c r="BD61" s="8">
        <f t="shared" si="1"/>
        <v>-38455</v>
      </c>
      <c r="BE61" s="8">
        <f t="shared" si="29"/>
        <v>-14322</v>
      </c>
      <c r="BF61" s="8">
        <v>380479</v>
      </c>
      <c r="BG61" s="8">
        <f t="shared" si="30"/>
        <v>-24146</v>
      </c>
      <c r="BH61" s="8">
        <v>752494</v>
      </c>
      <c r="BI61" s="8">
        <f t="shared" si="31"/>
        <v>-12096</v>
      </c>
      <c r="BJ61" s="8">
        <f t="shared" si="2"/>
        <v>-372015</v>
      </c>
      <c r="BK61" s="8">
        <f t="shared" si="3"/>
        <v>-12050</v>
      </c>
    </row>
    <row r="62" spans="1:63">
      <c r="A62" s="5">
        <v>39301</v>
      </c>
      <c r="B62" s="8">
        <v>319972</v>
      </c>
      <c r="C62" s="8">
        <f t="shared" si="4"/>
        <v>-7804</v>
      </c>
      <c r="D62" s="8">
        <v>62888</v>
      </c>
      <c r="E62" s="8">
        <f t="shared" si="5"/>
        <v>-4429</v>
      </c>
      <c r="F62" s="8">
        <v>10046</v>
      </c>
      <c r="G62" s="8">
        <f t="shared" si="6"/>
        <v>2978</v>
      </c>
      <c r="H62" s="8">
        <v>52842</v>
      </c>
      <c r="I62" s="8">
        <f t="shared" si="7"/>
        <v>-7407</v>
      </c>
      <c r="J62" s="8">
        <v>162423</v>
      </c>
      <c r="K62" s="8">
        <f t="shared" si="8"/>
        <v>1034</v>
      </c>
      <c r="L62" s="8">
        <v>227106</v>
      </c>
      <c r="M62" s="8">
        <f t="shared" si="9"/>
        <v>-6670</v>
      </c>
      <c r="N62" s="8">
        <v>-64683</v>
      </c>
      <c r="O62" s="8">
        <f t="shared" si="10"/>
        <v>7704</v>
      </c>
      <c r="P62" s="8">
        <v>64936</v>
      </c>
      <c r="Q62" s="8">
        <f t="shared" si="11"/>
        <v>134</v>
      </c>
      <c r="R62" s="8">
        <v>216640</v>
      </c>
      <c r="S62" s="8">
        <f t="shared" si="12"/>
        <v>-8731</v>
      </c>
      <c r="T62" s="8">
        <v>-151704</v>
      </c>
      <c r="U62" s="8">
        <f t="shared" si="13"/>
        <v>8865</v>
      </c>
      <c r="W62" s="8">
        <v>220339</v>
      </c>
      <c r="X62" s="8">
        <f t="shared" si="14"/>
        <v>3922</v>
      </c>
      <c r="Y62" s="8">
        <v>44253</v>
      </c>
      <c r="Z62" s="8">
        <f t="shared" si="15"/>
        <v>4642</v>
      </c>
      <c r="AA62" s="8">
        <v>9684</v>
      </c>
      <c r="AB62" s="8">
        <f t="shared" si="16"/>
        <v>-930</v>
      </c>
      <c r="AC62" s="8">
        <v>34569</v>
      </c>
      <c r="AD62" s="8">
        <f t="shared" si="16"/>
        <v>5572</v>
      </c>
      <c r="AE62" s="8">
        <v>91633</v>
      </c>
      <c r="AF62" s="8">
        <f t="shared" si="17"/>
        <v>-256</v>
      </c>
      <c r="AG62" s="8">
        <v>152099</v>
      </c>
      <c r="AH62" s="8">
        <f t="shared" si="18"/>
        <v>8766</v>
      </c>
      <c r="AI62" s="8">
        <v>-60466</v>
      </c>
      <c r="AJ62" s="8">
        <f t="shared" si="19"/>
        <v>-9022</v>
      </c>
      <c r="AK62" s="8">
        <v>84728</v>
      </c>
      <c r="AL62" s="8">
        <f t="shared" si="20"/>
        <v>-763</v>
      </c>
      <c r="AM62" s="8">
        <v>150512</v>
      </c>
      <c r="AN62" s="8">
        <f t="shared" si="21"/>
        <v>9654</v>
      </c>
      <c r="AO62" s="8">
        <v>-65784</v>
      </c>
      <c r="AP62" s="8">
        <f t="shared" si="22"/>
        <v>-10417</v>
      </c>
      <c r="AR62" s="8">
        <v>1659771</v>
      </c>
      <c r="AS62" s="8">
        <f t="shared" si="23"/>
        <v>-19585</v>
      </c>
      <c r="AT62" s="8">
        <v>190508</v>
      </c>
      <c r="AU62" s="8">
        <f t="shared" si="24"/>
        <v>-2770</v>
      </c>
      <c r="AV62" s="8">
        <v>67036</v>
      </c>
      <c r="AW62" s="8">
        <f t="shared" si="25"/>
        <v>-8353</v>
      </c>
      <c r="AX62" s="8">
        <f t="shared" si="0"/>
        <v>123472</v>
      </c>
      <c r="AY62" s="8">
        <f t="shared" si="26"/>
        <v>5583</v>
      </c>
      <c r="AZ62" s="8">
        <v>737465</v>
      </c>
      <c r="BA62" s="8">
        <f t="shared" si="27"/>
        <v>-15111</v>
      </c>
      <c r="BB62" s="8">
        <v>786084</v>
      </c>
      <c r="BC62" s="8">
        <f t="shared" si="28"/>
        <v>-4947</v>
      </c>
      <c r="BD62" s="8">
        <f t="shared" si="1"/>
        <v>-48619</v>
      </c>
      <c r="BE62" s="8">
        <f t="shared" si="29"/>
        <v>-10164</v>
      </c>
      <c r="BF62" s="8">
        <v>364409</v>
      </c>
      <c r="BG62" s="8">
        <f t="shared" si="30"/>
        <v>-16070</v>
      </c>
      <c r="BH62" s="8">
        <v>747587</v>
      </c>
      <c r="BI62" s="8">
        <f t="shared" si="31"/>
        <v>-4907</v>
      </c>
      <c r="BJ62" s="8">
        <f t="shared" si="2"/>
        <v>-383178</v>
      </c>
      <c r="BK62" s="8">
        <f t="shared" si="3"/>
        <v>-11163</v>
      </c>
    </row>
    <row r="63" spans="1:63">
      <c r="A63" s="5">
        <v>39308</v>
      </c>
      <c r="B63" s="8">
        <v>327883</v>
      </c>
      <c r="C63" s="8">
        <f t="shared" si="4"/>
        <v>7911</v>
      </c>
      <c r="D63" s="8">
        <v>57031</v>
      </c>
      <c r="E63" s="8">
        <f t="shared" si="5"/>
        <v>-5857</v>
      </c>
      <c r="F63" s="8">
        <v>11338</v>
      </c>
      <c r="G63" s="8">
        <f t="shared" si="6"/>
        <v>1292</v>
      </c>
      <c r="H63" s="8">
        <v>45693</v>
      </c>
      <c r="I63" s="8">
        <f t="shared" si="7"/>
        <v>-7149</v>
      </c>
      <c r="J63" s="8">
        <v>171347</v>
      </c>
      <c r="K63" s="8">
        <f t="shared" si="8"/>
        <v>8924</v>
      </c>
      <c r="L63" s="8">
        <v>226371</v>
      </c>
      <c r="M63" s="8">
        <f t="shared" si="9"/>
        <v>-735</v>
      </c>
      <c r="N63" s="8">
        <v>-55024</v>
      </c>
      <c r="O63" s="8">
        <f t="shared" si="10"/>
        <v>9659</v>
      </c>
      <c r="P63" s="8">
        <v>77207</v>
      </c>
      <c r="Q63" s="8">
        <f t="shared" si="11"/>
        <v>12271</v>
      </c>
      <c r="R63" s="8">
        <v>215462</v>
      </c>
      <c r="S63" s="8">
        <f t="shared" si="12"/>
        <v>-1178</v>
      </c>
      <c r="T63" s="8">
        <v>-138255</v>
      </c>
      <c r="U63" s="8">
        <f t="shared" si="13"/>
        <v>13449</v>
      </c>
      <c r="W63" s="8">
        <v>217119</v>
      </c>
      <c r="X63" s="8">
        <f t="shared" si="14"/>
        <v>-3220</v>
      </c>
      <c r="Y63" s="8">
        <v>43873</v>
      </c>
      <c r="Z63" s="8">
        <f t="shared" si="15"/>
        <v>-380</v>
      </c>
      <c r="AA63" s="8">
        <v>4916</v>
      </c>
      <c r="AB63" s="8">
        <f t="shared" si="16"/>
        <v>-4768</v>
      </c>
      <c r="AC63" s="8">
        <v>38957</v>
      </c>
      <c r="AD63" s="8">
        <f t="shared" si="16"/>
        <v>4388</v>
      </c>
      <c r="AE63" s="8">
        <v>89143</v>
      </c>
      <c r="AF63" s="8">
        <f t="shared" si="17"/>
        <v>-2490</v>
      </c>
      <c r="AG63" s="8">
        <v>155089</v>
      </c>
      <c r="AH63" s="8">
        <f t="shared" si="18"/>
        <v>2990</v>
      </c>
      <c r="AI63" s="8">
        <v>-65946</v>
      </c>
      <c r="AJ63" s="8">
        <f t="shared" si="19"/>
        <v>-5480</v>
      </c>
      <c r="AK63" s="8">
        <v>81638</v>
      </c>
      <c r="AL63" s="8">
        <f t="shared" si="20"/>
        <v>-3090</v>
      </c>
      <c r="AM63" s="8">
        <v>153519</v>
      </c>
      <c r="AN63" s="8">
        <f t="shared" si="21"/>
        <v>3007</v>
      </c>
      <c r="AO63" s="8">
        <v>-71881</v>
      </c>
      <c r="AP63" s="8">
        <f t="shared" si="22"/>
        <v>-6097</v>
      </c>
      <c r="AR63" s="8">
        <v>1599397</v>
      </c>
      <c r="AS63" s="8">
        <f t="shared" si="23"/>
        <v>-60374</v>
      </c>
      <c r="AT63" s="8">
        <v>182722</v>
      </c>
      <c r="AU63" s="8">
        <f t="shared" si="24"/>
        <v>-7786</v>
      </c>
      <c r="AV63" s="8">
        <v>53070</v>
      </c>
      <c r="AW63" s="8">
        <f t="shared" si="25"/>
        <v>-13966</v>
      </c>
      <c r="AX63" s="8">
        <f t="shared" si="0"/>
        <v>129652</v>
      </c>
      <c r="AY63" s="8">
        <f t="shared" si="26"/>
        <v>6180</v>
      </c>
      <c r="AZ63" s="8">
        <v>724813</v>
      </c>
      <c r="BA63" s="8">
        <f t="shared" si="27"/>
        <v>-12652</v>
      </c>
      <c r="BB63" s="8">
        <v>770084</v>
      </c>
      <c r="BC63" s="8">
        <f t="shared" si="28"/>
        <v>-16000</v>
      </c>
      <c r="BD63" s="8">
        <f t="shared" si="1"/>
        <v>-45271</v>
      </c>
      <c r="BE63" s="8">
        <f t="shared" si="29"/>
        <v>3348</v>
      </c>
      <c r="BF63" s="8">
        <v>360254</v>
      </c>
      <c r="BG63" s="8">
        <f t="shared" si="30"/>
        <v>-4155</v>
      </c>
      <c r="BH63" s="8">
        <v>734520</v>
      </c>
      <c r="BI63" s="8">
        <f t="shared" si="31"/>
        <v>-13067</v>
      </c>
      <c r="BJ63" s="8">
        <f t="shared" si="2"/>
        <v>-374266</v>
      </c>
      <c r="BK63" s="8">
        <f t="shared" si="3"/>
        <v>8912</v>
      </c>
    </row>
    <row r="64" spans="1:63">
      <c r="A64" s="5">
        <v>39315</v>
      </c>
      <c r="B64" s="8">
        <v>329631</v>
      </c>
      <c r="C64" s="8">
        <f t="shared" si="4"/>
        <v>1748</v>
      </c>
      <c r="D64" s="8">
        <v>39653</v>
      </c>
      <c r="E64" s="8">
        <f t="shared" si="5"/>
        <v>-17378</v>
      </c>
      <c r="F64" s="8">
        <v>16598</v>
      </c>
      <c r="G64" s="8">
        <f t="shared" si="6"/>
        <v>5260</v>
      </c>
      <c r="H64" s="8">
        <v>23055</v>
      </c>
      <c r="I64" s="8">
        <f t="shared" si="7"/>
        <v>-22638</v>
      </c>
      <c r="J64" s="8">
        <v>183052</v>
      </c>
      <c r="K64" s="8">
        <f t="shared" si="8"/>
        <v>11705</v>
      </c>
      <c r="L64" s="8">
        <v>214025</v>
      </c>
      <c r="M64" s="8">
        <f t="shared" si="9"/>
        <v>-12346</v>
      </c>
      <c r="N64" s="8">
        <v>-30973</v>
      </c>
      <c r="O64" s="8">
        <f t="shared" si="10"/>
        <v>24051</v>
      </c>
      <c r="P64" s="8">
        <v>94607</v>
      </c>
      <c r="Q64" s="8">
        <f t="shared" si="11"/>
        <v>17400</v>
      </c>
      <c r="R64" s="8">
        <v>200073</v>
      </c>
      <c r="S64" s="8">
        <f t="shared" si="12"/>
        <v>-15389</v>
      </c>
      <c r="T64" s="8">
        <v>-105466</v>
      </c>
      <c r="U64" s="8">
        <f t="shared" si="13"/>
        <v>32789</v>
      </c>
      <c r="W64" s="8">
        <v>211512</v>
      </c>
      <c r="X64" s="8">
        <f t="shared" si="14"/>
        <v>-5607</v>
      </c>
      <c r="Y64" s="8">
        <v>37546</v>
      </c>
      <c r="Z64" s="8">
        <f t="shared" si="15"/>
        <v>-6327</v>
      </c>
      <c r="AA64" s="8">
        <v>4718</v>
      </c>
      <c r="AB64" s="8">
        <f t="shared" si="16"/>
        <v>-198</v>
      </c>
      <c r="AC64" s="8">
        <v>32828</v>
      </c>
      <c r="AD64" s="8">
        <f t="shared" si="16"/>
        <v>-6129</v>
      </c>
      <c r="AE64" s="8">
        <v>91305</v>
      </c>
      <c r="AF64" s="8">
        <f t="shared" si="17"/>
        <v>2162</v>
      </c>
      <c r="AG64" s="8">
        <v>148719</v>
      </c>
      <c r="AH64" s="8">
        <f t="shared" si="18"/>
        <v>-6370</v>
      </c>
      <c r="AI64" s="8">
        <v>-57414</v>
      </c>
      <c r="AJ64" s="8">
        <f t="shared" si="19"/>
        <v>8532</v>
      </c>
      <c r="AK64" s="8">
        <v>84463</v>
      </c>
      <c r="AL64" s="8">
        <f t="shared" si="20"/>
        <v>2825</v>
      </c>
      <c r="AM64" s="8">
        <v>147038</v>
      </c>
      <c r="AN64" s="8">
        <f t="shared" si="21"/>
        <v>-6481</v>
      </c>
      <c r="AO64" s="8">
        <v>-62575</v>
      </c>
      <c r="AP64" s="8">
        <f t="shared" si="22"/>
        <v>9306</v>
      </c>
      <c r="AR64" s="8">
        <v>1572036</v>
      </c>
      <c r="AS64" s="8">
        <f t="shared" si="23"/>
        <v>-27361</v>
      </c>
      <c r="AT64" s="8">
        <v>184852</v>
      </c>
      <c r="AU64" s="8">
        <f t="shared" si="24"/>
        <v>2130</v>
      </c>
      <c r="AV64" s="8">
        <v>51792</v>
      </c>
      <c r="AW64" s="8">
        <f t="shared" si="25"/>
        <v>-1278</v>
      </c>
      <c r="AX64" s="8">
        <f t="shared" si="0"/>
        <v>133060</v>
      </c>
      <c r="AY64" s="8">
        <f t="shared" si="26"/>
        <v>3408</v>
      </c>
      <c r="AZ64" s="8">
        <v>713044</v>
      </c>
      <c r="BA64" s="8">
        <f t="shared" si="27"/>
        <v>-11769</v>
      </c>
      <c r="BB64" s="8">
        <v>763547</v>
      </c>
      <c r="BC64" s="8">
        <f t="shared" si="28"/>
        <v>-6537</v>
      </c>
      <c r="BD64" s="8">
        <f t="shared" si="1"/>
        <v>-50503</v>
      </c>
      <c r="BE64" s="8">
        <f t="shared" si="29"/>
        <v>-5232</v>
      </c>
      <c r="BF64" s="8">
        <v>354852</v>
      </c>
      <c r="BG64" s="8">
        <f t="shared" si="30"/>
        <v>-5402</v>
      </c>
      <c r="BH64" s="8">
        <v>726781</v>
      </c>
      <c r="BI64" s="8">
        <f t="shared" si="31"/>
        <v>-7739</v>
      </c>
      <c r="BJ64" s="8">
        <f t="shared" si="2"/>
        <v>-371929</v>
      </c>
      <c r="BK64" s="8">
        <f t="shared" si="3"/>
        <v>2337</v>
      </c>
    </row>
    <row r="65" spans="1:63">
      <c r="A65" s="5">
        <v>39322</v>
      </c>
      <c r="B65" s="8">
        <v>299997</v>
      </c>
      <c r="C65" s="8">
        <f t="shared" si="4"/>
        <v>-29634</v>
      </c>
      <c r="D65" s="8">
        <v>39338</v>
      </c>
      <c r="E65" s="8">
        <f t="shared" si="5"/>
        <v>-315</v>
      </c>
      <c r="F65" s="8">
        <v>16146</v>
      </c>
      <c r="G65" s="8">
        <f t="shared" si="6"/>
        <v>-452</v>
      </c>
      <c r="H65" s="8">
        <v>23192</v>
      </c>
      <c r="I65" s="8">
        <f t="shared" si="7"/>
        <v>137</v>
      </c>
      <c r="J65" s="8">
        <v>172661</v>
      </c>
      <c r="K65" s="8">
        <f t="shared" si="8"/>
        <v>-10391</v>
      </c>
      <c r="L65" s="8">
        <v>204257</v>
      </c>
      <c r="M65" s="8">
        <f t="shared" si="9"/>
        <v>-9768</v>
      </c>
      <c r="N65" s="8">
        <v>-31596</v>
      </c>
      <c r="O65" s="8">
        <f t="shared" si="10"/>
        <v>-623</v>
      </c>
      <c r="P65" s="8">
        <v>89730</v>
      </c>
      <c r="Q65" s="8">
        <f t="shared" si="11"/>
        <v>-4877</v>
      </c>
      <c r="R65" s="8">
        <v>191529</v>
      </c>
      <c r="S65" s="8">
        <f t="shared" si="12"/>
        <v>-8544</v>
      </c>
      <c r="T65" s="8">
        <v>-101799</v>
      </c>
      <c r="U65" s="8">
        <f t="shared" si="13"/>
        <v>3667</v>
      </c>
      <c r="W65" s="8">
        <v>213327</v>
      </c>
      <c r="X65" s="8">
        <f t="shared" si="14"/>
        <v>1815</v>
      </c>
      <c r="Y65" s="8">
        <v>43742</v>
      </c>
      <c r="Z65" s="8">
        <f t="shared" si="15"/>
        <v>6196</v>
      </c>
      <c r="AA65" s="8">
        <v>2188</v>
      </c>
      <c r="AB65" s="8">
        <f t="shared" si="16"/>
        <v>-2530</v>
      </c>
      <c r="AC65" s="8">
        <v>41554</v>
      </c>
      <c r="AD65" s="8">
        <f t="shared" si="16"/>
        <v>8726</v>
      </c>
      <c r="AE65" s="8">
        <v>90191</v>
      </c>
      <c r="AF65" s="8">
        <f t="shared" si="17"/>
        <v>-1114</v>
      </c>
      <c r="AG65" s="8">
        <v>155493</v>
      </c>
      <c r="AH65" s="8">
        <f t="shared" si="18"/>
        <v>6774</v>
      </c>
      <c r="AI65" s="8">
        <v>-65302</v>
      </c>
      <c r="AJ65" s="8">
        <f t="shared" si="19"/>
        <v>-7888</v>
      </c>
      <c r="AK65" s="8">
        <v>84047</v>
      </c>
      <c r="AL65" s="8">
        <f t="shared" si="20"/>
        <v>-416</v>
      </c>
      <c r="AM65" s="8">
        <v>154446</v>
      </c>
      <c r="AN65" s="8">
        <f t="shared" si="21"/>
        <v>7408</v>
      </c>
      <c r="AO65" s="8">
        <v>-70399</v>
      </c>
      <c r="AP65" s="8">
        <f t="shared" si="22"/>
        <v>-7824</v>
      </c>
      <c r="AR65" s="8">
        <v>1510757</v>
      </c>
      <c r="AS65" s="8">
        <f t="shared" si="23"/>
        <v>-61279</v>
      </c>
      <c r="AT65" s="8">
        <v>186497</v>
      </c>
      <c r="AU65" s="8">
        <f t="shared" si="24"/>
        <v>1645</v>
      </c>
      <c r="AV65" s="8">
        <v>56256</v>
      </c>
      <c r="AW65" s="8">
        <f t="shared" si="25"/>
        <v>4464</v>
      </c>
      <c r="AX65" s="8">
        <f t="shared" si="0"/>
        <v>130241</v>
      </c>
      <c r="AY65" s="8">
        <f t="shared" si="26"/>
        <v>-2819</v>
      </c>
      <c r="AZ65" s="8">
        <v>705489</v>
      </c>
      <c r="BA65" s="8">
        <f t="shared" si="27"/>
        <v>-7555</v>
      </c>
      <c r="BB65" s="8">
        <v>750542</v>
      </c>
      <c r="BC65" s="8">
        <f t="shared" si="28"/>
        <v>-13005</v>
      </c>
      <c r="BD65" s="8">
        <f t="shared" si="1"/>
        <v>-45053</v>
      </c>
      <c r="BE65" s="8">
        <f t="shared" si="29"/>
        <v>5450</v>
      </c>
      <c r="BF65" s="8">
        <v>351668</v>
      </c>
      <c r="BG65" s="8">
        <f t="shared" si="30"/>
        <v>-3184</v>
      </c>
      <c r="BH65" s="8">
        <v>717405</v>
      </c>
      <c r="BI65" s="8">
        <f t="shared" si="31"/>
        <v>-9376</v>
      </c>
      <c r="BJ65" s="8">
        <f t="shared" si="2"/>
        <v>-365737</v>
      </c>
      <c r="BK65" s="8">
        <f t="shared" si="3"/>
        <v>6192</v>
      </c>
    </row>
    <row r="66" spans="1:63">
      <c r="A66" s="5">
        <v>39329</v>
      </c>
      <c r="B66" s="8">
        <v>297412</v>
      </c>
      <c r="C66" s="8">
        <f t="shared" si="4"/>
        <v>-2585</v>
      </c>
      <c r="D66" s="8">
        <v>46364</v>
      </c>
      <c r="E66" s="8">
        <f t="shared" si="5"/>
        <v>7026</v>
      </c>
      <c r="F66" s="8">
        <v>9835</v>
      </c>
      <c r="G66" s="8">
        <f t="shared" si="6"/>
        <v>-6311</v>
      </c>
      <c r="H66" s="8">
        <v>36529</v>
      </c>
      <c r="I66" s="8">
        <f t="shared" si="7"/>
        <v>13337</v>
      </c>
      <c r="J66" s="8">
        <v>162348</v>
      </c>
      <c r="K66" s="8">
        <f t="shared" si="8"/>
        <v>-10313</v>
      </c>
      <c r="L66" s="8">
        <v>209256</v>
      </c>
      <c r="M66" s="8">
        <f t="shared" si="9"/>
        <v>4999</v>
      </c>
      <c r="N66" s="8">
        <v>-46908</v>
      </c>
      <c r="O66" s="8">
        <f t="shared" si="10"/>
        <v>-15312</v>
      </c>
      <c r="P66" s="8">
        <v>77716</v>
      </c>
      <c r="Q66" s="8">
        <f t="shared" si="11"/>
        <v>-12014</v>
      </c>
      <c r="R66" s="8">
        <v>196824</v>
      </c>
      <c r="S66" s="8">
        <f t="shared" si="12"/>
        <v>5295</v>
      </c>
      <c r="T66" s="8">
        <v>-119108</v>
      </c>
      <c r="U66" s="8">
        <f t="shared" si="13"/>
        <v>-17309</v>
      </c>
      <c r="W66" s="8">
        <v>222374</v>
      </c>
      <c r="X66" s="8">
        <f t="shared" si="14"/>
        <v>9047</v>
      </c>
      <c r="Y66" s="8">
        <v>50214</v>
      </c>
      <c r="Z66" s="8">
        <f t="shared" si="15"/>
        <v>6472</v>
      </c>
      <c r="AA66" s="8">
        <v>1920</v>
      </c>
      <c r="AB66" s="8">
        <f t="shared" si="16"/>
        <v>-268</v>
      </c>
      <c r="AC66" s="8">
        <v>48294</v>
      </c>
      <c r="AD66" s="8">
        <f t="shared" si="16"/>
        <v>6740</v>
      </c>
      <c r="AE66" s="8">
        <v>86434</v>
      </c>
      <c r="AF66" s="8">
        <f t="shared" si="17"/>
        <v>-3757</v>
      </c>
      <c r="AG66" s="8">
        <v>161996</v>
      </c>
      <c r="AH66" s="8">
        <f t="shared" si="18"/>
        <v>6503</v>
      </c>
      <c r="AI66" s="8">
        <v>-75562</v>
      </c>
      <c r="AJ66" s="8">
        <f t="shared" si="19"/>
        <v>-10260</v>
      </c>
      <c r="AK66" s="8">
        <v>79620</v>
      </c>
      <c r="AL66" s="8">
        <f t="shared" si="20"/>
        <v>-4427</v>
      </c>
      <c r="AM66" s="8">
        <v>161714</v>
      </c>
      <c r="AN66" s="8">
        <f t="shared" si="21"/>
        <v>7268</v>
      </c>
      <c r="AO66" s="8">
        <v>-82094</v>
      </c>
      <c r="AP66" s="8">
        <f t="shared" si="22"/>
        <v>-11695</v>
      </c>
      <c r="AR66" s="8">
        <v>1521929</v>
      </c>
      <c r="AS66" s="8">
        <f t="shared" si="23"/>
        <v>11172</v>
      </c>
      <c r="AT66" s="8">
        <v>176929</v>
      </c>
      <c r="AU66" s="8">
        <f t="shared" si="24"/>
        <v>-9568</v>
      </c>
      <c r="AV66" s="8">
        <v>59424</v>
      </c>
      <c r="AW66" s="8">
        <f t="shared" si="25"/>
        <v>3168</v>
      </c>
      <c r="AX66" s="8">
        <f t="shared" si="0"/>
        <v>117505</v>
      </c>
      <c r="AY66" s="8">
        <f t="shared" si="26"/>
        <v>-12736</v>
      </c>
      <c r="AZ66" s="8">
        <v>717433</v>
      </c>
      <c r="BA66" s="8">
        <f t="shared" si="27"/>
        <v>11944</v>
      </c>
      <c r="BB66" s="8">
        <v>749259</v>
      </c>
      <c r="BC66" s="8">
        <f t="shared" si="28"/>
        <v>-1283</v>
      </c>
      <c r="BD66" s="8">
        <f t="shared" si="1"/>
        <v>-31826</v>
      </c>
      <c r="BE66" s="8">
        <f t="shared" si="29"/>
        <v>13227</v>
      </c>
      <c r="BF66" s="8">
        <v>356576</v>
      </c>
      <c r="BG66" s="8">
        <f t="shared" si="30"/>
        <v>4908</v>
      </c>
      <c r="BH66" s="8">
        <v>715055</v>
      </c>
      <c r="BI66" s="8">
        <f t="shared" si="31"/>
        <v>-2350</v>
      </c>
      <c r="BJ66" s="8">
        <f t="shared" si="2"/>
        <v>-358479</v>
      </c>
      <c r="BK66" s="8">
        <f t="shared" si="3"/>
        <v>7258</v>
      </c>
    </row>
    <row r="67" spans="1:63">
      <c r="A67" s="5">
        <v>39336</v>
      </c>
      <c r="B67" s="8">
        <v>302768</v>
      </c>
      <c r="C67" s="8">
        <f t="shared" si="4"/>
        <v>5356</v>
      </c>
      <c r="D67" s="8">
        <v>54371</v>
      </c>
      <c r="E67" s="8">
        <f t="shared" si="5"/>
        <v>8007</v>
      </c>
      <c r="F67" s="8">
        <v>6832</v>
      </c>
      <c r="G67" s="8">
        <f t="shared" si="6"/>
        <v>-3003</v>
      </c>
      <c r="H67" s="8">
        <v>47539</v>
      </c>
      <c r="I67" s="8">
        <f t="shared" si="7"/>
        <v>11010</v>
      </c>
      <c r="J67" s="8">
        <v>163399</v>
      </c>
      <c r="K67" s="8">
        <f t="shared" si="8"/>
        <v>1051</v>
      </c>
      <c r="L67" s="8">
        <v>225027</v>
      </c>
      <c r="M67" s="8">
        <f t="shared" si="9"/>
        <v>15771</v>
      </c>
      <c r="N67" s="8">
        <v>-61628</v>
      </c>
      <c r="O67" s="8">
        <f t="shared" si="10"/>
        <v>-14720</v>
      </c>
      <c r="P67" s="8">
        <v>75975</v>
      </c>
      <c r="Q67" s="8">
        <f t="shared" si="11"/>
        <v>-1741</v>
      </c>
      <c r="R67" s="8">
        <v>212020</v>
      </c>
      <c r="S67" s="8">
        <f t="shared" si="12"/>
        <v>15196</v>
      </c>
      <c r="T67" s="8">
        <v>-136045</v>
      </c>
      <c r="U67" s="8">
        <f t="shared" si="13"/>
        <v>-16937</v>
      </c>
      <c r="W67" s="8">
        <v>229688</v>
      </c>
      <c r="X67" s="8">
        <f t="shared" si="14"/>
        <v>7314</v>
      </c>
      <c r="Y67" s="8">
        <v>52485</v>
      </c>
      <c r="Z67" s="8">
        <f t="shared" si="15"/>
        <v>2271</v>
      </c>
      <c r="AA67" s="8">
        <v>1399</v>
      </c>
      <c r="AB67" s="8">
        <f t="shared" si="16"/>
        <v>-521</v>
      </c>
      <c r="AC67" s="8">
        <v>51086</v>
      </c>
      <c r="AD67" s="8">
        <f t="shared" si="16"/>
        <v>2792</v>
      </c>
      <c r="AE67" s="8">
        <v>91523</v>
      </c>
      <c r="AF67" s="8">
        <f t="shared" si="17"/>
        <v>5089</v>
      </c>
      <c r="AG67" s="8">
        <v>171865</v>
      </c>
      <c r="AH67" s="8">
        <f t="shared" si="18"/>
        <v>9869</v>
      </c>
      <c r="AI67" s="8">
        <v>-80342</v>
      </c>
      <c r="AJ67" s="8">
        <f t="shared" si="19"/>
        <v>-4780</v>
      </c>
      <c r="AK67" s="8">
        <v>80720</v>
      </c>
      <c r="AL67" s="8">
        <f t="shared" si="20"/>
        <v>1100</v>
      </c>
      <c r="AM67" s="8">
        <v>171573</v>
      </c>
      <c r="AN67" s="8">
        <f t="shared" si="21"/>
        <v>9859</v>
      </c>
      <c r="AO67" s="8">
        <v>-90853</v>
      </c>
      <c r="AP67" s="8">
        <f t="shared" si="22"/>
        <v>-8759</v>
      </c>
      <c r="AR67" s="8">
        <v>1532637</v>
      </c>
      <c r="AS67" s="8">
        <f t="shared" si="23"/>
        <v>10708</v>
      </c>
      <c r="AT67" s="8">
        <v>178146</v>
      </c>
      <c r="AU67" s="8">
        <f t="shared" si="24"/>
        <v>1217</v>
      </c>
      <c r="AV67" s="8">
        <v>64064</v>
      </c>
      <c r="AW67" s="8">
        <f t="shared" si="25"/>
        <v>4640</v>
      </c>
      <c r="AX67" s="8">
        <f t="shared" si="0"/>
        <v>114082</v>
      </c>
      <c r="AY67" s="8">
        <f t="shared" si="26"/>
        <v>-3423</v>
      </c>
      <c r="AZ67" s="8">
        <v>721754</v>
      </c>
      <c r="BA67" s="8">
        <f t="shared" si="27"/>
        <v>4321</v>
      </c>
      <c r="BB67" s="8">
        <v>745886</v>
      </c>
      <c r="BC67" s="8">
        <f t="shared" si="28"/>
        <v>-3373</v>
      </c>
      <c r="BD67" s="8">
        <f t="shared" si="1"/>
        <v>-24132</v>
      </c>
      <c r="BE67" s="8">
        <f t="shared" si="29"/>
        <v>7694</v>
      </c>
      <c r="BF67" s="8">
        <v>369419</v>
      </c>
      <c r="BG67" s="8">
        <f t="shared" si="30"/>
        <v>12843</v>
      </c>
      <c r="BH67" s="8">
        <v>711092</v>
      </c>
      <c r="BI67" s="8">
        <f t="shared" si="31"/>
        <v>-3963</v>
      </c>
      <c r="BJ67" s="8">
        <f t="shared" si="2"/>
        <v>-341673</v>
      </c>
      <c r="BK67" s="8">
        <f t="shared" si="3"/>
        <v>16806</v>
      </c>
    </row>
    <row r="68" spans="1:63">
      <c r="A68" s="5">
        <v>39343</v>
      </c>
      <c r="B68" s="8">
        <v>315060</v>
      </c>
      <c r="C68" s="8">
        <f t="shared" si="4"/>
        <v>12292</v>
      </c>
      <c r="D68" s="8">
        <v>60977</v>
      </c>
      <c r="E68" s="8">
        <f t="shared" si="5"/>
        <v>6606</v>
      </c>
      <c r="F68" s="8">
        <v>7117</v>
      </c>
      <c r="G68" s="8">
        <f t="shared" si="6"/>
        <v>285</v>
      </c>
      <c r="H68" s="8">
        <v>53860</v>
      </c>
      <c r="I68" s="8">
        <f t="shared" si="7"/>
        <v>6321</v>
      </c>
      <c r="J68" s="8">
        <v>164641</v>
      </c>
      <c r="K68" s="8">
        <f t="shared" si="8"/>
        <v>1242</v>
      </c>
      <c r="L68" s="8">
        <v>235106</v>
      </c>
      <c r="M68" s="8">
        <f t="shared" si="9"/>
        <v>10079</v>
      </c>
      <c r="N68" s="8">
        <v>-70465</v>
      </c>
      <c r="O68" s="8">
        <f t="shared" si="10"/>
        <v>-8837</v>
      </c>
      <c r="P68" s="8">
        <v>74542</v>
      </c>
      <c r="Q68" s="8">
        <f t="shared" si="11"/>
        <v>-1433</v>
      </c>
      <c r="R68" s="8">
        <v>221202</v>
      </c>
      <c r="S68" s="8">
        <f t="shared" si="12"/>
        <v>9182</v>
      </c>
      <c r="T68" s="8">
        <v>-146660</v>
      </c>
      <c r="U68" s="8">
        <f t="shared" si="13"/>
        <v>-10615</v>
      </c>
      <c r="W68" s="8">
        <v>246249</v>
      </c>
      <c r="X68" s="8">
        <f t="shared" si="14"/>
        <v>16561</v>
      </c>
      <c r="Y68" s="8">
        <v>59436</v>
      </c>
      <c r="Z68" s="8">
        <f t="shared" si="15"/>
        <v>6951</v>
      </c>
      <c r="AA68" s="8">
        <v>2586</v>
      </c>
      <c r="AB68" s="8">
        <f t="shared" si="16"/>
        <v>1187</v>
      </c>
      <c r="AC68" s="8">
        <v>56850</v>
      </c>
      <c r="AD68" s="8">
        <f t="shared" si="16"/>
        <v>5764</v>
      </c>
      <c r="AE68" s="8">
        <v>94642</v>
      </c>
      <c r="AF68" s="8">
        <f t="shared" si="17"/>
        <v>3119</v>
      </c>
      <c r="AG68" s="8">
        <v>181370</v>
      </c>
      <c r="AH68" s="8">
        <f t="shared" si="18"/>
        <v>9505</v>
      </c>
      <c r="AI68" s="8">
        <v>-86728</v>
      </c>
      <c r="AJ68" s="8">
        <f t="shared" si="19"/>
        <v>-6386</v>
      </c>
      <c r="AK68" s="8">
        <v>80460</v>
      </c>
      <c r="AL68" s="8">
        <f t="shared" si="20"/>
        <v>-260</v>
      </c>
      <c r="AM68" s="8">
        <v>179814</v>
      </c>
      <c r="AN68" s="8">
        <f t="shared" si="21"/>
        <v>8241</v>
      </c>
      <c r="AO68" s="8">
        <v>-99354</v>
      </c>
      <c r="AP68" s="8">
        <f t="shared" si="22"/>
        <v>-8501</v>
      </c>
      <c r="AR68" s="8">
        <v>1552246</v>
      </c>
      <c r="AS68" s="8">
        <f t="shared" si="23"/>
        <v>19609</v>
      </c>
      <c r="AT68" s="8">
        <v>184609</v>
      </c>
      <c r="AU68" s="8">
        <f t="shared" si="24"/>
        <v>6463</v>
      </c>
      <c r="AV68" s="8">
        <v>59806</v>
      </c>
      <c r="AW68" s="8">
        <f t="shared" si="25"/>
        <v>-4258</v>
      </c>
      <c r="AX68" s="8">
        <f t="shared" ref="AX68:AX131" si="32">AT68-AV68</f>
        <v>124803</v>
      </c>
      <c r="AY68" s="8">
        <f t="shared" si="26"/>
        <v>10721</v>
      </c>
      <c r="AZ68" s="8">
        <v>718545</v>
      </c>
      <c r="BA68" s="8">
        <f t="shared" si="27"/>
        <v>-3209</v>
      </c>
      <c r="BB68" s="8">
        <v>768763</v>
      </c>
      <c r="BC68" s="8">
        <f t="shared" si="28"/>
        <v>22877</v>
      </c>
      <c r="BD68" s="8">
        <f t="shared" ref="BD68:BD131" si="33">AZ68-BB68</f>
        <v>-50218</v>
      </c>
      <c r="BE68" s="8">
        <f t="shared" si="29"/>
        <v>-26086</v>
      </c>
      <c r="BF68" s="8">
        <v>363655</v>
      </c>
      <c r="BG68" s="8">
        <f t="shared" si="30"/>
        <v>-5764</v>
      </c>
      <c r="BH68" s="8">
        <v>733854</v>
      </c>
      <c r="BI68" s="8">
        <f t="shared" si="31"/>
        <v>22762</v>
      </c>
      <c r="BJ68" s="8">
        <f t="shared" ref="BJ68:BJ131" si="34">BF68-BH68</f>
        <v>-370199</v>
      </c>
      <c r="BK68" s="8">
        <f t="shared" si="3"/>
        <v>-28526</v>
      </c>
    </row>
    <row r="69" spans="1:63">
      <c r="A69" s="5">
        <v>39350</v>
      </c>
      <c r="B69" s="8">
        <v>311430</v>
      </c>
      <c r="C69" s="8">
        <f t="shared" si="4"/>
        <v>-3630</v>
      </c>
      <c r="D69" s="8">
        <v>60955</v>
      </c>
      <c r="E69" s="8">
        <f t="shared" si="5"/>
        <v>-22</v>
      </c>
      <c r="F69" s="8">
        <v>6929</v>
      </c>
      <c r="G69" s="8">
        <f t="shared" si="6"/>
        <v>-188</v>
      </c>
      <c r="H69" s="8">
        <v>54026</v>
      </c>
      <c r="I69" s="8">
        <f t="shared" si="7"/>
        <v>166</v>
      </c>
      <c r="J69" s="8">
        <v>161772</v>
      </c>
      <c r="K69" s="8">
        <f t="shared" si="8"/>
        <v>-2869</v>
      </c>
      <c r="L69" s="8">
        <v>232723</v>
      </c>
      <c r="M69" s="8">
        <f t="shared" si="9"/>
        <v>-2383</v>
      </c>
      <c r="N69" s="8">
        <v>-70951</v>
      </c>
      <c r="O69" s="8">
        <f t="shared" si="10"/>
        <v>-486</v>
      </c>
      <c r="P69" s="8">
        <v>70168</v>
      </c>
      <c r="Q69" s="8">
        <f t="shared" si="11"/>
        <v>-4374</v>
      </c>
      <c r="R69" s="8">
        <v>217782</v>
      </c>
      <c r="S69" s="8">
        <f t="shared" si="12"/>
        <v>-3420</v>
      </c>
      <c r="T69" s="8">
        <v>-147614</v>
      </c>
      <c r="U69" s="8">
        <f t="shared" si="13"/>
        <v>-954</v>
      </c>
      <c r="W69" s="8">
        <v>245826</v>
      </c>
      <c r="X69" s="8">
        <f t="shared" si="14"/>
        <v>-423</v>
      </c>
      <c r="Y69" s="8">
        <v>59128</v>
      </c>
      <c r="Z69" s="8">
        <f t="shared" si="15"/>
        <v>-308</v>
      </c>
      <c r="AA69" s="8">
        <v>1844</v>
      </c>
      <c r="AB69" s="8">
        <f t="shared" ref="AB69:AD132" si="35">AA69-AA68</f>
        <v>-742</v>
      </c>
      <c r="AC69" s="8">
        <v>57284</v>
      </c>
      <c r="AD69" s="8">
        <f t="shared" si="35"/>
        <v>434</v>
      </c>
      <c r="AE69" s="8">
        <v>95274</v>
      </c>
      <c r="AF69" s="8">
        <f t="shared" si="17"/>
        <v>632</v>
      </c>
      <c r="AG69" s="8">
        <v>181143</v>
      </c>
      <c r="AH69" s="8">
        <f t="shared" si="18"/>
        <v>-227</v>
      </c>
      <c r="AI69" s="8">
        <v>-85869</v>
      </c>
      <c r="AJ69" s="8">
        <f t="shared" si="19"/>
        <v>859</v>
      </c>
      <c r="AK69" s="8">
        <v>80052</v>
      </c>
      <c r="AL69" s="8">
        <f t="shared" si="20"/>
        <v>-408</v>
      </c>
      <c r="AM69" s="8">
        <v>180152</v>
      </c>
      <c r="AN69" s="8">
        <f t="shared" si="21"/>
        <v>338</v>
      </c>
      <c r="AO69" s="8">
        <v>-100100</v>
      </c>
      <c r="AP69" s="8">
        <f t="shared" si="22"/>
        <v>-746</v>
      </c>
      <c r="AR69" s="8">
        <v>1597369</v>
      </c>
      <c r="AS69" s="8">
        <f t="shared" si="23"/>
        <v>45123</v>
      </c>
      <c r="AT69" s="8">
        <v>207465</v>
      </c>
      <c r="AU69" s="8">
        <f t="shared" si="24"/>
        <v>22856</v>
      </c>
      <c r="AV69" s="8">
        <v>54514</v>
      </c>
      <c r="AW69" s="8">
        <f t="shared" si="25"/>
        <v>-5292</v>
      </c>
      <c r="AX69" s="8">
        <f t="shared" si="32"/>
        <v>152951</v>
      </c>
      <c r="AY69" s="8">
        <f t="shared" si="26"/>
        <v>28148</v>
      </c>
      <c r="AZ69" s="8">
        <v>713831</v>
      </c>
      <c r="BA69" s="8">
        <f t="shared" si="27"/>
        <v>-4714</v>
      </c>
      <c r="BB69" s="8">
        <v>807228</v>
      </c>
      <c r="BC69" s="8">
        <f t="shared" si="28"/>
        <v>38465</v>
      </c>
      <c r="BD69" s="8">
        <f t="shared" si="33"/>
        <v>-93397</v>
      </c>
      <c r="BE69" s="8">
        <f t="shared" si="29"/>
        <v>-43179</v>
      </c>
      <c r="BF69" s="8">
        <v>354100</v>
      </c>
      <c r="BG69" s="8">
        <f t="shared" si="30"/>
        <v>-9555</v>
      </c>
      <c r="BH69" s="8">
        <v>773234</v>
      </c>
      <c r="BI69" s="8">
        <f t="shared" si="31"/>
        <v>39380</v>
      </c>
      <c r="BJ69" s="8">
        <f t="shared" si="34"/>
        <v>-419134</v>
      </c>
      <c r="BK69" s="8">
        <f t="shared" ref="BK69:BK132" si="36">BJ69-BJ68</f>
        <v>-48935</v>
      </c>
    </row>
    <row r="70" spans="1:63">
      <c r="A70" s="5">
        <v>39357</v>
      </c>
      <c r="B70" s="8">
        <v>298860</v>
      </c>
      <c r="C70" s="8">
        <f t="shared" si="4"/>
        <v>-12570</v>
      </c>
      <c r="D70" s="8">
        <v>55344</v>
      </c>
      <c r="E70" s="8">
        <f t="shared" si="5"/>
        <v>-5611</v>
      </c>
      <c r="F70" s="8">
        <v>7011</v>
      </c>
      <c r="G70" s="8">
        <f t="shared" si="6"/>
        <v>82</v>
      </c>
      <c r="H70" s="8">
        <v>48333</v>
      </c>
      <c r="I70" s="8">
        <f t="shared" si="7"/>
        <v>-5693</v>
      </c>
      <c r="J70" s="8">
        <v>152035</v>
      </c>
      <c r="K70" s="8">
        <f t="shared" si="8"/>
        <v>-9737</v>
      </c>
      <c r="L70" s="8">
        <v>212585</v>
      </c>
      <c r="M70" s="8">
        <f t="shared" si="9"/>
        <v>-20138</v>
      </c>
      <c r="N70" s="8">
        <v>-60550</v>
      </c>
      <c r="O70" s="8">
        <f t="shared" si="10"/>
        <v>10401</v>
      </c>
      <c r="P70" s="8">
        <v>63364</v>
      </c>
      <c r="Q70" s="8">
        <f t="shared" si="11"/>
        <v>-6804</v>
      </c>
      <c r="R70" s="8">
        <v>199067</v>
      </c>
      <c r="S70" s="8">
        <f t="shared" si="12"/>
        <v>-18715</v>
      </c>
      <c r="T70" s="8">
        <v>-135703</v>
      </c>
      <c r="U70" s="8">
        <f t="shared" si="13"/>
        <v>11911</v>
      </c>
      <c r="W70" s="8">
        <v>235348</v>
      </c>
      <c r="X70" s="8">
        <f t="shared" si="14"/>
        <v>-10478</v>
      </c>
      <c r="Y70" s="8">
        <v>56956</v>
      </c>
      <c r="Z70" s="8">
        <f t="shared" si="15"/>
        <v>-2172</v>
      </c>
      <c r="AA70" s="8">
        <v>4297</v>
      </c>
      <c r="AB70" s="8">
        <f t="shared" si="35"/>
        <v>2453</v>
      </c>
      <c r="AC70" s="8">
        <v>52659</v>
      </c>
      <c r="AD70" s="8">
        <f t="shared" si="35"/>
        <v>-4625</v>
      </c>
      <c r="AE70" s="8">
        <v>89914</v>
      </c>
      <c r="AF70" s="8">
        <f t="shared" si="17"/>
        <v>-5360</v>
      </c>
      <c r="AG70" s="8">
        <v>169835</v>
      </c>
      <c r="AH70" s="8">
        <f t="shared" si="18"/>
        <v>-11308</v>
      </c>
      <c r="AI70" s="8">
        <v>-79921</v>
      </c>
      <c r="AJ70" s="8">
        <f t="shared" si="19"/>
        <v>5948</v>
      </c>
      <c r="AK70" s="8">
        <v>74666</v>
      </c>
      <c r="AL70" s="8">
        <f t="shared" si="20"/>
        <v>-5386</v>
      </c>
      <c r="AM70" s="8">
        <v>168844</v>
      </c>
      <c r="AN70" s="8">
        <f t="shared" si="21"/>
        <v>-11308</v>
      </c>
      <c r="AO70" s="8">
        <v>-94178</v>
      </c>
      <c r="AP70" s="8">
        <f t="shared" si="22"/>
        <v>5922</v>
      </c>
      <c r="AR70" s="8">
        <v>1617964</v>
      </c>
      <c r="AS70" s="8">
        <f t="shared" si="23"/>
        <v>20595</v>
      </c>
      <c r="AT70" s="8">
        <v>201706</v>
      </c>
      <c r="AU70" s="8">
        <f t="shared" si="24"/>
        <v>-5759</v>
      </c>
      <c r="AV70" s="8">
        <v>67841</v>
      </c>
      <c r="AW70" s="8">
        <f t="shared" si="25"/>
        <v>13327</v>
      </c>
      <c r="AX70" s="8">
        <f t="shared" si="32"/>
        <v>133865</v>
      </c>
      <c r="AY70" s="8">
        <f t="shared" si="26"/>
        <v>-19086</v>
      </c>
      <c r="AZ70" s="8">
        <v>719541</v>
      </c>
      <c r="BA70" s="8">
        <f t="shared" si="27"/>
        <v>5710</v>
      </c>
      <c r="BB70" s="8">
        <v>781621</v>
      </c>
      <c r="BC70" s="8">
        <f t="shared" si="28"/>
        <v>-25607</v>
      </c>
      <c r="BD70" s="8">
        <f t="shared" si="33"/>
        <v>-62080</v>
      </c>
      <c r="BE70" s="8">
        <f t="shared" si="29"/>
        <v>31317</v>
      </c>
      <c r="BF70" s="8">
        <v>359251</v>
      </c>
      <c r="BG70" s="8">
        <f t="shared" si="30"/>
        <v>5151</v>
      </c>
      <c r="BH70" s="8">
        <v>747857</v>
      </c>
      <c r="BI70" s="8">
        <f t="shared" si="31"/>
        <v>-25377</v>
      </c>
      <c r="BJ70" s="8">
        <f t="shared" si="34"/>
        <v>-388606</v>
      </c>
      <c r="BK70" s="8">
        <f t="shared" si="36"/>
        <v>30528</v>
      </c>
    </row>
    <row r="71" spans="1:63">
      <c r="A71" s="5">
        <v>39364</v>
      </c>
      <c r="B71" s="8">
        <v>303755</v>
      </c>
      <c r="C71" s="8">
        <f t="shared" si="4"/>
        <v>4895</v>
      </c>
      <c r="D71" s="8">
        <v>57625</v>
      </c>
      <c r="E71" s="8">
        <f t="shared" si="5"/>
        <v>2281</v>
      </c>
      <c r="F71" s="8">
        <v>8094</v>
      </c>
      <c r="G71" s="8">
        <f t="shared" si="6"/>
        <v>1083</v>
      </c>
      <c r="H71" s="8">
        <v>49531</v>
      </c>
      <c r="I71" s="8">
        <f t="shared" si="7"/>
        <v>1198</v>
      </c>
      <c r="J71" s="8">
        <v>151484</v>
      </c>
      <c r="K71" s="8">
        <f t="shared" si="8"/>
        <v>-551</v>
      </c>
      <c r="L71" s="8">
        <v>215515</v>
      </c>
      <c r="M71" s="8">
        <f t="shared" si="9"/>
        <v>2930</v>
      </c>
      <c r="N71" s="8">
        <v>-64031</v>
      </c>
      <c r="O71" s="8">
        <f t="shared" si="10"/>
        <v>-3481</v>
      </c>
      <c r="P71" s="8">
        <v>65521</v>
      </c>
      <c r="Q71" s="8">
        <f t="shared" si="11"/>
        <v>2157</v>
      </c>
      <c r="R71" s="8">
        <v>202493</v>
      </c>
      <c r="S71" s="8">
        <f t="shared" si="12"/>
        <v>3426</v>
      </c>
      <c r="T71" s="8">
        <v>-136972</v>
      </c>
      <c r="U71" s="8">
        <f t="shared" si="13"/>
        <v>-1269</v>
      </c>
      <c r="W71" s="8">
        <v>236629</v>
      </c>
      <c r="X71" s="8">
        <f t="shared" si="14"/>
        <v>1281</v>
      </c>
      <c r="Y71" s="8">
        <v>54818</v>
      </c>
      <c r="Z71" s="8">
        <f t="shared" si="15"/>
        <v>-2138</v>
      </c>
      <c r="AA71" s="8">
        <v>3024</v>
      </c>
      <c r="AB71" s="8">
        <f t="shared" si="35"/>
        <v>-1273</v>
      </c>
      <c r="AC71" s="8">
        <v>51794</v>
      </c>
      <c r="AD71" s="8">
        <f t="shared" si="35"/>
        <v>-865</v>
      </c>
      <c r="AE71" s="8">
        <v>93977</v>
      </c>
      <c r="AF71" s="8">
        <f t="shared" si="17"/>
        <v>4063</v>
      </c>
      <c r="AG71" s="8">
        <v>170952</v>
      </c>
      <c r="AH71" s="8">
        <f t="shared" si="18"/>
        <v>1117</v>
      </c>
      <c r="AI71" s="8">
        <v>-76975</v>
      </c>
      <c r="AJ71" s="8">
        <f t="shared" si="19"/>
        <v>2946</v>
      </c>
      <c r="AK71" s="8">
        <v>78575</v>
      </c>
      <c r="AL71" s="8">
        <f t="shared" si="20"/>
        <v>3909</v>
      </c>
      <c r="AM71" s="8">
        <v>169514</v>
      </c>
      <c r="AN71" s="8">
        <f t="shared" si="21"/>
        <v>670</v>
      </c>
      <c r="AO71" s="8">
        <v>-90939</v>
      </c>
      <c r="AP71" s="8">
        <f t="shared" si="22"/>
        <v>3239</v>
      </c>
      <c r="AR71" s="8">
        <v>1615276</v>
      </c>
      <c r="AS71" s="8">
        <f t="shared" si="23"/>
        <v>-2688</v>
      </c>
      <c r="AT71" s="8">
        <v>179997</v>
      </c>
      <c r="AU71" s="8">
        <f t="shared" si="24"/>
        <v>-21709</v>
      </c>
      <c r="AV71" s="8">
        <v>78228</v>
      </c>
      <c r="AW71" s="8">
        <f t="shared" si="25"/>
        <v>10387</v>
      </c>
      <c r="AX71" s="8">
        <f t="shared" si="32"/>
        <v>101769</v>
      </c>
      <c r="AY71" s="8">
        <f t="shared" si="26"/>
        <v>-32096</v>
      </c>
      <c r="AZ71" s="8">
        <v>732884</v>
      </c>
      <c r="BA71" s="8">
        <f t="shared" si="27"/>
        <v>13343</v>
      </c>
      <c r="BB71" s="8">
        <v>752453</v>
      </c>
      <c r="BC71" s="8">
        <f t="shared" si="28"/>
        <v>-29168</v>
      </c>
      <c r="BD71" s="8">
        <f t="shared" si="33"/>
        <v>-19569</v>
      </c>
      <c r="BE71" s="8">
        <f t="shared" si="29"/>
        <v>42511</v>
      </c>
      <c r="BF71" s="8">
        <v>372709</v>
      </c>
      <c r="BG71" s="8">
        <f t="shared" si="30"/>
        <v>13458</v>
      </c>
      <c r="BH71" s="8">
        <v>715145</v>
      </c>
      <c r="BI71" s="8">
        <f t="shared" si="31"/>
        <v>-32712</v>
      </c>
      <c r="BJ71" s="8">
        <f t="shared" si="34"/>
        <v>-342436</v>
      </c>
      <c r="BK71" s="8">
        <f t="shared" si="36"/>
        <v>46170</v>
      </c>
    </row>
    <row r="72" spans="1:63">
      <c r="A72" s="5">
        <v>39371</v>
      </c>
      <c r="B72" s="8">
        <v>310248</v>
      </c>
      <c r="C72" s="8">
        <f t="shared" ref="C72:C135" si="37">B72-B71</f>
        <v>6493</v>
      </c>
      <c r="D72" s="8">
        <v>61589</v>
      </c>
      <c r="E72" s="8">
        <f t="shared" ref="E72:E135" si="38">D72-D71</f>
        <v>3964</v>
      </c>
      <c r="F72" s="8">
        <v>6772</v>
      </c>
      <c r="G72" s="8">
        <f t="shared" ref="G72:G135" si="39">F72-F71</f>
        <v>-1322</v>
      </c>
      <c r="H72" s="8">
        <v>54817</v>
      </c>
      <c r="I72" s="8">
        <f t="shared" ref="I72:I135" si="40">H72-H71</f>
        <v>5286</v>
      </c>
      <c r="J72" s="8">
        <v>155630</v>
      </c>
      <c r="K72" s="8">
        <f t="shared" ref="K72:K135" si="41">J72-J71</f>
        <v>4146</v>
      </c>
      <c r="L72" s="8">
        <v>224373</v>
      </c>
      <c r="M72" s="8">
        <f t="shared" ref="M72:M135" si="42">L72-L71</f>
        <v>8858</v>
      </c>
      <c r="N72" s="8">
        <v>-68743</v>
      </c>
      <c r="O72" s="8">
        <f t="shared" ref="O72:O135" si="43">N72-N71</f>
        <v>-4712</v>
      </c>
      <c r="P72" s="8">
        <v>70607</v>
      </c>
      <c r="Q72" s="8">
        <f t="shared" ref="Q72:Q135" si="44">P72-P71</f>
        <v>5086</v>
      </c>
      <c r="R72" s="8">
        <v>212321</v>
      </c>
      <c r="S72" s="8">
        <f t="shared" ref="S72:S135" si="45">R72-R71</f>
        <v>9828</v>
      </c>
      <c r="T72" s="8">
        <v>-141714</v>
      </c>
      <c r="U72" s="8">
        <f t="shared" ref="U72:U135" si="46">T72-T71</f>
        <v>-4742</v>
      </c>
      <c r="W72" s="8">
        <v>246135</v>
      </c>
      <c r="X72" s="8">
        <f t="shared" ref="X72:X135" si="47">W72-W71</f>
        <v>9506</v>
      </c>
      <c r="Y72" s="8">
        <v>59163</v>
      </c>
      <c r="Z72" s="8">
        <f t="shared" ref="Z72:Z135" si="48">Y72-Y71</f>
        <v>4345</v>
      </c>
      <c r="AA72" s="8">
        <v>3060</v>
      </c>
      <c r="AB72" s="8">
        <f t="shared" si="35"/>
        <v>36</v>
      </c>
      <c r="AC72" s="8">
        <v>56103</v>
      </c>
      <c r="AD72" s="8">
        <f t="shared" si="35"/>
        <v>4309</v>
      </c>
      <c r="AE72" s="8">
        <v>95647</v>
      </c>
      <c r="AF72" s="8">
        <f t="shared" ref="AF72:AF135" si="49">AE72-AE71</f>
        <v>1670</v>
      </c>
      <c r="AG72" s="8">
        <v>179405</v>
      </c>
      <c r="AH72" s="8">
        <f t="shared" ref="AH72:AH135" si="50">AG72-AG71</f>
        <v>8453</v>
      </c>
      <c r="AI72" s="8">
        <v>-83758</v>
      </c>
      <c r="AJ72" s="8">
        <f t="shared" ref="AJ72:AJ135" si="51">AI72-AI71</f>
        <v>-6783</v>
      </c>
      <c r="AK72" s="8">
        <v>78948</v>
      </c>
      <c r="AL72" s="8">
        <f t="shared" ref="AL72:AL135" si="52">AK72-AK71</f>
        <v>373</v>
      </c>
      <c r="AM72" s="8">
        <v>176710</v>
      </c>
      <c r="AN72" s="8">
        <f t="shared" ref="AN72:AN135" si="53">AM72-AM71</f>
        <v>7196</v>
      </c>
      <c r="AO72" s="8">
        <v>-97762</v>
      </c>
      <c r="AP72" s="8">
        <f t="shared" ref="AP72:AP135" si="54">AO72-AO71</f>
        <v>-6823</v>
      </c>
      <c r="AR72" s="8">
        <v>1630952</v>
      </c>
      <c r="AS72" s="8">
        <f t="shared" ref="AS72:AS135" si="55">AR72-AR71</f>
        <v>15676</v>
      </c>
      <c r="AT72" s="8">
        <v>184090</v>
      </c>
      <c r="AU72" s="8">
        <f t="shared" ref="AU72:AU135" si="56">AT72-AT71</f>
        <v>4093</v>
      </c>
      <c r="AV72" s="8">
        <v>73648</v>
      </c>
      <c r="AW72" s="8">
        <f t="shared" ref="AW72:AW135" si="57">AV72-AV71</f>
        <v>-4580</v>
      </c>
      <c r="AX72" s="8">
        <f t="shared" si="32"/>
        <v>110442</v>
      </c>
      <c r="AY72" s="8">
        <f t="shared" ref="AY72:AY135" si="58">AX72-AX71</f>
        <v>8673</v>
      </c>
      <c r="AZ72" s="8">
        <v>732630</v>
      </c>
      <c r="BA72" s="8">
        <f t="shared" ref="BA72:BA135" si="59">AZ72-AZ71</f>
        <v>-254</v>
      </c>
      <c r="BB72" s="8">
        <v>766217</v>
      </c>
      <c r="BC72" s="8">
        <f t="shared" ref="BC72:BC135" si="60">BB72-BB71</f>
        <v>13764</v>
      </c>
      <c r="BD72" s="8">
        <f t="shared" si="33"/>
        <v>-33587</v>
      </c>
      <c r="BE72" s="8">
        <f t="shared" ref="BE72:BE135" si="61">BD72-BD71</f>
        <v>-14018</v>
      </c>
      <c r="BF72" s="8">
        <v>368374</v>
      </c>
      <c r="BG72" s="8">
        <f t="shared" ref="BG72:BG135" si="62">BF72-BF71</f>
        <v>-4335</v>
      </c>
      <c r="BH72" s="8">
        <v>728544</v>
      </c>
      <c r="BI72" s="8">
        <f t="shared" ref="BI72:BI135" si="63">BH72-BH71</f>
        <v>13399</v>
      </c>
      <c r="BJ72" s="8">
        <f t="shared" si="34"/>
        <v>-360170</v>
      </c>
      <c r="BK72" s="8">
        <f t="shared" si="36"/>
        <v>-17734</v>
      </c>
    </row>
    <row r="73" spans="1:63">
      <c r="A73" s="5">
        <v>39378</v>
      </c>
      <c r="B73" s="8">
        <v>323190</v>
      </c>
      <c r="C73" s="8">
        <f t="shared" si="37"/>
        <v>12942</v>
      </c>
      <c r="D73" s="8">
        <v>60415</v>
      </c>
      <c r="E73" s="8">
        <f t="shared" si="38"/>
        <v>-1174</v>
      </c>
      <c r="F73" s="8">
        <v>7346</v>
      </c>
      <c r="G73" s="8">
        <f t="shared" si="39"/>
        <v>574</v>
      </c>
      <c r="H73" s="8">
        <v>53069</v>
      </c>
      <c r="I73" s="8">
        <f t="shared" si="40"/>
        <v>-1748</v>
      </c>
      <c r="J73" s="8">
        <v>163949</v>
      </c>
      <c r="K73" s="8">
        <f t="shared" si="41"/>
        <v>8319</v>
      </c>
      <c r="L73" s="8">
        <v>232037</v>
      </c>
      <c r="M73" s="8">
        <f t="shared" si="42"/>
        <v>7664</v>
      </c>
      <c r="N73" s="8">
        <v>-68088</v>
      </c>
      <c r="O73" s="8">
        <f t="shared" si="43"/>
        <v>655</v>
      </c>
      <c r="P73" s="8">
        <v>76424</v>
      </c>
      <c r="Q73" s="8">
        <f t="shared" si="44"/>
        <v>5817</v>
      </c>
      <c r="R73" s="8">
        <v>219936</v>
      </c>
      <c r="S73" s="8">
        <f t="shared" si="45"/>
        <v>7615</v>
      </c>
      <c r="T73" s="8">
        <v>-143512</v>
      </c>
      <c r="U73" s="8">
        <f t="shared" si="46"/>
        <v>-1798</v>
      </c>
      <c r="W73" s="8">
        <v>257147</v>
      </c>
      <c r="X73" s="8">
        <f t="shared" si="47"/>
        <v>11012</v>
      </c>
      <c r="Y73" s="8">
        <v>61558</v>
      </c>
      <c r="Z73" s="8">
        <f t="shared" si="48"/>
        <v>2395</v>
      </c>
      <c r="AA73" s="8">
        <v>2823</v>
      </c>
      <c r="AB73" s="8">
        <f t="shared" si="35"/>
        <v>-237</v>
      </c>
      <c r="AC73" s="8">
        <v>58735</v>
      </c>
      <c r="AD73" s="8">
        <f t="shared" si="35"/>
        <v>2632</v>
      </c>
      <c r="AE73" s="8">
        <v>99312</v>
      </c>
      <c r="AF73" s="8">
        <f t="shared" si="49"/>
        <v>3665</v>
      </c>
      <c r="AG73" s="8">
        <v>186141</v>
      </c>
      <c r="AH73" s="8">
        <f t="shared" si="50"/>
        <v>6736</v>
      </c>
      <c r="AI73" s="8">
        <v>-86829</v>
      </c>
      <c r="AJ73" s="8">
        <f t="shared" si="51"/>
        <v>-3071</v>
      </c>
      <c r="AK73" s="8">
        <v>81515</v>
      </c>
      <c r="AL73" s="8">
        <f t="shared" si="52"/>
        <v>2567</v>
      </c>
      <c r="AM73" s="8">
        <v>182934</v>
      </c>
      <c r="AN73" s="8">
        <f t="shared" si="53"/>
        <v>6224</v>
      </c>
      <c r="AO73" s="8">
        <v>-101419</v>
      </c>
      <c r="AP73" s="8">
        <f t="shared" si="54"/>
        <v>-3657</v>
      </c>
      <c r="AR73" s="8">
        <v>1640585</v>
      </c>
      <c r="AS73" s="8">
        <f t="shared" si="55"/>
        <v>9633</v>
      </c>
      <c r="AT73" s="8">
        <v>187855</v>
      </c>
      <c r="AU73" s="8">
        <f t="shared" si="56"/>
        <v>3765</v>
      </c>
      <c r="AV73" s="8">
        <v>68210</v>
      </c>
      <c r="AW73" s="8">
        <f t="shared" si="57"/>
        <v>-5438</v>
      </c>
      <c r="AX73" s="8">
        <f t="shared" si="32"/>
        <v>119645</v>
      </c>
      <c r="AY73" s="8">
        <f t="shared" si="58"/>
        <v>9203</v>
      </c>
      <c r="AZ73" s="8">
        <v>729842</v>
      </c>
      <c r="BA73" s="8">
        <f t="shared" si="59"/>
        <v>-2788</v>
      </c>
      <c r="BB73" s="8">
        <v>772198</v>
      </c>
      <c r="BC73" s="8">
        <f t="shared" si="60"/>
        <v>5981</v>
      </c>
      <c r="BD73" s="8">
        <f t="shared" si="33"/>
        <v>-42356</v>
      </c>
      <c r="BE73" s="8">
        <f t="shared" si="61"/>
        <v>-8769</v>
      </c>
      <c r="BF73" s="8">
        <v>362032</v>
      </c>
      <c r="BG73" s="8">
        <f t="shared" si="62"/>
        <v>-6342</v>
      </c>
      <c r="BH73" s="8">
        <v>733355</v>
      </c>
      <c r="BI73" s="8">
        <f t="shared" si="63"/>
        <v>4811</v>
      </c>
      <c r="BJ73" s="8">
        <f t="shared" si="34"/>
        <v>-371323</v>
      </c>
      <c r="BK73" s="8">
        <f t="shared" si="36"/>
        <v>-11153</v>
      </c>
    </row>
    <row r="74" spans="1:63">
      <c r="A74" s="5">
        <v>39385</v>
      </c>
      <c r="B74" s="8">
        <v>338987</v>
      </c>
      <c r="C74" s="8">
        <f t="shared" si="37"/>
        <v>15797</v>
      </c>
      <c r="D74" s="8">
        <v>61038</v>
      </c>
      <c r="E74" s="8">
        <f t="shared" si="38"/>
        <v>623</v>
      </c>
      <c r="F74" s="8">
        <v>6629</v>
      </c>
      <c r="G74" s="8">
        <f t="shared" si="39"/>
        <v>-717</v>
      </c>
      <c r="H74" s="8">
        <v>54409</v>
      </c>
      <c r="I74" s="8">
        <f t="shared" si="40"/>
        <v>1340</v>
      </c>
      <c r="J74" s="8">
        <v>168381</v>
      </c>
      <c r="K74" s="8">
        <f t="shared" si="41"/>
        <v>4432</v>
      </c>
      <c r="L74" s="8">
        <v>241191</v>
      </c>
      <c r="M74" s="8">
        <f t="shared" si="42"/>
        <v>9154</v>
      </c>
      <c r="N74" s="8">
        <v>-72810</v>
      </c>
      <c r="O74" s="8">
        <f t="shared" si="43"/>
        <v>-4722</v>
      </c>
      <c r="P74" s="8">
        <v>76852</v>
      </c>
      <c r="Q74" s="8">
        <f t="shared" si="44"/>
        <v>428</v>
      </c>
      <c r="R74" s="8">
        <v>228055</v>
      </c>
      <c r="S74" s="8">
        <f t="shared" si="45"/>
        <v>8119</v>
      </c>
      <c r="T74" s="8">
        <v>-151203</v>
      </c>
      <c r="U74" s="8">
        <f t="shared" si="46"/>
        <v>-7691</v>
      </c>
      <c r="W74" s="8">
        <v>259032</v>
      </c>
      <c r="X74" s="8">
        <f t="shared" si="47"/>
        <v>1885</v>
      </c>
      <c r="Y74" s="8">
        <v>61514</v>
      </c>
      <c r="Z74" s="8">
        <f t="shared" si="48"/>
        <v>-44</v>
      </c>
      <c r="AA74" s="8">
        <v>1242</v>
      </c>
      <c r="AB74" s="8">
        <f t="shared" si="35"/>
        <v>-1581</v>
      </c>
      <c r="AC74" s="8">
        <v>60272</v>
      </c>
      <c r="AD74" s="8">
        <f t="shared" si="35"/>
        <v>1537</v>
      </c>
      <c r="AE74" s="8">
        <v>99001</v>
      </c>
      <c r="AF74" s="8">
        <f t="shared" si="49"/>
        <v>-311</v>
      </c>
      <c r="AG74" s="8">
        <v>189579</v>
      </c>
      <c r="AH74" s="8">
        <f t="shared" si="50"/>
        <v>3438</v>
      </c>
      <c r="AI74" s="8">
        <v>-90578</v>
      </c>
      <c r="AJ74" s="8">
        <f t="shared" si="51"/>
        <v>-3749</v>
      </c>
      <c r="AK74" s="8">
        <v>80647</v>
      </c>
      <c r="AL74" s="8">
        <f t="shared" si="52"/>
        <v>-868</v>
      </c>
      <c r="AM74" s="8">
        <v>187220</v>
      </c>
      <c r="AN74" s="8">
        <f t="shared" si="53"/>
        <v>4286</v>
      </c>
      <c r="AO74" s="8">
        <v>-106573</v>
      </c>
      <c r="AP74" s="8">
        <f t="shared" si="54"/>
        <v>-5154</v>
      </c>
      <c r="AR74" s="8">
        <v>1647761</v>
      </c>
      <c r="AS74" s="8">
        <f t="shared" si="55"/>
        <v>7176</v>
      </c>
      <c r="AT74" s="8">
        <v>194018</v>
      </c>
      <c r="AU74" s="8">
        <f t="shared" si="56"/>
        <v>6163</v>
      </c>
      <c r="AV74" s="8">
        <v>57277</v>
      </c>
      <c r="AW74" s="8">
        <f t="shared" si="57"/>
        <v>-10933</v>
      </c>
      <c r="AX74" s="8">
        <f t="shared" si="32"/>
        <v>136741</v>
      </c>
      <c r="AY74" s="8">
        <f t="shared" si="58"/>
        <v>17096</v>
      </c>
      <c r="AZ74" s="8">
        <v>728336</v>
      </c>
      <c r="BA74" s="8">
        <f t="shared" si="59"/>
        <v>-1506</v>
      </c>
      <c r="BB74" s="8">
        <v>788100</v>
      </c>
      <c r="BC74" s="8">
        <f t="shared" si="60"/>
        <v>15902</v>
      </c>
      <c r="BD74" s="8">
        <f t="shared" si="33"/>
        <v>-59764</v>
      </c>
      <c r="BE74" s="8">
        <f t="shared" si="61"/>
        <v>-17408</v>
      </c>
      <c r="BF74" s="8">
        <v>354745</v>
      </c>
      <c r="BG74" s="8">
        <f t="shared" si="62"/>
        <v>-7287</v>
      </c>
      <c r="BH74" s="8">
        <v>748216</v>
      </c>
      <c r="BI74" s="8">
        <f t="shared" si="63"/>
        <v>14861</v>
      </c>
      <c r="BJ74" s="8">
        <f t="shared" si="34"/>
        <v>-393471</v>
      </c>
      <c r="BK74" s="8">
        <f t="shared" si="36"/>
        <v>-22148</v>
      </c>
    </row>
    <row r="75" spans="1:63">
      <c r="A75" s="5">
        <v>39392</v>
      </c>
      <c r="B75" s="8">
        <v>353411</v>
      </c>
      <c r="C75" s="8">
        <f t="shared" si="37"/>
        <v>14424</v>
      </c>
      <c r="D75" s="8">
        <v>65863</v>
      </c>
      <c r="E75" s="8">
        <f t="shared" si="38"/>
        <v>4825</v>
      </c>
      <c r="F75" s="8">
        <v>6380</v>
      </c>
      <c r="G75" s="8">
        <f t="shared" si="39"/>
        <v>-249</v>
      </c>
      <c r="H75" s="8">
        <v>59483</v>
      </c>
      <c r="I75" s="8">
        <f t="shared" si="40"/>
        <v>5074</v>
      </c>
      <c r="J75" s="8">
        <v>175424</v>
      </c>
      <c r="K75" s="8">
        <f t="shared" si="41"/>
        <v>7043</v>
      </c>
      <c r="L75" s="8">
        <v>251985</v>
      </c>
      <c r="M75" s="8">
        <f t="shared" si="42"/>
        <v>10794</v>
      </c>
      <c r="N75" s="8">
        <v>-76561</v>
      </c>
      <c r="O75" s="8">
        <f t="shared" si="43"/>
        <v>-3751</v>
      </c>
      <c r="P75" s="8">
        <v>80072</v>
      </c>
      <c r="Q75" s="8">
        <f t="shared" si="44"/>
        <v>3220</v>
      </c>
      <c r="R75" s="8">
        <v>239668</v>
      </c>
      <c r="S75" s="8">
        <f t="shared" si="45"/>
        <v>11613</v>
      </c>
      <c r="T75" s="8">
        <v>-159596</v>
      </c>
      <c r="U75" s="8">
        <f t="shared" si="46"/>
        <v>-8393</v>
      </c>
      <c r="W75" s="8">
        <v>272461</v>
      </c>
      <c r="X75" s="8">
        <f t="shared" si="47"/>
        <v>13429</v>
      </c>
      <c r="Y75" s="8">
        <v>67845</v>
      </c>
      <c r="Z75" s="8">
        <f t="shared" si="48"/>
        <v>6331</v>
      </c>
      <c r="AA75" s="8">
        <v>1489</v>
      </c>
      <c r="AB75" s="8">
        <f t="shared" si="35"/>
        <v>247</v>
      </c>
      <c r="AC75" s="8">
        <v>66356</v>
      </c>
      <c r="AD75" s="8">
        <f t="shared" si="35"/>
        <v>6084</v>
      </c>
      <c r="AE75" s="8">
        <v>102132</v>
      </c>
      <c r="AF75" s="8">
        <f t="shared" si="49"/>
        <v>3131</v>
      </c>
      <c r="AG75" s="8">
        <v>197186</v>
      </c>
      <c r="AH75" s="8">
        <f t="shared" si="50"/>
        <v>7607</v>
      </c>
      <c r="AI75" s="8">
        <v>-95054</v>
      </c>
      <c r="AJ75" s="8">
        <f t="shared" si="51"/>
        <v>-4476</v>
      </c>
      <c r="AK75" s="8">
        <v>80329</v>
      </c>
      <c r="AL75" s="8">
        <f t="shared" si="52"/>
        <v>-318</v>
      </c>
      <c r="AM75" s="8">
        <v>195129</v>
      </c>
      <c r="AN75" s="8">
        <f t="shared" si="53"/>
        <v>7909</v>
      </c>
      <c r="AO75" s="8">
        <v>-114800</v>
      </c>
      <c r="AP75" s="8">
        <f t="shared" si="54"/>
        <v>-8227</v>
      </c>
      <c r="AR75" s="8">
        <v>1715094</v>
      </c>
      <c r="AS75" s="8">
        <f t="shared" si="55"/>
        <v>67333</v>
      </c>
      <c r="AT75" s="8">
        <v>224708</v>
      </c>
      <c r="AU75" s="8">
        <f t="shared" si="56"/>
        <v>30690</v>
      </c>
      <c r="AV75" s="8">
        <v>55987</v>
      </c>
      <c r="AW75" s="8">
        <f t="shared" si="57"/>
        <v>-1290</v>
      </c>
      <c r="AX75" s="8">
        <f t="shared" si="32"/>
        <v>168721</v>
      </c>
      <c r="AY75" s="8">
        <f t="shared" si="58"/>
        <v>31980</v>
      </c>
      <c r="AZ75" s="8">
        <v>734332</v>
      </c>
      <c r="BA75" s="8">
        <f t="shared" si="59"/>
        <v>5996</v>
      </c>
      <c r="BB75" s="8">
        <v>830730</v>
      </c>
      <c r="BC75" s="8">
        <f t="shared" si="60"/>
        <v>42630</v>
      </c>
      <c r="BD75" s="8">
        <f t="shared" si="33"/>
        <v>-96398</v>
      </c>
      <c r="BE75" s="8">
        <f t="shared" si="61"/>
        <v>-36634</v>
      </c>
      <c r="BF75" s="8">
        <v>355163</v>
      </c>
      <c r="BG75" s="8">
        <f t="shared" si="62"/>
        <v>418</v>
      </c>
      <c r="BH75" s="8">
        <v>789436</v>
      </c>
      <c r="BI75" s="8">
        <f t="shared" si="63"/>
        <v>41220</v>
      </c>
      <c r="BJ75" s="8">
        <f t="shared" si="34"/>
        <v>-434273</v>
      </c>
      <c r="BK75" s="8">
        <f t="shared" si="36"/>
        <v>-40802</v>
      </c>
    </row>
    <row r="76" spans="1:63">
      <c r="A76" s="5">
        <v>39399</v>
      </c>
      <c r="B76" s="8">
        <v>354007</v>
      </c>
      <c r="C76" s="8">
        <f t="shared" si="37"/>
        <v>596</v>
      </c>
      <c r="D76" s="8">
        <v>63072</v>
      </c>
      <c r="E76" s="8">
        <f t="shared" si="38"/>
        <v>-2791</v>
      </c>
      <c r="F76" s="8">
        <v>7026</v>
      </c>
      <c r="G76" s="8">
        <f t="shared" si="39"/>
        <v>646</v>
      </c>
      <c r="H76" s="8">
        <v>56046</v>
      </c>
      <c r="I76" s="8">
        <f t="shared" si="40"/>
        <v>-3437</v>
      </c>
      <c r="J76" s="8">
        <v>177453</v>
      </c>
      <c r="K76" s="8">
        <f t="shared" si="41"/>
        <v>2029</v>
      </c>
      <c r="L76" s="8">
        <v>249250</v>
      </c>
      <c r="M76" s="8">
        <f t="shared" si="42"/>
        <v>-2735</v>
      </c>
      <c r="N76" s="8">
        <v>-71797</v>
      </c>
      <c r="O76" s="8">
        <f t="shared" si="43"/>
        <v>4764</v>
      </c>
      <c r="P76" s="8">
        <v>81022</v>
      </c>
      <c r="Q76" s="8">
        <f t="shared" si="44"/>
        <v>950</v>
      </c>
      <c r="R76" s="8">
        <v>236895</v>
      </c>
      <c r="S76" s="8">
        <f t="shared" si="45"/>
        <v>-2773</v>
      </c>
      <c r="T76" s="8">
        <v>-155873</v>
      </c>
      <c r="U76" s="8">
        <f t="shared" si="46"/>
        <v>3723</v>
      </c>
      <c r="W76" s="8">
        <v>271446</v>
      </c>
      <c r="X76" s="8">
        <f t="shared" si="47"/>
        <v>-1015</v>
      </c>
      <c r="Y76" s="8">
        <v>69050</v>
      </c>
      <c r="Z76" s="8">
        <f t="shared" si="48"/>
        <v>1205</v>
      </c>
      <c r="AA76" s="8">
        <v>4024</v>
      </c>
      <c r="AB76" s="8">
        <f t="shared" si="35"/>
        <v>2535</v>
      </c>
      <c r="AC76" s="8">
        <v>65026</v>
      </c>
      <c r="AD76" s="8">
        <f t="shared" si="35"/>
        <v>-1330</v>
      </c>
      <c r="AE76" s="8">
        <v>101131</v>
      </c>
      <c r="AF76" s="8">
        <f t="shared" si="49"/>
        <v>-1001</v>
      </c>
      <c r="AG76" s="8">
        <v>194202</v>
      </c>
      <c r="AH76" s="8">
        <f t="shared" si="50"/>
        <v>-2984</v>
      </c>
      <c r="AI76" s="8">
        <v>-93071</v>
      </c>
      <c r="AJ76" s="8">
        <f t="shared" si="51"/>
        <v>1983</v>
      </c>
      <c r="AK76" s="8">
        <v>80181</v>
      </c>
      <c r="AL76" s="8">
        <f t="shared" si="52"/>
        <v>-148</v>
      </c>
      <c r="AM76" s="8">
        <v>193725</v>
      </c>
      <c r="AN76" s="8">
        <f t="shared" si="53"/>
        <v>-1404</v>
      </c>
      <c r="AO76" s="8">
        <v>-113544</v>
      </c>
      <c r="AP76" s="8">
        <f t="shared" si="54"/>
        <v>1256</v>
      </c>
      <c r="AR76" s="8">
        <v>1675679</v>
      </c>
      <c r="AS76" s="8">
        <f t="shared" si="55"/>
        <v>-39415</v>
      </c>
      <c r="AT76" s="8">
        <v>215799</v>
      </c>
      <c r="AU76" s="8">
        <f t="shared" si="56"/>
        <v>-8909</v>
      </c>
      <c r="AV76" s="8">
        <v>50134</v>
      </c>
      <c r="AW76" s="8">
        <f t="shared" si="57"/>
        <v>-5853</v>
      </c>
      <c r="AX76" s="8">
        <f t="shared" si="32"/>
        <v>165665</v>
      </c>
      <c r="AY76" s="8">
        <f t="shared" si="58"/>
        <v>-3056</v>
      </c>
      <c r="AZ76" s="8">
        <v>737554</v>
      </c>
      <c r="BA76" s="8">
        <f t="shared" si="59"/>
        <v>3222</v>
      </c>
      <c r="BB76" s="8">
        <v>831011</v>
      </c>
      <c r="BC76" s="8">
        <f t="shared" si="60"/>
        <v>281</v>
      </c>
      <c r="BD76" s="8">
        <f t="shared" si="33"/>
        <v>-93457</v>
      </c>
      <c r="BE76" s="8">
        <f t="shared" si="61"/>
        <v>2941</v>
      </c>
      <c r="BF76" s="8">
        <v>360746</v>
      </c>
      <c r="BG76" s="8">
        <f t="shared" si="62"/>
        <v>5583</v>
      </c>
      <c r="BH76" s="8">
        <v>792824</v>
      </c>
      <c r="BI76" s="8">
        <f t="shared" si="63"/>
        <v>3388</v>
      </c>
      <c r="BJ76" s="8">
        <f t="shared" si="34"/>
        <v>-432078</v>
      </c>
      <c r="BK76" s="8">
        <f t="shared" si="36"/>
        <v>2195</v>
      </c>
    </row>
    <row r="77" spans="1:63">
      <c r="A77" s="5">
        <v>39406</v>
      </c>
      <c r="B77" s="8">
        <v>346257</v>
      </c>
      <c r="C77" s="8">
        <f t="shared" si="37"/>
        <v>-7750</v>
      </c>
      <c r="D77" s="8">
        <v>62324</v>
      </c>
      <c r="E77" s="8">
        <f t="shared" si="38"/>
        <v>-748</v>
      </c>
      <c r="F77" s="8">
        <v>6350</v>
      </c>
      <c r="G77" s="8">
        <f t="shared" si="39"/>
        <v>-676</v>
      </c>
      <c r="H77" s="8">
        <v>55974</v>
      </c>
      <c r="I77" s="8">
        <f t="shared" si="40"/>
        <v>-72</v>
      </c>
      <c r="J77" s="8">
        <v>173507</v>
      </c>
      <c r="K77" s="8">
        <f t="shared" si="41"/>
        <v>-3946</v>
      </c>
      <c r="L77" s="8">
        <v>242483</v>
      </c>
      <c r="M77" s="8">
        <f t="shared" si="42"/>
        <v>-6767</v>
      </c>
      <c r="N77" s="8">
        <v>-68976</v>
      </c>
      <c r="O77" s="8">
        <f t="shared" si="43"/>
        <v>2821</v>
      </c>
      <c r="P77" s="8">
        <v>78035</v>
      </c>
      <c r="Q77" s="8">
        <f t="shared" si="44"/>
        <v>-2987</v>
      </c>
      <c r="R77" s="8">
        <v>232188</v>
      </c>
      <c r="S77" s="8">
        <f t="shared" si="45"/>
        <v>-4707</v>
      </c>
      <c r="T77" s="8">
        <v>-154153</v>
      </c>
      <c r="U77" s="8">
        <f t="shared" si="46"/>
        <v>1720</v>
      </c>
      <c r="W77" s="8">
        <v>267814</v>
      </c>
      <c r="X77" s="8">
        <f t="shared" si="47"/>
        <v>-3632</v>
      </c>
      <c r="Y77" s="8">
        <v>68289</v>
      </c>
      <c r="Z77" s="8">
        <f t="shared" si="48"/>
        <v>-761</v>
      </c>
      <c r="AA77" s="8">
        <v>4656</v>
      </c>
      <c r="AB77" s="8">
        <f t="shared" si="35"/>
        <v>632</v>
      </c>
      <c r="AC77" s="8">
        <v>63633</v>
      </c>
      <c r="AD77" s="8">
        <f t="shared" si="35"/>
        <v>-1393</v>
      </c>
      <c r="AE77" s="8">
        <v>101547</v>
      </c>
      <c r="AF77" s="8">
        <f t="shared" si="49"/>
        <v>416</v>
      </c>
      <c r="AG77" s="8">
        <v>196301</v>
      </c>
      <c r="AH77" s="8">
        <f t="shared" si="50"/>
        <v>2099</v>
      </c>
      <c r="AI77" s="8">
        <v>-94754</v>
      </c>
      <c r="AJ77" s="8">
        <f t="shared" si="51"/>
        <v>-1683</v>
      </c>
      <c r="AK77" s="8">
        <v>77477</v>
      </c>
      <c r="AL77" s="8">
        <f t="shared" si="52"/>
        <v>-2704</v>
      </c>
      <c r="AM77" s="8">
        <v>193598</v>
      </c>
      <c r="AN77" s="8">
        <f t="shared" si="53"/>
        <v>-127</v>
      </c>
      <c r="AO77" s="8">
        <v>-116121</v>
      </c>
      <c r="AP77" s="8">
        <f t="shared" si="54"/>
        <v>-2577</v>
      </c>
      <c r="AR77" s="8">
        <v>1458168</v>
      </c>
      <c r="AS77" s="8">
        <f t="shared" si="55"/>
        <v>-217511</v>
      </c>
      <c r="AT77" s="8">
        <v>228448</v>
      </c>
      <c r="AU77" s="8">
        <f t="shared" si="56"/>
        <v>12649</v>
      </c>
      <c r="AV77" s="8">
        <v>50820</v>
      </c>
      <c r="AW77" s="8">
        <f t="shared" si="57"/>
        <v>686</v>
      </c>
      <c r="AX77" s="8">
        <f t="shared" si="32"/>
        <v>177628</v>
      </c>
      <c r="AY77" s="8">
        <f t="shared" si="58"/>
        <v>11963</v>
      </c>
      <c r="AZ77" s="8">
        <v>687317</v>
      </c>
      <c r="BA77" s="8">
        <f t="shared" si="59"/>
        <v>-50237</v>
      </c>
      <c r="BB77" s="8">
        <v>792860</v>
      </c>
      <c r="BC77" s="8">
        <f t="shared" si="60"/>
        <v>-38151</v>
      </c>
      <c r="BD77" s="8">
        <f t="shared" si="33"/>
        <v>-105543</v>
      </c>
      <c r="BE77" s="8">
        <f t="shared" si="61"/>
        <v>-12086</v>
      </c>
      <c r="BF77" s="8">
        <v>310911</v>
      </c>
      <c r="BG77" s="8">
        <f t="shared" si="62"/>
        <v>-49835</v>
      </c>
      <c r="BH77" s="8">
        <v>758396</v>
      </c>
      <c r="BI77" s="8">
        <f t="shared" si="63"/>
        <v>-34428</v>
      </c>
      <c r="BJ77" s="8">
        <f t="shared" si="34"/>
        <v>-447485</v>
      </c>
      <c r="BK77" s="8">
        <f t="shared" si="36"/>
        <v>-15407</v>
      </c>
    </row>
    <row r="78" spans="1:63">
      <c r="A78" s="5">
        <v>39413</v>
      </c>
      <c r="B78" s="8">
        <v>360244</v>
      </c>
      <c r="C78" s="8">
        <f t="shared" si="37"/>
        <v>13987</v>
      </c>
      <c r="D78" s="8">
        <v>62564</v>
      </c>
      <c r="E78" s="8">
        <f t="shared" si="38"/>
        <v>240</v>
      </c>
      <c r="F78" s="8">
        <v>7518</v>
      </c>
      <c r="G78" s="8">
        <f t="shared" si="39"/>
        <v>1168</v>
      </c>
      <c r="H78" s="8">
        <v>55046</v>
      </c>
      <c r="I78" s="8">
        <f t="shared" si="40"/>
        <v>-928</v>
      </c>
      <c r="J78" s="8">
        <v>177260</v>
      </c>
      <c r="K78" s="8">
        <f t="shared" si="41"/>
        <v>3753</v>
      </c>
      <c r="L78" s="8">
        <v>247421</v>
      </c>
      <c r="M78" s="8">
        <f t="shared" si="42"/>
        <v>4938</v>
      </c>
      <c r="N78" s="8">
        <v>-70161</v>
      </c>
      <c r="O78" s="8">
        <f t="shared" si="43"/>
        <v>-1185</v>
      </c>
      <c r="P78" s="8">
        <v>82101</v>
      </c>
      <c r="Q78" s="8">
        <f t="shared" si="44"/>
        <v>4066</v>
      </c>
      <c r="R78" s="8">
        <v>237544</v>
      </c>
      <c r="S78" s="8">
        <f t="shared" si="45"/>
        <v>5356</v>
      </c>
      <c r="T78" s="8">
        <v>-155443</v>
      </c>
      <c r="U78" s="8">
        <f t="shared" si="46"/>
        <v>-1290</v>
      </c>
      <c r="W78" s="8">
        <v>262419</v>
      </c>
      <c r="X78" s="8">
        <f t="shared" si="47"/>
        <v>-5395</v>
      </c>
      <c r="Y78" s="8">
        <v>67490</v>
      </c>
      <c r="Z78" s="8">
        <f t="shared" si="48"/>
        <v>-799</v>
      </c>
      <c r="AA78" s="8">
        <v>5228</v>
      </c>
      <c r="AB78" s="8">
        <f t="shared" si="35"/>
        <v>572</v>
      </c>
      <c r="AC78" s="8">
        <v>62262</v>
      </c>
      <c r="AD78" s="8">
        <f t="shared" si="35"/>
        <v>-1371</v>
      </c>
      <c r="AE78" s="8">
        <v>97812</v>
      </c>
      <c r="AF78" s="8">
        <f t="shared" si="49"/>
        <v>-3735</v>
      </c>
      <c r="AG78" s="8">
        <v>189243</v>
      </c>
      <c r="AH78" s="8">
        <f t="shared" si="50"/>
        <v>-7058</v>
      </c>
      <c r="AI78" s="8">
        <v>-91431</v>
      </c>
      <c r="AJ78" s="8">
        <f t="shared" si="51"/>
        <v>3323</v>
      </c>
      <c r="AK78" s="8">
        <v>73766</v>
      </c>
      <c r="AL78" s="8">
        <f t="shared" si="52"/>
        <v>-3711</v>
      </c>
      <c r="AM78" s="8">
        <v>187216</v>
      </c>
      <c r="AN78" s="8">
        <f t="shared" si="53"/>
        <v>-6382</v>
      </c>
      <c r="AO78" s="8">
        <v>-113450</v>
      </c>
      <c r="AP78" s="8">
        <f t="shared" si="54"/>
        <v>2671</v>
      </c>
      <c r="AR78" s="8">
        <v>1426948</v>
      </c>
      <c r="AS78" s="8">
        <f t="shared" si="55"/>
        <v>-31220</v>
      </c>
      <c r="AT78" s="8">
        <v>218696</v>
      </c>
      <c r="AU78" s="8">
        <f t="shared" si="56"/>
        <v>-9752</v>
      </c>
      <c r="AV78" s="8">
        <v>41012</v>
      </c>
      <c r="AW78" s="8">
        <f t="shared" si="57"/>
        <v>-9808</v>
      </c>
      <c r="AX78" s="8">
        <f t="shared" si="32"/>
        <v>177684</v>
      </c>
      <c r="AY78" s="8">
        <f t="shared" si="58"/>
        <v>56</v>
      </c>
      <c r="AZ78" s="8">
        <v>674835</v>
      </c>
      <c r="BA78" s="8">
        <f t="shared" si="59"/>
        <v>-12482</v>
      </c>
      <c r="BB78" s="8">
        <v>781032</v>
      </c>
      <c r="BC78" s="8">
        <f t="shared" si="60"/>
        <v>-11828</v>
      </c>
      <c r="BD78" s="8">
        <f t="shared" si="33"/>
        <v>-106197</v>
      </c>
      <c r="BE78" s="8">
        <f t="shared" si="61"/>
        <v>-654</v>
      </c>
      <c r="BF78" s="8">
        <v>317506</v>
      </c>
      <c r="BG78" s="8">
        <f t="shared" si="62"/>
        <v>6595</v>
      </c>
      <c r="BH78" s="8">
        <v>754990</v>
      </c>
      <c r="BI78" s="8">
        <f t="shared" si="63"/>
        <v>-3406</v>
      </c>
      <c r="BJ78" s="8">
        <f t="shared" si="34"/>
        <v>-437484</v>
      </c>
      <c r="BK78" s="8">
        <f t="shared" si="36"/>
        <v>10001</v>
      </c>
    </row>
    <row r="79" spans="1:63">
      <c r="A79" s="5">
        <v>39420</v>
      </c>
      <c r="B79" s="8">
        <v>349507</v>
      </c>
      <c r="C79" s="8">
        <f t="shared" si="37"/>
        <v>-10737</v>
      </c>
      <c r="D79" s="8">
        <v>62565</v>
      </c>
      <c r="E79" s="8">
        <f t="shared" si="38"/>
        <v>1</v>
      </c>
      <c r="F79" s="8">
        <v>6090</v>
      </c>
      <c r="G79" s="8">
        <f t="shared" si="39"/>
        <v>-1428</v>
      </c>
      <c r="H79" s="8">
        <v>56475</v>
      </c>
      <c r="I79" s="8">
        <f t="shared" si="40"/>
        <v>1429</v>
      </c>
      <c r="J79" s="8">
        <v>168087</v>
      </c>
      <c r="K79" s="8">
        <f t="shared" si="41"/>
        <v>-9173</v>
      </c>
      <c r="L79" s="8">
        <v>236655</v>
      </c>
      <c r="M79" s="8">
        <f t="shared" si="42"/>
        <v>-10766</v>
      </c>
      <c r="N79" s="8">
        <v>-68568</v>
      </c>
      <c r="O79" s="8">
        <f t="shared" si="43"/>
        <v>1593</v>
      </c>
      <c r="P79" s="8">
        <v>73013</v>
      </c>
      <c r="Q79" s="8">
        <f t="shared" si="44"/>
        <v>-9088</v>
      </c>
      <c r="R79" s="8">
        <v>227115</v>
      </c>
      <c r="S79" s="8">
        <f t="shared" si="45"/>
        <v>-10429</v>
      </c>
      <c r="T79" s="8">
        <v>-154102</v>
      </c>
      <c r="U79" s="8">
        <f t="shared" si="46"/>
        <v>1341</v>
      </c>
      <c r="W79" s="8">
        <v>265907</v>
      </c>
      <c r="X79" s="8">
        <f t="shared" si="47"/>
        <v>3488</v>
      </c>
      <c r="Y79" s="8">
        <v>71139</v>
      </c>
      <c r="Z79" s="8">
        <f t="shared" si="48"/>
        <v>3649</v>
      </c>
      <c r="AA79" s="8">
        <v>2897</v>
      </c>
      <c r="AB79" s="8">
        <f t="shared" si="35"/>
        <v>-2331</v>
      </c>
      <c r="AC79" s="8">
        <v>68242</v>
      </c>
      <c r="AD79" s="8">
        <f t="shared" si="35"/>
        <v>5980</v>
      </c>
      <c r="AE79" s="8">
        <v>96599</v>
      </c>
      <c r="AF79" s="8">
        <f t="shared" si="49"/>
        <v>-1213</v>
      </c>
      <c r="AG79" s="8">
        <v>198126</v>
      </c>
      <c r="AH79" s="8">
        <f t="shared" si="50"/>
        <v>8883</v>
      </c>
      <c r="AI79" s="8">
        <v>-101527</v>
      </c>
      <c r="AJ79" s="8">
        <f t="shared" si="51"/>
        <v>-10096</v>
      </c>
      <c r="AK79" s="8">
        <v>72741</v>
      </c>
      <c r="AL79" s="8">
        <f t="shared" si="52"/>
        <v>-1025</v>
      </c>
      <c r="AM79" s="8">
        <v>195586</v>
      </c>
      <c r="AN79" s="8">
        <f t="shared" si="53"/>
        <v>8370</v>
      </c>
      <c r="AO79" s="8">
        <v>-122845</v>
      </c>
      <c r="AP79" s="8">
        <f t="shared" si="54"/>
        <v>-9395</v>
      </c>
      <c r="AR79" s="8">
        <v>1445029</v>
      </c>
      <c r="AS79" s="8">
        <f t="shared" si="55"/>
        <v>18081</v>
      </c>
      <c r="AT79" s="8">
        <v>232980</v>
      </c>
      <c r="AU79" s="8">
        <f t="shared" si="56"/>
        <v>14284</v>
      </c>
      <c r="AV79" s="8">
        <v>38767</v>
      </c>
      <c r="AW79" s="8">
        <f t="shared" si="57"/>
        <v>-2245</v>
      </c>
      <c r="AX79" s="8">
        <f t="shared" si="32"/>
        <v>194213</v>
      </c>
      <c r="AY79" s="8">
        <f t="shared" si="58"/>
        <v>16529</v>
      </c>
      <c r="AZ79" s="8">
        <v>668131</v>
      </c>
      <c r="BA79" s="8">
        <f t="shared" si="59"/>
        <v>-6704</v>
      </c>
      <c r="BB79" s="8">
        <v>792248</v>
      </c>
      <c r="BC79" s="8">
        <f t="shared" si="60"/>
        <v>11216</v>
      </c>
      <c r="BD79" s="8">
        <f t="shared" si="33"/>
        <v>-124117</v>
      </c>
      <c r="BE79" s="8">
        <f t="shared" si="61"/>
        <v>-17920</v>
      </c>
      <c r="BF79" s="8">
        <v>299030</v>
      </c>
      <c r="BG79" s="8">
        <f t="shared" si="62"/>
        <v>-18476</v>
      </c>
      <c r="BH79" s="8">
        <v>764050</v>
      </c>
      <c r="BI79" s="8">
        <f t="shared" si="63"/>
        <v>9060</v>
      </c>
      <c r="BJ79" s="8">
        <f t="shared" si="34"/>
        <v>-465020</v>
      </c>
      <c r="BK79" s="8">
        <f t="shared" si="36"/>
        <v>-27536</v>
      </c>
    </row>
    <row r="80" spans="1:63">
      <c r="A80" s="5">
        <v>39427</v>
      </c>
      <c r="B80" s="8">
        <v>335195</v>
      </c>
      <c r="C80" s="8">
        <f t="shared" si="37"/>
        <v>-14312</v>
      </c>
      <c r="D80" s="8">
        <v>55344</v>
      </c>
      <c r="E80" s="8">
        <f t="shared" si="38"/>
        <v>-7221</v>
      </c>
      <c r="F80" s="8">
        <v>5982</v>
      </c>
      <c r="G80" s="8">
        <f t="shared" si="39"/>
        <v>-108</v>
      </c>
      <c r="H80" s="8">
        <v>49362</v>
      </c>
      <c r="I80" s="8">
        <f t="shared" si="40"/>
        <v>-7113</v>
      </c>
      <c r="J80" s="8">
        <v>170652</v>
      </c>
      <c r="K80" s="8">
        <f t="shared" si="41"/>
        <v>2565</v>
      </c>
      <c r="L80" s="8">
        <v>233272</v>
      </c>
      <c r="M80" s="8">
        <f t="shared" si="42"/>
        <v>-3383</v>
      </c>
      <c r="N80" s="8">
        <v>-62620</v>
      </c>
      <c r="O80" s="8">
        <f t="shared" si="43"/>
        <v>5948</v>
      </c>
      <c r="P80" s="8">
        <v>75771</v>
      </c>
      <c r="Q80" s="8">
        <f t="shared" si="44"/>
        <v>2758</v>
      </c>
      <c r="R80" s="8">
        <v>224196</v>
      </c>
      <c r="S80" s="8">
        <f t="shared" si="45"/>
        <v>-2919</v>
      </c>
      <c r="T80" s="8">
        <v>-148425</v>
      </c>
      <c r="U80" s="8">
        <f t="shared" si="46"/>
        <v>5677</v>
      </c>
      <c r="W80" s="8">
        <v>273359</v>
      </c>
      <c r="X80" s="8">
        <f t="shared" si="47"/>
        <v>7452</v>
      </c>
      <c r="Y80" s="8">
        <v>76671</v>
      </c>
      <c r="Z80" s="8">
        <f t="shared" si="48"/>
        <v>5532</v>
      </c>
      <c r="AA80" s="8">
        <v>1234</v>
      </c>
      <c r="AB80" s="8">
        <f t="shared" si="35"/>
        <v>-1663</v>
      </c>
      <c r="AC80" s="8">
        <v>75437</v>
      </c>
      <c r="AD80" s="8">
        <f t="shared" si="35"/>
        <v>7195</v>
      </c>
      <c r="AE80" s="8">
        <v>95346</v>
      </c>
      <c r="AF80" s="8">
        <f t="shared" si="49"/>
        <v>-1253</v>
      </c>
      <c r="AG80" s="8">
        <v>202390</v>
      </c>
      <c r="AH80" s="8">
        <f t="shared" si="50"/>
        <v>4264</v>
      </c>
      <c r="AI80" s="8">
        <v>-107044</v>
      </c>
      <c r="AJ80" s="8">
        <f t="shared" si="51"/>
        <v>-5517</v>
      </c>
      <c r="AK80" s="8">
        <v>71494</v>
      </c>
      <c r="AL80" s="8">
        <f t="shared" si="52"/>
        <v>-1247</v>
      </c>
      <c r="AM80" s="8">
        <v>200792</v>
      </c>
      <c r="AN80" s="8">
        <f t="shared" si="53"/>
        <v>5206</v>
      </c>
      <c r="AO80" s="8">
        <v>-129298</v>
      </c>
      <c r="AP80" s="8">
        <f t="shared" si="54"/>
        <v>-6453</v>
      </c>
      <c r="AR80" s="8">
        <v>1538786</v>
      </c>
      <c r="AS80" s="8">
        <f t="shared" si="55"/>
        <v>93757</v>
      </c>
      <c r="AT80" s="8">
        <v>246071</v>
      </c>
      <c r="AU80" s="8">
        <f t="shared" si="56"/>
        <v>13091</v>
      </c>
      <c r="AV80" s="8">
        <v>44890</v>
      </c>
      <c r="AW80" s="8">
        <f t="shared" si="57"/>
        <v>6123</v>
      </c>
      <c r="AX80" s="8">
        <f t="shared" si="32"/>
        <v>201181</v>
      </c>
      <c r="AY80" s="8">
        <f t="shared" si="58"/>
        <v>6968</v>
      </c>
      <c r="AZ80" s="8">
        <v>697169</v>
      </c>
      <c r="BA80" s="8">
        <f t="shared" si="59"/>
        <v>29038</v>
      </c>
      <c r="BB80" s="8">
        <v>843739</v>
      </c>
      <c r="BC80" s="8">
        <f t="shared" si="60"/>
        <v>51491</v>
      </c>
      <c r="BD80" s="8">
        <f t="shared" si="33"/>
        <v>-146570</v>
      </c>
      <c r="BE80" s="8">
        <f t="shared" si="61"/>
        <v>-22453</v>
      </c>
      <c r="BF80" s="8">
        <v>317077</v>
      </c>
      <c r="BG80" s="8">
        <f t="shared" si="62"/>
        <v>18047</v>
      </c>
      <c r="BH80" s="8">
        <v>814873</v>
      </c>
      <c r="BI80" s="8">
        <f t="shared" si="63"/>
        <v>50823</v>
      </c>
      <c r="BJ80" s="8">
        <f t="shared" si="34"/>
        <v>-497796</v>
      </c>
      <c r="BK80" s="8">
        <f t="shared" si="36"/>
        <v>-32776</v>
      </c>
    </row>
    <row r="81" spans="1:63">
      <c r="A81" s="5">
        <v>39434</v>
      </c>
      <c r="B81" s="8">
        <v>340898</v>
      </c>
      <c r="C81" s="8">
        <f t="shared" si="37"/>
        <v>5703</v>
      </c>
      <c r="D81" s="8">
        <v>52242</v>
      </c>
      <c r="E81" s="8">
        <f t="shared" si="38"/>
        <v>-3102</v>
      </c>
      <c r="F81" s="8">
        <v>8489</v>
      </c>
      <c r="G81" s="8">
        <f t="shared" si="39"/>
        <v>2507</v>
      </c>
      <c r="H81" s="8">
        <v>43753</v>
      </c>
      <c r="I81" s="8">
        <f t="shared" si="40"/>
        <v>-5609</v>
      </c>
      <c r="J81" s="8">
        <v>171343</v>
      </c>
      <c r="K81" s="8">
        <f t="shared" si="41"/>
        <v>691</v>
      </c>
      <c r="L81" s="8">
        <v>233216</v>
      </c>
      <c r="M81" s="8">
        <f t="shared" si="42"/>
        <v>-56</v>
      </c>
      <c r="N81" s="8">
        <v>-61873</v>
      </c>
      <c r="O81" s="8">
        <f t="shared" si="43"/>
        <v>747</v>
      </c>
      <c r="P81" s="8">
        <v>76646</v>
      </c>
      <c r="Q81" s="8">
        <f t="shared" si="44"/>
        <v>875</v>
      </c>
      <c r="R81" s="8">
        <v>227254</v>
      </c>
      <c r="S81" s="8">
        <f t="shared" si="45"/>
        <v>3058</v>
      </c>
      <c r="T81" s="8">
        <v>-150608</v>
      </c>
      <c r="U81" s="8">
        <f t="shared" si="46"/>
        <v>-2183</v>
      </c>
      <c r="W81" s="8">
        <v>282010</v>
      </c>
      <c r="X81" s="8">
        <f t="shared" si="47"/>
        <v>8651</v>
      </c>
      <c r="Y81" s="8">
        <v>75110</v>
      </c>
      <c r="Z81" s="8">
        <f t="shared" si="48"/>
        <v>-1561</v>
      </c>
      <c r="AA81" s="8">
        <v>4830</v>
      </c>
      <c r="AB81" s="8">
        <f t="shared" si="35"/>
        <v>3596</v>
      </c>
      <c r="AC81" s="8">
        <v>70280</v>
      </c>
      <c r="AD81" s="8">
        <f t="shared" si="35"/>
        <v>-5157</v>
      </c>
      <c r="AE81" s="8">
        <v>100420</v>
      </c>
      <c r="AF81" s="8">
        <f t="shared" si="49"/>
        <v>5074</v>
      </c>
      <c r="AG81" s="8">
        <v>204750</v>
      </c>
      <c r="AH81" s="8">
        <f t="shared" si="50"/>
        <v>2360</v>
      </c>
      <c r="AI81" s="8">
        <v>-104330</v>
      </c>
      <c r="AJ81" s="8">
        <f t="shared" si="51"/>
        <v>2714</v>
      </c>
      <c r="AK81" s="8">
        <v>76186</v>
      </c>
      <c r="AL81" s="8">
        <f t="shared" si="52"/>
        <v>4692</v>
      </c>
      <c r="AM81" s="8">
        <v>203676</v>
      </c>
      <c r="AN81" s="8">
        <f t="shared" si="53"/>
        <v>2884</v>
      </c>
      <c r="AO81" s="8">
        <v>-127490</v>
      </c>
      <c r="AP81" s="8">
        <f t="shared" si="54"/>
        <v>1808</v>
      </c>
      <c r="AR81" s="8">
        <v>1616549</v>
      </c>
      <c r="AS81" s="8">
        <f t="shared" si="55"/>
        <v>77763</v>
      </c>
      <c r="AT81" s="8">
        <v>263044</v>
      </c>
      <c r="AU81" s="8">
        <f t="shared" si="56"/>
        <v>16973</v>
      </c>
      <c r="AV81" s="8">
        <v>33521</v>
      </c>
      <c r="AW81" s="8">
        <f t="shared" si="57"/>
        <v>-11369</v>
      </c>
      <c r="AX81" s="8">
        <f t="shared" si="32"/>
        <v>229523</v>
      </c>
      <c r="AY81" s="8">
        <f t="shared" si="58"/>
        <v>28342</v>
      </c>
      <c r="AZ81" s="8">
        <v>720162</v>
      </c>
      <c r="BA81" s="8">
        <f t="shared" si="59"/>
        <v>22993</v>
      </c>
      <c r="BB81" s="8">
        <v>889323</v>
      </c>
      <c r="BC81" s="8">
        <f t="shared" si="60"/>
        <v>45584</v>
      </c>
      <c r="BD81" s="8">
        <f t="shared" si="33"/>
        <v>-169161</v>
      </c>
      <c r="BE81" s="8">
        <f t="shared" si="61"/>
        <v>-22591</v>
      </c>
      <c r="BF81" s="8">
        <v>337971</v>
      </c>
      <c r="BG81" s="8">
        <f t="shared" si="62"/>
        <v>20894</v>
      </c>
      <c r="BH81" s="8">
        <v>858750</v>
      </c>
      <c r="BI81" s="8">
        <f t="shared" si="63"/>
        <v>43877</v>
      </c>
      <c r="BJ81" s="8">
        <f t="shared" si="34"/>
        <v>-520779</v>
      </c>
      <c r="BK81" s="8">
        <f t="shared" si="36"/>
        <v>-22983</v>
      </c>
    </row>
    <row r="82" spans="1:63">
      <c r="A82" s="5">
        <v>39441</v>
      </c>
      <c r="B82" s="8">
        <v>328442</v>
      </c>
      <c r="C82" s="8">
        <f t="shared" si="37"/>
        <v>-12456</v>
      </c>
      <c r="D82" s="8">
        <v>57416</v>
      </c>
      <c r="E82" s="8">
        <f t="shared" si="38"/>
        <v>5174</v>
      </c>
      <c r="F82" s="8">
        <v>5593</v>
      </c>
      <c r="G82" s="8">
        <f t="shared" si="39"/>
        <v>-2896</v>
      </c>
      <c r="H82" s="8">
        <v>51823</v>
      </c>
      <c r="I82" s="8">
        <f t="shared" si="40"/>
        <v>8070</v>
      </c>
      <c r="J82" s="8">
        <v>164304</v>
      </c>
      <c r="K82" s="8">
        <f t="shared" si="41"/>
        <v>-7039</v>
      </c>
      <c r="L82" s="8">
        <v>236122</v>
      </c>
      <c r="M82" s="8">
        <f t="shared" si="42"/>
        <v>2906</v>
      </c>
      <c r="N82" s="8">
        <v>-71818</v>
      </c>
      <c r="O82" s="8">
        <f t="shared" si="43"/>
        <v>-9945</v>
      </c>
      <c r="P82" s="8">
        <v>70721</v>
      </c>
      <c r="Q82" s="8">
        <f t="shared" si="44"/>
        <v>-5925</v>
      </c>
      <c r="R82" s="8">
        <v>230823</v>
      </c>
      <c r="S82" s="8">
        <f t="shared" si="45"/>
        <v>3569</v>
      </c>
      <c r="T82" s="8">
        <v>-160102</v>
      </c>
      <c r="U82" s="8">
        <f t="shared" si="46"/>
        <v>-9494</v>
      </c>
      <c r="W82" s="8">
        <v>277461</v>
      </c>
      <c r="X82" s="8">
        <f t="shared" si="47"/>
        <v>-4549</v>
      </c>
      <c r="Y82" s="8" t="e">
        <v>#N/A</v>
      </c>
      <c r="Z82" s="8" t="e">
        <f t="shared" si="48"/>
        <v>#N/A</v>
      </c>
      <c r="AA82" s="8" t="e">
        <v>#N/A</v>
      </c>
      <c r="AB82" s="8" t="e">
        <f t="shared" si="35"/>
        <v>#N/A</v>
      </c>
      <c r="AC82" s="8" t="e">
        <v>#N/A</v>
      </c>
      <c r="AD82" s="8" t="e">
        <f t="shared" si="35"/>
        <v>#N/A</v>
      </c>
      <c r="AE82" s="8">
        <v>103116</v>
      </c>
      <c r="AF82" s="8">
        <f t="shared" si="49"/>
        <v>2696</v>
      </c>
      <c r="AG82" s="8">
        <v>203992</v>
      </c>
      <c r="AH82" s="8">
        <f t="shared" si="50"/>
        <v>-758</v>
      </c>
      <c r="AI82" s="8">
        <v>-100876</v>
      </c>
      <c r="AJ82" s="8">
        <f t="shared" si="51"/>
        <v>3454</v>
      </c>
      <c r="AK82" s="8" t="e">
        <v>#N/A</v>
      </c>
      <c r="AL82" s="8" t="e">
        <f t="shared" si="52"/>
        <v>#N/A</v>
      </c>
      <c r="AM82" s="8" t="e">
        <v>#N/A</v>
      </c>
      <c r="AN82" s="8" t="e">
        <f t="shared" si="53"/>
        <v>#N/A</v>
      </c>
      <c r="AO82" s="8" t="e">
        <v>#N/A</v>
      </c>
      <c r="AP82" s="8" t="e">
        <f t="shared" si="54"/>
        <v>#N/A</v>
      </c>
      <c r="AR82" s="8">
        <v>1651670</v>
      </c>
      <c r="AS82" s="8">
        <f t="shared" si="55"/>
        <v>35121</v>
      </c>
      <c r="AT82" s="8">
        <v>279243</v>
      </c>
      <c r="AU82" s="8">
        <f t="shared" si="56"/>
        <v>16199</v>
      </c>
      <c r="AV82" s="8">
        <v>33223</v>
      </c>
      <c r="AW82" s="8">
        <f t="shared" si="57"/>
        <v>-298</v>
      </c>
      <c r="AX82" s="8">
        <f t="shared" si="32"/>
        <v>246020</v>
      </c>
      <c r="AY82" s="8">
        <f t="shared" si="58"/>
        <v>16497</v>
      </c>
      <c r="AZ82" s="8">
        <v>740380</v>
      </c>
      <c r="BA82" s="8">
        <f t="shared" si="59"/>
        <v>20218</v>
      </c>
      <c r="BB82" s="8">
        <v>918474</v>
      </c>
      <c r="BC82" s="8">
        <f t="shared" si="60"/>
        <v>29151</v>
      </c>
      <c r="BD82" s="8">
        <f t="shared" si="33"/>
        <v>-178094</v>
      </c>
      <c r="BE82" s="8">
        <f t="shared" si="61"/>
        <v>-8933</v>
      </c>
      <c r="BF82" s="8">
        <v>351037</v>
      </c>
      <c r="BG82" s="8">
        <f t="shared" si="62"/>
        <v>13066</v>
      </c>
      <c r="BH82" s="8">
        <v>887497</v>
      </c>
      <c r="BI82" s="8">
        <f t="shared" si="63"/>
        <v>28747</v>
      </c>
      <c r="BJ82" s="8">
        <f t="shared" si="34"/>
        <v>-536460</v>
      </c>
      <c r="BK82" s="8">
        <f t="shared" si="36"/>
        <v>-15681</v>
      </c>
    </row>
    <row r="83" spans="1:63">
      <c r="A83" s="5">
        <v>39448</v>
      </c>
      <c r="B83" s="8">
        <v>320931</v>
      </c>
      <c r="C83" s="8">
        <f t="shared" si="37"/>
        <v>-7511</v>
      </c>
      <c r="D83" s="8">
        <v>57552</v>
      </c>
      <c r="E83" s="8">
        <f t="shared" si="38"/>
        <v>136</v>
      </c>
      <c r="F83" s="8">
        <v>4308</v>
      </c>
      <c r="G83" s="8">
        <f t="shared" si="39"/>
        <v>-1285</v>
      </c>
      <c r="H83" s="8">
        <v>53244</v>
      </c>
      <c r="I83" s="8">
        <f t="shared" si="40"/>
        <v>1421</v>
      </c>
      <c r="J83" s="8">
        <v>159810</v>
      </c>
      <c r="K83" s="8">
        <f t="shared" si="41"/>
        <v>-4494</v>
      </c>
      <c r="L83" s="8">
        <v>224284</v>
      </c>
      <c r="M83" s="8">
        <f t="shared" si="42"/>
        <v>-11838</v>
      </c>
      <c r="N83" s="8">
        <v>-64474</v>
      </c>
      <c r="O83" s="8">
        <f t="shared" si="43"/>
        <v>7344</v>
      </c>
      <c r="P83" s="8">
        <v>69181</v>
      </c>
      <c r="Q83" s="8">
        <f t="shared" si="44"/>
        <v>-1540</v>
      </c>
      <c r="R83" s="8">
        <v>221013</v>
      </c>
      <c r="S83" s="8">
        <f t="shared" si="45"/>
        <v>-9810</v>
      </c>
      <c r="T83" s="8">
        <v>-151832</v>
      </c>
      <c r="U83" s="8">
        <f t="shared" si="46"/>
        <v>8270</v>
      </c>
      <c r="W83" s="8">
        <v>265428</v>
      </c>
      <c r="X83" s="8">
        <f t="shared" si="47"/>
        <v>-12033</v>
      </c>
      <c r="Y83" s="8" t="e">
        <v>#N/A</v>
      </c>
      <c r="Z83" s="8" t="e">
        <f t="shared" si="48"/>
        <v>#N/A</v>
      </c>
      <c r="AA83" s="8" t="e">
        <v>#N/A</v>
      </c>
      <c r="AB83" s="8" t="e">
        <f t="shared" si="35"/>
        <v>#N/A</v>
      </c>
      <c r="AC83" s="8" t="e">
        <v>#N/A</v>
      </c>
      <c r="AD83" s="8" t="e">
        <f t="shared" si="35"/>
        <v>#N/A</v>
      </c>
      <c r="AE83" s="8">
        <v>102805</v>
      </c>
      <c r="AF83" s="8">
        <f t="shared" si="49"/>
        <v>-311</v>
      </c>
      <c r="AG83" s="8">
        <v>192468</v>
      </c>
      <c r="AH83" s="8">
        <f t="shared" si="50"/>
        <v>-11524</v>
      </c>
      <c r="AI83" s="8">
        <v>-89663</v>
      </c>
      <c r="AJ83" s="8">
        <f t="shared" si="51"/>
        <v>11213</v>
      </c>
      <c r="AK83" s="8" t="e">
        <v>#N/A</v>
      </c>
      <c r="AL83" s="8" t="e">
        <f t="shared" si="52"/>
        <v>#N/A</v>
      </c>
      <c r="AM83" s="8" t="e">
        <v>#N/A</v>
      </c>
      <c r="AN83" s="8" t="e">
        <f t="shared" si="53"/>
        <v>#N/A</v>
      </c>
      <c r="AO83" s="8" t="e">
        <v>#N/A</v>
      </c>
      <c r="AP83" s="8" t="e">
        <f t="shared" si="54"/>
        <v>#N/A</v>
      </c>
      <c r="AR83" s="8">
        <v>1726038</v>
      </c>
      <c r="AS83" s="8">
        <f t="shared" si="55"/>
        <v>74368</v>
      </c>
      <c r="AT83" s="8">
        <v>288521</v>
      </c>
      <c r="AU83" s="8">
        <f t="shared" si="56"/>
        <v>9278</v>
      </c>
      <c r="AV83" s="8">
        <v>36163</v>
      </c>
      <c r="AW83" s="8">
        <f t="shared" si="57"/>
        <v>2940</v>
      </c>
      <c r="AX83" s="8">
        <f t="shared" si="32"/>
        <v>252358</v>
      </c>
      <c r="AY83" s="8">
        <f t="shared" si="58"/>
        <v>6338</v>
      </c>
      <c r="AZ83" s="8">
        <v>761598</v>
      </c>
      <c r="BA83" s="8">
        <f t="shared" si="59"/>
        <v>21218</v>
      </c>
      <c r="BB83" s="8">
        <v>945438</v>
      </c>
      <c r="BC83" s="8">
        <f t="shared" si="60"/>
        <v>26964</v>
      </c>
      <c r="BD83" s="8">
        <f t="shared" si="33"/>
        <v>-183840</v>
      </c>
      <c r="BE83" s="8">
        <f t="shared" si="61"/>
        <v>-5746</v>
      </c>
      <c r="BF83" s="8">
        <v>366590</v>
      </c>
      <c r="BG83" s="8">
        <f t="shared" si="62"/>
        <v>15553</v>
      </c>
      <c r="BH83" s="8">
        <v>912458</v>
      </c>
      <c r="BI83" s="8">
        <f t="shared" si="63"/>
        <v>24961</v>
      </c>
      <c r="BJ83" s="8">
        <f t="shared" si="34"/>
        <v>-545868</v>
      </c>
      <c r="BK83" s="8">
        <f t="shared" si="36"/>
        <v>-9408</v>
      </c>
    </row>
    <row r="84" spans="1:63">
      <c r="A84" s="5">
        <v>39455</v>
      </c>
      <c r="B84" s="8">
        <v>330139</v>
      </c>
      <c r="C84" s="8">
        <f t="shared" si="37"/>
        <v>9208</v>
      </c>
      <c r="D84" s="8">
        <v>60094</v>
      </c>
      <c r="E84" s="8">
        <f t="shared" si="38"/>
        <v>2542</v>
      </c>
      <c r="F84" s="8">
        <v>6777</v>
      </c>
      <c r="G84" s="8">
        <f t="shared" si="39"/>
        <v>2469</v>
      </c>
      <c r="H84" s="8">
        <v>53317</v>
      </c>
      <c r="I84" s="8">
        <f t="shared" si="40"/>
        <v>73</v>
      </c>
      <c r="J84" s="8">
        <v>160845</v>
      </c>
      <c r="K84" s="8">
        <f t="shared" si="41"/>
        <v>1035</v>
      </c>
      <c r="L84" s="8">
        <v>231027</v>
      </c>
      <c r="M84" s="8">
        <f t="shared" si="42"/>
        <v>6743</v>
      </c>
      <c r="N84" s="8">
        <v>-70182</v>
      </c>
      <c r="O84" s="8">
        <f t="shared" si="43"/>
        <v>-5708</v>
      </c>
      <c r="P84" s="8">
        <v>68641</v>
      </c>
      <c r="Q84" s="8">
        <f t="shared" si="44"/>
        <v>-540</v>
      </c>
      <c r="R84" s="8">
        <v>228325</v>
      </c>
      <c r="S84" s="8">
        <f t="shared" si="45"/>
        <v>7312</v>
      </c>
      <c r="T84" s="8">
        <v>-159684</v>
      </c>
      <c r="U84" s="8">
        <f t="shared" si="46"/>
        <v>-7852</v>
      </c>
      <c r="W84" s="8">
        <v>256025</v>
      </c>
      <c r="X84" s="8">
        <f t="shared" si="47"/>
        <v>-9403</v>
      </c>
      <c r="Y84" s="8">
        <v>65703</v>
      </c>
      <c r="Z84" s="8" t="e">
        <f t="shared" si="48"/>
        <v>#N/A</v>
      </c>
      <c r="AA84" s="8">
        <v>2954</v>
      </c>
      <c r="AB84" s="8" t="e">
        <f t="shared" si="35"/>
        <v>#N/A</v>
      </c>
      <c r="AC84" s="8">
        <v>62749</v>
      </c>
      <c r="AD84" s="8" t="e">
        <f t="shared" si="35"/>
        <v>#N/A</v>
      </c>
      <c r="AE84" s="8">
        <v>96429</v>
      </c>
      <c r="AF84" s="8">
        <f t="shared" si="49"/>
        <v>-6376</v>
      </c>
      <c r="AG84" s="8">
        <v>185397</v>
      </c>
      <c r="AH84" s="8">
        <f t="shared" si="50"/>
        <v>-7071</v>
      </c>
      <c r="AI84" s="8">
        <v>-88968</v>
      </c>
      <c r="AJ84" s="8">
        <f t="shared" si="51"/>
        <v>695</v>
      </c>
      <c r="AK84" s="8">
        <v>71499</v>
      </c>
      <c r="AL84" s="8" t="e">
        <f t="shared" si="52"/>
        <v>#N/A</v>
      </c>
      <c r="AM84" s="8">
        <v>183444</v>
      </c>
      <c r="AN84" s="8" t="e">
        <f t="shared" si="53"/>
        <v>#N/A</v>
      </c>
      <c r="AO84" s="8">
        <v>-111945</v>
      </c>
      <c r="AP84" s="8" t="e">
        <f t="shared" si="54"/>
        <v>#N/A</v>
      </c>
      <c r="AR84" s="8">
        <v>1835417</v>
      </c>
      <c r="AS84" s="8">
        <f t="shared" si="55"/>
        <v>109379</v>
      </c>
      <c r="AT84" s="8">
        <v>300298</v>
      </c>
      <c r="AU84" s="8">
        <f t="shared" si="56"/>
        <v>11777</v>
      </c>
      <c r="AV84" s="8">
        <v>33720</v>
      </c>
      <c r="AW84" s="8">
        <f t="shared" si="57"/>
        <v>-2443</v>
      </c>
      <c r="AX84" s="8">
        <f t="shared" si="32"/>
        <v>266578</v>
      </c>
      <c r="AY84" s="8">
        <f t="shared" si="58"/>
        <v>14220</v>
      </c>
      <c r="AZ84" s="8">
        <v>790251</v>
      </c>
      <c r="BA84" s="8">
        <f t="shared" si="59"/>
        <v>28653</v>
      </c>
      <c r="BB84" s="8">
        <v>989093</v>
      </c>
      <c r="BC84" s="8">
        <f t="shared" si="60"/>
        <v>43655</v>
      </c>
      <c r="BD84" s="8">
        <f t="shared" si="33"/>
        <v>-198842</v>
      </c>
      <c r="BE84" s="8">
        <f t="shared" si="61"/>
        <v>-15002</v>
      </c>
      <c r="BF84" s="8">
        <v>380628</v>
      </c>
      <c r="BG84" s="8">
        <f t="shared" si="62"/>
        <v>14038</v>
      </c>
      <c r="BH84" s="8">
        <v>945402</v>
      </c>
      <c r="BI84" s="8">
        <f t="shared" si="63"/>
        <v>32944</v>
      </c>
      <c r="BJ84" s="8">
        <f t="shared" si="34"/>
        <v>-564774</v>
      </c>
      <c r="BK84" s="8">
        <f t="shared" si="36"/>
        <v>-18906</v>
      </c>
    </row>
    <row r="85" spans="1:63">
      <c r="A85" s="5">
        <v>39462</v>
      </c>
      <c r="B85" s="8">
        <v>333217</v>
      </c>
      <c r="C85" s="8">
        <f t="shared" si="37"/>
        <v>3078</v>
      </c>
      <c r="D85" s="8">
        <v>55576</v>
      </c>
      <c r="E85" s="8">
        <f t="shared" si="38"/>
        <v>-4518</v>
      </c>
      <c r="F85" s="8">
        <v>7377</v>
      </c>
      <c r="G85" s="8">
        <f t="shared" si="39"/>
        <v>600</v>
      </c>
      <c r="H85" s="8">
        <v>48199</v>
      </c>
      <c r="I85" s="8">
        <f t="shared" si="40"/>
        <v>-5118</v>
      </c>
      <c r="J85" s="8">
        <v>159582</v>
      </c>
      <c r="K85" s="8">
        <f t="shared" si="41"/>
        <v>-1263</v>
      </c>
      <c r="L85" s="8">
        <v>224818</v>
      </c>
      <c r="M85" s="8">
        <f t="shared" si="42"/>
        <v>-6209</v>
      </c>
      <c r="N85" s="8">
        <v>-65236</v>
      </c>
      <c r="O85" s="8">
        <f t="shared" si="43"/>
        <v>4946</v>
      </c>
      <c r="P85" s="8">
        <v>76633</v>
      </c>
      <c r="Q85" s="8">
        <f t="shared" si="44"/>
        <v>7992</v>
      </c>
      <c r="R85" s="8">
        <v>222078</v>
      </c>
      <c r="S85" s="8">
        <f t="shared" si="45"/>
        <v>-6247</v>
      </c>
      <c r="T85" s="8">
        <v>-145445</v>
      </c>
      <c r="U85" s="8">
        <f t="shared" si="46"/>
        <v>14239</v>
      </c>
      <c r="W85" s="8">
        <v>266205</v>
      </c>
      <c r="X85" s="8">
        <f t="shared" si="47"/>
        <v>10180</v>
      </c>
      <c r="Y85" s="8">
        <v>60182</v>
      </c>
      <c r="Z85" s="8">
        <f t="shared" si="48"/>
        <v>-5521</v>
      </c>
      <c r="AA85" s="8">
        <v>5826</v>
      </c>
      <c r="AB85" s="8">
        <f t="shared" si="35"/>
        <v>2872</v>
      </c>
      <c r="AC85" s="8">
        <v>54356</v>
      </c>
      <c r="AD85" s="8">
        <f t="shared" si="35"/>
        <v>-8393</v>
      </c>
      <c r="AE85" s="8">
        <v>110487</v>
      </c>
      <c r="AF85" s="8">
        <f t="shared" si="49"/>
        <v>14058</v>
      </c>
      <c r="AG85" s="8">
        <v>193910</v>
      </c>
      <c r="AH85" s="8">
        <f t="shared" si="50"/>
        <v>8513</v>
      </c>
      <c r="AI85" s="8">
        <v>-83423</v>
      </c>
      <c r="AJ85" s="8">
        <f t="shared" si="51"/>
        <v>5545</v>
      </c>
      <c r="AK85" s="8">
        <v>85904</v>
      </c>
      <c r="AL85" s="8">
        <f t="shared" si="52"/>
        <v>14405</v>
      </c>
      <c r="AM85" s="8">
        <v>191846</v>
      </c>
      <c r="AN85" s="8">
        <f t="shared" si="53"/>
        <v>8402</v>
      </c>
      <c r="AO85" s="8">
        <v>-105942</v>
      </c>
      <c r="AP85" s="8">
        <f t="shared" si="54"/>
        <v>6003</v>
      </c>
      <c r="AR85" s="8">
        <v>1979178</v>
      </c>
      <c r="AS85" s="8">
        <f t="shared" si="55"/>
        <v>143761</v>
      </c>
      <c r="AT85" s="8">
        <v>300059</v>
      </c>
      <c r="AU85" s="8">
        <f t="shared" si="56"/>
        <v>-239</v>
      </c>
      <c r="AV85" s="8">
        <v>31177</v>
      </c>
      <c r="AW85" s="8">
        <f t="shared" si="57"/>
        <v>-2543</v>
      </c>
      <c r="AX85" s="8">
        <f t="shared" si="32"/>
        <v>268882</v>
      </c>
      <c r="AY85" s="8">
        <f t="shared" si="58"/>
        <v>2304</v>
      </c>
      <c r="AZ85" s="8">
        <v>834453</v>
      </c>
      <c r="BA85" s="8">
        <f t="shared" si="59"/>
        <v>44202</v>
      </c>
      <c r="BB85" s="8">
        <v>1034230</v>
      </c>
      <c r="BC85" s="8">
        <f t="shared" si="60"/>
        <v>45137</v>
      </c>
      <c r="BD85" s="8">
        <f t="shared" si="33"/>
        <v>-199777</v>
      </c>
      <c r="BE85" s="8">
        <f t="shared" si="61"/>
        <v>-935</v>
      </c>
      <c r="BF85" s="8">
        <v>406308</v>
      </c>
      <c r="BG85" s="8">
        <f t="shared" si="62"/>
        <v>25680</v>
      </c>
      <c r="BH85" s="8">
        <v>980973</v>
      </c>
      <c r="BI85" s="8">
        <f t="shared" si="63"/>
        <v>35571</v>
      </c>
      <c r="BJ85" s="8">
        <f t="shared" si="34"/>
        <v>-574665</v>
      </c>
      <c r="BK85" s="8">
        <f t="shared" si="36"/>
        <v>-9891</v>
      </c>
    </row>
    <row r="86" spans="1:63">
      <c r="A86" s="5">
        <v>39469</v>
      </c>
      <c r="B86" s="8">
        <v>342589</v>
      </c>
      <c r="C86" s="8">
        <f t="shared" si="37"/>
        <v>9372</v>
      </c>
      <c r="D86" s="8">
        <v>51586</v>
      </c>
      <c r="E86" s="8">
        <f t="shared" si="38"/>
        <v>-3990</v>
      </c>
      <c r="F86" s="8">
        <v>9201</v>
      </c>
      <c r="G86" s="8">
        <f t="shared" si="39"/>
        <v>1824</v>
      </c>
      <c r="H86" s="8">
        <v>42385</v>
      </c>
      <c r="I86" s="8">
        <f t="shared" si="40"/>
        <v>-5814</v>
      </c>
      <c r="J86" s="8">
        <v>168333</v>
      </c>
      <c r="K86" s="8">
        <f t="shared" si="41"/>
        <v>8751</v>
      </c>
      <c r="L86" s="8">
        <v>226302</v>
      </c>
      <c r="M86" s="8">
        <f t="shared" si="42"/>
        <v>1484</v>
      </c>
      <c r="N86" s="8">
        <v>-57969</v>
      </c>
      <c r="O86" s="8">
        <f t="shared" si="43"/>
        <v>7267</v>
      </c>
      <c r="P86" s="8">
        <v>82136</v>
      </c>
      <c r="Q86" s="8">
        <f t="shared" si="44"/>
        <v>5503</v>
      </c>
      <c r="R86" s="8">
        <v>223563</v>
      </c>
      <c r="S86" s="8">
        <f t="shared" si="45"/>
        <v>1485</v>
      </c>
      <c r="T86" s="8">
        <v>-141427</v>
      </c>
      <c r="U86" s="8">
        <f t="shared" si="46"/>
        <v>4018</v>
      </c>
      <c r="W86" s="8">
        <v>269069</v>
      </c>
      <c r="X86" s="8">
        <f t="shared" si="47"/>
        <v>2864</v>
      </c>
      <c r="Y86" s="8">
        <v>52738</v>
      </c>
      <c r="Z86" s="8">
        <f t="shared" si="48"/>
        <v>-7444</v>
      </c>
      <c r="AA86" s="8">
        <v>8015</v>
      </c>
      <c r="AB86" s="8">
        <f t="shared" si="35"/>
        <v>2189</v>
      </c>
      <c r="AC86" s="8">
        <v>44723</v>
      </c>
      <c r="AD86" s="8">
        <f t="shared" si="35"/>
        <v>-9633</v>
      </c>
      <c r="AE86" s="8">
        <v>121238</v>
      </c>
      <c r="AF86" s="8">
        <f t="shared" si="49"/>
        <v>10751</v>
      </c>
      <c r="AG86" s="8">
        <v>189878</v>
      </c>
      <c r="AH86" s="8">
        <f t="shared" si="50"/>
        <v>-4032</v>
      </c>
      <c r="AI86" s="8">
        <v>-68640</v>
      </c>
      <c r="AJ86" s="8">
        <f t="shared" si="51"/>
        <v>14783</v>
      </c>
      <c r="AK86" s="8">
        <v>92052</v>
      </c>
      <c r="AL86" s="8">
        <f t="shared" si="52"/>
        <v>6148</v>
      </c>
      <c r="AM86" s="8">
        <v>187805</v>
      </c>
      <c r="AN86" s="8">
        <f t="shared" si="53"/>
        <v>-4041</v>
      </c>
      <c r="AO86" s="8">
        <v>-95753</v>
      </c>
      <c r="AP86" s="8">
        <f t="shared" si="54"/>
        <v>10189</v>
      </c>
      <c r="AR86" s="8">
        <v>1994131</v>
      </c>
      <c r="AS86" s="8">
        <f t="shared" si="55"/>
        <v>14953</v>
      </c>
      <c r="AT86" s="8">
        <v>301293</v>
      </c>
      <c r="AU86" s="8">
        <f t="shared" si="56"/>
        <v>1234</v>
      </c>
      <c r="AV86" s="8">
        <v>32701</v>
      </c>
      <c r="AW86" s="8">
        <f t="shared" si="57"/>
        <v>1524</v>
      </c>
      <c r="AX86" s="8">
        <f t="shared" si="32"/>
        <v>268592</v>
      </c>
      <c r="AY86" s="8">
        <f t="shared" si="58"/>
        <v>-290</v>
      </c>
      <c r="AZ86" s="8">
        <v>847512</v>
      </c>
      <c r="BA86" s="8">
        <f t="shared" si="59"/>
        <v>13059</v>
      </c>
      <c r="BB86" s="8">
        <v>1019503</v>
      </c>
      <c r="BC86" s="8">
        <f t="shared" si="60"/>
        <v>-14727</v>
      </c>
      <c r="BD86" s="8">
        <f t="shared" si="33"/>
        <v>-171991</v>
      </c>
      <c r="BE86" s="8">
        <f t="shared" si="61"/>
        <v>27786</v>
      </c>
      <c r="BF86" s="8">
        <v>417121</v>
      </c>
      <c r="BG86" s="8">
        <f t="shared" si="62"/>
        <v>10813</v>
      </c>
      <c r="BH86" s="8">
        <v>963753</v>
      </c>
      <c r="BI86" s="8">
        <f t="shared" si="63"/>
        <v>-17220</v>
      </c>
      <c r="BJ86" s="8">
        <f t="shared" si="34"/>
        <v>-546632</v>
      </c>
      <c r="BK86" s="8">
        <f t="shared" si="36"/>
        <v>28033</v>
      </c>
    </row>
    <row r="87" spans="1:63">
      <c r="A87" s="5">
        <v>39476</v>
      </c>
      <c r="B87" s="8">
        <v>332133</v>
      </c>
      <c r="C87" s="8">
        <f t="shared" si="37"/>
        <v>-10456</v>
      </c>
      <c r="D87" s="8">
        <v>46543</v>
      </c>
      <c r="E87" s="8">
        <f t="shared" si="38"/>
        <v>-5043</v>
      </c>
      <c r="F87" s="8">
        <v>11338</v>
      </c>
      <c r="G87" s="8">
        <f t="shared" si="39"/>
        <v>2137</v>
      </c>
      <c r="H87" s="8">
        <v>35205</v>
      </c>
      <c r="I87" s="8">
        <f t="shared" si="40"/>
        <v>-7180</v>
      </c>
      <c r="J87" s="8">
        <v>163906</v>
      </c>
      <c r="K87" s="8">
        <f t="shared" si="41"/>
        <v>-4427</v>
      </c>
      <c r="L87" s="8">
        <v>212373</v>
      </c>
      <c r="M87" s="8">
        <f t="shared" si="42"/>
        <v>-13929</v>
      </c>
      <c r="N87" s="8">
        <v>-48467</v>
      </c>
      <c r="O87" s="8">
        <f t="shared" si="43"/>
        <v>9502</v>
      </c>
      <c r="P87" s="8">
        <v>78875</v>
      </c>
      <c r="Q87" s="8">
        <f t="shared" si="44"/>
        <v>-3261</v>
      </c>
      <c r="R87" s="8">
        <v>209604</v>
      </c>
      <c r="S87" s="8">
        <f t="shared" si="45"/>
        <v>-13959</v>
      </c>
      <c r="T87" s="8">
        <v>-130729</v>
      </c>
      <c r="U87" s="8">
        <f t="shared" si="46"/>
        <v>10698</v>
      </c>
      <c r="W87" s="8">
        <v>269258</v>
      </c>
      <c r="X87" s="8">
        <f t="shared" si="47"/>
        <v>189</v>
      </c>
      <c r="Y87" s="8">
        <v>46046</v>
      </c>
      <c r="Z87" s="8">
        <f t="shared" si="48"/>
        <v>-6692</v>
      </c>
      <c r="AA87" s="8">
        <v>8345</v>
      </c>
      <c r="AB87" s="8">
        <f t="shared" si="35"/>
        <v>330</v>
      </c>
      <c r="AC87" s="8">
        <v>37701</v>
      </c>
      <c r="AD87" s="8">
        <f t="shared" si="35"/>
        <v>-7022</v>
      </c>
      <c r="AE87" s="8">
        <v>127911</v>
      </c>
      <c r="AF87" s="8">
        <f t="shared" si="49"/>
        <v>6673</v>
      </c>
      <c r="AG87" s="8">
        <v>187954</v>
      </c>
      <c r="AH87" s="8">
        <f t="shared" si="50"/>
        <v>-1924</v>
      </c>
      <c r="AI87" s="8">
        <v>-60043</v>
      </c>
      <c r="AJ87" s="8">
        <f t="shared" si="51"/>
        <v>8597</v>
      </c>
      <c r="AK87" s="8">
        <v>101127</v>
      </c>
      <c r="AL87" s="8">
        <f t="shared" si="52"/>
        <v>9075</v>
      </c>
      <c r="AM87" s="8">
        <v>185462</v>
      </c>
      <c r="AN87" s="8">
        <f t="shared" si="53"/>
        <v>-2343</v>
      </c>
      <c r="AO87" s="8">
        <v>-84335</v>
      </c>
      <c r="AP87" s="8">
        <f t="shared" si="54"/>
        <v>11418</v>
      </c>
      <c r="AR87" s="8">
        <v>2004859</v>
      </c>
      <c r="AS87" s="8">
        <f t="shared" si="55"/>
        <v>10728</v>
      </c>
      <c r="AT87" s="8">
        <v>289865</v>
      </c>
      <c r="AU87" s="8">
        <f t="shared" si="56"/>
        <v>-11428</v>
      </c>
      <c r="AV87" s="8">
        <v>30535</v>
      </c>
      <c r="AW87" s="8">
        <f t="shared" si="57"/>
        <v>-2166</v>
      </c>
      <c r="AX87" s="8">
        <f t="shared" si="32"/>
        <v>259330</v>
      </c>
      <c r="AY87" s="8">
        <f t="shared" si="58"/>
        <v>-9262</v>
      </c>
      <c r="AZ87" s="8">
        <v>849212</v>
      </c>
      <c r="BA87" s="8">
        <f t="shared" si="59"/>
        <v>1700</v>
      </c>
      <c r="BB87" s="8">
        <v>1028522</v>
      </c>
      <c r="BC87" s="8">
        <f t="shared" si="60"/>
        <v>9019</v>
      </c>
      <c r="BD87" s="8">
        <f t="shared" si="33"/>
        <v>-179310</v>
      </c>
      <c r="BE87" s="8">
        <f t="shared" si="61"/>
        <v>-7319</v>
      </c>
      <c r="BF87" s="8">
        <v>414426</v>
      </c>
      <c r="BG87" s="8">
        <f t="shared" si="62"/>
        <v>-2695</v>
      </c>
      <c r="BH87" s="8">
        <v>970044</v>
      </c>
      <c r="BI87" s="8">
        <f t="shared" si="63"/>
        <v>6291</v>
      </c>
      <c r="BJ87" s="8">
        <f t="shared" si="34"/>
        <v>-555618</v>
      </c>
      <c r="BK87" s="8">
        <f t="shared" si="36"/>
        <v>-8986</v>
      </c>
    </row>
    <row r="88" spans="1:63">
      <c r="A88" s="5">
        <v>39483</v>
      </c>
      <c r="B88" s="8">
        <v>341030</v>
      </c>
      <c r="C88" s="8">
        <f t="shared" si="37"/>
        <v>8897</v>
      </c>
      <c r="D88" s="8">
        <v>49980</v>
      </c>
      <c r="E88" s="8">
        <f t="shared" si="38"/>
        <v>3437</v>
      </c>
      <c r="F88" s="8">
        <v>11569</v>
      </c>
      <c r="G88" s="8">
        <f t="shared" si="39"/>
        <v>231</v>
      </c>
      <c r="H88" s="8">
        <v>38411</v>
      </c>
      <c r="I88" s="8">
        <f t="shared" si="40"/>
        <v>3206</v>
      </c>
      <c r="J88" s="8">
        <v>163756</v>
      </c>
      <c r="K88" s="8">
        <f t="shared" si="41"/>
        <v>-150</v>
      </c>
      <c r="L88" s="8">
        <v>214428</v>
      </c>
      <c r="M88" s="8">
        <f t="shared" si="42"/>
        <v>2055</v>
      </c>
      <c r="N88" s="8">
        <v>-50672</v>
      </c>
      <c r="O88" s="8">
        <f t="shared" si="43"/>
        <v>-2205</v>
      </c>
      <c r="P88" s="8">
        <v>75267</v>
      </c>
      <c r="Q88" s="8">
        <f t="shared" si="44"/>
        <v>-3608</v>
      </c>
      <c r="R88" s="8">
        <v>211436</v>
      </c>
      <c r="S88" s="8">
        <f t="shared" si="45"/>
        <v>1832</v>
      </c>
      <c r="T88" s="8">
        <v>-136169</v>
      </c>
      <c r="U88" s="8">
        <f t="shared" si="46"/>
        <v>-5440</v>
      </c>
      <c r="W88" s="8">
        <v>268161</v>
      </c>
      <c r="X88" s="8">
        <f t="shared" si="47"/>
        <v>-1097</v>
      </c>
      <c r="Y88" s="8">
        <v>46908</v>
      </c>
      <c r="Z88" s="8">
        <f t="shared" si="48"/>
        <v>862</v>
      </c>
      <c r="AA88" s="8">
        <v>7806</v>
      </c>
      <c r="AB88" s="8">
        <f t="shared" si="35"/>
        <v>-539</v>
      </c>
      <c r="AC88" s="8">
        <v>39102</v>
      </c>
      <c r="AD88" s="8">
        <f t="shared" si="35"/>
        <v>1401</v>
      </c>
      <c r="AE88" s="8">
        <v>121903</v>
      </c>
      <c r="AF88" s="8">
        <f t="shared" si="49"/>
        <v>-6008</v>
      </c>
      <c r="AG88" s="8">
        <v>186181</v>
      </c>
      <c r="AH88" s="8">
        <f t="shared" si="50"/>
        <v>-1773</v>
      </c>
      <c r="AI88" s="8">
        <v>-64278</v>
      </c>
      <c r="AJ88" s="8">
        <f t="shared" si="51"/>
        <v>-4235</v>
      </c>
      <c r="AK88" s="8">
        <v>94259</v>
      </c>
      <c r="AL88" s="8">
        <f t="shared" si="52"/>
        <v>-6868</v>
      </c>
      <c r="AM88" s="8">
        <v>184124</v>
      </c>
      <c r="AN88" s="8">
        <f t="shared" si="53"/>
        <v>-1338</v>
      </c>
      <c r="AO88" s="8">
        <v>-89865</v>
      </c>
      <c r="AP88" s="8">
        <f t="shared" si="54"/>
        <v>-5530</v>
      </c>
      <c r="AR88" s="8">
        <v>2069386</v>
      </c>
      <c r="AS88" s="8">
        <f t="shared" si="55"/>
        <v>64527</v>
      </c>
      <c r="AT88" s="8">
        <v>304724</v>
      </c>
      <c r="AU88" s="8">
        <f t="shared" si="56"/>
        <v>14859</v>
      </c>
      <c r="AV88" s="8">
        <v>29574</v>
      </c>
      <c r="AW88" s="8">
        <f t="shared" si="57"/>
        <v>-961</v>
      </c>
      <c r="AX88" s="8">
        <f t="shared" si="32"/>
        <v>275150</v>
      </c>
      <c r="AY88" s="8">
        <f t="shared" si="58"/>
        <v>15820</v>
      </c>
      <c r="AZ88" s="8">
        <v>856138</v>
      </c>
      <c r="BA88" s="8">
        <f t="shared" si="59"/>
        <v>6926</v>
      </c>
      <c r="BB88" s="8">
        <v>1060781</v>
      </c>
      <c r="BC88" s="8">
        <f t="shared" si="60"/>
        <v>32259</v>
      </c>
      <c r="BD88" s="8">
        <f t="shared" si="33"/>
        <v>-204643</v>
      </c>
      <c r="BE88" s="8">
        <f t="shared" si="61"/>
        <v>-25333</v>
      </c>
      <c r="BF88" s="8">
        <v>408503</v>
      </c>
      <c r="BG88" s="8">
        <f t="shared" si="62"/>
        <v>-5923</v>
      </c>
      <c r="BH88" s="8">
        <v>1000932</v>
      </c>
      <c r="BI88" s="8">
        <f t="shared" si="63"/>
        <v>30888</v>
      </c>
      <c r="BJ88" s="8">
        <f t="shared" si="34"/>
        <v>-592429</v>
      </c>
      <c r="BK88" s="8">
        <f t="shared" si="36"/>
        <v>-36811</v>
      </c>
    </row>
    <row r="89" spans="1:63">
      <c r="A89" s="5">
        <v>39490</v>
      </c>
      <c r="B89" s="8">
        <v>342671</v>
      </c>
      <c r="C89" s="8">
        <f t="shared" si="37"/>
        <v>1641</v>
      </c>
      <c r="D89" s="8">
        <v>51046</v>
      </c>
      <c r="E89" s="8">
        <f t="shared" si="38"/>
        <v>1066</v>
      </c>
      <c r="F89" s="8">
        <v>13053</v>
      </c>
      <c r="G89" s="8">
        <f t="shared" si="39"/>
        <v>1484</v>
      </c>
      <c r="H89" s="8">
        <v>37993</v>
      </c>
      <c r="I89" s="8">
        <f t="shared" si="40"/>
        <v>-418</v>
      </c>
      <c r="J89" s="8">
        <v>165828</v>
      </c>
      <c r="K89" s="8">
        <f t="shared" si="41"/>
        <v>2072</v>
      </c>
      <c r="L89" s="8">
        <v>215545</v>
      </c>
      <c r="M89" s="8">
        <f t="shared" si="42"/>
        <v>1117</v>
      </c>
      <c r="N89" s="8">
        <v>-49717</v>
      </c>
      <c r="O89" s="8">
        <f t="shared" si="43"/>
        <v>955</v>
      </c>
      <c r="P89" s="8">
        <v>78375</v>
      </c>
      <c r="Q89" s="8">
        <f t="shared" si="44"/>
        <v>3108</v>
      </c>
      <c r="R89" s="8">
        <v>213864</v>
      </c>
      <c r="S89" s="8">
        <f t="shared" si="45"/>
        <v>2428</v>
      </c>
      <c r="T89" s="8">
        <v>-135489</v>
      </c>
      <c r="U89" s="8">
        <f t="shared" si="46"/>
        <v>680</v>
      </c>
      <c r="W89" s="8">
        <v>270010</v>
      </c>
      <c r="X89" s="8">
        <f t="shared" si="47"/>
        <v>1849</v>
      </c>
      <c r="Y89" s="8">
        <v>47679</v>
      </c>
      <c r="Z89" s="8">
        <f t="shared" si="48"/>
        <v>771</v>
      </c>
      <c r="AA89" s="8">
        <v>8889</v>
      </c>
      <c r="AB89" s="8">
        <f t="shared" si="35"/>
        <v>1083</v>
      </c>
      <c r="AC89" s="8">
        <v>38790</v>
      </c>
      <c r="AD89" s="8">
        <f t="shared" si="35"/>
        <v>-312</v>
      </c>
      <c r="AE89" s="8">
        <v>121112</v>
      </c>
      <c r="AF89" s="8">
        <f t="shared" si="49"/>
        <v>-791</v>
      </c>
      <c r="AG89" s="8">
        <v>187788</v>
      </c>
      <c r="AH89" s="8">
        <f t="shared" si="50"/>
        <v>1607</v>
      </c>
      <c r="AI89" s="8">
        <v>-66676</v>
      </c>
      <c r="AJ89" s="8">
        <f t="shared" si="51"/>
        <v>-2398</v>
      </c>
      <c r="AK89" s="8">
        <v>93177</v>
      </c>
      <c r="AL89" s="8">
        <f t="shared" si="52"/>
        <v>-1082</v>
      </c>
      <c r="AM89" s="8">
        <v>185029</v>
      </c>
      <c r="AN89" s="8">
        <f t="shared" si="53"/>
        <v>905</v>
      </c>
      <c r="AO89" s="8">
        <v>-91852</v>
      </c>
      <c r="AP89" s="8">
        <f t="shared" si="54"/>
        <v>-1987</v>
      </c>
      <c r="AR89" s="8">
        <v>2099426</v>
      </c>
      <c r="AS89" s="8">
        <f t="shared" si="55"/>
        <v>30040</v>
      </c>
      <c r="AT89" s="8">
        <v>303646</v>
      </c>
      <c r="AU89" s="8">
        <f t="shared" si="56"/>
        <v>-1078</v>
      </c>
      <c r="AV89" s="8">
        <v>25677</v>
      </c>
      <c r="AW89" s="8">
        <f t="shared" si="57"/>
        <v>-3897</v>
      </c>
      <c r="AX89" s="8">
        <f t="shared" si="32"/>
        <v>277969</v>
      </c>
      <c r="AY89" s="8">
        <f t="shared" si="58"/>
        <v>2819</v>
      </c>
      <c r="AZ89" s="8">
        <v>867083</v>
      </c>
      <c r="BA89" s="8">
        <f t="shared" si="59"/>
        <v>10945</v>
      </c>
      <c r="BB89" s="8">
        <v>1067681</v>
      </c>
      <c r="BC89" s="8">
        <f t="shared" si="60"/>
        <v>6900</v>
      </c>
      <c r="BD89" s="8">
        <f t="shared" si="33"/>
        <v>-200598</v>
      </c>
      <c r="BE89" s="8">
        <f t="shared" si="61"/>
        <v>4045</v>
      </c>
      <c r="BF89" s="8">
        <v>428607</v>
      </c>
      <c r="BG89" s="8">
        <f t="shared" si="62"/>
        <v>20104</v>
      </c>
      <c r="BH89" s="8">
        <v>1011525</v>
      </c>
      <c r="BI89" s="8">
        <f t="shared" si="63"/>
        <v>10593</v>
      </c>
      <c r="BJ89" s="8">
        <f t="shared" si="34"/>
        <v>-582918</v>
      </c>
      <c r="BK89" s="8">
        <f t="shared" si="36"/>
        <v>9511</v>
      </c>
    </row>
    <row r="90" spans="1:63">
      <c r="A90" s="5">
        <v>39497</v>
      </c>
      <c r="B90" s="8">
        <v>353482</v>
      </c>
      <c r="C90" s="8">
        <f t="shared" si="37"/>
        <v>10811</v>
      </c>
      <c r="D90" s="8">
        <v>49235</v>
      </c>
      <c r="E90" s="8">
        <f t="shared" si="38"/>
        <v>-1811</v>
      </c>
      <c r="F90" s="8">
        <v>13880</v>
      </c>
      <c r="G90" s="8">
        <f t="shared" si="39"/>
        <v>827</v>
      </c>
      <c r="H90" s="8">
        <v>35355</v>
      </c>
      <c r="I90" s="8">
        <f t="shared" si="40"/>
        <v>-2638</v>
      </c>
      <c r="J90" s="8">
        <v>173424</v>
      </c>
      <c r="K90" s="8">
        <f t="shared" si="41"/>
        <v>7596</v>
      </c>
      <c r="L90" s="8">
        <v>225692</v>
      </c>
      <c r="M90" s="8">
        <f t="shared" si="42"/>
        <v>10147</v>
      </c>
      <c r="N90" s="8">
        <v>-52268</v>
      </c>
      <c r="O90" s="8">
        <f t="shared" si="43"/>
        <v>-2551</v>
      </c>
      <c r="P90" s="8">
        <v>84094</v>
      </c>
      <c r="Q90" s="8">
        <f t="shared" si="44"/>
        <v>5719</v>
      </c>
      <c r="R90" s="8">
        <v>223777</v>
      </c>
      <c r="S90" s="8">
        <f t="shared" si="45"/>
        <v>9913</v>
      </c>
      <c r="T90" s="8">
        <v>-139683</v>
      </c>
      <c r="U90" s="8">
        <f t="shared" si="46"/>
        <v>-4194</v>
      </c>
      <c r="W90" s="8">
        <v>269766</v>
      </c>
      <c r="X90" s="8">
        <f t="shared" si="47"/>
        <v>-244</v>
      </c>
      <c r="Y90" s="8">
        <v>48901</v>
      </c>
      <c r="Z90" s="8">
        <f t="shared" si="48"/>
        <v>1222</v>
      </c>
      <c r="AA90" s="8">
        <v>7819</v>
      </c>
      <c r="AB90" s="8">
        <f t="shared" si="35"/>
        <v>-1070</v>
      </c>
      <c r="AC90" s="8">
        <v>41082</v>
      </c>
      <c r="AD90" s="8">
        <f t="shared" si="35"/>
        <v>2292</v>
      </c>
      <c r="AE90" s="8">
        <v>122780</v>
      </c>
      <c r="AF90" s="8">
        <f t="shared" si="49"/>
        <v>1668</v>
      </c>
      <c r="AG90" s="8">
        <v>191534</v>
      </c>
      <c r="AH90" s="8">
        <f t="shared" si="50"/>
        <v>3746</v>
      </c>
      <c r="AI90" s="8">
        <v>-68754</v>
      </c>
      <c r="AJ90" s="8">
        <f t="shared" si="51"/>
        <v>-2078</v>
      </c>
      <c r="AK90" s="8">
        <v>95141</v>
      </c>
      <c r="AL90" s="8">
        <f t="shared" si="52"/>
        <v>1964</v>
      </c>
      <c r="AM90" s="8">
        <v>188881</v>
      </c>
      <c r="AN90" s="8">
        <f t="shared" si="53"/>
        <v>3852</v>
      </c>
      <c r="AO90" s="8">
        <v>-93740</v>
      </c>
      <c r="AP90" s="8">
        <f t="shared" si="54"/>
        <v>-1888</v>
      </c>
      <c r="AR90" s="8">
        <v>2157730</v>
      </c>
      <c r="AS90" s="8">
        <f t="shared" si="55"/>
        <v>58304</v>
      </c>
      <c r="AT90" s="8">
        <v>311403</v>
      </c>
      <c r="AU90" s="8">
        <f t="shared" si="56"/>
        <v>7757</v>
      </c>
      <c r="AV90" s="8">
        <v>20766</v>
      </c>
      <c r="AW90" s="8">
        <f t="shared" si="57"/>
        <v>-4911</v>
      </c>
      <c r="AX90" s="8">
        <f t="shared" si="32"/>
        <v>290637</v>
      </c>
      <c r="AY90" s="8">
        <f t="shared" si="58"/>
        <v>12668</v>
      </c>
      <c r="AZ90" s="8">
        <v>875636</v>
      </c>
      <c r="BA90" s="8">
        <f t="shared" si="59"/>
        <v>8553</v>
      </c>
      <c r="BB90" s="8">
        <v>1105069</v>
      </c>
      <c r="BC90" s="8">
        <f t="shared" si="60"/>
        <v>37388</v>
      </c>
      <c r="BD90" s="8">
        <f t="shared" si="33"/>
        <v>-229433</v>
      </c>
      <c r="BE90" s="8">
        <f t="shared" si="61"/>
        <v>-28835</v>
      </c>
      <c r="BF90" s="8">
        <v>421256</v>
      </c>
      <c r="BG90" s="8">
        <f t="shared" si="62"/>
        <v>-7351</v>
      </c>
      <c r="BH90" s="8">
        <v>1049162</v>
      </c>
      <c r="BI90" s="8">
        <f t="shared" si="63"/>
        <v>37637</v>
      </c>
      <c r="BJ90" s="8">
        <f t="shared" si="34"/>
        <v>-627906</v>
      </c>
      <c r="BK90" s="8">
        <f t="shared" si="36"/>
        <v>-44988</v>
      </c>
    </row>
    <row r="91" spans="1:63">
      <c r="A91" s="5">
        <v>39504</v>
      </c>
      <c r="B91" s="8">
        <v>347138</v>
      </c>
      <c r="C91" s="8">
        <f t="shared" si="37"/>
        <v>-6344</v>
      </c>
      <c r="D91" s="8">
        <v>52307</v>
      </c>
      <c r="E91" s="8">
        <f t="shared" si="38"/>
        <v>3072</v>
      </c>
      <c r="F91" s="8">
        <v>13163</v>
      </c>
      <c r="G91" s="8">
        <f t="shared" si="39"/>
        <v>-717</v>
      </c>
      <c r="H91" s="8">
        <v>39144</v>
      </c>
      <c r="I91" s="8">
        <f t="shared" si="40"/>
        <v>3789</v>
      </c>
      <c r="J91" s="8">
        <v>170954</v>
      </c>
      <c r="K91" s="8">
        <f t="shared" si="41"/>
        <v>-2470</v>
      </c>
      <c r="L91" s="8">
        <v>228989</v>
      </c>
      <c r="M91" s="8">
        <f t="shared" si="42"/>
        <v>3297</v>
      </c>
      <c r="N91" s="8">
        <v>-58035</v>
      </c>
      <c r="O91" s="8">
        <f t="shared" si="43"/>
        <v>-5767</v>
      </c>
      <c r="P91" s="8">
        <v>81725</v>
      </c>
      <c r="Q91" s="8">
        <f t="shared" si="44"/>
        <v>-2369</v>
      </c>
      <c r="R91" s="8">
        <v>221937</v>
      </c>
      <c r="S91" s="8">
        <f t="shared" si="45"/>
        <v>-1840</v>
      </c>
      <c r="T91" s="8">
        <v>-140212</v>
      </c>
      <c r="U91" s="8">
        <f t="shared" si="46"/>
        <v>-529</v>
      </c>
      <c r="W91" s="8">
        <v>272634</v>
      </c>
      <c r="X91" s="8">
        <f t="shared" si="47"/>
        <v>2868</v>
      </c>
      <c r="Y91" s="8">
        <v>50700</v>
      </c>
      <c r="Z91" s="8">
        <f t="shared" si="48"/>
        <v>1799</v>
      </c>
      <c r="AA91" s="8">
        <v>6487</v>
      </c>
      <c r="AB91" s="8">
        <f t="shared" si="35"/>
        <v>-1332</v>
      </c>
      <c r="AC91" s="8">
        <v>44213</v>
      </c>
      <c r="AD91" s="8">
        <f t="shared" si="35"/>
        <v>3131</v>
      </c>
      <c r="AE91" s="8">
        <v>119149</v>
      </c>
      <c r="AF91" s="8">
        <f t="shared" si="49"/>
        <v>-3631</v>
      </c>
      <c r="AG91" s="8">
        <v>195992</v>
      </c>
      <c r="AH91" s="8">
        <f t="shared" si="50"/>
        <v>4458</v>
      </c>
      <c r="AI91" s="8">
        <v>-76843</v>
      </c>
      <c r="AJ91" s="8">
        <f t="shared" si="51"/>
        <v>-8089</v>
      </c>
      <c r="AK91" s="8">
        <v>88732</v>
      </c>
      <c r="AL91" s="8">
        <f t="shared" si="52"/>
        <v>-6409</v>
      </c>
      <c r="AM91" s="8">
        <v>193386</v>
      </c>
      <c r="AN91" s="8">
        <f t="shared" si="53"/>
        <v>4505</v>
      </c>
      <c r="AO91" s="8">
        <v>-104654</v>
      </c>
      <c r="AP91" s="8">
        <f t="shared" si="54"/>
        <v>-10914</v>
      </c>
      <c r="AR91" s="8">
        <v>2063360</v>
      </c>
      <c r="AS91" s="8">
        <f t="shared" si="55"/>
        <v>-94370</v>
      </c>
      <c r="AT91" s="8">
        <v>309238</v>
      </c>
      <c r="AU91" s="8">
        <f t="shared" si="56"/>
        <v>-2165</v>
      </c>
      <c r="AV91" s="8">
        <v>20324</v>
      </c>
      <c r="AW91" s="8">
        <f t="shared" si="57"/>
        <v>-442</v>
      </c>
      <c r="AX91" s="8">
        <f t="shared" si="32"/>
        <v>288914</v>
      </c>
      <c r="AY91" s="8">
        <f t="shared" si="58"/>
        <v>-1723</v>
      </c>
      <c r="AZ91" s="8">
        <v>883516</v>
      </c>
      <c r="BA91" s="8">
        <f t="shared" si="59"/>
        <v>7880</v>
      </c>
      <c r="BB91" s="8">
        <v>1123694</v>
      </c>
      <c r="BC91" s="8">
        <f t="shared" si="60"/>
        <v>18625</v>
      </c>
      <c r="BD91" s="8">
        <f t="shared" si="33"/>
        <v>-240178</v>
      </c>
      <c r="BE91" s="8">
        <f t="shared" si="61"/>
        <v>-10745</v>
      </c>
      <c r="BF91" s="8">
        <v>409281</v>
      </c>
      <c r="BG91" s="8">
        <f t="shared" si="62"/>
        <v>-11975</v>
      </c>
      <c r="BH91" s="8">
        <v>1065955</v>
      </c>
      <c r="BI91" s="8">
        <f t="shared" si="63"/>
        <v>16793</v>
      </c>
      <c r="BJ91" s="8">
        <f t="shared" si="34"/>
        <v>-656674</v>
      </c>
      <c r="BK91" s="8">
        <f t="shared" si="36"/>
        <v>-28768</v>
      </c>
    </row>
    <row r="92" spans="1:63">
      <c r="A92" s="5">
        <v>39511</v>
      </c>
      <c r="B92" s="8">
        <v>351499</v>
      </c>
      <c r="C92" s="8">
        <f t="shared" si="37"/>
        <v>4361</v>
      </c>
      <c r="D92" s="8">
        <v>47767</v>
      </c>
      <c r="E92" s="8">
        <f t="shared" si="38"/>
        <v>-4540</v>
      </c>
      <c r="F92" s="8">
        <v>15165</v>
      </c>
      <c r="G92" s="8">
        <f t="shared" si="39"/>
        <v>2002</v>
      </c>
      <c r="H92" s="8">
        <v>32602</v>
      </c>
      <c r="I92" s="8">
        <f t="shared" si="40"/>
        <v>-6542</v>
      </c>
      <c r="J92" s="8">
        <v>169123</v>
      </c>
      <c r="K92" s="8">
        <f t="shared" si="41"/>
        <v>-1831</v>
      </c>
      <c r="L92" s="8">
        <v>223363</v>
      </c>
      <c r="M92" s="8">
        <f t="shared" si="42"/>
        <v>-5626</v>
      </c>
      <c r="N92" s="8">
        <v>-54240</v>
      </c>
      <c r="O92" s="8">
        <f t="shared" si="43"/>
        <v>3795</v>
      </c>
      <c r="P92" s="8">
        <v>82962</v>
      </c>
      <c r="Q92" s="8">
        <f t="shared" si="44"/>
        <v>1237</v>
      </c>
      <c r="R92" s="8">
        <v>214640</v>
      </c>
      <c r="S92" s="8">
        <f t="shared" si="45"/>
        <v>-7297</v>
      </c>
      <c r="T92" s="8">
        <v>-131678</v>
      </c>
      <c r="U92" s="8">
        <f t="shared" si="46"/>
        <v>8534</v>
      </c>
      <c r="W92" s="8">
        <v>269485</v>
      </c>
      <c r="X92" s="8">
        <f t="shared" si="47"/>
        <v>-3149</v>
      </c>
      <c r="Y92" s="8">
        <v>51562</v>
      </c>
      <c r="Z92" s="8">
        <f t="shared" si="48"/>
        <v>862</v>
      </c>
      <c r="AA92" s="8">
        <v>4655</v>
      </c>
      <c r="AB92" s="8">
        <f t="shared" si="35"/>
        <v>-1832</v>
      </c>
      <c r="AC92" s="8">
        <v>46907</v>
      </c>
      <c r="AD92" s="8">
        <f t="shared" si="35"/>
        <v>2694</v>
      </c>
      <c r="AE92" s="8">
        <v>112067</v>
      </c>
      <c r="AF92" s="8">
        <f t="shared" si="49"/>
        <v>-7082</v>
      </c>
      <c r="AG92" s="8">
        <v>188614</v>
      </c>
      <c r="AH92" s="8">
        <f t="shared" si="50"/>
        <v>-7378</v>
      </c>
      <c r="AI92" s="8">
        <v>-76547</v>
      </c>
      <c r="AJ92" s="8">
        <f t="shared" si="51"/>
        <v>296</v>
      </c>
      <c r="AK92" s="8">
        <v>85417</v>
      </c>
      <c r="AL92" s="8">
        <f t="shared" si="52"/>
        <v>-3315</v>
      </c>
      <c r="AM92" s="8">
        <v>185462</v>
      </c>
      <c r="AN92" s="8">
        <f t="shared" si="53"/>
        <v>-7924</v>
      </c>
      <c r="AO92" s="8">
        <v>-100045</v>
      </c>
      <c r="AP92" s="8">
        <f t="shared" si="54"/>
        <v>4609</v>
      </c>
      <c r="AR92" s="8">
        <v>2088241</v>
      </c>
      <c r="AS92" s="8">
        <f t="shared" si="55"/>
        <v>24881</v>
      </c>
      <c r="AT92" s="8">
        <v>308424</v>
      </c>
      <c r="AU92" s="8">
        <f t="shared" si="56"/>
        <v>-814</v>
      </c>
      <c r="AV92" s="8">
        <v>19163</v>
      </c>
      <c r="AW92" s="8">
        <f t="shared" si="57"/>
        <v>-1161</v>
      </c>
      <c r="AX92" s="8">
        <f t="shared" si="32"/>
        <v>289261</v>
      </c>
      <c r="AY92" s="8">
        <f t="shared" si="58"/>
        <v>347</v>
      </c>
      <c r="AZ92" s="8">
        <v>899563</v>
      </c>
      <c r="BA92" s="8">
        <f t="shared" si="59"/>
        <v>16047</v>
      </c>
      <c r="BB92" s="8">
        <v>1136746</v>
      </c>
      <c r="BC92" s="8">
        <f t="shared" si="60"/>
        <v>13052</v>
      </c>
      <c r="BD92" s="8">
        <f t="shared" si="33"/>
        <v>-237183</v>
      </c>
      <c r="BE92" s="8">
        <f t="shared" si="61"/>
        <v>2995</v>
      </c>
      <c r="BF92" s="8">
        <v>424056</v>
      </c>
      <c r="BG92" s="8">
        <f t="shared" si="62"/>
        <v>14775</v>
      </c>
      <c r="BH92" s="8">
        <v>1077304</v>
      </c>
      <c r="BI92" s="8">
        <f t="shared" si="63"/>
        <v>11349</v>
      </c>
      <c r="BJ92" s="8">
        <f t="shared" si="34"/>
        <v>-653248</v>
      </c>
      <c r="BK92" s="8">
        <f t="shared" si="36"/>
        <v>3426</v>
      </c>
    </row>
    <row r="93" spans="1:63">
      <c r="A93" s="5">
        <v>39518</v>
      </c>
      <c r="B93" s="8">
        <v>355624</v>
      </c>
      <c r="C93" s="8">
        <f t="shared" si="37"/>
        <v>4125</v>
      </c>
      <c r="D93" s="8">
        <v>40595</v>
      </c>
      <c r="E93" s="8">
        <f t="shared" si="38"/>
        <v>-7172</v>
      </c>
      <c r="F93" s="8">
        <v>13605</v>
      </c>
      <c r="G93" s="8">
        <f t="shared" si="39"/>
        <v>-1560</v>
      </c>
      <c r="H93" s="8">
        <v>26990</v>
      </c>
      <c r="I93" s="8">
        <f t="shared" si="40"/>
        <v>-5612</v>
      </c>
      <c r="J93" s="8">
        <v>179920</v>
      </c>
      <c r="K93" s="8">
        <f t="shared" si="41"/>
        <v>10797</v>
      </c>
      <c r="L93" s="8">
        <v>222638</v>
      </c>
      <c r="M93" s="8">
        <f t="shared" si="42"/>
        <v>-725</v>
      </c>
      <c r="N93" s="8">
        <v>-42718</v>
      </c>
      <c r="O93" s="8">
        <f t="shared" si="43"/>
        <v>11522</v>
      </c>
      <c r="P93" s="8">
        <v>94947</v>
      </c>
      <c r="Q93" s="8">
        <f t="shared" si="44"/>
        <v>11985</v>
      </c>
      <c r="R93" s="8">
        <v>211136</v>
      </c>
      <c r="S93" s="8">
        <f t="shared" si="45"/>
        <v>-3504</v>
      </c>
      <c r="T93" s="8">
        <v>-116189</v>
      </c>
      <c r="U93" s="8">
        <f t="shared" si="46"/>
        <v>15489</v>
      </c>
      <c r="W93" s="8">
        <v>257290</v>
      </c>
      <c r="X93" s="8">
        <f t="shared" si="47"/>
        <v>-12195</v>
      </c>
      <c r="Y93" s="8">
        <v>36754</v>
      </c>
      <c r="Z93" s="8">
        <f t="shared" si="48"/>
        <v>-14808</v>
      </c>
      <c r="AA93" s="8">
        <v>5424</v>
      </c>
      <c r="AB93" s="8">
        <f t="shared" si="35"/>
        <v>769</v>
      </c>
      <c r="AC93" s="8">
        <v>31330</v>
      </c>
      <c r="AD93" s="8">
        <f t="shared" si="35"/>
        <v>-15577</v>
      </c>
      <c r="AE93" s="8">
        <v>123657</v>
      </c>
      <c r="AF93" s="8">
        <f t="shared" si="49"/>
        <v>11590</v>
      </c>
      <c r="AG93" s="8">
        <v>179281</v>
      </c>
      <c r="AH93" s="8">
        <f t="shared" si="50"/>
        <v>-9333</v>
      </c>
      <c r="AI93" s="8">
        <v>-55624</v>
      </c>
      <c r="AJ93" s="8">
        <f t="shared" si="51"/>
        <v>20923</v>
      </c>
      <c r="AK93" s="8">
        <v>100597</v>
      </c>
      <c r="AL93" s="8">
        <f t="shared" si="52"/>
        <v>15180</v>
      </c>
      <c r="AM93" s="8">
        <v>176715</v>
      </c>
      <c r="AN93" s="8">
        <f t="shared" si="53"/>
        <v>-8747</v>
      </c>
      <c r="AO93" s="8">
        <v>-76118</v>
      </c>
      <c r="AP93" s="8">
        <f t="shared" si="54"/>
        <v>23927</v>
      </c>
      <c r="AR93" s="8">
        <v>2116928</v>
      </c>
      <c r="AS93" s="8">
        <f t="shared" si="55"/>
        <v>28687</v>
      </c>
      <c r="AT93" s="8">
        <v>297803</v>
      </c>
      <c r="AU93" s="8">
        <f t="shared" si="56"/>
        <v>-10621</v>
      </c>
      <c r="AV93" s="8">
        <v>17739</v>
      </c>
      <c r="AW93" s="8">
        <f t="shared" si="57"/>
        <v>-1424</v>
      </c>
      <c r="AX93" s="8">
        <f t="shared" si="32"/>
        <v>280064</v>
      </c>
      <c r="AY93" s="8">
        <f t="shared" si="58"/>
        <v>-9197</v>
      </c>
      <c r="AZ93" s="8">
        <v>925284</v>
      </c>
      <c r="BA93" s="8">
        <f t="shared" si="59"/>
        <v>25721</v>
      </c>
      <c r="BB93" s="8">
        <v>1142964</v>
      </c>
      <c r="BC93" s="8">
        <f t="shared" si="60"/>
        <v>6218</v>
      </c>
      <c r="BD93" s="8">
        <f t="shared" si="33"/>
        <v>-217680</v>
      </c>
      <c r="BE93" s="8">
        <f t="shared" si="61"/>
        <v>19503</v>
      </c>
      <c r="BF93" s="8">
        <v>444253</v>
      </c>
      <c r="BG93" s="8">
        <f t="shared" si="62"/>
        <v>20197</v>
      </c>
      <c r="BH93" s="8">
        <v>1086223</v>
      </c>
      <c r="BI93" s="8">
        <f t="shared" si="63"/>
        <v>8919</v>
      </c>
      <c r="BJ93" s="8">
        <f t="shared" si="34"/>
        <v>-641970</v>
      </c>
      <c r="BK93" s="8">
        <f t="shared" si="36"/>
        <v>11278</v>
      </c>
    </row>
    <row r="94" spans="1:63">
      <c r="A94" s="5">
        <v>39525</v>
      </c>
      <c r="B94" s="8">
        <v>354364</v>
      </c>
      <c r="C94" s="8">
        <f t="shared" si="37"/>
        <v>-1260</v>
      </c>
      <c r="D94" s="8">
        <v>30435</v>
      </c>
      <c r="E94" s="8">
        <f t="shared" si="38"/>
        <v>-10160</v>
      </c>
      <c r="F94" s="8">
        <v>15308</v>
      </c>
      <c r="G94" s="8">
        <f t="shared" si="39"/>
        <v>1703</v>
      </c>
      <c r="H94" s="8">
        <v>15127</v>
      </c>
      <c r="I94" s="8">
        <f t="shared" si="40"/>
        <v>-11863</v>
      </c>
      <c r="J94" s="8">
        <v>189060</v>
      </c>
      <c r="K94" s="8">
        <f t="shared" si="41"/>
        <v>9140</v>
      </c>
      <c r="L94" s="8">
        <v>217842</v>
      </c>
      <c r="M94" s="8">
        <f t="shared" si="42"/>
        <v>-4796</v>
      </c>
      <c r="N94" s="8">
        <v>-28782</v>
      </c>
      <c r="O94" s="8">
        <f t="shared" si="43"/>
        <v>13936</v>
      </c>
      <c r="P94" s="8">
        <v>108018</v>
      </c>
      <c r="Q94" s="8">
        <f t="shared" si="44"/>
        <v>13071</v>
      </c>
      <c r="R94" s="8">
        <v>206127</v>
      </c>
      <c r="S94" s="8">
        <f t="shared" si="45"/>
        <v>-5009</v>
      </c>
      <c r="T94" s="8">
        <v>-98109</v>
      </c>
      <c r="U94" s="8">
        <f t="shared" si="46"/>
        <v>18080</v>
      </c>
      <c r="W94" s="8">
        <v>255117</v>
      </c>
      <c r="X94" s="8">
        <f t="shared" si="47"/>
        <v>-2173</v>
      </c>
      <c r="Y94" s="8">
        <v>31452</v>
      </c>
      <c r="Z94" s="8">
        <f t="shared" si="48"/>
        <v>-5302</v>
      </c>
      <c r="AA94" s="8">
        <v>10395</v>
      </c>
      <c r="AB94" s="8">
        <f t="shared" si="35"/>
        <v>4971</v>
      </c>
      <c r="AC94" s="8">
        <v>21057</v>
      </c>
      <c r="AD94" s="8">
        <f t="shared" si="35"/>
        <v>-10273</v>
      </c>
      <c r="AE94" s="8">
        <v>135760</v>
      </c>
      <c r="AF94" s="8">
        <f t="shared" si="49"/>
        <v>12103</v>
      </c>
      <c r="AG94" s="8">
        <v>179471</v>
      </c>
      <c r="AH94" s="8">
        <f t="shared" si="50"/>
        <v>190</v>
      </c>
      <c r="AI94" s="8">
        <v>-43711</v>
      </c>
      <c r="AJ94" s="8">
        <f t="shared" si="51"/>
        <v>11913</v>
      </c>
      <c r="AK94" s="8">
        <v>113691</v>
      </c>
      <c r="AL94" s="8">
        <f t="shared" si="52"/>
        <v>13094</v>
      </c>
      <c r="AM94" s="8">
        <v>177118</v>
      </c>
      <c r="AN94" s="8">
        <f t="shared" si="53"/>
        <v>403</v>
      </c>
      <c r="AO94" s="8">
        <v>-63427</v>
      </c>
      <c r="AP94" s="8">
        <f t="shared" si="54"/>
        <v>12691</v>
      </c>
      <c r="AR94" s="8">
        <v>2116132</v>
      </c>
      <c r="AS94" s="8">
        <f t="shared" si="55"/>
        <v>-796</v>
      </c>
      <c r="AT94" s="8">
        <v>261031</v>
      </c>
      <c r="AU94" s="8">
        <f t="shared" si="56"/>
        <v>-36772</v>
      </c>
      <c r="AV94" s="8">
        <v>21618</v>
      </c>
      <c r="AW94" s="8">
        <f t="shared" si="57"/>
        <v>3879</v>
      </c>
      <c r="AX94" s="8">
        <f t="shared" si="32"/>
        <v>239413</v>
      </c>
      <c r="AY94" s="8">
        <f t="shared" si="58"/>
        <v>-40651</v>
      </c>
      <c r="AZ94" s="8">
        <v>956332</v>
      </c>
      <c r="BA94" s="8">
        <f t="shared" si="59"/>
        <v>31048</v>
      </c>
      <c r="BB94" s="8">
        <v>1127232</v>
      </c>
      <c r="BC94" s="8">
        <f t="shared" si="60"/>
        <v>-15732</v>
      </c>
      <c r="BD94" s="8">
        <f t="shared" si="33"/>
        <v>-170900</v>
      </c>
      <c r="BE94" s="8">
        <f t="shared" si="61"/>
        <v>46780</v>
      </c>
      <c r="BF94" s="8">
        <v>469352</v>
      </c>
      <c r="BG94" s="8">
        <f t="shared" si="62"/>
        <v>25099</v>
      </c>
      <c r="BH94" s="8">
        <v>1070352</v>
      </c>
      <c r="BI94" s="8">
        <f t="shared" si="63"/>
        <v>-15871</v>
      </c>
      <c r="BJ94" s="8">
        <f t="shared" si="34"/>
        <v>-601000</v>
      </c>
      <c r="BK94" s="8">
        <f t="shared" si="36"/>
        <v>40970</v>
      </c>
    </row>
    <row r="95" spans="1:63">
      <c r="A95" s="5">
        <v>39532</v>
      </c>
      <c r="B95" s="8">
        <v>355200</v>
      </c>
      <c r="C95" s="8">
        <f t="shared" si="37"/>
        <v>836</v>
      </c>
      <c r="D95" s="8">
        <v>26394</v>
      </c>
      <c r="E95" s="8">
        <f t="shared" si="38"/>
        <v>-4041</v>
      </c>
      <c r="F95" s="8">
        <v>15904</v>
      </c>
      <c r="G95" s="8">
        <f t="shared" si="39"/>
        <v>596</v>
      </c>
      <c r="H95" s="8">
        <v>10490</v>
      </c>
      <c r="I95" s="8">
        <f t="shared" si="40"/>
        <v>-4637</v>
      </c>
      <c r="J95" s="8">
        <v>194631</v>
      </c>
      <c r="K95" s="8">
        <f t="shared" si="41"/>
        <v>5571</v>
      </c>
      <c r="L95" s="8">
        <v>215364</v>
      </c>
      <c r="M95" s="8">
        <f t="shared" si="42"/>
        <v>-2478</v>
      </c>
      <c r="N95" s="8">
        <v>-20733</v>
      </c>
      <c r="O95" s="8">
        <f t="shared" si="43"/>
        <v>8049</v>
      </c>
      <c r="P95" s="8">
        <v>116580</v>
      </c>
      <c r="Q95" s="8">
        <f t="shared" si="44"/>
        <v>8562</v>
      </c>
      <c r="R95" s="8">
        <v>203616</v>
      </c>
      <c r="S95" s="8">
        <f t="shared" si="45"/>
        <v>-2511</v>
      </c>
      <c r="T95" s="8">
        <v>-87036</v>
      </c>
      <c r="U95" s="8">
        <f t="shared" si="46"/>
        <v>11073</v>
      </c>
      <c r="W95" s="8">
        <v>253447</v>
      </c>
      <c r="X95" s="8">
        <f t="shared" si="47"/>
        <v>-1670</v>
      </c>
      <c r="Y95" s="8">
        <v>27073</v>
      </c>
      <c r="Z95" s="8">
        <f t="shared" si="48"/>
        <v>-4379</v>
      </c>
      <c r="AA95" s="8">
        <v>11325</v>
      </c>
      <c r="AB95" s="8">
        <f t="shared" si="35"/>
        <v>930</v>
      </c>
      <c r="AC95" s="8">
        <v>15748</v>
      </c>
      <c r="AD95" s="8">
        <f t="shared" si="35"/>
        <v>-5309</v>
      </c>
      <c r="AE95" s="8">
        <v>142949</v>
      </c>
      <c r="AF95" s="8">
        <f t="shared" si="49"/>
        <v>7189</v>
      </c>
      <c r="AG95" s="8">
        <v>181167</v>
      </c>
      <c r="AH95" s="8">
        <f t="shared" si="50"/>
        <v>1696</v>
      </c>
      <c r="AI95" s="8">
        <v>-38218</v>
      </c>
      <c r="AJ95" s="8">
        <f t="shared" si="51"/>
        <v>5493</v>
      </c>
      <c r="AK95" s="8">
        <v>119227</v>
      </c>
      <c r="AL95" s="8">
        <f t="shared" si="52"/>
        <v>5536</v>
      </c>
      <c r="AM95" s="8">
        <v>178170</v>
      </c>
      <c r="AN95" s="8">
        <f t="shared" si="53"/>
        <v>1052</v>
      </c>
      <c r="AO95" s="8">
        <v>-58943</v>
      </c>
      <c r="AP95" s="8">
        <f t="shared" si="54"/>
        <v>4484</v>
      </c>
      <c r="AR95" s="8">
        <v>2069835</v>
      </c>
      <c r="AS95" s="8">
        <f t="shared" si="55"/>
        <v>-46297</v>
      </c>
      <c r="AT95" s="8">
        <v>227569</v>
      </c>
      <c r="AU95" s="8">
        <f t="shared" si="56"/>
        <v>-33462</v>
      </c>
      <c r="AV95" s="8">
        <v>25167</v>
      </c>
      <c r="AW95" s="8">
        <f t="shared" si="57"/>
        <v>3549</v>
      </c>
      <c r="AX95" s="8">
        <f t="shared" si="32"/>
        <v>202402</v>
      </c>
      <c r="AY95" s="8">
        <f t="shared" si="58"/>
        <v>-37011</v>
      </c>
      <c r="AZ95" s="8">
        <v>951576</v>
      </c>
      <c r="BA95" s="8">
        <f t="shared" si="59"/>
        <v>-4756</v>
      </c>
      <c r="BB95" s="8">
        <v>1085495</v>
      </c>
      <c r="BC95" s="8">
        <f t="shared" si="60"/>
        <v>-41737</v>
      </c>
      <c r="BD95" s="8">
        <f t="shared" si="33"/>
        <v>-133919</v>
      </c>
      <c r="BE95" s="8">
        <f t="shared" si="61"/>
        <v>36981</v>
      </c>
      <c r="BF95" s="8">
        <v>479831</v>
      </c>
      <c r="BG95" s="8">
        <f t="shared" si="62"/>
        <v>10479</v>
      </c>
      <c r="BH95" s="8">
        <v>1027096</v>
      </c>
      <c r="BI95" s="8">
        <f t="shared" si="63"/>
        <v>-43256</v>
      </c>
      <c r="BJ95" s="8">
        <f t="shared" si="34"/>
        <v>-547265</v>
      </c>
      <c r="BK95" s="8">
        <f t="shared" si="36"/>
        <v>53735</v>
      </c>
    </row>
    <row r="96" spans="1:63">
      <c r="A96" s="5">
        <v>39539</v>
      </c>
      <c r="B96" s="8">
        <v>376178</v>
      </c>
      <c r="C96" s="8">
        <f t="shared" si="37"/>
        <v>20978</v>
      </c>
      <c r="D96" s="8">
        <v>27633</v>
      </c>
      <c r="E96" s="8">
        <f t="shared" si="38"/>
        <v>1239</v>
      </c>
      <c r="F96" s="8">
        <v>13248</v>
      </c>
      <c r="G96" s="8">
        <f t="shared" si="39"/>
        <v>-2656</v>
      </c>
      <c r="H96" s="8">
        <v>14385</v>
      </c>
      <c r="I96" s="8">
        <f t="shared" si="40"/>
        <v>3895</v>
      </c>
      <c r="J96" s="8">
        <v>192477</v>
      </c>
      <c r="K96" s="8">
        <f t="shared" si="41"/>
        <v>-2154</v>
      </c>
      <c r="L96" s="8">
        <v>214918</v>
      </c>
      <c r="M96" s="8">
        <f t="shared" si="42"/>
        <v>-446</v>
      </c>
      <c r="N96" s="8">
        <v>-22441</v>
      </c>
      <c r="O96" s="8">
        <f t="shared" si="43"/>
        <v>-1708</v>
      </c>
      <c r="P96" s="8">
        <v>120789</v>
      </c>
      <c r="Q96" s="8">
        <f t="shared" si="44"/>
        <v>4209</v>
      </c>
      <c r="R96" s="8">
        <v>193065</v>
      </c>
      <c r="S96" s="8">
        <f t="shared" si="45"/>
        <v>-10551</v>
      </c>
      <c r="T96" s="8">
        <v>-72276</v>
      </c>
      <c r="U96" s="8">
        <f t="shared" si="46"/>
        <v>14760</v>
      </c>
      <c r="W96" s="8">
        <v>258298</v>
      </c>
      <c r="X96" s="8">
        <f t="shared" si="47"/>
        <v>4851</v>
      </c>
      <c r="Y96" s="8">
        <v>31693</v>
      </c>
      <c r="Z96" s="8">
        <f t="shared" si="48"/>
        <v>4620</v>
      </c>
      <c r="AA96" s="8">
        <v>6681</v>
      </c>
      <c r="AB96" s="8">
        <f t="shared" si="35"/>
        <v>-4644</v>
      </c>
      <c r="AC96" s="8">
        <v>25012</v>
      </c>
      <c r="AD96" s="8">
        <f t="shared" si="35"/>
        <v>9264</v>
      </c>
      <c r="AE96" s="8">
        <v>133086</v>
      </c>
      <c r="AF96" s="8">
        <f t="shared" si="49"/>
        <v>-9863</v>
      </c>
      <c r="AG96" s="8">
        <v>179777</v>
      </c>
      <c r="AH96" s="8">
        <f t="shared" si="50"/>
        <v>-1390</v>
      </c>
      <c r="AI96" s="8">
        <v>-46691</v>
      </c>
      <c r="AJ96" s="8">
        <f t="shared" si="51"/>
        <v>-8473</v>
      </c>
      <c r="AK96" s="8">
        <v>108199</v>
      </c>
      <c r="AL96" s="8">
        <f t="shared" si="52"/>
        <v>-11028</v>
      </c>
      <c r="AM96" s="8">
        <v>177293</v>
      </c>
      <c r="AN96" s="8">
        <f t="shared" si="53"/>
        <v>-877</v>
      </c>
      <c r="AO96" s="8">
        <v>-69094</v>
      </c>
      <c r="AP96" s="8">
        <f t="shared" si="54"/>
        <v>-10151</v>
      </c>
      <c r="AR96" s="8">
        <v>2144353</v>
      </c>
      <c r="AS96" s="8">
        <f t="shared" si="55"/>
        <v>74518</v>
      </c>
      <c r="AT96" s="8">
        <v>219595</v>
      </c>
      <c r="AU96" s="8">
        <f t="shared" si="56"/>
        <v>-7974</v>
      </c>
      <c r="AV96" s="8">
        <v>20745</v>
      </c>
      <c r="AW96" s="8">
        <f t="shared" si="57"/>
        <v>-4422</v>
      </c>
      <c r="AX96" s="8">
        <f t="shared" si="32"/>
        <v>198850</v>
      </c>
      <c r="AY96" s="8">
        <f t="shared" si="58"/>
        <v>-3552</v>
      </c>
      <c r="AZ96" s="8">
        <v>945897</v>
      </c>
      <c r="BA96" s="8">
        <f t="shared" si="59"/>
        <v>-5679</v>
      </c>
      <c r="BB96" s="8">
        <v>1089170</v>
      </c>
      <c r="BC96" s="8">
        <f t="shared" si="60"/>
        <v>3675</v>
      </c>
      <c r="BD96" s="8">
        <f t="shared" si="33"/>
        <v>-143273</v>
      </c>
      <c r="BE96" s="8">
        <f t="shared" si="61"/>
        <v>-9354</v>
      </c>
      <c r="BF96" s="8">
        <v>458099</v>
      </c>
      <c r="BG96" s="8">
        <f t="shared" si="62"/>
        <v>-21732</v>
      </c>
      <c r="BH96" s="8">
        <v>1017646</v>
      </c>
      <c r="BI96" s="8">
        <f t="shared" si="63"/>
        <v>-9450</v>
      </c>
      <c r="BJ96" s="8">
        <f t="shared" si="34"/>
        <v>-559547</v>
      </c>
      <c r="BK96" s="8">
        <f t="shared" si="36"/>
        <v>-12282</v>
      </c>
    </row>
    <row r="97" spans="1:63">
      <c r="A97" s="5">
        <v>39546</v>
      </c>
      <c r="B97" s="8">
        <v>358271</v>
      </c>
      <c r="C97" s="8">
        <f t="shared" si="37"/>
        <v>-17907</v>
      </c>
      <c r="D97" s="8">
        <v>22990</v>
      </c>
      <c r="E97" s="8">
        <f t="shared" si="38"/>
        <v>-4643</v>
      </c>
      <c r="F97" s="8">
        <v>16141</v>
      </c>
      <c r="G97" s="8">
        <f t="shared" si="39"/>
        <v>2893</v>
      </c>
      <c r="H97" s="8">
        <v>6849</v>
      </c>
      <c r="I97" s="8">
        <f t="shared" si="40"/>
        <v>-7536</v>
      </c>
      <c r="J97" s="8">
        <v>190832</v>
      </c>
      <c r="K97" s="8">
        <f t="shared" si="41"/>
        <v>-1645</v>
      </c>
      <c r="L97" s="8">
        <v>207625</v>
      </c>
      <c r="M97" s="8">
        <f t="shared" si="42"/>
        <v>-7293</v>
      </c>
      <c r="N97" s="8">
        <v>-16793</v>
      </c>
      <c r="O97" s="8">
        <f t="shared" si="43"/>
        <v>5648</v>
      </c>
      <c r="P97" s="8">
        <v>115406</v>
      </c>
      <c r="Q97" s="8">
        <f t="shared" si="44"/>
        <v>-5383</v>
      </c>
      <c r="R97" s="8">
        <v>192466</v>
      </c>
      <c r="S97" s="8">
        <f t="shared" si="45"/>
        <v>-599</v>
      </c>
      <c r="T97" s="8">
        <v>-77060</v>
      </c>
      <c r="U97" s="8">
        <f t="shared" si="46"/>
        <v>-4784</v>
      </c>
      <c r="W97" s="8">
        <v>256508</v>
      </c>
      <c r="X97" s="8">
        <f t="shared" si="47"/>
        <v>-1790</v>
      </c>
      <c r="Y97" s="8">
        <v>30925</v>
      </c>
      <c r="Z97" s="8">
        <f t="shared" si="48"/>
        <v>-768</v>
      </c>
      <c r="AA97" s="8">
        <v>6250</v>
      </c>
      <c r="AB97" s="8">
        <f t="shared" si="35"/>
        <v>-431</v>
      </c>
      <c r="AC97" s="8">
        <v>24675</v>
      </c>
      <c r="AD97" s="8">
        <f t="shared" si="35"/>
        <v>-337</v>
      </c>
      <c r="AE97" s="8">
        <v>128744</v>
      </c>
      <c r="AF97" s="8">
        <f t="shared" si="49"/>
        <v>-4342</v>
      </c>
      <c r="AG97" s="8">
        <v>178585</v>
      </c>
      <c r="AH97" s="8">
        <f t="shared" si="50"/>
        <v>-1192</v>
      </c>
      <c r="AI97" s="8">
        <v>-49841</v>
      </c>
      <c r="AJ97" s="8">
        <f t="shared" si="51"/>
        <v>-3150</v>
      </c>
      <c r="AK97" s="8">
        <v>103154</v>
      </c>
      <c r="AL97" s="8">
        <f t="shared" si="52"/>
        <v>-5045</v>
      </c>
      <c r="AM97" s="8">
        <v>175396</v>
      </c>
      <c r="AN97" s="8">
        <f t="shared" si="53"/>
        <v>-1897</v>
      </c>
      <c r="AO97" s="8">
        <v>-72242</v>
      </c>
      <c r="AP97" s="8">
        <f t="shared" si="54"/>
        <v>-3148</v>
      </c>
      <c r="AR97" s="8">
        <v>2200149</v>
      </c>
      <c r="AS97" s="8">
        <f t="shared" si="55"/>
        <v>55796</v>
      </c>
      <c r="AT97" s="8">
        <v>246323</v>
      </c>
      <c r="AU97" s="8">
        <f t="shared" si="56"/>
        <v>26728</v>
      </c>
      <c r="AV97" s="8">
        <v>19938</v>
      </c>
      <c r="AW97" s="8">
        <f t="shared" si="57"/>
        <v>-807</v>
      </c>
      <c r="AX97" s="8">
        <f t="shared" si="32"/>
        <v>226385</v>
      </c>
      <c r="AY97" s="8">
        <f t="shared" si="58"/>
        <v>27535</v>
      </c>
      <c r="AZ97" s="8">
        <v>944681</v>
      </c>
      <c r="BA97" s="8">
        <f t="shared" si="59"/>
        <v>-1216</v>
      </c>
      <c r="BB97" s="8">
        <v>1111837</v>
      </c>
      <c r="BC97" s="8">
        <f t="shared" si="60"/>
        <v>22667</v>
      </c>
      <c r="BD97" s="8">
        <f t="shared" si="33"/>
        <v>-167156</v>
      </c>
      <c r="BE97" s="8">
        <f t="shared" si="61"/>
        <v>-23883</v>
      </c>
      <c r="BF97" s="8">
        <v>447039</v>
      </c>
      <c r="BG97" s="8">
        <f t="shared" si="62"/>
        <v>-11060</v>
      </c>
      <c r="BH97" s="8">
        <v>1032916</v>
      </c>
      <c r="BI97" s="8">
        <f t="shared" si="63"/>
        <v>15270</v>
      </c>
      <c r="BJ97" s="8">
        <f t="shared" si="34"/>
        <v>-585877</v>
      </c>
      <c r="BK97" s="8">
        <f t="shared" si="36"/>
        <v>-26330</v>
      </c>
    </row>
    <row r="98" spans="1:63">
      <c r="A98" s="5">
        <v>39553</v>
      </c>
      <c r="B98" s="8">
        <v>350329</v>
      </c>
      <c r="C98" s="8">
        <f t="shared" si="37"/>
        <v>-7942</v>
      </c>
      <c r="D98" s="8">
        <v>33339</v>
      </c>
      <c r="E98" s="8">
        <f t="shared" si="38"/>
        <v>10349</v>
      </c>
      <c r="F98" s="8">
        <v>14870</v>
      </c>
      <c r="G98" s="8">
        <f t="shared" si="39"/>
        <v>-1271</v>
      </c>
      <c r="H98" s="8">
        <v>18469</v>
      </c>
      <c r="I98" s="8">
        <f t="shared" si="40"/>
        <v>11620</v>
      </c>
      <c r="J98" s="8">
        <v>180316</v>
      </c>
      <c r="K98" s="8">
        <f t="shared" si="41"/>
        <v>-10516</v>
      </c>
      <c r="L98" s="8">
        <v>211423</v>
      </c>
      <c r="M98" s="8">
        <f t="shared" si="42"/>
        <v>3798</v>
      </c>
      <c r="N98" s="8">
        <v>-31107</v>
      </c>
      <c r="O98" s="8">
        <f t="shared" si="43"/>
        <v>-14314</v>
      </c>
      <c r="P98" s="8">
        <v>104028</v>
      </c>
      <c r="Q98" s="8">
        <f t="shared" si="44"/>
        <v>-11378</v>
      </c>
      <c r="R98" s="8">
        <v>197531</v>
      </c>
      <c r="S98" s="8">
        <f t="shared" si="45"/>
        <v>5065</v>
      </c>
      <c r="T98" s="8">
        <v>-93503</v>
      </c>
      <c r="U98" s="8">
        <f t="shared" si="46"/>
        <v>-16443</v>
      </c>
      <c r="W98" s="8">
        <v>251581</v>
      </c>
      <c r="X98" s="8">
        <f t="shared" si="47"/>
        <v>-4927</v>
      </c>
      <c r="Y98" s="8">
        <v>33246</v>
      </c>
      <c r="Z98" s="8">
        <f t="shared" si="48"/>
        <v>2321</v>
      </c>
      <c r="AA98" s="8">
        <v>5647</v>
      </c>
      <c r="AB98" s="8">
        <f t="shared" si="35"/>
        <v>-603</v>
      </c>
      <c r="AC98" s="8">
        <v>27599</v>
      </c>
      <c r="AD98" s="8">
        <f t="shared" si="35"/>
        <v>2924</v>
      </c>
      <c r="AE98" s="8">
        <v>116601</v>
      </c>
      <c r="AF98" s="8">
        <f t="shared" si="49"/>
        <v>-12143</v>
      </c>
      <c r="AG98" s="8">
        <v>174765</v>
      </c>
      <c r="AH98" s="8">
        <f t="shared" si="50"/>
        <v>-3820</v>
      </c>
      <c r="AI98" s="8">
        <v>-58164</v>
      </c>
      <c r="AJ98" s="8">
        <f t="shared" si="51"/>
        <v>-8323</v>
      </c>
      <c r="AK98" s="8">
        <v>92029</v>
      </c>
      <c r="AL98" s="8">
        <f t="shared" si="52"/>
        <v>-11125</v>
      </c>
      <c r="AM98" s="8">
        <v>172033</v>
      </c>
      <c r="AN98" s="8">
        <f t="shared" si="53"/>
        <v>-3363</v>
      </c>
      <c r="AO98" s="8">
        <v>-80004</v>
      </c>
      <c r="AP98" s="8">
        <f t="shared" si="54"/>
        <v>-7762</v>
      </c>
      <c r="AR98" s="8">
        <v>2280549</v>
      </c>
      <c r="AS98" s="8">
        <f t="shared" si="55"/>
        <v>80400</v>
      </c>
      <c r="AT98" s="8">
        <v>266002</v>
      </c>
      <c r="AU98" s="8">
        <f t="shared" si="56"/>
        <v>19679</v>
      </c>
      <c r="AV98" s="8">
        <v>21996</v>
      </c>
      <c r="AW98" s="8">
        <f t="shared" si="57"/>
        <v>2058</v>
      </c>
      <c r="AX98" s="8">
        <f t="shared" si="32"/>
        <v>244006</v>
      </c>
      <c r="AY98" s="8">
        <f t="shared" si="58"/>
        <v>17621</v>
      </c>
      <c r="AZ98" s="8">
        <v>950906</v>
      </c>
      <c r="BA98" s="8">
        <f t="shared" si="59"/>
        <v>6225</v>
      </c>
      <c r="BB98" s="8">
        <v>1129886</v>
      </c>
      <c r="BC98" s="8">
        <f t="shared" si="60"/>
        <v>18049</v>
      </c>
      <c r="BD98" s="8">
        <f t="shared" si="33"/>
        <v>-178980</v>
      </c>
      <c r="BE98" s="8">
        <f t="shared" si="61"/>
        <v>-11824</v>
      </c>
      <c r="BF98" s="8">
        <v>453271</v>
      </c>
      <c r="BG98" s="8">
        <f t="shared" si="62"/>
        <v>6232</v>
      </c>
      <c r="BH98" s="8">
        <v>1049465</v>
      </c>
      <c r="BI98" s="8">
        <f t="shared" si="63"/>
        <v>16549</v>
      </c>
      <c r="BJ98" s="8">
        <f t="shared" si="34"/>
        <v>-596194</v>
      </c>
      <c r="BK98" s="8">
        <f t="shared" si="36"/>
        <v>-10317</v>
      </c>
    </row>
    <row r="99" spans="1:63">
      <c r="A99" s="5">
        <v>39560</v>
      </c>
      <c r="B99" s="8">
        <v>353756</v>
      </c>
      <c r="C99" s="8">
        <f t="shared" si="37"/>
        <v>3427</v>
      </c>
      <c r="D99" s="8">
        <v>36436</v>
      </c>
      <c r="E99" s="8">
        <f t="shared" si="38"/>
        <v>3097</v>
      </c>
      <c r="F99" s="8">
        <v>13850</v>
      </c>
      <c r="G99" s="8">
        <f t="shared" si="39"/>
        <v>-1020</v>
      </c>
      <c r="H99" s="8">
        <v>22586</v>
      </c>
      <c r="I99" s="8">
        <f t="shared" si="40"/>
        <v>4117</v>
      </c>
      <c r="J99" s="8">
        <v>180531</v>
      </c>
      <c r="K99" s="8">
        <f t="shared" si="41"/>
        <v>215</v>
      </c>
      <c r="L99" s="8">
        <v>216147</v>
      </c>
      <c r="M99" s="8">
        <f t="shared" si="42"/>
        <v>4724</v>
      </c>
      <c r="N99" s="8">
        <v>-35616</v>
      </c>
      <c r="O99" s="8">
        <f t="shared" si="43"/>
        <v>-4509</v>
      </c>
      <c r="P99" s="8">
        <v>103651</v>
      </c>
      <c r="Q99" s="8">
        <f t="shared" si="44"/>
        <v>-377</v>
      </c>
      <c r="R99" s="8">
        <v>201896</v>
      </c>
      <c r="S99" s="8">
        <f t="shared" si="45"/>
        <v>4365</v>
      </c>
      <c r="T99" s="8">
        <v>-98245</v>
      </c>
      <c r="U99" s="8">
        <f t="shared" si="46"/>
        <v>-4742</v>
      </c>
      <c r="W99" s="8">
        <v>253695</v>
      </c>
      <c r="X99" s="8">
        <f t="shared" si="47"/>
        <v>2114</v>
      </c>
      <c r="Y99" s="8">
        <v>36334</v>
      </c>
      <c r="Z99" s="8">
        <f t="shared" si="48"/>
        <v>3088</v>
      </c>
      <c r="AA99" s="8">
        <v>7798</v>
      </c>
      <c r="AB99" s="8">
        <f t="shared" si="35"/>
        <v>2151</v>
      </c>
      <c r="AC99" s="8">
        <v>28536</v>
      </c>
      <c r="AD99" s="8">
        <f t="shared" si="35"/>
        <v>937</v>
      </c>
      <c r="AE99" s="8">
        <v>117744</v>
      </c>
      <c r="AF99" s="8">
        <f t="shared" si="49"/>
        <v>1143</v>
      </c>
      <c r="AG99" s="8">
        <v>175394</v>
      </c>
      <c r="AH99" s="8">
        <f t="shared" si="50"/>
        <v>629</v>
      </c>
      <c r="AI99" s="8">
        <v>-57650</v>
      </c>
      <c r="AJ99" s="8">
        <f t="shared" si="51"/>
        <v>514</v>
      </c>
      <c r="AK99" s="8">
        <v>93011</v>
      </c>
      <c r="AL99" s="8">
        <f t="shared" si="52"/>
        <v>982</v>
      </c>
      <c r="AM99" s="8">
        <v>172488</v>
      </c>
      <c r="AN99" s="8">
        <f t="shared" si="53"/>
        <v>455</v>
      </c>
      <c r="AO99" s="8">
        <v>-79477</v>
      </c>
      <c r="AP99" s="8">
        <f t="shared" si="54"/>
        <v>527</v>
      </c>
      <c r="AR99" s="8">
        <v>2277500</v>
      </c>
      <c r="AS99" s="8">
        <f t="shared" si="55"/>
        <v>-3049</v>
      </c>
      <c r="AT99" s="8">
        <v>263375</v>
      </c>
      <c r="AU99" s="8">
        <f t="shared" si="56"/>
        <v>-2627</v>
      </c>
      <c r="AV99" s="8">
        <v>23699</v>
      </c>
      <c r="AW99" s="8">
        <f t="shared" si="57"/>
        <v>1703</v>
      </c>
      <c r="AX99" s="8">
        <f t="shared" si="32"/>
        <v>239676</v>
      </c>
      <c r="AY99" s="8">
        <f t="shared" si="58"/>
        <v>-4330</v>
      </c>
      <c r="AZ99" s="8">
        <v>959289</v>
      </c>
      <c r="BA99" s="8">
        <f t="shared" si="59"/>
        <v>8383</v>
      </c>
      <c r="BB99" s="8">
        <v>1123024</v>
      </c>
      <c r="BC99" s="8">
        <f t="shared" si="60"/>
        <v>-6862</v>
      </c>
      <c r="BD99" s="8">
        <f t="shared" si="33"/>
        <v>-163735</v>
      </c>
      <c r="BE99" s="8">
        <f t="shared" si="61"/>
        <v>15245</v>
      </c>
      <c r="BF99" s="8">
        <v>460574</v>
      </c>
      <c r="BG99" s="8">
        <f t="shared" si="62"/>
        <v>7303</v>
      </c>
      <c r="BH99" s="8">
        <v>1040523</v>
      </c>
      <c r="BI99" s="8">
        <f t="shared" si="63"/>
        <v>-8942</v>
      </c>
      <c r="BJ99" s="8">
        <f t="shared" si="34"/>
        <v>-579949</v>
      </c>
      <c r="BK99" s="8">
        <f t="shared" si="36"/>
        <v>16245</v>
      </c>
    </row>
    <row r="100" spans="1:63">
      <c r="A100" s="5">
        <v>39567</v>
      </c>
      <c r="B100" s="8">
        <v>320652</v>
      </c>
      <c r="C100" s="8">
        <f t="shared" si="37"/>
        <v>-33104</v>
      </c>
      <c r="D100" s="8">
        <v>32599</v>
      </c>
      <c r="E100" s="8">
        <f t="shared" si="38"/>
        <v>-3837</v>
      </c>
      <c r="F100" s="8">
        <v>14938</v>
      </c>
      <c r="G100" s="8">
        <f t="shared" si="39"/>
        <v>1088</v>
      </c>
      <c r="H100" s="8">
        <v>17661</v>
      </c>
      <c r="I100" s="8">
        <f t="shared" si="40"/>
        <v>-4925</v>
      </c>
      <c r="J100" s="8">
        <v>169490</v>
      </c>
      <c r="K100" s="8">
        <f t="shared" si="41"/>
        <v>-11041</v>
      </c>
      <c r="L100" s="8">
        <v>196376</v>
      </c>
      <c r="M100" s="8">
        <f t="shared" si="42"/>
        <v>-19771</v>
      </c>
      <c r="N100" s="8">
        <v>-26886</v>
      </c>
      <c r="O100" s="8">
        <f t="shared" si="43"/>
        <v>8730</v>
      </c>
      <c r="P100" s="8">
        <v>94947</v>
      </c>
      <c r="Q100" s="8">
        <f t="shared" si="44"/>
        <v>-8704</v>
      </c>
      <c r="R100" s="8">
        <v>181477</v>
      </c>
      <c r="S100" s="8">
        <f t="shared" si="45"/>
        <v>-20419</v>
      </c>
      <c r="T100" s="8">
        <v>-86530</v>
      </c>
      <c r="U100" s="8">
        <f t="shared" si="46"/>
        <v>11715</v>
      </c>
      <c r="W100" s="8">
        <v>237457</v>
      </c>
      <c r="X100" s="8">
        <f t="shared" si="47"/>
        <v>-16238</v>
      </c>
      <c r="Y100" s="8">
        <v>32837</v>
      </c>
      <c r="Z100" s="8">
        <f t="shared" si="48"/>
        <v>-3497</v>
      </c>
      <c r="AA100" s="8">
        <v>9632</v>
      </c>
      <c r="AB100" s="8">
        <f t="shared" si="35"/>
        <v>1834</v>
      </c>
      <c r="AC100" s="8">
        <v>23205</v>
      </c>
      <c r="AD100" s="8">
        <f t="shared" si="35"/>
        <v>-5331</v>
      </c>
      <c r="AE100" s="8">
        <v>115565</v>
      </c>
      <c r="AF100" s="8">
        <f t="shared" si="49"/>
        <v>-2179</v>
      </c>
      <c r="AG100" s="8">
        <v>164442</v>
      </c>
      <c r="AH100" s="8">
        <f t="shared" si="50"/>
        <v>-10952</v>
      </c>
      <c r="AI100" s="8">
        <v>-48877</v>
      </c>
      <c r="AJ100" s="8">
        <f t="shared" si="51"/>
        <v>8773</v>
      </c>
      <c r="AK100" s="8">
        <v>90005</v>
      </c>
      <c r="AL100" s="8">
        <f t="shared" si="52"/>
        <v>-3006</v>
      </c>
      <c r="AM100" s="8">
        <v>161570</v>
      </c>
      <c r="AN100" s="8">
        <f t="shared" si="53"/>
        <v>-10918</v>
      </c>
      <c r="AO100" s="8">
        <v>-71565</v>
      </c>
      <c r="AP100" s="8">
        <f t="shared" si="54"/>
        <v>7912</v>
      </c>
      <c r="AR100" s="8">
        <v>2115380</v>
      </c>
      <c r="AS100" s="8">
        <f t="shared" si="55"/>
        <v>-162120</v>
      </c>
      <c r="AT100" s="8">
        <v>263956</v>
      </c>
      <c r="AU100" s="8">
        <f t="shared" si="56"/>
        <v>581</v>
      </c>
      <c r="AV100" s="8">
        <v>35035</v>
      </c>
      <c r="AW100" s="8">
        <f t="shared" si="57"/>
        <v>11336</v>
      </c>
      <c r="AX100" s="8">
        <f t="shared" si="32"/>
        <v>228921</v>
      </c>
      <c r="AY100" s="8">
        <f t="shared" si="58"/>
        <v>-10755</v>
      </c>
      <c r="AZ100" s="8">
        <v>919469</v>
      </c>
      <c r="BA100" s="8">
        <f t="shared" si="59"/>
        <v>-39820</v>
      </c>
      <c r="BB100" s="8">
        <v>1057668</v>
      </c>
      <c r="BC100" s="8">
        <f t="shared" si="60"/>
        <v>-65356</v>
      </c>
      <c r="BD100" s="8">
        <f t="shared" si="33"/>
        <v>-138199</v>
      </c>
      <c r="BE100" s="8">
        <f t="shared" si="61"/>
        <v>25536</v>
      </c>
      <c r="BF100" s="8">
        <v>428841</v>
      </c>
      <c r="BG100" s="8">
        <f t="shared" si="62"/>
        <v>-31733</v>
      </c>
      <c r="BH100" s="8">
        <v>987506</v>
      </c>
      <c r="BI100" s="8">
        <f t="shared" si="63"/>
        <v>-53017</v>
      </c>
      <c r="BJ100" s="8">
        <f t="shared" si="34"/>
        <v>-558665</v>
      </c>
      <c r="BK100" s="8">
        <f t="shared" si="36"/>
        <v>21284</v>
      </c>
    </row>
    <row r="101" spans="1:63">
      <c r="A101" s="5">
        <v>39574</v>
      </c>
      <c r="B101" s="8">
        <v>305808</v>
      </c>
      <c r="C101" s="8">
        <f t="shared" si="37"/>
        <v>-14844</v>
      </c>
      <c r="D101" s="8">
        <v>29394</v>
      </c>
      <c r="E101" s="8">
        <f t="shared" si="38"/>
        <v>-3205</v>
      </c>
      <c r="F101" s="8">
        <v>10359</v>
      </c>
      <c r="G101" s="8">
        <f t="shared" si="39"/>
        <v>-4579</v>
      </c>
      <c r="H101" s="8">
        <v>19035</v>
      </c>
      <c r="I101" s="8">
        <f t="shared" si="40"/>
        <v>1374</v>
      </c>
      <c r="J101" s="8">
        <v>162529</v>
      </c>
      <c r="K101" s="8">
        <f t="shared" si="41"/>
        <v>-6961</v>
      </c>
      <c r="L101" s="8">
        <v>190051</v>
      </c>
      <c r="M101" s="8">
        <f t="shared" si="42"/>
        <v>-6325</v>
      </c>
      <c r="N101" s="8">
        <v>-27522</v>
      </c>
      <c r="O101" s="8">
        <f t="shared" si="43"/>
        <v>-636</v>
      </c>
      <c r="P101" s="8">
        <v>89791</v>
      </c>
      <c r="Q101" s="8">
        <f t="shared" si="44"/>
        <v>-5156</v>
      </c>
      <c r="R101" s="8">
        <v>175066</v>
      </c>
      <c r="S101" s="8">
        <f t="shared" si="45"/>
        <v>-6411</v>
      </c>
      <c r="T101" s="8">
        <v>-85275</v>
      </c>
      <c r="U101" s="8">
        <f t="shared" si="46"/>
        <v>1255</v>
      </c>
      <c r="W101" s="8">
        <v>227040</v>
      </c>
      <c r="X101" s="8">
        <f t="shared" si="47"/>
        <v>-10417</v>
      </c>
      <c r="Y101" s="8">
        <v>32488</v>
      </c>
      <c r="Z101" s="8">
        <f t="shared" si="48"/>
        <v>-349</v>
      </c>
      <c r="AA101" s="8">
        <v>6330</v>
      </c>
      <c r="AB101" s="8">
        <f t="shared" si="35"/>
        <v>-3302</v>
      </c>
      <c r="AC101" s="8">
        <v>26158</v>
      </c>
      <c r="AD101" s="8">
        <f t="shared" si="35"/>
        <v>2953</v>
      </c>
      <c r="AE101" s="8">
        <v>112609</v>
      </c>
      <c r="AF101" s="8">
        <f t="shared" si="49"/>
        <v>-2956</v>
      </c>
      <c r="AG101" s="8">
        <v>159838</v>
      </c>
      <c r="AH101" s="8">
        <f t="shared" si="50"/>
        <v>-4604</v>
      </c>
      <c r="AI101" s="8">
        <v>-47229</v>
      </c>
      <c r="AJ101" s="8">
        <f t="shared" si="51"/>
        <v>1648</v>
      </c>
      <c r="AK101" s="8">
        <v>86488</v>
      </c>
      <c r="AL101" s="8">
        <f t="shared" si="52"/>
        <v>-3517</v>
      </c>
      <c r="AM101" s="8">
        <v>156336</v>
      </c>
      <c r="AN101" s="8">
        <f t="shared" si="53"/>
        <v>-5234</v>
      </c>
      <c r="AO101" s="8">
        <v>-69848</v>
      </c>
      <c r="AP101" s="8">
        <f t="shared" si="54"/>
        <v>1717</v>
      </c>
      <c r="AR101" s="8">
        <v>2106567</v>
      </c>
      <c r="AS101" s="8">
        <f t="shared" si="55"/>
        <v>-8813</v>
      </c>
      <c r="AT101" s="8">
        <v>275304</v>
      </c>
      <c r="AU101" s="8">
        <f t="shared" si="56"/>
        <v>11348</v>
      </c>
      <c r="AV101" s="8">
        <v>29415</v>
      </c>
      <c r="AW101" s="8">
        <f t="shared" si="57"/>
        <v>-5620</v>
      </c>
      <c r="AX101" s="8">
        <f t="shared" si="32"/>
        <v>245889</v>
      </c>
      <c r="AY101" s="8">
        <f t="shared" si="58"/>
        <v>16968</v>
      </c>
      <c r="AZ101" s="8">
        <v>922568</v>
      </c>
      <c r="BA101" s="8">
        <f t="shared" si="59"/>
        <v>3099</v>
      </c>
      <c r="BB101" s="8">
        <v>1064069</v>
      </c>
      <c r="BC101" s="8">
        <f t="shared" si="60"/>
        <v>6401</v>
      </c>
      <c r="BD101" s="8">
        <f t="shared" si="33"/>
        <v>-141501</v>
      </c>
      <c r="BE101" s="8">
        <f t="shared" si="61"/>
        <v>-3302</v>
      </c>
      <c r="BF101" s="8">
        <v>430707</v>
      </c>
      <c r="BG101" s="8">
        <f t="shared" si="62"/>
        <v>1866</v>
      </c>
      <c r="BH101" s="8">
        <v>990238</v>
      </c>
      <c r="BI101" s="8">
        <f t="shared" si="63"/>
        <v>2732</v>
      </c>
      <c r="BJ101" s="8">
        <f t="shared" si="34"/>
        <v>-559531</v>
      </c>
      <c r="BK101" s="8">
        <f t="shared" si="36"/>
        <v>-866</v>
      </c>
    </row>
    <row r="102" spans="1:63">
      <c r="A102" s="5">
        <v>39581</v>
      </c>
      <c r="B102" s="8">
        <v>310743</v>
      </c>
      <c r="C102" s="8">
        <f t="shared" si="37"/>
        <v>4935</v>
      </c>
      <c r="D102" s="8">
        <v>35372</v>
      </c>
      <c r="E102" s="8">
        <f t="shared" si="38"/>
        <v>5978</v>
      </c>
      <c r="F102" s="8">
        <v>10781</v>
      </c>
      <c r="G102" s="8">
        <f t="shared" si="39"/>
        <v>422</v>
      </c>
      <c r="H102" s="8">
        <v>24591</v>
      </c>
      <c r="I102" s="8">
        <f t="shared" si="40"/>
        <v>5556</v>
      </c>
      <c r="J102" s="8">
        <v>158606</v>
      </c>
      <c r="K102" s="8">
        <f t="shared" si="41"/>
        <v>-3923</v>
      </c>
      <c r="L102" s="8">
        <v>198946</v>
      </c>
      <c r="M102" s="8">
        <f t="shared" si="42"/>
        <v>8895</v>
      </c>
      <c r="N102" s="8">
        <v>-40340</v>
      </c>
      <c r="O102" s="8">
        <f t="shared" si="43"/>
        <v>-12818</v>
      </c>
      <c r="P102" s="8">
        <v>84439</v>
      </c>
      <c r="Q102" s="8">
        <f t="shared" si="44"/>
        <v>-5352</v>
      </c>
      <c r="R102" s="8">
        <v>182181</v>
      </c>
      <c r="S102" s="8">
        <f t="shared" si="45"/>
        <v>7115</v>
      </c>
      <c r="T102" s="8">
        <v>-97742</v>
      </c>
      <c r="U102" s="8">
        <f t="shared" si="46"/>
        <v>-12467</v>
      </c>
      <c r="W102" s="8">
        <v>224080</v>
      </c>
      <c r="X102" s="8">
        <f t="shared" si="47"/>
        <v>-2960</v>
      </c>
      <c r="Y102" s="8">
        <v>35493</v>
      </c>
      <c r="Z102" s="8">
        <f t="shared" si="48"/>
        <v>3005</v>
      </c>
      <c r="AA102" s="8">
        <v>6317</v>
      </c>
      <c r="AB102" s="8">
        <f t="shared" si="35"/>
        <v>-13</v>
      </c>
      <c r="AC102" s="8">
        <v>29176</v>
      </c>
      <c r="AD102" s="8">
        <f t="shared" si="35"/>
        <v>3018</v>
      </c>
      <c r="AE102" s="8">
        <v>105419</v>
      </c>
      <c r="AF102" s="8">
        <f t="shared" si="49"/>
        <v>-7190</v>
      </c>
      <c r="AG102" s="8">
        <v>158520</v>
      </c>
      <c r="AH102" s="8">
        <f t="shared" si="50"/>
        <v>-1318</v>
      </c>
      <c r="AI102" s="8">
        <v>-53101</v>
      </c>
      <c r="AJ102" s="8">
        <f t="shared" si="51"/>
        <v>-5872</v>
      </c>
      <c r="AK102" s="8">
        <v>80639</v>
      </c>
      <c r="AL102" s="8">
        <f t="shared" si="52"/>
        <v>-5849</v>
      </c>
      <c r="AM102" s="8">
        <v>152736</v>
      </c>
      <c r="AN102" s="8">
        <f t="shared" si="53"/>
        <v>-3600</v>
      </c>
      <c r="AO102" s="8">
        <v>-72097</v>
      </c>
      <c r="AP102" s="8">
        <f t="shared" si="54"/>
        <v>-2249</v>
      </c>
      <c r="AR102" s="8">
        <v>2138015</v>
      </c>
      <c r="AS102" s="8">
        <f t="shared" si="55"/>
        <v>31448</v>
      </c>
      <c r="AT102" s="8">
        <v>269361</v>
      </c>
      <c r="AU102" s="8">
        <f t="shared" si="56"/>
        <v>-5943</v>
      </c>
      <c r="AV102" s="8">
        <v>32778</v>
      </c>
      <c r="AW102" s="8">
        <f t="shared" si="57"/>
        <v>3363</v>
      </c>
      <c r="AX102" s="8">
        <f t="shared" si="32"/>
        <v>236583</v>
      </c>
      <c r="AY102" s="8">
        <f t="shared" si="58"/>
        <v>-9306</v>
      </c>
      <c r="AZ102" s="8">
        <v>938318</v>
      </c>
      <c r="BA102" s="8">
        <f t="shared" si="59"/>
        <v>15750</v>
      </c>
      <c r="BB102" s="8">
        <v>1083034</v>
      </c>
      <c r="BC102" s="8">
        <f t="shared" si="60"/>
        <v>18965</v>
      </c>
      <c r="BD102" s="8">
        <f t="shared" si="33"/>
        <v>-144716</v>
      </c>
      <c r="BE102" s="8">
        <f t="shared" si="61"/>
        <v>-3215</v>
      </c>
      <c r="BF102" s="8">
        <v>435704</v>
      </c>
      <c r="BG102" s="8">
        <f t="shared" si="62"/>
        <v>4997</v>
      </c>
      <c r="BH102" s="8">
        <v>983297</v>
      </c>
      <c r="BI102" s="8">
        <f t="shared" si="63"/>
        <v>-6941</v>
      </c>
      <c r="BJ102" s="8">
        <f t="shared" si="34"/>
        <v>-547593</v>
      </c>
      <c r="BK102" s="8">
        <f t="shared" si="36"/>
        <v>11938</v>
      </c>
    </row>
    <row r="103" spans="1:63">
      <c r="A103" s="5">
        <v>39588</v>
      </c>
      <c r="B103" s="8">
        <v>300551</v>
      </c>
      <c r="C103" s="8">
        <f t="shared" si="37"/>
        <v>-10192</v>
      </c>
      <c r="D103" s="8">
        <v>31909</v>
      </c>
      <c r="E103" s="8">
        <f t="shared" si="38"/>
        <v>-3463</v>
      </c>
      <c r="F103" s="8">
        <v>13192</v>
      </c>
      <c r="G103" s="8">
        <f t="shared" si="39"/>
        <v>2411</v>
      </c>
      <c r="H103" s="8">
        <v>18717</v>
      </c>
      <c r="I103" s="8">
        <f t="shared" si="40"/>
        <v>-5874</v>
      </c>
      <c r="J103" s="8">
        <v>147921</v>
      </c>
      <c r="K103" s="8">
        <f t="shared" si="41"/>
        <v>-10685</v>
      </c>
      <c r="L103" s="8">
        <v>182317</v>
      </c>
      <c r="M103" s="8">
        <f t="shared" si="42"/>
        <v>-16629</v>
      </c>
      <c r="N103" s="8">
        <v>-34396</v>
      </c>
      <c r="O103" s="8">
        <f t="shared" si="43"/>
        <v>5944</v>
      </c>
      <c r="P103" s="8">
        <v>74665</v>
      </c>
      <c r="Q103" s="8">
        <f t="shared" si="44"/>
        <v>-9774</v>
      </c>
      <c r="R103" s="8">
        <v>167311</v>
      </c>
      <c r="S103" s="8">
        <f t="shared" si="45"/>
        <v>-14870</v>
      </c>
      <c r="T103" s="8">
        <v>-92646</v>
      </c>
      <c r="U103" s="8">
        <f t="shared" si="46"/>
        <v>5096</v>
      </c>
      <c r="W103" s="8">
        <v>227259</v>
      </c>
      <c r="X103" s="8">
        <f t="shared" si="47"/>
        <v>3179</v>
      </c>
      <c r="Y103" s="8">
        <v>31723</v>
      </c>
      <c r="Z103" s="8">
        <f t="shared" si="48"/>
        <v>-3770</v>
      </c>
      <c r="AA103" s="8">
        <v>4481</v>
      </c>
      <c r="AB103" s="8">
        <f t="shared" si="35"/>
        <v>-1836</v>
      </c>
      <c r="AC103" s="8">
        <v>27242</v>
      </c>
      <c r="AD103" s="8">
        <f t="shared" si="35"/>
        <v>-1934</v>
      </c>
      <c r="AE103" s="8">
        <v>110095</v>
      </c>
      <c r="AF103" s="8">
        <f t="shared" si="49"/>
        <v>4676</v>
      </c>
      <c r="AG103" s="8">
        <v>159234</v>
      </c>
      <c r="AH103" s="8">
        <f t="shared" si="50"/>
        <v>714</v>
      </c>
      <c r="AI103" s="8">
        <v>-49139</v>
      </c>
      <c r="AJ103" s="8">
        <f t="shared" si="51"/>
        <v>3962</v>
      </c>
      <c r="AK103" s="8">
        <v>86401</v>
      </c>
      <c r="AL103" s="8">
        <f t="shared" si="52"/>
        <v>5762</v>
      </c>
      <c r="AM103" s="8">
        <v>153357</v>
      </c>
      <c r="AN103" s="8">
        <f t="shared" si="53"/>
        <v>621</v>
      </c>
      <c r="AO103" s="8">
        <v>-66956</v>
      </c>
      <c r="AP103" s="8">
        <f t="shared" si="54"/>
        <v>5141</v>
      </c>
      <c r="AR103" s="8">
        <v>2114083</v>
      </c>
      <c r="AS103" s="8">
        <f t="shared" si="55"/>
        <v>-23932</v>
      </c>
      <c r="AT103" s="8">
        <v>264975</v>
      </c>
      <c r="AU103" s="8">
        <f t="shared" si="56"/>
        <v>-4386</v>
      </c>
      <c r="AV103" s="8">
        <v>26789</v>
      </c>
      <c r="AW103" s="8">
        <f t="shared" si="57"/>
        <v>-5989</v>
      </c>
      <c r="AX103" s="8">
        <f t="shared" si="32"/>
        <v>238186</v>
      </c>
      <c r="AY103" s="8">
        <f t="shared" si="58"/>
        <v>1603</v>
      </c>
      <c r="AZ103" s="8">
        <v>922359</v>
      </c>
      <c r="BA103" s="8">
        <f t="shared" si="59"/>
        <v>-15959</v>
      </c>
      <c r="BB103" s="8">
        <v>1067338</v>
      </c>
      <c r="BC103" s="8">
        <f t="shared" si="60"/>
        <v>-15696</v>
      </c>
      <c r="BD103" s="8">
        <f t="shared" si="33"/>
        <v>-144979</v>
      </c>
      <c r="BE103" s="8">
        <f t="shared" si="61"/>
        <v>-263</v>
      </c>
      <c r="BF103" s="8">
        <v>440967</v>
      </c>
      <c r="BG103" s="8">
        <f t="shared" si="62"/>
        <v>5263</v>
      </c>
      <c r="BH103" s="8">
        <v>969890</v>
      </c>
      <c r="BI103" s="8">
        <f t="shared" si="63"/>
        <v>-13407</v>
      </c>
      <c r="BJ103" s="8">
        <f t="shared" si="34"/>
        <v>-528923</v>
      </c>
      <c r="BK103" s="8">
        <f t="shared" si="36"/>
        <v>18670</v>
      </c>
    </row>
    <row r="104" spans="1:63">
      <c r="A104" s="5">
        <v>39595</v>
      </c>
      <c r="B104" s="8">
        <v>299502</v>
      </c>
      <c r="C104" s="8">
        <f t="shared" si="37"/>
        <v>-1049</v>
      </c>
      <c r="D104" s="8">
        <v>32912</v>
      </c>
      <c r="E104" s="8">
        <f t="shared" si="38"/>
        <v>1003</v>
      </c>
      <c r="F104" s="8">
        <v>14467</v>
      </c>
      <c r="G104" s="8">
        <f t="shared" si="39"/>
        <v>1275</v>
      </c>
      <c r="H104" s="8">
        <v>18445</v>
      </c>
      <c r="I104" s="8">
        <f t="shared" si="40"/>
        <v>-272</v>
      </c>
      <c r="J104" s="8">
        <v>145667</v>
      </c>
      <c r="K104" s="8">
        <f t="shared" si="41"/>
        <v>-2254</v>
      </c>
      <c r="L104" s="8">
        <v>180662</v>
      </c>
      <c r="M104" s="8">
        <f t="shared" si="42"/>
        <v>-1655</v>
      </c>
      <c r="N104" s="8">
        <v>-34995</v>
      </c>
      <c r="O104" s="8">
        <f t="shared" si="43"/>
        <v>-599</v>
      </c>
      <c r="P104" s="8">
        <v>72101</v>
      </c>
      <c r="Q104" s="8">
        <f t="shared" si="44"/>
        <v>-2564</v>
      </c>
      <c r="R104" s="8">
        <v>169743</v>
      </c>
      <c r="S104" s="8">
        <f t="shared" si="45"/>
        <v>2432</v>
      </c>
      <c r="T104" s="8">
        <v>-97642</v>
      </c>
      <c r="U104" s="8">
        <f t="shared" si="46"/>
        <v>-4996</v>
      </c>
      <c r="W104" s="8">
        <v>226749</v>
      </c>
      <c r="X104" s="8">
        <f t="shared" si="47"/>
        <v>-510</v>
      </c>
      <c r="Y104" s="8">
        <v>33467</v>
      </c>
      <c r="Z104" s="8">
        <f t="shared" si="48"/>
        <v>1744</v>
      </c>
      <c r="AA104" s="8">
        <v>4541</v>
      </c>
      <c r="AB104" s="8">
        <f t="shared" si="35"/>
        <v>60</v>
      </c>
      <c r="AC104" s="8">
        <v>28926</v>
      </c>
      <c r="AD104" s="8">
        <f t="shared" si="35"/>
        <v>1684</v>
      </c>
      <c r="AE104" s="8">
        <v>108457</v>
      </c>
      <c r="AF104" s="8">
        <f t="shared" si="49"/>
        <v>-1638</v>
      </c>
      <c r="AG104" s="8">
        <v>159104</v>
      </c>
      <c r="AH104" s="8">
        <f t="shared" si="50"/>
        <v>-130</v>
      </c>
      <c r="AI104" s="8">
        <v>-50647</v>
      </c>
      <c r="AJ104" s="8">
        <f t="shared" si="51"/>
        <v>-1508</v>
      </c>
      <c r="AK104" s="8">
        <v>86045</v>
      </c>
      <c r="AL104" s="8">
        <f t="shared" si="52"/>
        <v>-356</v>
      </c>
      <c r="AM104" s="8">
        <v>153035</v>
      </c>
      <c r="AN104" s="8">
        <f t="shared" si="53"/>
        <v>-322</v>
      </c>
      <c r="AO104" s="8">
        <v>-66990</v>
      </c>
      <c r="AP104" s="8">
        <f t="shared" si="54"/>
        <v>-34</v>
      </c>
      <c r="AR104" s="8">
        <v>2109630</v>
      </c>
      <c r="AS104" s="8">
        <f t="shared" si="55"/>
        <v>-4453</v>
      </c>
      <c r="AT104" s="8">
        <v>259439</v>
      </c>
      <c r="AU104" s="8">
        <f t="shared" si="56"/>
        <v>-5536</v>
      </c>
      <c r="AV104" s="8">
        <v>26246</v>
      </c>
      <c r="AW104" s="8">
        <f t="shared" si="57"/>
        <v>-543</v>
      </c>
      <c r="AX104" s="8">
        <f t="shared" si="32"/>
        <v>233193</v>
      </c>
      <c r="AY104" s="8">
        <f t="shared" si="58"/>
        <v>-4993</v>
      </c>
      <c r="AZ104" s="8">
        <v>924842</v>
      </c>
      <c r="BA104" s="8">
        <f t="shared" si="59"/>
        <v>2483</v>
      </c>
      <c r="BB104" s="8">
        <v>1063622</v>
      </c>
      <c r="BC104" s="8">
        <f t="shared" si="60"/>
        <v>-3716</v>
      </c>
      <c r="BD104" s="8">
        <f t="shared" si="33"/>
        <v>-138780</v>
      </c>
      <c r="BE104" s="8">
        <f t="shared" si="61"/>
        <v>6199</v>
      </c>
      <c r="BF104" s="8">
        <v>439030</v>
      </c>
      <c r="BG104" s="8">
        <f t="shared" si="62"/>
        <v>-1937</v>
      </c>
      <c r="BH104" s="8">
        <v>962416</v>
      </c>
      <c r="BI104" s="8">
        <f t="shared" si="63"/>
        <v>-7474</v>
      </c>
      <c r="BJ104" s="8">
        <f t="shared" si="34"/>
        <v>-523386</v>
      </c>
      <c r="BK104" s="8">
        <f t="shared" si="36"/>
        <v>5537</v>
      </c>
    </row>
    <row r="105" spans="1:63">
      <c r="A105" s="5">
        <v>39602</v>
      </c>
      <c r="B105" s="8">
        <v>304569</v>
      </c>
      <c r="C105" s="8">
        <f t="shared" si="37"/>
        <v>5067</v>
      </c>
      <c r="D105" s="8">
        <v>32442</v>
      </c>
      <c r="E105" s="8">
        <f t="shared" si="38"/>
        <v>-470</v>
      </c>
      <c r="F105" s="8">
        <v>14067</v>
      </c>
      <c r="G105" s="8">
        <f t="shared" si="39"/>
        <v>-400</v>
      </c>
      <c r="H105" s="8">
        <v>18375</v>
      </c>
      <c r="I105" s="8">
        <f t="shared" si="40"/>
        <v>-70</v>
      </c>
      <c r="J105" s="8">
        <v>147100</v>
      </c>
      <c r="K105" s="8">
        <f t="shared" si="41"/>
        <v>1433</v>
      </c>
      <c r="L105" s="8">
        <v>180419</v>
      </c>
      <c r="M105" s="8">
        <f t="shared" si="42"/>
        <v>-243</v>
      </c>
      <c r="N105" s="8">
        <v>-33319</v>
      </c>
      <c r="O105" s="8">
        <f t="shared" si="43"/>
        <v>1676</v>
      </c>
      <c r="P105" s="8">
        <v>73577</v>
      </c>
      <c r="Q105" s="8">
        <f t="shared" si="44"/>
        <v>1476</v>
      </c>
      <c r="R105" s="8">
        <v>165757</v>
      </c>
      <c r="S105" s="8">
        <f t="shared" si="45"/>
        <v>-3986</v>
      </c>
      <c r="T105" s="8">
        <v>-92180</v>
      </c>
      <c r="U105" s="8">
        <f t="shared" si="46"/>
        <v>5462</v>
      </c>
      <c r="W105" s="8">
        <v>229375</v>
      </c>
      <c r="X105" s="8">
        <f t="shared" si="47"/>
        <v>2626</v>
      </c>
      <c r="Y105" s="8">
        <v>36205</v>
      </c>
      <c r="Z105" s="8">
        <f t="shared" si="48"/>
        <v>2738</v>
      </c>
      <c r="AA105" s="8">
        <v>4132</v>
      </c>
      <c r="AB105" s="8">
        <f t="shared" si="35"/>
        <v>-409</v>
      </c>
      <c r="AC105" s="8">
        <v>32073</v>
      </c>
      <c r="AD105" s="8">
        <f t="shared" si="35"/>
        <v>3147</v>
      </c>
      <c r="AE105" s="8">
        <v>104098</v>
      </c>
      <c r="AF105" s="8">
        <f t="shared" si="49"/>
        <v>-4359</v>
      </c>
      <c r="AG105" s="8">
        <v>158300</v>
      </c>
      <c r="AH105" s="8">
        <f t="shared" si="50"/>
        <v>-804</v>
      </c>
      <c r="AI105" s="8">
        <v>-54202</v>
      </c>
      <c r="AJ105" s="8">
        <f t="shared" si="51"/>
        <v>-3555</v>
      </c>
      <c r="AK105" s="8">
        <v>80738</v>
      </c>
      <c r="AL105" s="8">
        <f t="shared" si="52"/>
        <v>-5307</v>
      </c>
      <c r="AM105" s="8">
        <v>151347</v>
      </c>
      <c r="AN105" s="8">
        <f t="shared" si="53"/>
        <v>-1688</v>
      </c>
      <c r="AO105" s="8">
        <v>-70609</v>
      </c>
      <c r="AP105" s="8">
        <f t="shared" si="54"/>
        <v>-3619</v>
      </c>
      <c r="AR105" s="8">
        <v>2131857</v>
      </c>
      <c r="AS105" s="8">
        <f t="shared" si="55"/>
        <v>22227</v>
      </c>
      <c r="AT105" s="8">
        <v>255153</v>
      </c>
      <c r="AU105" s="8">
        <f t="shared" si="56"/>
        <v>-4286</v>
      </c>
      <c r="AV105" s="8">
        <v>23918</v>
      </c>
      <c r="AW105" s="8">
        <f t="shared" si="57"/>
        <v>-2328</v>
      </c>
      <c r="AX105" s="8">
        <f t="shared" si="32"/>
        <v>231235</v>
      </c>
      <c r="AY105" s="8">
        <f t="shared" si="58"/>
        <v>-1958</v>
      </c>
      <c r="AZ105" s="8">
        <v>913646</v>
      </c>
      <c r="BA105" s="8">
        <f t="shared" si="59"/>
        <v>-11196</v>
      </c>
      <c r="BB105" s="8">
        <v>1050963</v>
      </c>
      <c r="BC105" s="8">
        <f t="shared" si="60"/>
        <v>-12659</v>
      </c>
      <c r="BD105" s="8">
        <f t="shared" si="33"/>
        <v>-137317</v>
      </c>
      <c r="BE105" s="8">
        <f t="shared" si="61"/>
        <v>1463</v>
      </c>
      <c r="BF105" s="8">
        <v>435596</v>
      </c>
      <c r="BG105" s="8">
        <f t="shared" si="62"/>
        <v>-3434</v>
      </c>
      <c r="BH105" s="8">
        <v>943371</v>
      </c>
      <c r="BI105" s="8">
        <f t="shared" si="63"/>
        <v>-19045</v>
      </c>
      <c r="BJ105" s="8">
        <f t="shared" si="34"/>
        <v>-507775</v>
      </c>
      <c r="BK105" s="8">
        <f t="shared" si="36"/>
        <v>15611</v>
      </c>
    </row>
    <row r="106" spans="1:63">
      <c r="A106" s="5">
        <v>39609</v>
      </c>
      <c r="B106" s="8">
        <v>317252</v>
      </c>
      <c r="C106" s="8">
        <f t="shared" si="37"/>
        <v>12683</v>
      </c>
      <c r="D106" s="8">
        <v>33656</v>
      </c>
      <c r="E106" s="8">
        <f t="shared" si="38"/>
        <v>1214</v>
      </c>
      <c r="F106" s="8">
        <v>17300</v>
      </c>
      <c r="G106" s="8">
        <f t="shared" si="39"/>
        <v>3233</v>
      </c>
      <c r="H106" s="8">
        <v>16356</v>
      </c>
      <c r="I106" s="8">
        <f t="shared" si="40"/>
        <v>-2019</v>
      </c>
      <c r="J106" s="8">
        <v>150807</v>
      </c>
      <c r="K106" s="8">
        <f t="shared" si="41"/>
        <v>3707</v>
      </c>
      <c r="L106" s="8">
        <v>185828</v>
      </c>
      <c r="M106" s="8">
        <f t="shared" si="42"/>
        <v>5409</v>
      </c>
      <c r="N106" s="8">
        <v>-35021</v>
      </c>
      <c r="O106" s="8">
        <f t="shared" si="43"/>
        <v>-1702</v>
      </c>
      <c r="P106" s="8">
        <v>78535</v>
      </c>
      <c r="Q106" s="8">
        <f t="shared" si="44"/>
        <v>4958</v>
      </c>
      <c r="R106" s="8">
        <v>167470</v>
      </c>
      <c r="S106" s="8">
        <f t="shared" si="45"/>
        <v>1713</v>
      </c>
      <c r="T106" s="8">
        <v>-88935</v>
      </c>
      <c r="U106" s="8">
        <f t="shared" si="46"/>
        <v>3245</v>
      </c>
      <c r="W106" s="8">
        <v>237204</v>
      </c>
      <c r="X106" s="8">
        <f t="shared" si="47"/>
        <v>7829</v>
      </c>
      <c r="Y106" s="8">
        <v>41402</v>
      </c>
      <c r="Z106" s="8">
        <f t="shared" si="48"/>
        <v>5197</v>
      </c>
      <c r="AA106" s="8">
        <v>3064</v>
      </c>
      <c r="AB106" s="8">
        <f t="shared" si="35"/>
        <v>-1068</v>
      </c>
      <c r="AC106" s="8">
        <v>38338</v>
      </c>
      <c r="AD106" s="8">
        <f t="shared" si="35"/>
        <v>6265</v>
      </c>
      <c r="AE106" s="8">
        <v>96861</v>
      </c>
      <c r="AF106" s="8">
        <f t="shared" si="49"/>
        <v>-7237</v>
      </c>
      <c r="AG106" s="8">
        <v>163074</v>
      </c>
      <c r="AH106" s="8">
        <f t="shared" si="50"/>
        <v>4774</v>
      </c>
      <c r="AI106" s="8">
        <v>-66213</v>
      </c>
      <c r="AJ106" s="8">
        <f t="shared" si="51"/>
        <v>-12011</v>
      </c>
      <c r="AK106" s="8">
        <v>74955</v>
      </c>
      <c r="AL106" s="8">
        <f t="shared" si="52"/>
        <v>-5783</v>
      </c>
      <c r="AM106" s="8">
        <v>157614</v>
      </c>
      <c r="AN106" s="8">
        <f t="shared" si="53"/>
        <v>6267</v>
      </c>
      <c r="AO106" s="8">
        <v>-82659</v>
      </c>
      <c r="AP106" s="8">
        <f t="shared" si="54"/>
        <v>-12050</v>
      </c>
      <c r="AR106" s="8">
        <v>2227228</v>
      </c>
      <c r="AS106" s="8">
        <f t="shared" si="55"/>
        <v>95371</v>
      </c>
      <c r="AT106" s="8">
        <v>290501</v>
      </c>
      <c r="AU106" s="8">
        <f t="shared" si="56"/>
        <v>35348</v>
      </c>
      <c r="AV106" s="8">
        <v>20122</v>
      </c>
      <c r="AW106" s="8">
        <f t="shared" si="57"/>
        <v>-3796</v>
      </c>
      <c r="AX106" s="8">
        <f t="shared" si="32"/>
        <v>270379</v>
      </c>
      <c r="AY106" s="8">
        <f t="shared" si="58"/>
        <v>39144</v>
      </c>
      <c r="AZ106" s="8">
        <v>902706</v>
      </c>
      <c r="BA106" s="8">
        <f t="shared" si="59"/>
        <v>-10940</v>
      </c>
      <c r="BB106" s="8">
        <v>1093689</v>
      </c>
      <c r="BC106" s="8">
        <f t="shared" si="60"/>
        <v>42726</v>
      </c>
      <c r="BD106" s="8">
        <f t="shared" si="33"/>
        <v>-190983</v>
      </c>
      <c r="BE106" s="8">
        <f t="shared" si="61"/>
        <v>-53666</v>
      </c>
      <c r="BF106" s="8">
        <v>409492</v>
      </c>
      <c r="BG106" s="8">
        <f t="shared" si="62"/>
        <v>-26104</v>
      </c>
      <c r="BH106" s="8">
        <v>975212</v>
      </c>
      <c r="BI106" s="8">
        <f t="shared" si="63"/>
        <v>31841</v>
      </c>
      <c r="BJ106" s="8">
        <f t="shared" si="34"/>
        <v>-565720</v>
      </c>
      <c r="BK106" s="8">
        <f t="shared" si="36"/>
        <v>-57945</v>
      </c>
    </row>
    <row r="107" spans="1:63">
      <c r="A107" s="5">
        <v>39616</v>
      </c>
      <c r="B107" s="8">
        <v>325169</v>
      </c>
      <c r="C107" s="8">
        <f t="shared" si="37"/>
        <v>7917</v>
      </c>
      <c r="D107" s="8">
        <v>36241</v>
      </c>
      <c r="E107" s="8">
        <f t="shared" si="38"/>
        <v>2585</v>
      </c>
      <c r="F107" s="8">
        <v>13782</v>
      </c>
      <c r="G107" s="8">
        <f t="shared" si="39"/>
        <v>-3518</v>
      </c>
      <c r="H107" s="8">
        <v>22459</v>
      </c>
      <c r="I107" s="8">
        <f t="shared" si="40"/>
        <v>6103</v>
      </c>
      <c r="J107" s="8">
        <v>146140</v>
      </c>
      <c r="K107" s="8">
        <f t="shared" si="41"/>
        <v>-4667</v>
      </c>
      <c r="L107" s="8">
        <v>188971</v>
      </c>
      <c r="M107" s="8">
        <f t="shared" si="42"/>
        <v>3143</v>
      </c>
      <c r="N107" s="8">
        <v>-42831</v>
      </c>
      <c r="O107" s="8">
        <f t="shared" si="43"/>
        <v>-7810</v>
      </c>
      <c r="P107" s="8">
        <v>74724</v>
      </c>
      <c r="Q107" s="8">
        <f t="shared" si="44"/>
        <v>-3811</v>
      </c>
      <c r="R107" s="8">
        <v>172390</v>
      </c>
      <c r="S107" s="8">
        <f t="shared" si="45"/>
        <v>4920</v>
      </c>
      <c r="T107" s="8">
        <v>-97666</v>
      </c>
      <c r="U107" s="8">
        <f t="shared" si="46"/>
        <v>-8731</v>
      </c>
      <c r="W107" s="8">
        <v>258011</v>
      </c>
      <c r="X107" s="8">
        <f t="shared" si="47"/>
        <v>20807</v>
      </c>
      <c r="Y107" s="8">
        <v>51770</v>
      </c>
      <c r="Z107" s="8">
        <f t="shared" si="48"/>
        <v>10368</v>
      </c>
      <c r="AA107" s="8">
        <v>2237</v>
      </c>
      <c r="AB107" s="8">
        <f t="shared" si="35"/>
        <v>-827</v>
      </c>
      <c r="AC107" s="8">
        <v>49533</v>
      </c>
      <c r="AD107" s="8">
        <f t="shared" si="35"/>
        <v>11195</v>
      </c>
      <c r="AE107" s="8">
        <v>94786</v>
      </c>
      <c r="AF107" s="8">
        <f t="shared" si="49"/>
        <v>-2075</v>
      </c>
      <c r="AG107" s="8">
        <v>175935</v>
      </c>
      <c r="AH107" s="8">
        <f t="shared" si="50"/>
        <v>12861</v>
      </c>
      <c r="AI107" s="8">
        <v>-81149</v>
      </c>
      <c r="AJ107" s="8">
        <f t="shared" si="51"/>
        <v>-14936</v>
      </c>
      <c r="AK107" s="8">
        <v>76279</v>
      </c>
      <c r="AL107" s="8">
        <f t="shared" si="52"/>
        <v>1324</v>
      </c>
      <c r="AM107" s="8">
        <v>170108</v>
      </c>
      <c r="AN107" s="8">
        <f t="shared" si="53"/>
        <v>12494</v>
      </c>
      <c r="AO107" s="8">
        <v>-93829</v>
      </c>
      <c r="AP107" s="8">
        <f t="shared" si="54"/>
        <v>-11170</v>
      </c>
      <c r="AR107" s="8">
        <v>2337654</v>
      </c>
      <c r="AS107" s="8">
        <f t="shared" si="55"/>
        <v>110426</v>
      </c>
      <c r="AT107" s="8">
        <v>276236</v>
      </c>
      <c r="AU107" s="8">
        <f t="shared" si="56"/>
        <v>-14265</v>
      </c>
      <c r="AV107" s="8">
        <v>22259</v>
      </c>
      <c r="AW107" s="8">
        <f t="shared" si="57"/>
        <v>2137</v>
      </c>
      <c r="AX107" s="8">
        <f t="shared" si="32"/>
        <v>253977</v>
      </c>
      <c r="AY107" s="8">
        <f t="shared" si="58"/>
        <v>-16402</v>
      </c>
      <c r="AZ107" s="8">
        <v>941515</v>
      </c>
      <c r="BA107" s="8">
        <f t="shared" si="59"/>
        <v>38809</v>
      </c>
      <c r="BB107" s="8">
        <v>1116529</v>
      </c>
      <c r="BC107" s="8">
        <f t="shared" si="60"/>
        <v>22840</v>
      </c>
      <c r="BD107" s="8">
        <f t="shared" si="33"/>
        <v>-175014</v>
      </c>
      <c r="BE107" s="8">
        <f t="shared" si="61"/>
        <v>15969</v>
      </c>
      <c r="BF107" s="8">
        <v>425980</v>
      </c>
      <c r="BG107" s="8">
        <f t="shared" si="62"/>
        <v>16488</v>
      </c>
      <c r="BH107" s="8">
        <v>984424</v>
      </c>
      <c r="BI107" s="8">
        <f t="shared" si="63"/>
        <v>9212</v>
      </c>
      <c r="BJ107" s="8">
        <f t="shared" si="34"/>
        <v>-558444</v>
      </c>
      <c r="BK107" s="8">
        <f t="shared" si="36"/>
        <v>7276</v>
      </c>
    </row>
    <row r="108" spans="1:63">
      <c r="A108" s="5">
        <v>39623</v>
      </c>
      <c r="B108" s="8">
        <v>299269</v>
      </c>
      <c r="C108" s="8">
        <f t="shared" si="37"/>
        <v>-25900</v>
      </c>
      <c r="D108" s="8">
        <v>36001</v>
      </c>
      <c r="E108" s="8">
        <f t="shared" si="38"/>
        <v>-240</v>
      </c>
      <c r="F108" s="8">
        <v>14770</v>
      </c>
      <c r="G108" s="8">
        <f t="shared" si="39"/>
        <v>988</v>
      </c>
      <c r="H108" s="8">
        <v>21231</v>
      </c>
      <c r="I108" s="8">
        <f t="shared" si="40"/>
        <v>-1228</v>
      </c>
      <c r="J108" s="8">
        <v>139234</v>
      </c>
      <c r="K108" s="8">
        <f t="shared" si="41"/>
        <v>-6906</v>
      </c>
      <c r="L108" s="8">
        <v>182534</v>
      </c>
      <c r="M108" s="8">
        <f t="shared" si="42"/>
        <v>-6437</v>
      </c>
      <c r="N108" s="8">
        <v>-43300</v>
      </c>
      <c r="O108" s="8">
        <f t="shared" si="43"/>
        <v>-469</v>
      </c>
      <c r="P108" s="8">
        <v>69440</v>
      </c>
      <c r="Q108" s="8">
        <f t="shared" si="44"/>
        <v>-5284</v>
      </c>
      <c r="R108" s="8">
        <v>167995</v>
      </c>
      <c r="S108" s="8">
        <f t="shared" si="45"/>
        <v>-4395</v>
      </c>
      <c r="T108" s="8">
        <v>-98555</v>
      </c>
      <c r="U108" s="8">
        <f t="shared" si="46"/>
        <v>-889</v>
      </c>
      <c r="W108" s="8">
        <v>245244</v>
      </c>
      <c r="X108" s="8">
        <f t="shared" si="47"/>
        <v>-12767</v>
      </c>
      <c r="Y108" s="8">
        <v>55538</v>
      </c>
      <c r="Z108" s="8">
        <f t="shared" si="48"/>
        <v>3768</v>
      </c>
      <c r="AA108" s="8">
        <v>2363</v>
      </c>
      <c r="AB108" s="8">
        <f t="shared" si="35"/>
        <v>126</v>
      </c>
      <c r="AC108" s="8">
        <v>53175</v>
      </c>
      <c r="AD108" s="8">
        <f t="shared" si="35"/>
        <v>3642</v>
      </c>
      <c r="AE108" s="8">
        <v>89782</v>
      </c>
      <c r="AF108" s="8">
        <f t="shared" si="49"/>
        <v>-5004</v>
      </c>
      <c r="AG108" s="8">
        <v>171853</v>
      </c>
      <c r="AH108" s="8">
        <f t="shared" si="50"/>
        <v>-4082</v>
      </c>
      <c r="AI108" s="8">
        <v>-82071</v>
      </c>
      <c r="AJ108" s="8">
        <f t="shared" si="51"/>
        <v>-922</v>
      </c>
      <c r="AK108" s="8">
        <v>68267</v>
      </c>
      <c r="AL108" s="8">
        <f t="shared" si="52"/>
        <v>-8012</v>
      </c>
      <c r="AM108" s="8">
        <v>164517</v>
      </c>
      <c r="AN108" s="8">
        <f t="shared" si="53"/>
        <v>-5591</v>
      </c>
      <c r="AO108" s="8">
        <v>-96250</v>
      </c>
      <c r="AP108" s="8">
        <f t="shared" si="54"/>
        <v>-2421</v>
      </c>
      <c r="AR108" s="8">
        <v>2067462</v>
      </c>
      <c r="AS108" s="8">
        <f t="shared" si="55"/>
        <v>-270192</v>
      </c>
      <c r="AT108" s="8">
        <v>268751</v>
      </c>
      <c r="AU108" s="8">
        <f t="shared" si="56"/>
        <v>-7485</v>
      </c>
      <c r="AV108" s="8">
        <v>23933</v>
      </c>
      <c r="AW108" s="8">
        <f t="shared" si="57"/>
        <v>1674</v>
      </c>
      <c r="AX108" s="8">
        <f t="shared" si="32"/>
        <v>244818</v>
      </c>
      <c r="AY108" s="8">
        <f t="shared" si="58"/>
        <v>-9159</v>
      </c>
      <c r="AZ108" s="8">
        <v>879516</v>
      </c>
      <c r="BA108" s="8">
        <f t="shared" si="59"/>
        <v>-61999</v>
      </c>
      <c r="BB108" s="8">
        <v>1034373</v>
      </c>
      <c r="BC108" s="8">
        <f t="shared" si="60"/>
        <v>-82156</v>
      </c>
      <c r="BD108" s="8">
        <f t="shared" si="33"/>
        <v>-154857</v>
      </c>
      <c r="BE108" s="8">
        <f t="shared" si="61"/>
        <v>20157</v>
      </c>
      <c r="BF108" s="8">
        <v>377487</v>
      </c>
      <c r="BG108" s="8">
        <f t="shared" si="62"/>
        <v>-48493</v>
      </c>
      <c r="BH108" s="8">
        <v>916875</v>
      </c>
      <c r="BI108" s="8">
        <f t="shared" si="63"/>
        <v>-67549</v>
      </c>
      <c r="BJ108" s="8">
        <f t="shared" si="34"/>
        <v>-539388</v>
      </c>
      <c r="BK108" s="8">
        <f t="shared" si="36"/>
        <v>19056</v>
      </c>
    </row>
    <row r="109" spans="1:63">
      <c r="A109" s="5">
        <v>39630</v>
      </c>
      <c r="B109" s="8">
        <v>301805</v>
      </c>
      <c r="C109" s="8">
        <f t="shared" si="37"/>
        <v>2536</v>
      </c>
      <c r="D109" s="8">
        <v>37273</v>
      </c>
      <c r="E109" s="8">
        <f t="shared" si="38"/>
        <v>1272</v>
      </c>
      <c r="F109" s="8">
        <v>10421</v>
      </c>
      <c r="G109" s="8">
        <f t="shared" si="39"/>
        <v>-4349</v>
      </c>
      <c r="H109" s="8">
        <v>26852</v>
      </c>
      <c r="I109" s="8">
        <f t="shared" si="40"/>
        <v>5621</v>
      </c>
      <c r="J109" s="8">
        <v>143074</v>
      </c>
      <c r="K109" s="8">
        <f t="shared" si="41"/>
        <v>3840</v>
      </c>
      <c r="L109" s="8">
        <v>189413</v>
      </c>
      <c r="M109" s="8">
        <f t="shared" si="42"/>
        <v>6879</v>
      </c>
      <c r="N109" s="8">
        <v>-46339</v>
      </c>
      <c r="O109" s="8">
        <f t="shared" si="43"/>
        <v>-3039</v>
      </c>
      <c r="P109" s="8">
        <v>69830</v>
      </c>
      <c r="Q109" s="8">
        <f t="shared" si="44"/>
        <v>390</v>
      </c>
      <c r="R109" s="8">
        <v>169464</v>
      </c>
      <c r="S109" s="8">
        <f t="shared" si="45"/>
        <v>1469</v>
      </c>
      <c r="T109" s="8">
        <v>-99634</v>
      </c>
      <c r="U109" s="8">
        <f t="shared" si="46"/>
        <v>-1079</v>
      </c>
      <c r="W109" s="8">
        <v>252731</v>
      </c>
      <c r="X109" s="8">
        <f t="shared" si="47"/>
        <v>7487</v>
      </c>
      <c r="Y109" s="8">
        <v>54854</v>
      </c>
      <c r="Z109" s="8">
        <f t="shared" si="48"/>
        <v>-684</v>
      </c>
      <c r="AA109" s="8">
        <v>2222</v>
      </c>
      <c r="AB109" s="8">
        <f t="shared" si="35"/>
        <v>-141</v>
      </c>
      <c r="AC109" s="8">
        <v>52632</v>
      </c>
      <c r="AD109" s="8">
        <f t="shared" si="35"/>
        <v>-543</v>
      </c>
      <c r="AE109" s="8">
        <v>88001</v>
      </c>
      <c r="AF109" s="8">
        <f t="shared" si="49"/>
        <v>-1781</v>
      </c>
      <c r="AG109" s="8">
        <v>173271</v>
      </c>
      <c r="AH109" s="8">
        <f t="shared" si="50"/>
        <v>1418</v>
      </c>
      <c r="AI109" s="8">
        <v>-85270</v>
      </c>
      <c r="AJ109" s="8">
        <f t="shared" si="51"/>
        <v>-3199</v>
      </c>
      <c r="AK109" s="8">
        <v>65865</v>
      </c>
      <c r="AL109" s="8">
        <f t="shared" si="52"/>
        <v>-2402</v>
      </c>
      <c r="AM109" s="8">
        <v>165296</v>
      </c>
      <c r="AN109" s="8">
        <f t="shared" si="53"/>
        <v>779</v>
      </c>
      <c r="AO109" s="8">
        <v>-99431</v>
      </c>
      <c r="AP109" s="8">
        <f t="shared" si="54"/>
        <v>-3181</v>
      </c>
      <c r="AR109" s="8">
        <v>2049965</v>
      </c>
      <c r="AS109" s="8">
        <f t="shared" si="55"/>
        <v>-17497</v>
      </c>
      <c r="AT109" s="8">
        <v>263812</v>
      </c>
      <c r="AU109" s="8">
        <f t="shared" si="56"/>
        <v>-4939</v>
      </c>
      <c r="AV109" s="8">
        <v>25403</v>
      </c>
      <c r="AW109" s="8">
        <f t="shared" si="57"/>
        <v>1470</v>
      </c>
      <c r="AX109" s="8">
        <f t="shared" si="32"/>
        <v>238409</v>
      </c>
      <c r="AY109" s="8">
        <f t="shared" si="58"/>
        <v>-6409</v>
      </c>
      <c r="AZ109" s="8">
        <v>856941</v>
      </c>
      <c r="BA109" s="8">
        <f t="shared" si="59"/>
        <v>-22575</v>
      </c>
      <c r="BB109" s="8">
        <v>1010925</v>
      </c>
      <c r="BC109" s="8">
        <f t="shared" si="60"/>
        <v>-23448</v>
      </c>
      <c r="BD109" s="8">
        <f t="shared" si="33"/>
        <v>-153984</v>
      </c>
      <c r="BE109" s="8">
        <f t="shared" si="61"/>
        <v>873</v>
      </c>
      <c r="BF109" s="8">
        <v>362330</v>
      </c>
      <c r="BG109" s="8">
        <f t="shared" si="62"/>
        <v>-15157</v>
      </c>
      <c r="BH109" s="8">
        <v>892964</v>
      </c>
      <c r="BI109" s="8">
        <f t="shared" si="63"/>
        <v>-23911</v>
      </c>
      <c r="BJ109" s="8">
        <f t="shared" si="34"/>
        <v>-530634</v>
      </c>
      <c r="BK109" s="8">
        <f t="shared" si="36"/>
        <v>8754</v>
      </c>
    </row>
    <row r="110" spans="1:63">
      <c r="A110" s="5">
        <v>39637</v>
      </c>
      <c r="B110" s="8">
        <v>302299</v>
      </c>
      <c r="C110" s="8">
        <f t="shared" si="37"/>
        <v>494</v>
      </c>
      <c r="D110" s="8">
        <v>32179</v>
      </c>
      <c r="E110" s="8">
        <f t="shared" si="38"/>
        <v>-5094</v>
      </c>
      <c r="F110" s="8">
        <v>13437</v>
      </c>
      <c r="G110" s="8">
        <f t="shared" si="39"/>
        <v>3016</v>
      </c>
      <c r="H110" s="8">
        <v>18742</v>
      </c>
      <c r="I110" s="8">
        <f t="shared" si="40"/>
        <v>-8110</v>
      </c>
      <c r="J110" s="8">
        <v>148849</v>
      </c>
      <c r="K110" s="8">
        <f t="shared" si="41"/>
        <v>5775</v>
      </c>
      <c r="L110" s="8">
        <v>186115</v>
      </c>
      <c r="M110" s="8">
        <f t="shared" si="42"/>
        <v>-3298</v>
      </c>
      <c r="N110" s="8">
        <v>-37266</v>
      </c>
      <c r="O110" s="8">
        <f t="shared" si="43"/>
        <v>9073</v>
      </c>
      <c r="P110" s="8">
        <v>74719</v>
      </c>
      <c r="Q110" s="8">
        <f t="shared" si="44"/>
        <v>4889</v>
      </c>
      <c r="R110" s="8">
        <v>166585</v>
      </c>
      <c r="S110" s="8">
        <f t="shared" si="45"/>
        <v>-2879</v>
      </c>
      <c r="T110" s="8">
        <v>-91866</v>
      </c>
      <c r="U110" s="8">
        <f t="shared" si="46"/>
        <v>7768</v>
      </c>
      <c r="W110" s="8">
        <v>248842</v>
      </c>
      <c r="X110" s="8">
        <f t="shared" si="47"/>
        <v>-3889</v>
      </c>
      <c r="Y110" s="8">
        <v>49674</v>
      </c>
      <c r="Z110" s="8">
        <f t="shared" si="48"/>
        <v>-5180</v>
      </c>
      <c r="AA110" s="8">
        <v>3681</v>
      </c>
      <c r="AB110" s="8">
        <f t="shared" si="35"/>
        <v>1459</v>
      </c>
      <c r="AC110" s="8">
        <v>45993</v>
      </c>
      <c r="AD110" s="8">
        <f t="shared" si="35"/>
        <v>-6639</v>
      </c>
      <c r="AE110" s="8">
        <v>87505</v>
      </c>
      <c r="AF110" s="8">
        <f t="shared" si="49"/>
        <v>-496</v>
      </c>
      <c r="AG110" s="8">
        <v>164319</v>
      </c>
      <c r="AH110" s="8">
        <f t="shared" si="50"/>
        <v>-8952</v>
      </c>
      <c r="AI110" s="8">
        <v>-76814</v>
      </c>
      <c r="AJ110" s="8">
        <f t="shared" si="51"/>
        <v>8456</v>
      </c>
      <c r="AK110" s="8">
        <v>64912</v>
      </c>
      <c r="AL110" s="8">
        <f t="shared" si="52"/>
        <v>-953</v>
      </c>
      <c r="AM110" s="8">
        <v>156236</v>
      </c>
      <c r="AN110" s="8">
        <f t="shared" si="53"/>
        <v>-9060</v>
      </c>
      <c r="AO110" s="8">
        <v>-91324</v>
      </c>
      <c r="AP110" s="8">
        <f t="shared" si="54"/>
        <v>8107</v>
      </c>
      <c r="AR110" s="8">
        <v>2026074</v>
      </c>
      <c r="AS110" s="8">
        <f t="shared" si="55"/>
        <v>-23891</v>
      </c>
      <c r="AT110" s="8">
        <v>236353</v>
      </c>
      <c r="AU110" s="8">
        <f t="shared" si="56"/>
        <v>-27459</v>
      </c>
      <c r="AV110" s="8">
        <v>22734</v>
      </c>
      <c r="AW110" s="8">
        <f t="shared" si="57"/>
        <v>-2669</v>
      </c>
      <c r="AX110" s="8">
        <f t="shared" si="32"/>
        <v>213619</v>
      </c>
      <c r="AY110" s="8">
        <f t="shared" si="58"/>
        <v>-24790</v>
      </c>
      <c r="AZ110" s="8">
        <v>878645</v>
      </c>
      <c r="BA110" s="8">
        <f t="shared" si="59"/>
        <v>21704</v>
      </c>
      <c r="BB110" s="8">
        <v>993864</v>
      </c>
      <c r="BC110" s="8">
        <f t="shared" si="60"/>
        <v>-17061</v>
      </c>
      <c r="BD110" s="8">
        <f t="shared" si="33"/>
        <v>-115219</v>
      </c>
      <c r="BE110" s="8">
        <f t="shared" si="61"/>
        <v>38765</v>
      </c>
      <c r="BF110" s="8">
        <v>390114</v>
      </c>
      <c r="BG110" s="8">
        <f t="shared" si="62"/>
        <v>27784</v>
      </c>
      <c r="BH110" s="8">
        <v>876891</v>
      </c>
      <c r="BI110" s="8">
        <f t="shared" si="63"/>
        <v>-16073</v>
      </c>
      <c r="BJ110" s="8">
        <f t="shared" si="34"/>
        <v>-486777</v>
      </c>
      <c r="BK110" s="8">
        <f t="shared" si="36"/>
        <v>43857</v>
      </c>
    </row>
    <row r="111" spans="1:63">
      <c r="A111" s="5">
        <v>39644</v>
      </c>
      <c r="B111" s="8">
        <v>303754</v>
      </c>
      <c r="C111" s="8">
        <f t="shared" si="37"/>
        <v>1455</v>
      </c>
      <c r="D111" s="8">
        <v>30362</v>
      </c>
      <c r="E111" s="8">
        <f t="shared" si="38"/>
        <v>-1817</v>
      </c>
      <c r="F111" s="8">
        <v>13694</v>
      </c>
      <c r="G111" s="8">
        <f t="shared" si="39"/>
        <v>257</v>
      </c>
      <c r="H111" s="8">
        <v>16668</v>
      </c>
      <c r="I111" s="8">
        <f t="shared" si="40"/>
        <v>-2074</v>
      </c>
      <c r="J111" s="8">
        <v>150983</v>
      </c>
      <c r="K111" s="8">
        <f t="shared" si="41"/>
        <v>2134</v>
      </c>
      <c r="L111" s="8">
        <v>186269</v>
      </c>
      <c r="M111" s="8">
        <f t="shared" si="42"/>
        <v>154</v>
      </c>
      <c r="N111" s="8">
        <v>-35286</v>
      </c>
      <c r="O111" s="8">
        <f t="shared" si="43"/>
        <v>1980</v>
      </c>
      <c r="P111" s="8">
        <v>77869</v>
      </c>
      <c r="Q111" s="8">
        <f t="shared" si="44"/>
        <v>3150</v>
      </c>
      <c r="R111" s="8">
        <v>167194</v>
      </c>
      <c r="S111" s="8">
        <f t="shared" si="45"/>
        <v>609</v>
      </c>
      <c r="T111" s="8">
        <v>-89325</v>
      </c>
      <c r="U111" s="8">
        <f t="shared" si="46"/>
        <v>2541</v>
      </c>
      <c r="W111" s="8">
        <v>248332</v>
      </c>
      <c r="X111" s="8">
        <f t="shared" si="47"/>
        <v>-510</v>
      </c>
      <c r="Y111" s="8">
        <v>48563</v>
      </c>
      <c r="Z111" s="8">
        <f t="shared" si="48"/>
        <v>-1111</v>
      </c>
      <c r="AA111" s="8">
        <v>3230</v>
      </c>
      <c r="AB111" s="8">
        <f t="shared" si="35"/>
        <v>-451</v>
      </c>
      <c r="AC111" s="8">
        <v>45333</v>
      </c>
      <c r="AD111" s="8">
        <f t="shared" si="35"/>
        <v>-660</v>
      </c>
      <c r="AE111" s="8">
        <v>83277</v>
      </c>
      <c r="AF111" s="8">
        <f t="shared" si="49"/>
        <v>-4228</v>
      </c>
      <c r="AG111" s="8">
        <v>159069</v>
      </c>
      <c r="AH111" s="8">
        <f t="shared" si="50"/>
        <v>-5250</v>
      </c>
      <c r="AI111" s="8">
        <v>-75792</v>
      </c>
      <c r="AJ111" s="8">
        <f t="shared" si="51"/>
        <v>1022</v>
      </c>
      <c r="AK111" s="8">
        <v>61309</v>
      </c>
      <c r="AL111" s="8">
        <f t="shared" si="52"/>
        <v>-3603</v>
      </c>
      <c r="AM111" s="8">
        <v>152106</v>
      </c>
      <c r="AN111" s="8">
        <f t="shared" si="53"/>
        <v>-4130</v>
      </c>
      <c r="AO111" s="8">
        <v>-90797</v>
      </c>
      <c r="AP111" s="8">
        <f t="shared" si="54"/>
        <v>527</v>
      </c>
      <c r="AR111" s="8">
        <v>2026276</v>
      </c>
      <c r="AS111" s="8">
        <f t="shared" si="55"/>
        <v>202</v>
      </c>
      <c r="AT111" s="8">
        <v>217943</v>
      </c>
      <c r="AU111" s="8">
        <f t="shared" si="56"/>
        <v>-18410</v>
      </c>
      <c r="AV111" s="8">
        <v>46711</v>
      </c>
      <c r="AW111" s="8">
        <f t="shared" si="57"/>
        <v>23977</v>
      </c>
      <c r="AX111" s="8">
        <f t="shared" si="32"/>
        <v>171232</v>
      </c>
      <c r="AY111" s="8">
        <f t="shared" si="58"/>
        <v>-42387</v>
      </c>
      <c r="AZ111" s="8">
        <v>901419</v>
      </c>
      <c r="BA111" s="8">
        <f t="shared" si="59"/>
        <v>22774</v>
      </c>
      <c r="BB111" s="8">
        <v>964709</v>
      </c>
      <c r="BC111" s="8">
        <f t="shared" si="60"/>
        <v>-29155</v>
      </c>
      <c r="BD111" s="8">
        <f t="shared" si="33"/>
        <v>-63290</v>
      </c>
      <c r="BE111" s="8">
        <f t="shared" si="61"/>
        <v>51929</v>
      </c>
      <c r="BF111" s="8">
        <v>425572</v>
      </c>
      <c r="BG111" s="8">
        <f t="shared" si="62"/>
        <v>35458</v>
      </c>
      <c r="BH111" s="8">
        <v>852167</v>
      </c>
      <c r="BI111" s="8">
        <f t="shared" si="63"/>
        <v>-24724</v>
      </c>
      <c r="BJ111" s="8">
        <f t="shared" si="34"/>
        <v>-426595</v>
      </c>
      <c r="BK111" s="8">
        <f t="shared" si="36"/>
        <v>60182</v>
      </c>
    </row>
    <row r="112" spans="1:63">
      <c r="A112" s="5">
        <v>39651</v>
      </c>
      <c r="B112" s="8">
        <v>310471</v>
      </c>
      <c r="C112" s="8">
        <f t="shared" si="37"/>
        <v>6717</v>
      </c>
      <c r="D112" s="8">
        <v>25763</v>
      </c>
      <c r="E112" s="8">
        <f t="shared" si="38"/>
        <v>-4599</v>
      </c>
      <c r="F112" s="8">
        <v>18911</v>
      </c>
      <c r="G112" s="8">
        <f t="shared" si="39"/>
        <v>5217</v>
      </c>
      <c r="H112" s="8">
        <v>6852</v>
      </c>
      <c r="I112" s="8">
        <f t="shared" si="40"/>
        <v>-9816</v>
      </c>
      <c r="J112" s="8">
        <v>156878</v>
      </c>
      <c r="K112" s="8">
        <f t="shared" si="41"/>
        <v>5895</v>
      </c>
      <c r="L112" s="8">
        <v>178669</v>
      </c>
      <c r="M112" s="8">
        <f t="shared" si="42"/>
        <v>-7600</v>
      </c>
      <c r="N112" s="8">
        <v>-21791</v>
      </c>
      <c r="O112" s="8">
        <f t="shared" si="43"/>
        <v>13495</v>
      </c>
      <c r="P112" s="8">
        <v>86501</v>
      </c>
      <c r="Q112" s="8">
        <f t="shared" si="44"/>
        <v>8632</v>
      </c>
      <c r="R112" s="8">
        <v>155213</v>
      </c>
      <c r="S112" s="8">
        <f t="shared" si="45"/>
        <v>-11981</v>
      </c>
      <c r="T112" s="8">
        <v>-68712</v>
      </c>
      <c r="U112" s="8">
        <f t="shared" si="46"/>
        <v>20613</v>
      </c>
      <c r="W112" s="8">
        <v>231748</v>
      </c>
      <c r="X112" s="8">
        <f t="shared" si="47"/>
        <v>-16584</v>
      </c>
      <c r="Y112" s="8">
        <v>39375</v>
      </c>
      <c r="Z112" s="8">
        <f t="shared" si="48"/>
        <v>-9188</v>
      </c>
      <c r="AA112" s="8">
        <v>8226</v>
      </c>
      <c r="AB112" s="8">
        <f t="shared" si="35"/>
        <v>4996</v>
      </c>
      <c r="AC112" s="8">
        <v>31149</v>
      </c>
      <c r="AD112" s="8">
        <f t="shared" si="35"/>
        <v>-14184</v>
      </c>
      <c r="AE112" s="8">
        <v>85727</v>
      </c>
      <c r="AF112" s="8">
        <f t="shared" si="49"/>
        <v>2450</v>
      </c>
      <c r="AG112" s="8">
        <v>142774</v>
      </c>
      <c r="AH112" s="8">
        <f t="shared" si="50"/>
        <v>-16295</v>
      </c>
      <c r="AI112" s="8">
        <v>-57047</v>
      </c>
      <c r="AJ112" s="8">
        <f t="shared" si="51"/>
        <v>18745</v>
      </c>
      <c r="AK112" s="8">
        <v>67939</v>
      </c>
      <c r="AL112" s="8">
        <f t="shared" si="52"/>
        <v>6630</v>
      </c>
      <c r="AM112" s="8">
        <v>135801</v>
      </c>
      <c r="AN112" s="8">
        <f t="shared" si="53"/>
        <v>-16305</v>
      </c>
      <c r="AO112" s="8">
        <v>-67862</v>
      </c>
      <c r="AP112" s="8">
        <f t="shared" si="54"/>
        <v>22935</v>
      </c>
      <c r="AR112" s="8">
        <v>2058725</v>
      </c>
      <c r="AS112" s="8">
        <f t="shared" si="55"/>
        <v>32449</v>
      </c>
      <c r="AT112" s="8">
        <v>199226</v>
      </c>
      <c r="AU112" s="8">
        <f t="shared" si="56"/>
        <v>-18717</v>
      </c>
      <c r="AV112" s="8">
        <v>44580</v>
      </c>
      <c r="AW112" s="8">
        <f t="shared" si="57"/>
        <v>-2131</v>
      </c>
      <c r="AX112" s="8">
        <f t="shared" si="32"/>
        <v>154646</v>
      </c>
      <c r="AY112" s="8">
        <f t="shared" si="58"/>
        <v>-16586</v>
      </c>
      <c r="AZ112" s="8">
        <v>915436</v>
      </c>
      <c r="BA112" s="8">
        <f t="shared" si="59"/>
        <v>14017</v>
      </c>
      <c r="BB112" s="8">
        <v>948978</v>
      </c>
      <c r="BC112" s="8">
        <f t="shared" si="60"/>
        <v>-15731</v>
      </c>
      <c r="BD112" s="8">
        <f t="shared" si="33"/>
        <v>-33542</v>
      </c>
      <c r="BE112" s="8">
        <f t="shared" si="61"/>
        <v>29748</v>
      </c>
      <c r="BF112" s="8">
        <v>456012</v>
      </c>
      <c r="BG112" s="8">
        <f t="shared" si="62"/>
        <v>30440</v>
      </c>
      <c r="BH112" s="8">
        <v>836034</v>
      </c>
      <c r="BI112" s="8">
        <f t="shared" si="63"/>
        <v>-16133</v>
      </c>
      <c r="BJ112" s="8">
        <f t="shared" si="34"/>
        <v>-380022</v>
      </c>
      <c r="BK112" s="8">
        <f t="shared" si="36"/>
        <v>46573</v>
      </c>
    </row>
    <row r="113" spans="1:63">
      <c r="A113" s="5">
        <v>39658</v>
      </c>
      <c r="B113" s="8">
        <v>296292</v>
      </c>
      <c r="C113" s="8">
        <f t="shared" si="37"/>
        <v>-14179</v>
      </c>
      <c r="D113" s="8">
        <v>23474</v>
      </c>
      <c r="E113" s="8">
        <f t="shared" si="38"/>
        <v>-2289</v>
      </c>
      <c r="F113" s="8">
        <v>17808</v>
      </c>
      <c r="G113" s="8">
        <f t="shared" si="39"/>
        <v>-1103</v>
      </c>
      <c r="H113" s="8">
        <v>5666</v>
      </c>
      <c r="I113" s="8">
        <f t="shared" si="40"/>
        <v>-1186</v>
      </c>
      <c r="J113" s="8">
        <v>149225</v>
      </c>
      <c r="K113" s="8">
        <f t="shared" si="41"/>
        <v>-7653</v>
      </c>
      <c r="L113" s="8">
        <v>168779</v>
      </c>
      <c r="M113" s="8">
        <f t="shared" si="42"/>
        <v>-9890</v>
      </c>
      <c r="N113" s="8">
        <v>-19554</v>
      </c>
      <c r="O113" s="8">
        <f t="shared" si="43"/>
        <v>2237</v>
      </c>
      <c r="P113" s="8">
        <v>79173</v>
      </c>
      <c r="Q113" s="8">
        <f t="shared" si="44"/>
        <v>-7328</v>
      </c>
      <c r="R113" s="8">
        <v>145944</v>
      </c>
      <c r="S113" s="8">
        <f t="shared" si="45"/>
        <v>-9269</v>
      </c>
      <c r="T113" s="8">
        <v>-66771</v>
      </c>
      <c r="U113" s="8">
        <f t="shared" si="46"/>
        <v>1941</v>
      </c>
      <c r="W113" s="8">
        <v>209604</v>
      </c>
      <c r="X113" s="8">
        <f t="shared" si="47"/>
        <v>-22144</v>
      </c>
      <c r="Y113" s="8">
        <v>32418</v>
      </c>
      <c r="Z113" s="8">
        <f t="shared" si="48"/>
        <v>-6957</v>
      </c>
      <c r="AA113" s="8">
        <v>2747</v>
      </c>
      <c r="AB113" s="8">
        <f t="shared" si="35"/>
        <v>-5479</v>
      </c>
      <c r="AC113" s="8">
        <v>29671</v>
      </c>
      <c r="AD113" s="8">
        <f t="shared" si="35"/>
        <v>-1478</v>
      </c>
      <c r="AE113" s="8">
        <v>82458</v>
      </c>
      <c r="AF113" s="8">
        <f t="shared" si="49"/>
        <v>-3269</v>
      </c>
      <c r="AG113" s="8">
        <v>136865</v>
      </c>
      <c r="AH113" s="8">
        <f t="shared" si="50"/>
        <v>-5909</v>
      </c>
      <c r="AI113" s="8">
        <v>-54407</v>
      </c>
      <c r="AJ113" s="8">
        <f t="shared" si="51"/>
        <v>2640</v>
      </c>
      <c r="AK113" s="8">
        <v>67963</v>
      </c>
      <c r="AL113" s="8">
        <f t="shared" si="52"/>
        <v>24</v>
      </c>
      <c r="AM113" s="8">
        <v>129178</v>
      </c>
      <c r="AN113" s="8">
        <f t="shared" si="53"/>
        <v>-6623</v>
      </c>
      <c r="AO113" s="8">
        <v>-61215</v>
      </c>
      <c r="AP113" s="8">
        <f t="shared" si="54"/>
        <v>6647</v>
      </c>
      <c r="AR113" s="8">
        <v>1939753</v>
      </c>
      <c r="AS113" s="8">
        <f t="shared" si="55"/>
        <v>-118972</v>
      </c>
      <c r="AT113" s="8">
        <v>193200</v>
      </c>
      <c r="AU113" s="8">
        <f t="shared" si="56"/>
        <v>-6026</v>
      </c>
      <c r="AV113" s="8">
        <v>28087</v>
      </c>
      <c r="AW113" s="8">
        <f t="shared" si="57"/>
        <v>-16493</v>
      </c>
      <c r="AX113" s="8">
        <f t="shared" si="32"/>
        <v>165113</v>
      </c>
      <c r="AY113" s="8">
        <f t="shared" si="58"/>
        <v>10467</v>
      </c>
      <c r="AZ113" s="8">
        <v>857218</v>
      </c>
      <c r="BA113" s="8">
        <f t="shared" si="59"/>
        <v>-58218</v>
      </c>
      <c r="BB113" s="8">
        <v>911165</v>
      </c>
      <c r="BC113" s="8">
        <f t="shared" si="60"/>
        <v>-37813</v>
      </c>
      <c r="BD113" s="8">
        <f t="shared" si="33"/>
        <v>-53947</v>
      </c>
      <c r="BE113" s="8">
        <f t="shared" si="61"/>
        <v>-20405</v>
      </c>
      <c r="BF113" s="8">
        <v>418806</v>
      </c>
      <c r="BG113" s="8">
        <f t="shared" si="62"/>
        <v>-37206</v>
      </c>
      <c r="BH113" s="8">
        <v>801456</v>
      </c>
      <c r="BI113" s="8">
        <f t="shared" si="63"/>
        <v>-34578</v>
      </c>
      <c r="BJ113" s="8">
        <f t="shared" si="34"/>
        <v>-382650</v>
      </c>
      <c r="BK113" s="8">
        <f t="shared" si="36"/>
        <v>-2628</v>
      </c>
    </row>
    <row r="114" spans="1:63">
      <c r="A114" s="5">
        <v>39665</v>
      </c>
      <c r="B114" s="8">
        <v>299973</v>
      </c>
      <c r="C114" s="8">
        <f t="shared" si="37"/>
        <v>3681</v>
      </c>
      <c r="D114" s="8">
        <v>24594</v>
      </c>
      <c r="E114" s="8">
        <f t="shared" si="38"/>
        <v>1120</v>
      </c>
      <c r="F114" s="8">
        <v>20554</v>
      </c>
      <c r="G114" s="8">
        <f t="shared" si="39"/>
        <v>2746</v>
      </c>
      <c r="H114" s="8">
        <v>4040</v>
      </c>
      <c r="I114" s="8">
        <f t="shared" si="40"/>
        <v>-1626</v>
      </c>
      <c r="J114" s="8">
        <v>171737</v>
      </c>
      <c r="K114" s="8">
        <f t="shared" si="41"/>
        <v>22512</v>
      </c>
      <c r="L114" s="8">
        <v>176236</v>
      </c>
      <c r="M114" s="8">
        <f t="shared" si="42"/>
        <v>7457</v>
      </c>
      <c r="N114" s="8">
        <v>-4499</v>
      </c>
      <c r="O114" s="8">
        <f t="shared" si="43"/>
        <v>15055</v>
      </c>
      <c r="P114" s="8">
        <v>100099</v>
      </c>
      <c r="Q114" s="8">
        <f t="shared" si="44"/>
        <v>20926</v>
      </c>
      <c r="R114" s="8">
        <v>146972</v>
      </c>
      <c r="S114" s="8">
        <f t="shared" si="45"/>
        <v>1028</v>
      </c>
      <c r="T114" s="8">
        <v>-46873</v>
      </c>
      <c r="U114" s="8">
        <f t="shared" si="46"/>
        <v>19898</v>
      </c>
      <c r="W114" s="8">
        <v>212919</v>
      </c>
      <c r="X114" s="8">
        <f t="shared" si="47"/>
        <v>3315</v>
      </c>
      <c r="Y114" s="8">
        <v>31163</v>
      </c>
      <c r="Z114" s="8">
        <f t="shared" si="48"/>
        <v>-1255</v>
      </c>
      <c r="AA114" s="8">
        <v>3496</v>
      </c>
      <c r="AB114" s="8">
        <f t="shared" si="35"/>
        <v>749</v>
      </c>
      <c r="AC114" s="8">
        <v>27667</v>
      </c>
      <c r="AD114" s="8">
        <f t="shared" si="35"/>
        <v>-2004</v>
      </c>
      <c r="AE114" s="8">
        <v>89031</v>
      </c>
      <c r="AF114" s="8">
        <f t="shared" si="49"/>
        <v>6573</v>
      </c>
      <c r="AG114" s="8">
        <v>141523</v>
      </c>
      <c r="AH114" s="8">
        <f t="shared" si="50"/>
        <v>4658</v>
      </c>
      <c r="AI114" s="8">
        <v>-52492</v>
      </c>
      <c r="AJ114" s="8">
        <f t="shared" si="51"/>
        <v>1915</v>
      </c>
      <c r="AK114" s="8">
        <v>74790</v>
      </c>
      <c r="AL114" s="8">
        <f t="shared" si="52"/>
        <v>6827</v>
      </c>
      <c r="AM114" s="8">
        <v>134164</v>
      </c>
      <c r="AN114" s="8">
        <f t="shared" si="53"/>
        <v>4986</v>
      </c>
      <c r="AO114" s="8">
        <v>-59374</v>
      </c>
      <c r="AP114" s="8">
        <f t="shared" si="54"/>
        <v>1841</v>
      </c>
      <c r="AR114" s="8">
        <v>1960640</v>
      </c>
      <c r="AS114" s="8">
        <f t="shared" si="55"/>
        <v>20887</v>
      </c>
      <c r="AT114" s="8">
        <v>180213</v>
      </c>
      <c r="AU114" s="8">
        <f t="shared" si="56"/>
        <v>-12987</v>
      </c>
      <c r="AV114" s="8">
        <v>36281</v>
      </c>
      <c r="AW114" s="8">
        <f t="shared" si="57"/>
        <v>8194</v>
      </c>
      <c r="AX114" s="8">
        <f t="shared" si="32"/>
        <v>143932</v>
      </c>
      <c r="AY114" s="8">
        <f t="shared" si="58"/>
        <v>-21181</v>
      </c>
      <c r="AZ114" s="8">
        <v>868953</v>
      </c>
      <c r="BA114" s="8">
        <f t="shared" si="59"/>
        <v>11735</v>
      </c>
      <c r="BB114" s="8">
        <v>888602</v>
      </c>
      <c r="BC114" s="8">
        <f t="shared" si="60"/>
        <v>-22563</v>
      </c>
      <c r="BD114" s="8">
        <f t="shared" si="33"/>
        <v>-19649</v>
      </c>
      <c r="BE114" s="8">
        <f t="shared" si="61"/>
        <v>34298</v>
      </c>
      <c r="BF114" s="8">
        <v>434507</v>
      </c>
      <c r="BG114" s="8">
        <f t="shared" si="62"/>
        <v>15701</v>
      </c>
      <c r="BH114" s="8">
        <v>774778</v>
      </c>
      <c r="BI114" s="8">
        <f t="shared" si="63"/>
        <v>-26678</v>
      </c>
      <c r="BJ114" s="8">
        <f t="shared" si="34"/>
        <v>-340271</v>
      </c>
      <c r="BK114" s="8">
        <f t="shared" si="36"/>
        <v>42379</v>
      </c>
    </row>
    <row r="115" spans="1:63">
      <c r="A115" s="5">
        <v>39672</v>
      </c>
      <c r="B115" s="8">
        <v>320641</v>
      </c>
      <c r="C115" s="8">
        <f t="shared" si="37"/>
        <v>20668</v>
      </c>
      <c r="D115" s="8">
        <v>17048</v>
      </c>
      <c r="E115" s="8">
        <f t="shared" si="38"/>
        <v>-7546</v>
      </c>
      <c r="F115" s="8">
        <v>21454</v>
      </c>
      <c r="G115" s="8">
        <f t="shared" si="39"/>
        <v>900</v>
      </c>
      <c r="H115" s="8">
        <v>-4406</v>
      </c>
      <c r="I115" s="8">
        <f t="shared" si="40"/>
        <v>-8446</v>
      </c>
      <c r="J115" s="8">
        <v>188638</v>
      </c>
      <c r="K115" s="8">
        <f t="shared" si="41"/>
        <v>16901</v>
      </c>
      <c r="L115" s="8">
        <v>184973</v>
      </c>
      <c r="M115" s="8">
        <f t="shared" si="42"/>
        <v>8737</v>
      </c>
      <c r="N115" s="8">
        <v>3665</v>
      </c>
      <c r="O115" s="8">
        <f t="shared" si="43"/>
        <v>8164</v>
      </c>
      <c r="P115" s="8">
        <v>112283</v>
      </c>
      <c r="Q115" s="8">
        <f t="shared" si="44"/>
        <v>12184</v>
      </c>
      <c r="R115" s="8">
        <v>152876</v>
      </c>
      <c r="S115" s="8">
        <f t="shared" si="45"/>
        <v>5904</v>
      </c>
      <c r="T115" s="8">
        <v>-40593</v>
      </c>
      <c r="U115" s="8">
        <f t="shared" si="46"/>
        <v>6280</v>
      </c>
      <c r="W115" s="8">
        <v>210028</v>
      </c>
      <c r="X115" s="8">
        <f t="shared" si="47"/>
        <v>-2891</v>
      </c>
      <c r="Y115" s="8">
        <v>26297</v>
      </c>
      <c r="Z115" s="8">
        <f t="shared" si="48"/>
        <v>-4866</v>
      </c>
      <c r="AA115" s="8">
        <v>3062</v>
      </c>
      <c r="AB115" s="8">
        <f t="shared" si="35"/>
        <v>-434</v>
      </c>
      <c r="AC115" s="8">
        <v>23235</v>
      </c>
      <c r="AD115" s="8">
        <f t="shared" si="35"/>
        <v>-4432</v>
      </c>
      <c r="AE115" s="8">
        <v>96812</v>
      </c>
      <c r="AF115" s="8">
        <f t="shared" si="49"/>
        <v>7781</v>
      </c>
      <c r="AG115" s="8">
        <v>144372</v>
      </c>
      <c r="AH115" s="8">
        <f t="shared" si="50"/>
        <v>2849</v>
      </c>
      <c r="AI115" s="8">
        <v>-47560</v>
      </c>
      <c r="AJ115" s="8">
        <f t="shared" si="51"/>
        <v>4932</v>
      </c>
      <c r="AK115" s="8">
        <v>82530</v>
      </c>
      <c r="AL115" s="8">
        <f t="shared" si="52"/>
        <v>7740</v>
      </c>
      <c r="AM115" s="8">
        <v>136799</v>
      </c>
      <c r="AN115" s="8">
        <f t="shared" si="53"/>
        <v>2635</v>
      </c>
      <c r="AO115" s="8">
        <v>-54269</v>
      </c>
      <c r="AP115" s="8">
        <f t="shared" si="54"/>
        <v>5105</v>
      </c>
      <c r="AR115" s="8">
        <v>1958525</v>
      </c>
      <c r="AS115" s="8">
        <f t="shared" si="55"/>
        <v>-2115</v>
      </c>
      <c r="AT115" s="8">
        <v>171620</v>
      </c>
      <c r="AU115" s="8">
        <f t="shared" si="56"/>
        <v>-8593</v>
      </c>
      <c r="AV115" s="8">
        <v>47571</v>
      </c>
      <c r="AW115" s="8">
        <f t="shared" si="57"/>
        <v>11290</v>
      </c>
      <c r="AX115" s="8">
        <f t="shared" si="32"/>
        <v>124049</v>
      </c>
      <c r="AY115" s="8">
        <f t="shared" si="58"/>
        <v>-19883</v>
      </c>
      <c r="AZ115" s="8">
        <v>859202</v>
      </c>
      <c r="BA115" s="8">
        <f t="shared" si="59"/>
        <v>-9751</v>
      </c>
      <c r="BB115" s="8">
        <v>872338</v>
      </c>
      <c r="BC115" s="8">
        <f t="shared" si="60"/>
        <v>-16264</v>
      </c>
      <c r="BD115" s="8">
        <f t="shared" si="33"/>
        <v>-13136</v>
      </c>
      <c r="BE115" s="8">
        <f t="shared" si="61"/>
        <v>6513</v>
      </c>
      <c r="BF115" s="8">
        <v>437185</v>
      </c>
      <c r="BG115" s="8">
        <f t="shared" si="62"/>
        <v>2678</v>
      </c>
      <c r="BH115" s="8">
        <v>757543</v>
      </c>
      <c r="BI115" s="8">
        <f t="shared" si="63"/>
        <v>-17235</v>
      </c>
      <c r="BJ115" s="8">
        <f t="shared" si="34"/>
        <v>-320358</v>
      </c>
      <c r="BK115" s="8">
        <f t="shared" si="36"/>
        <v>19913</v>
      </c>
    </row>
    <row r="116" spans="1:63">
      <c r="A116" s="5">
        <v>39679</v>
      </c>
      <c r="B116" s="8">
        <v>316241</v>
      </c>
      <c r="C116" s="8">
        <f t="shared" si="37"/>
        <v>-4400</v>
      </c>
      <c r="D116" s="8">
        <v>15477</v>
      </c>
      <c r="E116" s="8">
        <f t="shared" si="38"/>
        <v>-1571</v>
      </c>
      <c r="F116" s="8">
        <v>18456</v>
      </c>
      <c r="G116" s="8">
        <f t="shared" si="39"/>
        <v>-2998</v>
      </c>
      <c r="H116" s="8">
        <v>-2979</v>
      </c>
      <c r="I116" s="8">
        <f t="shared" si="40"/>
        <v>1427</v>
      </c>
      <c r="J116" s="8">
        <v>184454</v>
      </c>
      <c r="K116" s="8">
        <f t="shared" si="41"/>
        <v>-4184</v>
      </c>
      <c r="L116" s="8">
        <v>182045</v>
      </c>
      <c r="M116" s="8">
        <f t="shared" si="42"/>
        <v>-2928</v>
      </c>
      <c r="N116" s="8">
        <v>2409</v>
      </c>
      <c r="O116" s="8">
        <f t="shared" si="43"/>
        <v>-1256</v>
      </c>
      <c r="P116" s="8">
        <v>105337</v>
      </c>
      <c r="Q116" s="8">
        <f t="shared" si="44"/>
        <v>-6946</v>
      </c>
      <c r="R116" s="8">
        <v>151013</v>
      </c>
      <c r="S116" s="8">
        <f t="shared" si="45"/>
        <v>-1863</v>
      </c>
      <c r="T116" s="8">
        <v>-45676</v>
      </c>
      <c r="U116" s="8">
        <f t="shared" si="46"/>
        <v>-5083</v>
      </c>
      <c r="W116" s="8">
        <v>201944</v>
      </c>
      <c r="X116" s="8">
        <f t="shared" si="47"/>
        <v>-8084</v>
      </c>
      <c r="Y116" s="8">
        <v>24894</v>
      </c>
      <c r="Z116" s="8">
        <f t="shared" si="48"/>
        <v>-1403</v>
      </c>
      <c r="AA116" s="8">
        <v>2550</v>
      </c>
      <c r="AB116" s="8">
        <f t="shared" si="35"/>
        <v>-512</v>
      </c>
      <c r="AC116" s="8">
        <v>22344</v>
      </c>
      <c r="AD116" s="8">
        <f t="shared" si="35"/>
        <v>-891</v>
      </c>
      <c r="AE116" s="8">
        <v>94142</v>
      </c>
      <c r="AF116" s="8">
        <f t="shared" si="49"/>
        <v>-2670</v>
      </c>
      <c r="AG116" s="8">
        <v>140817</v>
      </c>
      <c r="AH116" s="8">
        <f t="shared" si="50"/>
        <v>-3555</v>
      </c>
      <c r="AI116" s="8">
        <v>-46675</v>
      </c>
      <c r="AJ116" s="8">
        <f t="shared" si="51"/>
        <v>885</v>
      </c>
      <c r="AK116" s="8">
        <v>79742</v>
      </c>
      <c r="AL116" s="8">
        <f t="shared" si="52"/>
        <v>-2788</v>
      </c>
      <c r="AM116" s="8">
        <v>133755</v>
      </c>
      <c r="AN116" s="8">
        <f t="shared" si="53"/>
        <v>-3044</v>
      </c>
      <c r="AO116" s="8">
        <v>-54013</v>
      </c>
      <c r="AP116" s="8">
        <f t="shared" si="54"/>
        <v>256</v>
      </c>
      <c r="AR116" s="8">
        <v>1933672</v>
      </c>
      <c r="AS116" s="8">
        <f t="shared" si="55"/>
        <v>-24853</v>
      </c>
      <c r="AT116" s="8">
        <v>174168</v>
      </c>
      <c r="AU116" s="8">
        <f t="shared" si="56"/>
        <v>2548</v>
      </c>
      <c r="AV116" s="8">
        <v>41046</v>
      </c>
      <c r="AW116" s="8">
        <f t="shared" si="57"/>
        <v>-6525</v>
      </c>
      <c r="AX116" s="8">
        <f t="shared" si="32"/>
        <v>133122</v>
      </c>
      <c r="AY116" s="8">
        <f t="shared" si="58"/>
        <v>9073</v>
      </c>
      <c r="AZ116" s="8">
        <v>838498</v>
      </c>
      <c r="BA116" s="8">
        <f t="shared" si="59"/>
        <v>-20704</v>
      </c>
      <c r="BB116" s="8">
        <v>868329</v>
      </c>
      <c r="BC116" s="8">
        <f t="shared" si="60"/>
        <v>-4009</v>
      </c>
      <c r="BD116" s="8">
        <f t="shared" si="33"/>
        <v>-29831</v>
      </c>
      <c r="BE116" s="8">
        <f t="shared" si="61"/>
        <v>-16695</v>
      </c>
      <c r="BF116" s="8">
        <v>413687</v>
      </c>
      <c r="BG116" s="8">
        <f t="shared" si="62"/>
        <v>-23498</v>
      </c>
      <c r="BH116" s="8">
        <v>743342</v>
      </c>
      <c r="BI116" s="8">
        <f t="shared" si="63"/>
        <v>-14201</v>
      </c>
      <c r="BJ116" s="8">
        <f t="shared" si="34"/>
        <v>-329655</v>
      </c>
      <c r="BK116" s="8">
        <f t="shared" si="36"/>
        <v>-9297</v>
      </c>
    </row>
    <row r="117" spans="1:63">
      <c r="A117" s="5">
        <v>39686</v>
      </c>
      <c r="B117" s="8">
        <v>314749</v>
      </c>
      <c r="C117" s="8">
        <f t="shared" si="37"/>
        <v>-1492</v>
      </c>
      <c r="D117" s="8">
        <v>18410</v>
      </c>
      <c r="E117" s="8">
        <f t="shared" si="38"/>
        <v>2933</v>
      </c>
      <c r="F117" s="8">
        <v>19040</v>
      </c>
      <c r="G117" s="8">
        <f t="shared" si="39"/>
        <v>584</v>
      </c>
      <c r="H117" s="8">
        <v>-630</v>
      </c>
      <c r="I117" s="8">
        <f t="shared" si="40"/>
        <v>2349</v>
      </c>
      <c r="J117" s="8">
        <v>184176</v>
      </c>
      <c r="K117" s="8">
        <f t="shared" si="41"/>
        <v>-278</v>
      </c>
      <c r="L117" s="8">
        <v>182141</v>
      </c>
      <c r="M117" s="8">
        <f t="shared" si="42"/>
        <v>96</v>
      </c>
      <c r="N117" s="8">
        <v>2035</v>
      </c>
      <c r="O117" s="8">
        <f t="shared" si="43"/>
        <v>-374</v>
      </c>
      <c r="P117" s="8">
        <v>104086</v>
      </c>
      <c r="Q117" s="8">
        <f t="shared" si="44"/>
        <v>-1251</v>
      </c>
      <c r="R117" s="8">
        <v>152099</v>
      </c>
      <c r="S117" s="8">
        <f t="shared" si="45"/>
        <v>1086</v>
      </c>
      <c r="T117" s="8">
        <v>-48013</v>
      </c>
      <c r="U117" s="8">
        <f t="shared" si="46"/>
        <v>-2337</v>
      </c>
      <c r="W117" s="8">
        <v>194596</v>
      </c>
      <c r="X117" s="8">
        <f t="shared" si="47"/>
        <v>-7348</v>
      </c>
      <c r="Y117" s="8">
        <v>28818</v>
      </c>
      <c r="Z117" s="8">
        <f t="shared" si="48"/>
        <v>3924</v>
      </c>
      <c r="AA117" s="8">
        <v>1797</v>
      </c>
      <c r="AB117" s="8">
        <f t="shared" si="35"/>
        <v>-753</v>
      </c>
      <c r="AC117" s="8">
        <v>27021</v>
      </c>
      <c r="AD117" s="8">
        <f t="shared" si="35"/>
        <v>4677</v>
      </c>
      <c r="AE117" s="8">
        <v>86129</v>
      </c>
      <c r="AF117" s="8">
        <f t="shared" si="49"/>
        <v>-8013</v>
      </c>
      <c r="AG117" s="8">
        <v>136758</v>
      </c>
      <c r="AH117" s="8">
        <f t="shared" si="50"/>
        <v>-4059</v>
      </c>
      <c r="AI117" s="8">
        <v>-50629</v>
      </c>
      <c r="AJ117" s="8">
        <f t="shared" si="51"/>
        <v>-3954</v>
      </c>
      <c r="AK117" s="8">
        <v>74448</v>
      </c>
      <c r="AL117" s="8">
        <f t="shared" si="52"/>
        <v>-5294</v>
      </c>
      <c r="AM117" s="8">
        <v>130394</v>
      </c>
      <c r="AN117" s="8">
        <f t="shared" si="53"/>
        <v>-3361</v>
      </c>
      <c r="AO117" s="8">
        <v>-55946</v>
      </c>
      <c r="AP117" s="8">
        <f t="shared" si="54"/>
        <v>-1933</v>
      </c>
      <c r="AR117" s="8">
        <v>1765382</v>
      </c>
      <c r="AS117" s="8">
        <f t="shared" si="55"/>
        <v>-168290</v>
      </c>
      <c r="AT117" s="8">
        <v>164868</v>
      </c>
      <c r="AU117" s="8">
        <f t="shared" si="56"/>
        <v>-9300</v>
      </c>
      <c r="AV117" s="8">
        <v>33778</v>
      </c>
      <c r="AW117" s="8">
        <f t="shared" si="57"/>
        <v>-7268</v>
      </c>
      <c r="AX117" s="8">
        <f t="shared" si="32"/>
        <v>131090</v>
      </c>
      <c r="AY117" s="8">
        <f t="shared" si="58"/>
        <v>-2032</v>
      </c>
      <c r="AZ117" s="8">
        <v>791651</v>
      </c>
      <c r="BA117" s="8">
        <f t="shared" si="59"/>
        <v>-46847</v>
      </c>
      <c r="BB117" s="8">
        <v>820889</v>
      </c>
      <c r="BC117" s="8">
        <f t="shared" si="60"/>
        <v>-47440</v>
      </c>
      <c r="BD117" s="8">
        <f t="shared" si="33"/>
        <v>-29238</v>
      </c>
      <c r="BE117" s="8">
        <f t="shared" si="61"/>
        <v>593</v>
      </c>
      <c r="BF117" s="8">
        <v>368504</v>
      </c>
      <c r="BG117" s="8">
        <f t="shared" si="62"/>
        <v>-45183</v>
      </c>
      <c r="BH117" s="8">
        <v>700960</v>
      </c>
      <c r="BI117" s="8">
        <f t="shared" si="63"/>
        <v>-42382</v>
      </c>
      <c r="BJ117" s="8">
        <f t="shared" si="34"/>
        <v>-332456</v>
      </c>
      <c r="BK117" s="8">
        <f t="shared" si="36"/>
        <v>-2801</v>
      </c>
    </row>
    <row r="118" spans="1:63">
      <c r="A118" s="5">
        <v>39693</v>
      </c>
      <c r="B118" s="8">
        <v>311483</v>
      </c>
      <c r="C118" s="8">
        <f t="shared" si="37"/>
        <v>-3266</v>
      </c>
      <c r="D118" s="8">
        <v>19411</v>
      </c>
      <c r="E118" s="8">
        <f t="shared" si="38"/>
        <v>1001</v>
      </c>
      <c r="F118" s="8">
        <v>19393</v>
      </c>
      <c r="G118" s="8">
        <f t="shared" si="39"/>
        <v>353</v>
      </c>
      <c r="H118" s="8">
        <v>18</v>
      </c>
      <c r="I118" s="8">
        <f t="shared" si="40"/>
        <v>648</v>
      </c>
      <c r="J118" s="8">
        <v>181799</v>
      </c>
      <c r="K118" s="8">
        <f t="shared" si="41"/>
        <v>-2377</v>
      </c>
      <c r="L118" s="8">
        <v>176084</v>
      </c>
      <c r="M118" s="8">
        <f t="shared" si="42"/>
        <v>-6057</v>
      </c>
      <c r="N118" s="8">
        <v>5715</v>
      </c>
      <c r="O118" s="8">
        <f t="shared" si="43"/>
        <v>3680</v>
      </c>
      <c r="P118" s="8">
        <v>102541</v>
      </c>
      <c r="Q118" s="8">
        <f t="shared" si="44"/>
        <v>-1545</v>
      </c>
      <c r="R118" s="8">
        <v>146519</v>
      </c>
      <c r="S118" s="8">
        <f t="shared" si="45"/>
        <v>-5580</v>
      </c>
      <c r="T118" s="8">
        <v>-43978</v>
      </c>
      <c r="U118" s="8">
        <f t="shared" si="46"/>
        <v>4035</v>
      </c>
      <c r="W118" s="8">
        <v>193722</v>
      </c>
      <c r="X118" s="8">
        <f t="shared" si="47"/>
        <v>-874</v>
      </c>
      <c r="Y118" s="8">
        <v>29148</v>
      </c>
      <c r="Z118" s="8">
        <f t="shared" si="48"/>
        <v>330</v>
      </c>
      <c r="AA118" s="8">
        <v>2179</v>
      </c>
      <c r="AB118" s="8">
        <f t="shared" si="35"/>
        <v>382</v>
      </c>
      <c r="AC118" s="8">
        <v>26969</v>
      </c>
      <c r="AD118" s="8">
        <f t="shared" si="35"/>
        <v>-52</v>
      </c>
      <c r="AE118" s="8">
        <v>83932</v>
      </c>
      <c r="AF118" s="8">
        <f t="shared" si="49"/>
        <v>-2197</v>
      </c>
      <c r="AG118" s="8">
        <v>133612</v>
      </c>
      <c r="AH118" s="8">
        <f t="shared" si="50"/>
        <v>-3146</v>
      </c>
      <c r="AI118" s="8">
        <v>-49680</v>
      </c>
      <c r="AJ118" s="8">
        <f t="shared" si="51"/>
        <v>949</v>
      </c>
      <c r="AK118" s="8">
        <v>72457</v>
      </c>
      <c r="AL118" s="8">
        <f t="shared" si="52"/>
        <v>-1991</v>
      </c>
      <c r="AM118" s="8">
        <v>127148</v>
      </c>
      <c r="AN118" s="8">
        <f t="shared" si="53"/>
        <v>-3246</v>
      </c>
      <c r="AO118" s="8">
        <v>-54691</v>
      </c>
      <c r="AP118" s="8">
        <f t="shared" si="54"/>
        <v>1255</v>
      </c>
      <c r="AR118" s="8">
        <v>1700368</v>
      </c>
      <c r="AS118" s="8">
        <f t="shared" si="55"/>
        <v>-65014</v>
      </c>
      <c r="AT118" s="8">
        <v>156574</v>
      </c>
      <c r="AU118" s="8">
        <f t="shared" si="56"/>
        <v>-8294</v>
      </c>
      <c r="AV118" s="8">
        <v>33316</v>
      </c>
      <c r="AW118" s="8">
        <f t="shared" si="57"/>
        <v>-462</v>
      </c>
      <c r="AX118" s="8">
        <f t="shared" si="32"/>
        <v>123258</v>
      </c>
      <c r="AY118" s="8">
        <f t="shared" si="58"/>
        <v>-7832</v>
      </c>
      <c r="AZ118" s="8">
        <v>775447</v>
      </c>
      <c r="BA118" s="8">
        <f t="shared" si="59"/>
        <v>-16204</v>
      </c>
      <c r="BB118" s="8">
        <v>791863</v>
      </c>
      <c r="BC118" s="8">
        <f t="shared" si="60"/>
        <v>-29026</v>
      </c>
      <c r="BD118" s="8">
        <f t="shared" si="33"/>
        <v>-16416</v>
      </c>
      <c r="BE118" s="8">
        <f t="shared" si="61"/>
        <v>12822</v>
      </c>
      <c r="BF118" s="8">
        <v>355172</v>
      </c>
      <c r="BG118" s="8">
        <f t="shared" si="62"/>
        <v>-13332</v>
      </c>
      <c r="BH118" s="8">
        <v>675282</v>
      </c>
      <c r="BI118" s="8">
        <f t="shared" si="63"/>
        <v>-25678</v>
      </c>
      <c r="BJ118" s="8">
        <f t="shared" si="34"/>
        <v>-320110</v>
      </c>
      <c r="BK118" s="8">
        <f t="shared" si="36"/>
        <v>12346</v>
      </c>
    </row>
    <row r="119" spans="1:63">
      <c r="A119" s="5">
        <v>39700</v>
      </c>
      <c r="B119" s="8">
        <v>330196</v>
      </c>
      <c r="C119" s="8">
        <f t="shared" si="37"/>
        <v>18713</v>
      </c>
      <c r="D119" s="8">
        <v>17314</v>
      </c>
      <c r="E119" s="8">
        <f t="shared" si="38"/>
        <v>-2097</v>
      </c>
      <c r="F119" s="8">
        <v>24605</v>
      </c>
      <c r="G119" s="8">
        <f t="shared" si="39"/>
        <v>5212</v>
      </c>
      <c r="H119" s="8">
        <v>-7291</v>
      </c>
      <c r="I119" s="8">
        <f t="shared" si="40"/>
        <v>-7309</v>
      </c>
      <c r="J119" s="8">
        <v>197769</v>
      </c>
      <c r="K119" s="8">
        <f t="shared" si="41"/>
        <v>15970</v>
      </c>
      <c r="L119" s="8">
        <v>179276</v>
      </c>
      <c r="M119" s="8">
        <f t="shared" si="42"/>
        <v>3192</v>
      </c>
      <c r="N119" s="8">
        <v>18493</v>
      </c>
      <c r="O119" s="8">
        <f t="shared" si="43"/>
        <v>12778</v>
      </c>
      <c r="P119" s="8">
        <v>118066</v>
      </c>
      <c r="Q119" s="8">
        <f t="shared" si="44"/>
        <v>15525</v>
      </c>
      <c r="R119" s="8">
        <v>148413</v>
      </c>
      <c r="S119" s="8">
        <f t="shared" si="45"/>
        <v>1894</v>
      </c>
      <c r="T119" s="8">
        <v>-30347</v>
      </c>
      <c r="U119" s="8">
        <f t="shared" si="46"/>
        <v>13631</v>
      </c>
      <c r="W119" s="8">
        <v>196382</v>
      </c>
      <c r="X119" s="8">
        <f t="shared" si="47"/>
        <v>2660</v>
      </c>
      <c r="Y119" s="8">
        <v>25596</v>
      </c>
      <c r="Z119" s="8">
        <f t="shared" si="48"/>
        <v>-3552</v>
      </c>
      <c r="AA119" s="8">
        <v>5264</v>
      </c>
      <c r="AB119" s="8">
        <f t="shared" si="35"/>
        <v>3085</v>
      </c>
      <c r="AC119" s="8">
        <v>20332</v>
      </c>
      <c r="AD119" s="8">
        <f t="shared" si="35"/>
        <v>-6637</v>
      </c>
      <c r="AE119" s="8">
        <v>93438</v>
      </c>
      <c r="AF119" s="8">
        <f t="shared" si="49"/>
        <v>9506</v>
      </c>
      <c r="AG119" s="8">
        <v>133747</v>
      </c>
      <c r="AH119" s="8">
        <f t="shared" si="50"/>
        <v>135</v>
      </c>
      <c r="AI119" s="8">
        <v>-40309</v>
      </c>
      <c r="AJ119" s="8">
        <f t="shared" si="51"/>
        <v>9371</v>
      </c>
      <c r="AK119" s="8">
        <v>81269</v>
      </c>
      <c r="AL119" s="8">
        <f t="shared" si="52"/>
        <v>8812</v>
      </c>
      <c r="AM119" s="8">
        <v>129493</v>
      </c>
      <c r="AN119" s="8">
        <f t="shared" si="53"/>
        <v>2345</v>
      </c>
      <c r="AO119" s="8">
        <v>-48224</v>
      </c>
      <c r="AP119" s="8">
        <f t="shared" si="54"/>
        <v>6467</v>
      </c>
      <c r="AR119" s="8">
        <v>1685113</v>
      </c>
      <c r="AS119" s="8">
        <f t="shared" si="55"/>
        <v>-15255</v>
      </c>
      <c r="AT119" s="8">
        <v>148338</v>
      </c>
      <c r="AU119" s="8">
        <f t="shared" si="56"/>
        <v>-8236</v>
      </c>
      <c r="AV119" s="8">
        <v>33062</v>
      </c>
      <c r="AW119" s="8">
        <f t="shared" si="57"/>
        <v>-254</v>
      </c>
      <c r="AX119" s="8">
        <f t="shared" si="32"/>
        <v>115276</v>
      </c>
      <c r="AY119" s="8">
        <f t="shared" si="58"/>
        <v>-7982</v>
      </c>
      <c r="AZ119" s="8">
        <v>766987</v>
      </c>
      <c r="BA119" s="8">
        <f t="shared" si="59"/>
        <v>-8460</v>
      </c>
      <c r="BB119" s="8">
        <v>770402</v>
      </c>
      <c r="BC119" s="8">
        <f t="shared" si="60"/>
        <v>-21461</v>
      </c>
      <c r="BD119" s="8">
        <f t="shared" si="33"/>
        <v>-3415</v>
      </c>
      <c r="BE119" s="8">
        <f t="shared" si="61"/>
        <v>13001</v>
      </c>
      <c r="BF119" s="8">
        <v>353322</v>
      </c>
      <c r="BG119" s="8">
        <f t="shared" si="62"/>
        <v>-1850</v>
      </c>
      <c r="BH119" s="8">
        <v>655553</v>
      </c>
      <c r="BI119" s="8">
        <f t="shared" si="63"/>
        <v>-19729</v>
      </c>
      <c r="BJ119" s="8">
        <f t="shared" si="34"/>
        <v>-302231</v>
      </c>
      <c r="BK119" s="8">
        <f t="shared" si="36"/>
        <v>17879</v>
      </c>
    </row>
    <row r="120" spans="1:63">
      <c r="A120" s="5">
        <v>39707</v>
      </c>
      <c r="B120" s="8">
        <v>341022</v>
      </c>
      <c r="C120" s="8">
        <f t="shared" si="37"/>
        <v>10826</v>
      </c>
      <c r="D120" s="8">
        <v>14473</v>
      </c>
      <c r="E120" s="8">
        <f t="shared" si="38"/>
        <v>-2841</v>
      </c>
      <c r="F120" s="8">
        <v>24504</v>
      </c>
      <c r="G120" s="8">
        <f t="shared" si="39"/>
        <v>-101</v>
      </c>
      <c r="H120" s="8">
        <v>-10031</v>
      </c>
      <c r="I120" s="8">
        <f t="shared" si="40"/>
        <v>-2740</v>
      </c>
      <c r="J120" s="8">
        <v>203446</v>
      </c>
      <c r="K120" s="8">
        <f t="shared" si="41"/>
        <v>5677</v>
      </c>
      <c r="L120" s="8">
        <v>181209</v>
      </c>
      <c r="M120" s="8">
        <f t="shared" si="42"/>
        <v>1933</v>
      </c>
      <c r="N120" s="8">
        <v>22237</v>
      </c>
      <c r="O120" s="8">
        <f t="shared" si="43"/>
        <v>3744</v>
      </c>
      <c r="P120" s="8">
        <v>123634</v>
      </c>
      <c r="Q120" s="8">
        <f t="shared" si="44"/>
        <v>5568</v>
      </c>
      <c r="R120" s="8">
        <v>149420</v>
      </c>
      <c r="S120" s="8">
        <f t="shared" si="45"/>
        <v>1007</v>
      </c>
      <c r="T120" s="8">
        <v>-25786</v>
      </c>
      <c r="U120" s="8">
        <f t="shared" si="46"/>
        <v>4561</v>
      </c>
      <c r="W120" s="8">
        <v>194064</v>
      </c>
      <c r="X120" s="8">
        <f t="shared" si="47"/>
        <v>-2318</v>
      </c>
      <c r="Y120" s="8">
        <v>22992</v>
      </c>
      <c r="Z120" s="8">
        <f t="shared" si="48"/>
        <v>-2604</v>
      </c>
      <c r="AA120" s="8">
        <v>7308</v>
      </c>
      <c r="AB120" s="8">
        <f t="shared" si="35"/>
        <v>2044</v>
      </c>
      <c r="AC120" s="8">
        <v>15684</v>
      </c>
      <c r="AD120" s="8">
        <f t="shared" si="35"/>
        <v>-4648</v>
      </c>
      <c r="AE120" s="8">
        <v>93722</v>
      </c>
      <c r="AF120" s="8">
        <f t="shared" si="49"/>
        <v>284</v>
      </c>
      <c r="AG120" s="8">
        <v>128327</v>
      </c>
      <c r="AH120" s="8">
        <f t="shared" si="50"/>
        <v>-5420</v>
      </c>
      <c r="AI120" s="8">
        <v>-34605</v>
      </c>
      <c r="AJ120" s="8">
        <f t="shared" si="51"/>
        <v>5704</v>
      </c>
      <c r="AK120" s="8">
        <v>81847</v>
      </c>
      <c r="AL120" s="8">
        <f t="shared" si="52"/>
        <v>578</v>
      </c>
      <c r="AM120" s="8">
        <v>123995</v>
      </c>
      <c r="AN120" s="8">
        <f t="shared" si="53"/>
        <v>-5498</v>
      </c>
      <c r="AO120" s="8">
        <v>-42148</v>
      </c>
      <c r="AP120" s="8">
        <f t="shared" si="54"/>
        <v>6076</v>
      </c>
      <c r="AR120" s="8">
        <v>1710581</v>
      </c>
      <c r="AS120" s="8">
        <f t="shared" si="55"/>
        <v>25468</v>
      </c>
      <c r="AT120" s="8">
        <v>139469</v>
      </c>
      <c r="AU120" s="8">
        <f t="shared" si="56"/>
        <v>-8869</v>
      </c>
      <c r="AV120" s="8">
        <v>34191</v>
      </c>
      <c r="AW120" s="8">
        <f t="shared" si="57"/>
        <v>1129</v>
      </c>
      <c r="AX120" s="8">
        <f t="shared" si="32"/>
        <v>105278</v>
      </c>
      <c r="AY120" s="8">
        <f t="shared" si="58"/>
        <v>-9998</v>
      </c>
      <c r="AZ120" s="8">
        <v>763317</v>
      </c>
      <c r="BA120" s="8">
        <f t="shared" si="59"/>
        <v>-3670</v>
      </c>
      <c r="BB120" s="8">
        <v>768013</v>
      </c>
      <c r="BC120" s="8">
        <f t="shared" si="60"/>
        <v>-2389</v>
      </c>
      <c r="BD120" s="8">
        <f t="shared" si="33"/>
        <v>-4696</v>
      </c>
      <c r="BE120" s="8">
        <f t="shared" si="61"/>
        <v>-1281</v>
      </c>
      <c r="BF120" s="8">
        <v>358237</v>
      </c>
      <c r="BG120" s="8">
        <f t="shared" si="62"/>
        <v>4915</v>
      </c>
      <c r="BH120" s="8">
        <v>652858</v>
      </c>
      <c r="BI120" s="8">
        <f t="shared" si="63"/>
        <v>-2695</v>
      </c>
      <c r="BJ120" s="8">
        <f t="shared" si="34"/>
        <v>-294621</v>
      </c>
      <c r="BK120" s="8">
        <f t="shared" si="36"/>
        <v>7610</v>
      </c>
    </row>
    <row r="121" spans="1:63">
      <c r="A121" s="5">
        <v>39714</v>
      </c>
      <c r="B121" s="8">
        <v>323420</v>
      </c>
      <c r="C121" s="8">
        <f t="shared" si="37"/>
        <v>-17602</v>
      </c>
      <c r="D121" s="8">
        <v>18917</v>
      </c>
      <c r="E121" s="8">
        <f t="shared" si="38"/>
        <v>4444</v>
      </c>
      <c r="F121" s="8">
        <v>22981</v>
      </c>
      <c r="G121" s="8">
        <f t="shared" si="39"/>
        <v>-1523</v>
      </c>
      <c r="H121" s="8">
        <v>-4064</v>
      </c>
      <c r="I121" s="8">
        <f t="shared" si="40"/>
        <v>5967</v>
      </c>
      <c r="J121" s="8">
        <v>192573</v>
      </c>
      <c r="K121" s="8">
        <f t="shared" si="41"/>
        <v>-10873</v>
      </c>
      <c r="L121" s="8">
        <v>181481</v>
      </c>
      <c r="M121" s="8">
        <f t="shared" si="42"/>
        <v>272</v>
      </c>
      <c r="N121" s="8">
        <v>11092</v>
      </c>
      <c r="O121" s="8">
        <f t="shared" si="43"/>
        <v>-11145</v>
      </c>
      <c r="P121" s="8">
        <v>117267</v>
      </c>
      <c r="Q121" s="8">
        <f t="shared" si="44"/>
        <v>-6367</v>
      </c>
      <c r="R121" s="8">
        <v>158584</v>
      </c>
      <c r="S121" s="8">
        <f t="shared" si="45"/>
        <v>9164</v>
      </c>
      <c r="T121" s="8">
        <v>-41317</v>
      </c>
      <c r="U121" s="8">
        <f t="shared" si="46"/>
        <v>-15531</v>
      </c>
      <c r="W121" s="8">
        <v>185840</v>
      </c>
      <c r="X121" s="8">
        <f t="shared" si="47"/>
        <v>-8224</v>
      </c>
      <c r="Y121" s="8">
        <v>21951</v>
      </c>
      <c r="Z121" s="8">
        <f t="shared" si="48"/>
        <v>-1041</v>
      </c>
      <c r="AA121" s="8">
        <v>5365</v>
      </c>
      <c r="AB121" s="8">
        <f t="shared" si="35"/>
        <v>-1943</v>
      </c>
      <c r="AC121" s="8">
        <v>16586</v>
      </c>
      <c r="AD121" s="8">
        <f t="shared" si="35"/>
        <v>902</v>
      </c>
      <c r="AE121" s="8">
        <v>85752</v>
      </c>
      <c r="AF121" s="8">
        <f t="shared" si="49"/>
        <v>-7970</v>
      </c>
      <c r="AG121" s="8">
        <v>120902</v>
      </c>
      <c r="AH121" s="8">
        <f t="shared" si="50"/>
        <v>-7425</v>
      </c>
      <c r="AI121" s="8">
        <v>-35150</v>
      </c>
      <c r="AJ121" s="8">
        <f t="shared" si="51"/>
        <v>-545</v>
      </c>
      <c r="AK121" s="8">
        <v>75124</v>
      </c>
      <c r="AL121" s="8">
        <f t="shared" si="52"/>
        <v>-6723</v>
      </c>
      <c r="AM121" s="8">
        <v>116834</v>
      </c>
      <c r="AN121" s="8">
        <f t="shared" si="53"/>
        <v>-7161</v>
      </c>
      <c r="AO121" s="8">
        <v>-41710</v>
      </c>
      <c r="AP121" s="8">
        <f t="shared" si="54"/>
        <v>438</v>
      </c>
      <c r="AR121" s="8">
        <v>1684482</v>
      </c>
      <c r="AS121" s="8">
        <f t="shared" si="55"/>
        <v>-26099</v>
      </c>
      <c r="AT121" s="8">
        <v>143561</v>
      </c>
      <c r="AU121" s="8">
        <f t="shared" si="56"/>
        <v>4092</v>
      </c>
      <c r="AV121" s="8">
        <v>26665</v>
      </c>
      <c r="AW121" s="8">
        <f t="shared" si="57"/>
        <v>-7526</v>
      </c>
      <c r="AX121" s="8">
        <f t="shared" si="32"/>
        <v>116896</v>
      </c>
      <c r="AY121" s="8">
        <f t="shared" si="58"/>
        <v>11618</v>
      </c>
      <c r="AZ121" s="8">
        <v>737498</v>
      </c>
      <c r="BA121" s="8">
        <f t="shared" si="59"/>
        <v>-25819</v>
      </c>
      <c r="BB121" s="8">
        <v>767610</v>
      </c>
      <c r="BC121" s="8">
        <f t="shared" si="60"/>
        <v>-403</v>
      </c>
      <c r="BD121" s="8">
        <f t="shared" si="33"/>
        <v>-30112</v>
      </c>
      <c r="BE121" s="8">
        <f t="shared" si="61"/>
        <v>-25416</v>
      </c>
      <c r="BF121" s="8">
        <v>351340</v>
      </c>
      <c r="BG121" s="8">
        <f t="shared" si="62"/>
        <v>-6897</v>
      </c>
      <c r="BH121" s="8">
        <v>656857</v>
      </c>
      <c r="BI121" s="8">
        <f t="shared" si="63"/>
        <v>3999</v>
      </c>
      <c r="BJ121" s="8">
        <f t="shared" si="34"/>
        <v>-305517</v>
      </c>
      <c r="BK121" s="8">
        <f t="shared" si="36"/>
        <v>-10896</v>
      </c>
    </row>
    <row r="122" spans="1:63">
      <c r="A122" s="5">
        <v>39721</v>
      </c>
      <c r="B122" s="8">
        <v>319854</v>
      </c>
      <c r="C122" s="8">
        <f t="shared" si="37"/>
        <v>-3566</v>
      </c>
      <c r="D122" s="8">
        <v>19737</v>
      </c>
      <c r="E122" s="8">
        <f t="shared" si="38"/>
        <v>820</v>
      </c>
      <c r="F122" s="8">
        <v>20322</v>
      </c>
      <c r="G122" s="8">
        <f t="shared" si="39"/>
        <v>-2659</v>
      </c>
      <c r="H122" s="8">
        <v>-585</v>
      </c>
      <c r="I122" s="8">
        <f t="shared" si="40"/>
        <v>3479</v>
      </c>
      <c r="J122" s="8">
        <v>184698</v>
      </c>
      <c r="K122" s="8">
        <f t="shared" si="41"/>
        <v>-7875</v>
      </c>
      <c r="L122" s="8">
        <v>174790</v>
      </c>
      <c r="M122" s="8">
        <f t="shared" si="42"/>
        <v>-6691</v>
      </c>
      <c r="N122" s="8">
        <v>9908</v>
      </c>
      <c r="O122" s="8">
        <f t="shared" si="43"/>
        <v>-1184</v>
      </c>
      <c r="P122" s="8">
        <v>109242</v>
      </c>
      <c r="Q122" s="8">
        <f t="shared" si="44"/>
        <v>-8025</v>
      </c>
      <c r="R122" s="8">
        <v>151111</v>
      </c>
      <c r="S122" s="8">
        <f t="shared" si="45"/>
        <v>-7473</v>
      </c>
      <c r="T122" s="8">
        <v>-41869</v>
      </c>
      <c r="U122" s="8">
        <f t="shared" si="46"/>
        <v>-552</v>
      </c>
      <c r="W122" s="8">
        <v>181634</v>
      </c>
      <c r="X122" s="8">
        <f t="shared" si="47"/>
        <v>-4206</v>
      </c>
      <c r="Y122" s="8">
        <v>20779</v>
      </c>
      <c r="Z122" s="8">
        <f t="shared" si="48"/>
        <v>-1172</v>
      </c>
      <c r="AA122" s="8">
        <v>9393</v>
      </c>
      <c r="AB122" s="8">
        <f t="shared" si="35"/>
        <v>4028</v>
      </c>
      <c r="AC122" s="8">
        <v>11386</v>
      </c>
      <c r="AD122" s="8">
        <f t="shared" si="35"/>
        <v>-5200</v>
      </c>
      <c r="AE122" s="8">
        <v>81195</v>
      </c>
      <c r="AF122" s="8">
        <f t="shared" si="49"/>
        <v>-4557</v>
      </c>
      <c r="AG122" s="8">
        <v>106301</v>
      </c>
      <c r="AH122" s="8">
        <f t="shared" si="50"/>
        <v>-14601</v>
      </c>
      <c r="AI122" s="8">
        <v>-25106</v>
      </c>
      <c r="AJ122" s="8">
        <f t="shared" si="51"/>
        <v>10044</v>
      </c>
      <c r="AK122" s="8">
        <v>72304</v>
      </c>
      <c r="AL122" s="8">
        <f t="shared" si="52"/>
        <v>-2820</v>
      </c>
      <c r="AM122" s="8">
        <v>101960</v>
      </c>
      <c r="AN122" s="8">
        <f t="shared" si="53"/>
        <v>-14874</v>
      </c>
      <c r="AO122" s="8">
        <v>-29656</v>
      </c>
      <c r="AP122" s="8">
        <f t="shared" si="54"/>
        <v>12054</v>
      </c>
      <c r="AR122" s="8">
        <v>1685800</v>
      </c>
      <c r="AS122" s="8">
        <f t="shared" si="55"/>
        <v>1318</v>
      </c>
      <c r="AT122" s="8">
        <v>130500</v>
      </c>
      <c r="AU122" s="8">
        <f t="shared" si="56"/>
        <v>-13061</v>
      </c>
      <c r="AV122" s="8">
        <v>36321</v>
      </c>
      <c r="AW122" s="8">
        <f t="shared" si="57"/>
        <v>9656</v>
      </c>
      <c r="AX122" s="8">
        <f t="shared" si="32"/>
        <v>94179</v>
      </c>
      <c r="AY122" s="8">
        <f t="shared" si="58"/>
        <v>-22717</v>
      </c>
      <c r="AZ122" s="8">
        <v>738735</v>
      </c>
      <c r="BA122" s="8">
        <f t="shared" si="59"/>
        <v>1237</v>
      </c>
      <c r="BB122" s="8">
        <v>729303</v>
      </c>
      <c r="BC122" s="8">
        <f t="shared" si="60"/>
        <v>-38307</v>
      </c>
      <c r="BD122" s="8">
        <f t="shared" si="33"/>
        <v>9432</v>
      </c>
      <c r="BE122" s="8">
        <f t="shared" si="61"/>
        <v>39544</v>
      </c>
      <c r="BF122" s="8">
        <v>370587</v>
      </c>
      <c r="BG122" s="8">
        <f t="shared" si="62"/>
        <v>19247</v>
      </c>
      <c r="BH122" s="8">
        <v>619753</v>
      </c>
      <c r="BI122" s="8">
        <f t="shared" si="63"/>
        <v>-37104</v>
      </c>
      <c r="BJ122" s="8">
        <f t="shared" si="34"/>
        <v>-249166</v>
      </c>
      <c r="BK122" s="8">
        <f t="shared" si="36"/>
        <v>56351</v>
      </c>
    </row>
    <row r="123" spans="1:63">
      <c r="A123" s="5">
        <v>39728</v>
      </c>
      <c r="B123" s="8">
        <v>335790</v>
      </c>
      <c r="C123" s="8">
        <f t="shared" si="37"/>
        <v>15936</v>
      </c>
      <c r="D123" s="8">
        <v>17831</v>
      </c>
      <c r="E123" s="8">
        <f t="shared" si="38"/>
        <v>-1906</v>
      </c>
      <c r="F123" s="8">
        <v>18900</v>
      </c>
      <c r="G123" s="8">
        <f t="shared" si="39"/>
        <v>-1422</v>
      </c>
      <c r="H123" s="8">
        <v>-1069</v>
      </c>
      <c r="I123" s="8">
        <f t="shared" si="40"/>
        <v>-484</v>
      </c>
      <c r="J123" s="8">
        <v>199135</v>
      </c>
      <c r="K123" s="8">
        <f t="shared" si="41"/>
        <v>14437</v>
      </c>
      <c r="L123" s="8">
        <v>189538</v>
      </c>
      <c r="M123" s="8">
        <f t="shared" si="42"/>
        <v>14748</v>
      </c>
      <c r="N123" s="8">
        <v>9597</v>
      </c>
      <c r="O123" s="8">
        <f t="shared" si="43"/>
        <v>-311</v>
      </c>
      <c r="P123" s="8">
        <v>125698</v>
      </c>
      <c r="Q123" s="8">
        <f t="shared" si="44"/>
        <v>16456</v>
      </c>
      <c r="R123" s="8">
        <v>165541</v>
      </c>
      <c r="S123" s="8">
        <f t="shared" si="45"/>
        <v>14430</v>
      </c>
      <c r="T123" s="8">
        <v>-39843</v>
      </c>
      <c r="U123" s="8">
        <f t="shared" si="46"/>
        <v>2026</v>
      </c>
      <c r="W123" s="8">
        <v>186640</v>
      </c>
      <c r="X123" s="8">
        <f t="shared" si="47"/>
        <v>5006</v>
      </c>
      <c r="Y123" s="8">
        <v>19003</v>
      </c>
      <c r="Z123" s="8">
        <f t="shared" si="48"/>
        <v>-1776</v>
      </c>
      <c r="AA123" s="8">
        <v>12820</v>
      </c>
      <c r="AB123" s="8">
        <f t="shared" si="35"/>
        <v>3427</v>
      </c>
      <c r="AC123" s="8">
        <v>6183</v>
      </c>
      <c r="AD123" s="8">
        <f t="shared" si="35"/>
        <v>-5203</v>
      </c>
      <c r="AE123" s="8">
        <v>85410</v>
      </c>
      <c r="AF123" s="8">
        <f t="shared" si="49"/>
        <v>4215</v>
      </c>
      <c r="AG123" s="8">
        <v>106069</v>
      </c>
      <c r="AH123" s="8">
        <f t="shared" si="50"/>
        <v>-232</v>
      </c>
      <c r="AI123" s="8">
        <v>-20659</v>
      </c>
      <c r="AJ123" s="8">
        <f t="shared" si="51"/>
        <v>4447</v>
      </c>
      <c r="AK123" s="8">
        <v>76160</v>
      </c>
      <c r="AL123" s="8">
        <f t="shared" si="52"/>
        <v>3856</v>
      </c>
      <c r="AM123" s="8">
        <v>103633</v>
      </c>
      <c r="AN123" s="8">
        <f t="shared" si="53"/>
        <v>1673</v>
      </c>
      <c r="AO123" s="8">
        <v>-27473</v>
      </c>
      <c r="AP123" s="8">
        <f t="shared" si="54"/>
        <v>2183</v>
      </c>
      <c r="AR123" s="8">
        <v>1728906</v>
      </c>
      <c r="AS123" s="8">
        <f t="shared" si="55"/>
        <v>43106</v>
      </c>
      <c r="AT123" s="8">
        <v>121557</v>
      </c>
      <c r="AU123" s="8">
        <f t="shared" si="56"/>
        <v>-8943</v>
      </c>
      <c r="AV123" s="8">
        <v>39260</v>
      </c>
      <c r="AW123" s="8">
        <f t="shared" si="57"/>
        <v>2939</v>
      </c>
      <c r="AX123" s="8">
        <f t="shared" si="32"/>
        <v>82297</v>
      </c>
      <c r="AY123" s="8">
        <f t="shared" si="58"/>
        <v>-11882</v>
      </c>
      <c r="AZ123" s="8">
        <v>736996</v>
      </c>
      <c r="BA123" s="8">
        <f t="shared" si="59"/>
        <v>-1739</v>
      </c>
      <c r="BB123" s="8">
        <v>703296</v>
      </c>
      <c r="BC123" s="8">
        <f t="shared" si="60"/>
        <v>-26007</v>
      </c>
      <c r="BD123" s="8">
        <f t="shared" si="33"/>
        <v>33700</v>
      </c>
      <c r="BE123" s="8">
        <f t="shared" si="61"/>
        <v>24268</v>
      </c>
      <c r="BF123" s="8">
        <v>398473</v>
      </c>
      <c r="BG123" s="8">
        <f t="shared" si="62"/>
        <v>27886</v>
      </c>
      <c r="BH123" s="8">
        <v>584510</v>
      </c>
      <c r="BI123" s="8">
        <f t="shared" si="63"/>
        <v>-35243</v>
      </c>
      <c r="BJ123" s="8">
        <f t="shared" si="34"/>
        <v>-186037</v>
      </c>
      <c r="BK123" s="8">
        <f t="shared" si="36"/>
        <v>63129</v>
      </c>
    </row>
    <row r="124" spans="1:63">
      <c r="A124" s="5">
        <v>39735</v>
      </c>
      <c r="B124" s="8">
        <v>346659</v>
      </c>
      <c r="C124" s="8">
        <f t="shared" si="37"/>
        <v>10869</v>
      </c>
      <c r="D124" s="8">
        <v>17066</v>
      </c>
      <c r="E124" s="8">
        <f t="shared" si="38"/>
        <v>-765</v>
      </c>
      <c r="F124" s="8">
        <v>18279</v>
      </c>
      <c r="G124" s="8">
        <f t="shared" si="39"/>
        <v>-621</v>
      </c>
      <c r="H124" s="8">
        <v>-1213</v>
      </c>
      <c r="I124" s="8">
        <f t="shared" si="40"/>
        <v>-144</v>
      </c>
      <c r="J124" s="8">
        <v>201812</v>
      </c>
      <c r="K124" s="8">
        <f t="shared" si="41"/>
        <v>2677</v>
      </c>
      <c r="L124" s="8">
        <v>188849</v>
      </c>
      <c r="M124" s="8">
        <f t="shared" si="42"/>
        <v>-689</v>
      </c>
      <c r="N124" s="8">
        <v>12963</v>
      </c>
      <c r="O124" s="8">
        <f t="shared" si="43"/>
        <v>3366</v>
      </c>
      <c r="P124" s="8">
        <v>131179</v>
      </c>
      <c r="Q124" s="8">
        <f t="shared" si="44"/>
        <v>5481</v>
      </c>
      <c r="R124" s="8">
        <v>164072</v>
      </c>
      <c r="S124" s="8">
        <f t="shared" si="45"/>
        <v>-1469</v>
      </c>
      <c r="T124" s="8">
        <v>-32893</v>
      </c>
      <c r="U124" s="8">
        <f t="shared" si="46"/>
        <v>6950</v>
      </c>
      <c r="W124" s="8">
        <v>188356</v>
      </c>
      <c r="X124" s="8">
        <f t="shared" si="47"/>
        <v>1716</v>
      </c>
      <c r="Y124" s="8">
        <v>14883</v>
      </c>
      <c r="Z124" s="8">
        <f t="shared" si="48"/>
        <v>-4120</v>
      </c>
      <c r="AA124" s="8">
        <v>12673</v>
      </c>
      <c r="AB124" s="8">
        <f t="shared" si="35"/>
        <v>-147</v>
      </c>
      <c r="AC124" s="8">
        <v>2210</v>
      </c>
      <c r="AD124" s="8">
        <f t="shared" si="35"/>
        <v>-3973</v>
      </c>
      <c r="AE124" s="8">
        <v>91124</v>
      </c>
      <c r="AF124" s="8">
        <f t="shared" si="49"/>
        <v>5714</v>
      </c>
      <c r="AG124" s="8">
        <v>104952</v>
      </c>
      <c r="AH124" s="8">
        <f t="shared" si="50"/>
        <v>-1117</v>
      </c>
      <c r="AI124" s="8">
        <v>-13828</v>
      </c>
      <c r="AJ124" s="8">
        <f t="shared" si="51"/>
        <v>6831</v>
      </c>
      <c r="AK124" s="8">
        <v>82121</v>
      </c>
      <c r="AL124" s="8">
        <f t="shared" si="52"/>
        <v>5961</v>
      </c>
      <c r="AM124" s="8">
        <v>102368</v>
      </c>
      <c r="AN124" s="8">
        <f t="shared" si="53"/>
        <v>-1265</v>
      </c>
      <c r="AO124" s="8">
        <v>-20247</v>
      </c>
      <c r="AP124" s="8">
        <f t="shared" si="54"/>
        <v>7226</v>
      </c>
      <c r="AR124" s="8">
        <v>1725221</v>
      </c>
      <c r="AS124" s="8">
        <f t="shared" si="55"/>
        <v>-3685</v>
      </c>
      <c r="AT124" s="8">
        <v>107240</v>
      </c>
      <c r="AU124" s="8">
        <f t="shared" si="56"/>
        <v>-14317</v>
      </c>
      <c r="AV124" s="8">
        <v>45361</v>
      </c>
      <c r="AW124" s="8">
        <f t="shared" si="57"/>
        <v>6101</v>
      </c>
      <c r="AX124" s="8">
        <f t="shared" si="32"/>
        <v>61879</v>
      </c>
      <c r="AY124" s="8">
        <f t="shared" si="58"/>
        <v>-20418</v>
      </c>
      <c r="AZ124" s="8">
        <v>733682</v>
      </c>
      <c r="BA124" s="8">
        <f t="shared" si="59"/>
        <v>-3314</v>
      </c>
      <c r="BB124" s="8">
        <v>703424</v>
      </c>
      <c r="BC124" s="8">
        <f t="shared" si="60"/>
        <v>128</v>
      </c>
      <c r="BD124" s="8">
        <f t="shared" si="33"/>
        <v>30258</v>
      </c>
      <c r="BE124" s="8">
        <f t="shared" si="61"/>
        <v>-3442</v>
      </c>
      <c r="BF124" s="8">
        <v>404824</v>
      </c>
      <c r="BG124" s="8">
        <f t="shared" si="62"/>
        <v>6351</v>
      </c>
      <c r="BH124" s="8">
        <v>589505</v>
      </c>
      <c r="BI124" s="8">
        <f t="shared" si="63"/>
        <v>4995</v>
      </c>
      <c r="BJ124" s="8">
        <f t="shared" si="34"/>
        <v>-184681</v>
      </c>
      <c r="BK124" s="8">
        <f t="shared" si="36"/>
        <v>1356</v>
      </c>
    </row>
    <row r="125" spans="1:63">
      <c r="A125" s="5">
        <v>39742</v>
      </c>
      <c r="B125" s="8">
        <v>341689</v>
      </c>
      <c r="C125" s="8">
        <f t="shared" si="37"/>
        <v>-4970</v>
      </c>
      <c r="D125" s="8">
        <v>15018</v>
      </c>
      <c r="E125" s="8">
        <f t="shared" si="38"/>
        <v>-2048</v>
      </c>
      <c r="F125" s="8">
        <v>23819</v>
      </c>
      <c r="G125" s="8">
        <f t="shared" si="39"/>
        <v>5540</v>
      </c>
      <c r="H125" s="8">
        <v>-8801</v>
      </c>
      <c r="I125" s="8">
        <f t="shared" si="40"/>
        <v>-7588</v>
      </c>
      <c r="J125" s="8">
        <v>203513</v>
      </c>
      <c r="K125" s="8">
        <f t="shared" si="41"/>
        <v>1701</v>
      </c>
      <c r="L125" s="8">
        <v>180052</v>
      </c>
      <c r="M125" s="8">
        <f t="shared" si="42"/>
        <v>-8797</v>
      </c>
      <c r="N125" s="8">
        <v>23461</v>
      </c>
      <c r="O125" s="8">
        <f t="shared" si="43"/>
        <v>10498</v>
      </c>
      <c r="P125" s="8">
        <v>134708</v>
      </c>
      <c r="Q125" s="8">
        <f t="shared" si="44"/>
        <v>3529</v>
      </c>
      <c r="R125" s="8">
        <v>155865</v>
      </c>
      <c r="S125" s="8">
        <f t="shared" si="45"/>
        <v>-8207</v>
      </c>
      <c r="T125" s="8">
        <v>-21157</v>
      </c>
      <c r="U125" s="8">
        <f t="shared" si="46"/>
        <v>11736</v>
      </c>
      <c r="W125" s="8">
        <v>194116</v>
      </c>
      <c r="X125" s="8">
        <f t="shared" si="47"/>
        <v>5760</v>
      </c>
      <c r="Y125" s="8">
        <v>14695</v>
      </c>
      <c r="Z125" s="8">
        <f t="shared" si="48"/>
        <v>-188</v>
      </c>
      <c r="AA125" s="8">
        <v>11953</v>
      </c>
      <c r="AB125" s="8">
        <f t="shared" si="35"/>
        <v>-720</v>
      </c>
      <c r="AC125" s="8">
        <v>2742</v>
      </c>
      <c r="AD125" s="8">
        <f t="shared" si="35"/>
        <v>532</v>
      </c>
      <c r="AE125" s="8">
        <v>94312</v>
      </c>
      <c r="AF125" s="8">
        <f t="shared" si="49"/>
        <v>3188</v>
      </c>
      <c r="AG125" s="8">
        <v>109067</v>
      </c>
      <c r="AH125" s="8">
        <f t="shared" si="50"/>
        <v>4115</v>
      </c>
      <c r="AI125" s="8">
        <v>-14755</v>
      </c>
      <c r="AJ125" s="8">
        <f t="shared" si="51"/>
        <v>-927</v>
      </c>
      <c r="AK125" s="8">
        <v>85396</v>
      </c>
      <c r="AL125" s="8">
        <f t="shared" si="52"/>
        <v>3275</v>
      </c>
      <c r="AM125" s="8">
        <v>106625</v>
      </c>
      <c r="AN125" s="8">
        <f t="shared" si="53"/>
        <v>4257</v>
      </c>
      <c r="AO125" s="8">
        <v>-21229</v>
      </c>
      <c r="AP125" s="8">
        <f t="shared" si="54"/>
        <v>-982</v>
      </c>
      <c r="AR125" s="8">
        <v>1707036</v>
      </c>
      <c r="AS125" s="8">
        <f t="shared" si="55"/>
        <v>-18185</v>
      </c>
      <c r="AT125" s="8">
        <v>100799</v>
      </c>
      <c r="AU125" s="8">
        <f t="shared" si="56"/>
        <v>-6441</v>
      </c>
      <c r="AV125" s="8">
        <v>54962</v>
      </c>
      <c r="AW125" s="8">
        <f t="shared" si="57"/>
        <v>9601</v>
      </c>
      <c r="AX125" s="8">
        <f t="shared" si="32"/>
        <v>45837</v>
      </c>
      <c r="AY125" s="8">
        <f t="shared" si="58"/>
        <v>-16042</v>
      </c>
      <c r="AZ125" s="8">
        <v>729680</v>
      </c>
      <c r="BA125" s="8">
        <f t="shared" si="59"/>
        <v>-4002</v>
      </c>
      <c r="BB125" s="8">
        <v>694300</v>
      </c>
      <c r="BC125" s="8">
        <f t="shared" si="60"/>
        <v>-9124</v>
      </c>
      <c r="BD125" s="8">
        <f t="shared" si="33"/>
        <v>35380</v>
      </c>
      <c r="BE125" s="8">
        <f t="shared" si="61"/>
        <v>5122</v>
      </c>
      <c r="BF125" s="8">
        <v>409930</v>
      </c>
      <c r="BG125" s="8">
        <f t="shared" si="62"/>
        <v>5106</v>
      </c>
      <c r="BH125" s="8">
        <v>573886</v>
      </c>
      <c r="BI125" s="8">
        <f t="shared" si="63"/>
        <v>-15619</v>
      </c>
      <c r="BJ125" s="8">
        <f t="shared" si="34"/>
        <v>-163956</v>
      </c>
      <c r="BK125" s="8">
        <f t="shared" si="36"/>
        <v>20725</v>
      </c>
    </row>
    <row r="126" spans="1:63">
      <c r="A126" s="5">
        <v>39749</v>
      </c>
      <c r="B126" s="8">
        <v>336701</v>
      </c>
      <c r="C126" s="8">
        <f t="shared" si="37"/>
        <v>-4988</v>
      </c>
      <c r="D126" s="8">
        <v>12696</v>
      </c>
      <c r="E126" s="8">
        <f t="shared" si="38"/>
        <v>-2322</v>
      </c>
      <c r="F126" s="8">
        <v>20484</v>
      </c>
      <c r="G126" s="8">
        <f t="shared" si="39"/>
        <v>-3335</v>
      </c>
      <c r="H126" s="8">
        <v>-7788</v>
      </c>
      <c r="I126" s="8">
        <f t="shared" si="40"/>
        <v>1013</v>
      </c>
      <c r="J126" s="8">
        <v>198376</v>
      </c>
      <c r="K126" s="8">
        <f t="shared" si="41"/>
        <v>-5137</v>
      </c>
      <c r="L126" s="8">
        <v>172662</v>
      </c>
      <c r="M126" s="8">
        <f t="shared" si="42"/>
        <v>-7390</v>
      </c>
      <c r="N126" s="8">
        <v>25714</v>
      </c>
      <c r="O126" s="8">
        <f t="shared" si="43"/>
        <v>2253</v>
      </c>
      <c r="P126" s="8">
        <v>131574</v>
      </c>
      <c r="Q126" s="8">
        <f t="shared" si="44"/>
        <v>-3134</v>
      </c>
      <c r="R126" s="8">
        <v>146232</v>
      </c>
      <c r="S126" s="8">
        <f t="shared" si="45"/>
        <v>-9633</v>
      </c>
      <c r="T126" s="8">
        <v>-14658</v>
      </c>
      <c r="U126" s="8">
        <f t="shared" si="46"/>
        <v>6499</v>
      </c>
      <c r="W126" s="8">
        <v>186507</v>
      </c>
      <c r="X126" s="8">
        <f t="shared" si="47"/>
        <v>-7609</v>
      </c>
      <c r="Y126" s="8">
        <v>14410</v>
      </c>
      <c r="Z126" s="8">
        <f t="shared" si="48"/>
        <v>-285</v>
      </c>
      <c r="AA126" s="8">
        <v>8622</v>
      </c>
      <c r="AB126" s="8">
        <f t="shared" si="35"/>
        <v>-3331</v>
      </c>
      <c r="AC126" s="8">
        <v>5788</v>
      </c>
      <c r="AD126" s="8">
        <f t="shared" si="35"/>
        <v>3046</v>
      </c>
      <c r="AE126" s="8">
        <v>89623</v>
      </c>
      <c r="AF126" s="8">
        <f t="shared" si="49"/>
        <v>-4689</v>
      </c>
      <c r="AG126" s="8">
        <v>107331</v>
      </c>
      <c r="AH126" s="8">
        <f t="shared" si="50"/>
        <v>-1736</v>
      </c>
      <c r="AI126" s="8">
        <v>-17708</v>
      </c>
      <c r="AJ126" s="8">
        <f t="shared" si="51"/>
        <v>-2953</v>
      </c>
      <c r="AK126" s="8">
        <v>82976</v>
      </c>
      <c r="AL126" s="8">
        <f t="shared" si="52"/>
        <v>-2420</v>
      </c>
      <c r="AM126" s="8">
        <v>104687</v>
      </c>
      <c r="AN126" s="8">
        <f t="shared" si="53"/>
        <v>-1938</v>
      </c>
      <c r="AO126" s="8">
        <v>-21711</v>
      </c>
      <c r="AP126" s="8">
        <f t="shared" si="54"/>
        <v>-482</v>
      </c>
      <c r="AR126" s="8">
        <v>1697112</v>
      </c>
      <c r="AS126" s="8">
        <f t="shared" si="55"/>
        <v>-9924</v>
      </c>
      <c r="AT126" s="8">
        <v>103319</v>
      </c>
      <c r="AU126" s="8">
        <f t="shared" si="56"/>
        <v>2520</v>
      </c>
      <c r="AV126" s="8">
        <v>61606</v>
      </c>
      <c r="AW126" s="8">
        <f t="shared" si="57"/>
        <v>6644</v>
      </c>
      <c r="AX126" s="8">
        <f t="shared" si="32"/>
        <v>41713</v>
      </c>
      <c r="AY126" s="8">
        <f t="shared" si="58"/>
        <v>-4124</v>
      </c>
      <c r="AZ126" s="8">
        <v>728891</v>
      </c>
      <c r="BA126" s="8">
        <f t="shared" si="59"/>
        <v>-789</v>
      </c>
      <c r="BB126" s="8">
        <v>687147</v>
      </c>
      <c r="BC126" s="8">
        <f t="shared" si="60"/>
        <v>-7153</v>
      </c>
      <c r="BD126" s="8">
        <f t="shared" si="33"/>
        <v>41744</v>
      </c>
      <c r="BE126" s="8">
        <f t="shared" si="61"/>
        <v>6364</v>
      </c>
      <c r="BF126" s="8">
        <v>416412</v>
      </c>
      <c r="BG126" s="8">
        <f t="shared" si="62"/>
        <v>6482</v>
      </c>
      <c r="BH126" s="8">
        <v>556317</v>
      </c>
      <c r="BI126" s="8">
        <f t="shared" si="63"/>
        <v>-17569</v>
      </c>
      <c r="BJ126" s="8">
        <f t="shared" si="34"/>
        <v>-139905</v>
      </c>
      <c r="BK126" s="8">
        <f t="shared" si="36"/>
        <v>24051</v>
      </c>
    </row>
    <row r="127" spans="1:63">
      <c r="A127" s="5">
        <v>39756</v>
      </c>
      <c r="B127" s="8">
        <v>331137</v>
      </c>
      <c r="C127" s="8">
        <f t="shared" si="37"/>
        <v>-5564</v>
      </c>
      <c r="D127" s="8">
        <v>11912</v>
      </c>
      <c r="E127" s="8">
        <f t="shared" si="38"/>
        <v>-784</v>
      </c>
      <c r="F127" s="8">
        <v>19198</v>
      </c>
      <c r="G127" s="8">
        <f t="shared" si="39"/>
        <v>-1286</v>
      </c>
      <c r="H127" s="8">
        <v>-7286</v>
      </c>
      <c r="I127" s="8">
        <f t="shared" si="40"/>
        <v>502</v>
      </c>
      <c r="J127" s="8">
        <v>192384</v>
      </c>
      <c r="K127" s="8">
        <f t="shared" si="41"/>
        <v>-5992</v>
      </c>
      <c r="L127" s="8">
        <v>179083</v>
      </c>
      <c r="M127" s="8">
        <f t="shared" si="42"/>
        <v>6421</v>
      </c>
      <c r="N127" s="8">
        <v>13301</v>
      </c>
      <c r="O127" s="8">
        <f t="shared" si="43"/>
        <v>-12413</v>
      </c>
      <c r="P127" s="8">
        <v>128881</v>
      </c>
      <c r="Q127" s="8">
        <f t="shared" si="44"/>
        <v>-2693</v>
      </c>
      <c r="R127" s="8">
        <v>152507</v>
      </c>
      <c r="S127" s="8">
        <f t="shared" si="45"/>
        <v>6275</v>
      </c>
      <c r="T127" s="8">
        <v>-23626</v>
      </c>
      <c r="U127" s="8">
        <f t="shared" si="46"/>
        <v>-8968</v>
      </c>
      <c r="W127" s="8">
        <v>181888</v>
      </c>
      <c r="X127" s="8">
        <f t="shared" si="47"/>
        <v>-4619</v>
      </c>
      <c r="Y127" s="8">
        <v>12628</v>
      </c>
      <c r="Z127" s="8">
        <f t="shared" si="48"/>
        <v>-1782</v>
      </c>
      <c r="AA127" s="8">
        <v>9068</v>
      </c>
      <c r="AB127" s="8">
        <f t="shared" si="35"/>
        <v>446</v>
      </c>
      <c r="AC127" s="8">
        <v>3560</v>
      </c>
      <c r="AD127" s="8">
        <f t="shared" si="35"/>
        <v>-2228</v>
      </c>
      <c r="AE127" s="8">
        <v>84849</v>
      </c>
      <c r="AF127" s="8">
        <f t="shared" si="49"/>
        <v>-4774</v>
      </c>
      <c r="AG127" s="8">
        <v>102605</v>
      </c>
      <c r="AH127" s="8">
        <f t="shared" si="50"/>
        <v>-4726</v>
      </c>
      <c r="AI127" s="8">
        <v>-17756</v>
      </c>
      <c r="AJ127" s="8">
        <f t="shared" si="51"/>
        <v>-48</v>
      </c>
      <c r="AK127" s="8">
        <v>78056</v>
      </c>
      <c r="AL127" s="8">
        <f t="shared" si="52"/>
        <v>-4920</v>
      </c>
      <c r="AM127" s="8">
        <v>99103</v>
      </c>
      <c r="AN127" s="8">
        <f t="shared" si="53"/>
        <v>-5584</v>
      </c>
      <c r="AO127" s="8">
        <v>-21047</v>
      </c>
      <c r="AP127" s="8">
        <f t="shared" si="54"/>
        <v>664</v>
      </c>
      <c r="AR127" s="8">
        <v>1714300</v>
      </c>
      <c r="AS127" s="8">
        <f t="shared" si="55"/>
        <v>17188</v>
      </c>
      <c r="AT127" s="8">
        <v>99249</v>
      </c>
      <c r="AU127" s="8">
        <f t="shared" si="56"/>
        <v>-4070</v>
      </c>
      <c r="AV127" s="8">
        <v>62622</v>
      </c>
      <c r="AW127" s="8">
        <f t="shared" si="57"/>
        <v>1016</v>
      </c>
      <c r="AX127" s="8">
        <f t="shared" si="32"/>
        <v>36627</v>
      </c>
      <c r="AY127" s="8">
        <f t="shared" si="58"/>
        <v>-5086</v>
      </c>
      <c r="AZ127" s="8">
        <v>722920</v>
      </c>
      <c r="BA127" s="8">
        <f t="shared" si="59"/>
        <v>-5971</v>
      </c>
      <c r="BB127" s="8">
        <v>689308</v>
      </c>
      <c r="BC127" s="8">
        <f t="shared" si="60"/>
        <v>2161</v>
      </c>
      <c r="BD127" s="8">
        <f t="shared" si="33"/>
        <v>33612</v>
      </c>
      <c r="BE127" s="8">
        <f t="shared" si="61"/>
        <v>-8132</v>
      </c>
      <c r="BF127" s="8">
        <v>414294</v>
      </c>
      <c r="BG127" s="8">
        <f t="shared" si="62"/>
        <v>-2118</v>
      </c>
      <c r="BH127" s="8">
        <v>559216</v>
      </c>
      <c r="BI127" s="8">
        <f t="shared" si="63"/>
        <v>2899</v>
      </c>
      <c r="BJ127" s="8">
        <f t="shared" si="34"/>
        <v>-144922</v>
      </c>
      <c r="BK127" s="8">
        <f t="shared" si="36"/>
        <v>-5017</v>
      </c>
    </row>
    <row r="128" spans="1:63">
      <c r="A128" s="5">
        <v>39763</v>
      </c>
      <c r="B128" s="8">
        <v>334827</v>
      </c>
      <c r="C128" s="8">
        <f t="shared" si="37"/>
        <v>3690</v>
      </c>
      <c r="D128" s="8">
        <v>11250</v>
      </c>
      <c r="E128" s="8">
        <f t="shared" si="38"/>
        <v>-662</v>
      </c>
      <c r="F128" s="8">
        <v>16725</v>
      </c>
      <c r="G128" s="8">
        <f t="shared" si="39"/>
        <v>-2473</v>
      </c>
      <c r="H128" s="8">
        <v>-5475</v>
      </c>
      <c r="I128" s="8">
        <f t="shared" si="40"/>
        <v>1811</v>
      </c>
      <c r="J128" s="8">
        <v>194632</v>
      </c>
      <c r="K128" s="8">
        <f t="shared" si="41"/>
        <v>2248</v>
      </c>
      <c r="L128" s="8">
        <v>178599</v>
      </c>
      <c r="M128" s="8">
        <f t="shared" si="42"/>
        <v>-484</v>
      </c>
      <c r="N128" s="8">
        <v>16033</v>
      </c>
      <c r="O128" s="8">
        <f t="shared" si="43"/>
        <v>2732</v>
      </c>
      <c r="P128" s="8">
        <v>135683</v>
      </c>
      <c r="Q128" s="8">
        <f t="shared" si="44"/>
        <v>6802</v>
      </c>
      <c r="R128" s="8">
        <v>151100</v>
      </c>
      <c r="S128" s="8">
        <f t="shared" si="45"/>
        <v>-1407</v>
      </c>
      <c r="T128" s="8">
        <v>-15417</v>
      </c>
      <c r="U128" s="8">
        <f t="shared" si="46"/>
        <v>8209</v>
      </c>
      <c r="W128" s="8">
        <v>173536</v>
      </c>
      <c r="X128" s="8">
        <f t="shared" si="47"/>
        <v>-8352</v>
      </c>
      <c r="Y128" s="8">
        <v>11902</v>
      </c>
      <c r="Z128" s="8">
        <f t="shared" si="48"/>
        <v>-726</v>
      </c>
      <c r="AA128" s="8">
        <v>8260</v>
      </c>
      <c r="AB128" s="8">
        <f t="shared" si="35"/>
        <v>-808</v>
      </c>
      <c r="AC128" s="8">
        <v>3642</v>
      </c>
      <c r="AD128" s="8">
        <f t="shared" si="35"/>
        <v>82</v>
      </c>
      <c r="AE128" s="8">
        <v>82299</v>
      </c>
      <c r="AF128" s="8">
        <f t="shared" si="49"/>
        <v>-2550</v>
      </c>
      <c r="AG128" s="8">
        <v>98400</v>
      </c>
      <c r="AH128" s="8">
        <f t="shared" si="50"/>
        <v>-4205</v>
      </c>
      <c r="AI128" s="8">
        <v>-16101</v>
      </c>
      <c r="AJ128" s="8">
        <f t="shared" si="51"/>
        <v>1655</v>
      </c>
      <c r="AK128" s="8">
        <v>75948</v>
      </c>
      <c r="AL128" s="8">
        <f t="shared" si="52"/>
        <v>-2108</v>
      </c>
      <c r="AM128" s="8">
        <v>95054</v>
      </c>
      <c r="AN128" s="8">
        <f t="shared" si="53"/>
        <v>-4049</v>
      </c>
      <c r="AO128" s="8">
        <v>-19106</v>
      </c>
      <c r="AP128" s="8">
        <f t="shared" si="54"/>
        <v>1941</v>
      </c>
      <c r="AR128" s="8">
        <v>1712370</v>
      </c>
      <c r="AS128" s="8">
        <f t="shared" si="55"/>
        <v>-1930</v>
      </c>
      <c r="AT128" s="8">
        <v>93716</v>
      </c>
      <c r="AU128" s="8">
        <f t="shared" si="56"/>
        <v>-5533</v>
      </c>
      <c r="AV128" s="8">
        <v>78013</v>
      </c>
      <c r="AW128" s="8">
        <f t="shared" si="57"/>
        <v>15391</v>
      </c>
      <c r="AX128" s="8">
        <f t="shared" si="32"/>
        <v>15703</v>
      </c>
      <c r="AY128" s="8">
        <f t="shared" si="58"/>
        <v>-20924</v>
      </c>
      <c r="AZ128" s="8">
        <v>725973</v>
      </c>
      <c r="BA128" s="8">
        <f t="shared" si="59"/>
        <v>3053</v>
      </c>
      <c r="BB128" s="8">
        <v>668941</v>
      </c>
      <c r="BC128" s="8">
        <f t="shared" si="60"/>
        <v>-20367</v>
      </c>
      <c r="BD128" s="8">
        <f t="shared" si="33"/>
        <v>57032</v>
      </c>
      <c r="BE128" s="8">
        <f t="shared" si="61"/>
        <v>23420</v>
      </c>
      <c r="BF128" s="8">
        <v>421226</v>
      </c>
      <c r="BG128" s="8">
        <f t="shared" si="62"/>
        <v>6932</v>
      </c>
      <c r="BH128" s="8">
        <v>535802</v>
      </c>
      <c r="BI128" s="8">
        <f t="shared" si="63"/>
        <v>-23414</v>
      </c>
      <c r="BJ128" s="8">
        <f t="shared" si="34"/>
        <v>-114576</v>
      </c>
      <c r="BK128" s="8">
        <f t="shared" si="36"/>
        <v>30346</v>
      </c>
    </row>
    <row r="129" spans="1:63">
      <c r="A129" s="5">
        <v>39770</v>
      </c>
      <c r="B129" s="8">
        <v>327226</v>
      </c>
      <c r="C129" s="8">
        <f t="shared" si="37"/>
        <v>-7601</v>
      </c>
      <c r="D129" s="8">
        <v>8342</v>
      </c>
      <c r="E129" s="8">
        <f t="shared" si="38"/>
        <v>-2908</v>
      </c>
      <c r="F129" s="8">
        <v>16536</v>
      </c>
      <c r="G129" s="8">
        <f t="shared" si="39"/>
        <v>-189</v>
      </c>
      <c r="H129" s="8">
        <v>-8194</v>
      </c>
      <c r="I129" s="8">
        <f t="shared" si="40"/>
        <v>-2719</v>
      </c>
      <c r="J129" s="8">
        <v>186327</v>
      </c>
      <c r="K129" s="8">
        <f t="shared" si="41"/>
        <v>-8305</v>
      </c>
      <c r="L129" s="8">
        <v>167908</v>
      </c>
      <c r="M129" s="8">
        <f t="shared" si="42"/>
        <v>-10691</v>
      </c>
      <c r="N129" s="8">
        <v>18419</v>
      </c>
      <c r="O129" s="8">
        <f t="shared" si="43"/>
        <v>2386</v>
      </c>
      <c r="P129" s="8">
        <v>128241</v>
      </c>
      <c r="Q129" s="8">
        <f t="shared" si="44"/>
        <v>-7442</v>
      </c>
      <c r="R129" s="8">
        <v>140763</v>
      </c>
      <c r="S129" s="8">
        <f t="shared" si="45"/>
        <v>-10337</v>
      </c>
      <c r="T129" s="8">
        <v>-12522</v>
      </c>
      <c r="U129" s="8">
        <f t="shared" si="46"/>
        <v>2895</v>
      </c>
      <c r="W129" s="8">
        <v>171840</v>
      </c>
      <c r="X129" s="8">
        <f t="shared" si="47"/>
        <v>-1696</v>
      </c>
      <c r="Y129" s="8">
        <v>10392</v>
      </c>
      <c r="Z129" s="8">
        <f t="shared" si="48"/>
        <v>-1510</v>
      </c>
      <c r="AA129" s="8">
        <v>7230</v>
      </c>
      <c r="AB129" s="8">
        <f t="shared" si="35"/>
        <v>-1030</v>
      </c>
      <c r="AC129" s="8">
        <v>3162</v>
      </c>
      <c r="AD129" s="8">
        <f t="shared" si="35"/>
        <v>-480</v>
      </c>
      <c r="AE129" s="8">
        <v>81858</v>
      </c>
      <c r="AF129" s="8">
        <f t="shared" si="49"/>
        <v>-441</v>
      </c>
      <c r="AG129" s="8">
        <v>96536</v>
      </c>
      <c r="AH129" s="8">
        <f t="shared" si="50"/>
        <v>-1864</v>
      </c>
      <c r="AI129" s="8">
        <v>-14678</v>
      </c>
      <c r="AJ129" s="8">
        <f t="shared" si="51"/>
        <v>1423</v>
      </c>
      <c r="AK129" s="8">
        <v>75489</v>
      </c>
      <c r="AL129" s="8">
        <f t="shared" si="52"/>
        <v>-459</v>
      </c>
      <c r="AM129" s="8">
        <v>93577</v>
      </c>
      <c r="AN129" s="8">
        <f t="shared" si="53"/>
        <v>-1477</v>
      </c>
      <c r="AO129" s="8">
        <v>-18088</v>
      </c>
      <c r="AP129" s="8">
        <f t="shared" si="54"/>
        <v>1018</v>
      </c>
      <c r="AR129" s="8">
        <v>1615398</v>
      </c>
      <c r="AS129" s="8">
        <f t="shared" si="55"/>
        <v>-96972</v>
      </c>
      <c r="AT129" s="8">
        <v>90569</v>
      </c>
      <c r="AU129" s="8">
        <f t="shared" si="56"/>
        <v>-3147</v>
      </c>
      <c r="AV129" s="8">
        <v>78781</v>
      </c>
      <c r="AW129" s="8">
        <f t="shared" si="57"/>
        <v>768</v>
      </c>
      <c r="AX129" s="8">
        <f t="shared" si="32"/>
        <v>11788</v>
      </c>
      <c r="AY129" s="8">
        <f t="shared" si="58"/>
        <v>-3915</v>
      </c>
      <c r="AZ129" s="8">
        <v>703251</v>
      </c>
      <c r="BA129" s="8">
        <f t="shared" si="59"/>
        <v>-22722</v>
      </c>
      <c r="BB129" s="8">
        <v>655685</v>
      </c>
      <c r="BC129" s="8">
        <f t="shared" si="60"/>
        <v>-13256</v>
      </c>
      <c r="BD129" s="8">
        <f t="shared" si="33"/>
        <v>47566</v>
      </c>
      <c r="BE129" s="8">
        <f t="shared" si="61"/>
        <v>-9466</v>
      </c>
      <c r="BF129" s="8">
        <v>404002</v>
      </c>
      <c r="BG129" s="8">
        <f t="shared" si="62"/>
        <v>-17224</v>
      </c>
      <c r="BH129" s="8">
        <v>525513</v>
      </c>
      <c r="BI129" s="8">
        <f t="shared" si="63"/>
        <v>-10289</v>
      </c>
      <c r="BJ129" s="8">
        <f t="shared" si="34"/>
        <v>-121511</v>
      </c>
      <c r="BK129" s="8">
        <f t="shared" si="36"/>
        <v>-6935</v>
      </c>
    </row>
    <row r="130" spans="1:63">
      <c r="A130" s="5">
        <v>39777</v>
      </c>
      <c r="B130" s="8">
        <v>276863</v>
      </c>
      <c r="C130" s="8">
        <f t="shared" si="37"/>
        <v>-50363</v>
      </c>
      <c r="D130" s="8">
        <v>8233</v>
      </c>
      <c r="E130" s="8">
        <f t="shared" si="38"/>
        <v>-109</v>
      </c>
      <c r="F130" s="8">
        <v>16574</v>
      </c>
      <c r="G130" s="8">
        <f t="shared" si="39"/>
        <v>38</v>
      </c>
      <c r="H130" s="8">
        <v>-8341</v>
      </c>
      <c r="I130" s="8">
        <f t="shared" si="40"/>
        <v>-147</v>
      </c>
      <c r="J130" s="8">
        <v>163448</v>
      </c>
      <c r="K130" s="8">
        <f t="shared" si="41"/>
        <v>-22879</v>
      </c>
      <c r="L130" s="8">
        <v>145377</v>
      </c>
      <c r="M130" s="8">
        <f t="shared" si="42"/>
        <v>-22531</v>
      </c>
      <c r="N130" s="8">
        <v>18071</v>
      </c>
      <c r="O130" s="8">
        <f t="shared" si="43"/>
        <v>-348</v>
      </c>
      <c r="P130" s="8">
        <v>110847</v>
      </c>
      <c r="Q130" s="8">
        <f t="shared" si="44"/>
        <v>-17394</v>
      </c>
      <c r="R130" s="8">
        <v>124486</v>
      </c>
      <c r="S130" s="8">
        <f t="shared" si="45"/>
        <v>-16277</v>
      </c>
      <c r="T130" s="8">
        <v>-13639</v>
      </c>
      <c r="U130" s="8">
        <f t="shared" si="46"/>
        <v>-1117</v>
      </c>
      <c r="W130" s="8">
        <v>148352</v>
      </c>
      <c r="X130" s="8">
        <f t="shared" si="47"/>
        <v>-23488</v>
      </c>
      <c r="Y130" s="8">
        <v>10611</v>
      </c>
      <c r="Z130" s="8">
        <f t="shared" si="48"/>
        <v>219</v>
      </c>
      <c r="AA130" s="8">
        <v>6736</v>
      </c>
      <c r="AB130" s="8">
        <f t="shared" si="35"/>
        <v>-494</v>
      </c>
      <c r="AC130" s="8">
        <v>3875</v>
      </c>
      <c r="AD130" s="8">
        <f t="shared" si="35"/>
        <v>713</v>
      </c>
      <c r="AE130" s="8">
        <v>74422</v>
      </c>
      <c r="AF130" s="8">
        <f t="shared" si="49"/>
        <v>-7436</v>
      </c>
      <c r="AG130" s="8">
        <v>87994</v>
      </c>
      <c r="AH130" s="8">
        <f t="shared" si="50"/>
        <v>-8542</v>
      </c>
      <c r="AI130" s="8">
        <v>-13572</v>
      </c>
      <c r="AJ130" s="8">
        <f t="shared" si="51"/>
        <v>1106</v>
      </c>
      <c r="AK130" s="8">
        <v>68593</v>
      </c>
      <c r="AL130" s="8">
        <f t="shared" si="52"/>
        <v>-6896</v>
      </c>
      <c r="AM130" s="8">
        <v>85980</v>
      </c>
      <c r="AN130" s="8">
        <f t="shared" si="53"/>
        <v>-7597</v>
      </c>
      <c r="AO130" s="8">
        <v>-17387</v>
      </c>
      <c r="AP130" s="8">
        <f t="shared" si="54"/>
        <v>701</v>
      </c>
      <c r="AR130" s="8">
        <v>1256683</v>
      </c>
      <c r="AS130" s="8">
        <f t="shared" si="55"/>
        <v>-358715</v>
      </c>
      <c r="AT130" s="8">
        <v>89535</v>
      </c>
      <c r="AU130" s="8">
        <f t="shared" si="56"/>
        <v>-1034</v>
      </c>
      <c r="AV130" s="8">
        <v>70036</v>
      </c>
      <c r="AW130" s="8">
        <f t="shared" si="57"/>
        <v>-8745</v>
      </c>
      <c r="AX130" s="8">
        <f t="shared" si="32"/>
        <v>19499</v>
      </c>
      <c r="AY130" s="8">
        <f t="shared" si="58"/>
        <v>7711</v>
      </c>
      <c r="AZ130" s="8">
        <v>591597</v>
      </c>
      <c r="BA130" s="8">
        <f t="shared" si="59"/>
        <v>-111654</v>
      </c>
      <c r="BB130" s="8">
        <v>534585</v>
      </c>
      <c r="BC130" s="8">
        <f t="shared" si="60"/>
        <v>-121100</v>
      </c>
      <c r="BD130" s="8">
        <f t="shared" si="33"/>
        <v>57012</v>
      </c>
      <c r="BE130" s="8">
        <f t="shared" si="61"/>
        <v>9446</v>
      </c>
      <c r="BF130" s="8">
        <v>337928</v>
      </c>
      <c r="BG130" s="8">
        <f t="shared" si="62"/>
        <v>-66074</v>
      </c>
      <c r="BH130" s="8">
        <v>468409</v>
      </c>
      <c r="BI130" s="8">
        <f t="shared" si="63"/>
        <v>-57104</v>
      </c>
      <c r="BJ130" s="8">
        <f t="shared" si="34"/>
        <v>-130481</v>
      </c>
      <c r="BK130" s="8">
        <f t="shared" si="36"/>
        <v>-8970</v>
      </c>
    </row>
    <row r="131" spans="1:63">
      <c r="A131" s="5">
        <v>39784</v>
      </c>
      <c r="B131" s="8">
        <v>270790</v>
      </c>
      <c r="C131" s="8">
        <f t="shared" si="37"/>
        <v>-6073</v>
      </c>
      <c r="D131" s="8">
        <v>8092</v>
      </c>
      <c r="E131" s="8">
        <f t="shared" si="38"/>
        <v>-141</v>
      </c>
      <c r="F131" s="8">
        <v>19630</v>
      </c>
      <c r="G131" s="8">
        <f t="shared" si="39"/>
        <v>3056</v>
      </c>
      <c r="H131" s="8">
        <v>-11538</v>
      </c>
      <c r="I131" s="8">
        <f t="shared" si="40"/>
        <v>-3197</v>
      </c>
      <c r="J131" s="8">
        <v>167832</v>
      </c>
      <c r="K131" s="8">
        <f t="shared" si="41"/>
        <v>4384</v>
      </c>
      <c r="L131" s="8">
        <v>143892</v>
      </c>
      <c r="M131" s="8">
        <f t="shared" si="42"/>
        <v>-1485</v>
      </c>
      <c r="N131" s="8">
        <v>23940</v>
      </c>
      <c r="O131" s="8">
        <f t="shared" si="43"/>
        <v>5869</v>
      </c>
      <c r="P131" s="8">
        <v>114774</v>
      </c>
      <c r="Q131" s="8">
        <f t="shared" si="44"/>
        <v>3927</v>
      </c>
      <c r="R131" s="8">
        <v>121986</v>
      </c>
      <c r="S131" s="8">
        <f t="shared" si="45"/>
        <v>-2500</v>
      </c>
      <c r="T131" s="8">
        <v>-7212</v>
      </c>
      <c r="U131" s="8">
        <f t="shared" si="46"/>
        <v>6427</v>
      </c>
      <c r="W131" s="8">
        <v>143368</v>
      </c>
      <c r="X131" s="8">
        <f t="shared" si="47"/>
        <v>-4984</v>
      </c>
      <c r="Y131" s="8">
        <v>9138</v>
      </c>
      <c r="Z131" s="8">
        <f t="shared" si="48"/>
        <v>-1473</v>
      </c>
      <c r="AA131" s="8">
        <v>8753</v>
      </c>
      <c r="AB131" s="8">
        <f t="shared" si="35"/>
        <v>2017</v>
      </c>
      <c r="AC131" s="8">
        <v>385</v>
      </c>
      <c r="AD131" s="8">
        <f t="shared" si="35"/>
        <v>-3490</v>
      </c>
      <c r="AE131" s="8">
        <v>75124</v>
      </c>
      <c r="AF131" s="8">
        <f t="shared" si="49"/>
        <v>702</v>
      </c>
      <c r="AG131" s="8">
        <v>80781</v>
      </c>
      <c r="AH131" s="8">
        <f t="shared" si="50"/>
        <v>-7213</v>
      </c>
      <c r="AI131" s="8">
        <v>-5657</v>
      </c>
      <c r="AJ131" s="8">
        <f t="shared" si="51"/>
        <v>7915</v>
      </c>
      <c r="AK131" s="8">
        <v>70158</v>
      </c>
      <c r="AL131" s="8">
        <f t="shared" si="52"/>
        <v>1565</v>
      </c>
      <c r="AM131" s="8">
        <v>78779</v>
      </c>
      <c r="AN131" s="8">
        <f t="shared" si="53"/>
        <v>-7201</v>
      </c>
      <c r="AO131" s="8">
        <v>-8621</v>
      </c>
      <c r="AP131" s="8">
        <f t="shared" si="54"/>
        <v>8766</v>
      </c>
      <c r="AR131" s="8">
        <v>1217149</v>
      </c>
      <c r="AS131" s="8">
        <f t="shared" si="55"/>
        <v>-39534</v>
      </c>
      <c r="AT131" s="8">
        <v>87793</v>
      </c>
      <c r="AU131" s="8">
        <f t="shared" si="56"/>
        <v>-1742</v>
      </c>
      <c r="AV131" s="8">
        <v>72867</v>
      </c>
      <c r="AW131" s="8">
        <f t="shared" si="57"/>
        <v>2831</v>
      </c>
      <c r="AX131" s="8">
        <f t="shared" si="32"/>
        <v>14926</v>
      </c>
      <c r="AY131" s="8">
        <f t="shared" si="58"/>
        <v>-4573</v>
      </c>
      <c r="AZ131" s="8">
        <v>586950</v>
      </c>
      <c r="BA131" s="8">
        <f t="shared" si="59"/>
        <v>-4647</v>
      </c>
      <c r="BB131" s="8">
        <v>528874</v>
      </c>
      <c r="BC131" s="8">
        <f t="shared" si="60"/>
        <v>-5711</v>
      </c>
      <c r="BD131" s="8">
        <f t="shared" si="33"/>
        <v>58076</v>
      </c>
      <c r="BE131" s="8">
        <f t="shared" si="61"/>
        <v>1064</v>
      </c>
      <c r="BF131" s="8">
        <v>331954</v>
      </c>
      <c r="BG131" s="8">
        <f t="shared" si="62"/>
        <v>-5974</v>
      </c>
      <c r="BH131" s="8">
        <v>460658</v>
      </c>
      <c r="BI131" s="8">
        <f t="shared" si="63"/>
        <v>-7751</v>
      </c>
      <c r="BJ131" s="8">
        <f t="shared" si="34"/>
        <v>-128704</v>
      </c>
      <c r="BK131" s="8">
        <f t="shared" si="36"/>
        <v>1777</v>
      </c>
    </row>
    <row r="132" spans="1:63">
      <c r="A132" s="5">
        <v>39791</v>
      </c>
      <c r="B132" s="8">
        <v>257072</v>
      </c>
      <c r="C132" s="8">
        <f t="shared" si="37"/>
        <v>-13718</v>
      </c>
      <c r="D132" s="8">
        <v>6696</v>
      </c>
      <c r="E132" s="8">
        <f t="shared" si="38"/>
        <v>-1396</v>
      </c>
      <c r="F132" s="8">
        <v>20522</v>
      </c>
      <c r="G132" s="8">
        <f t="shared" si="39"/>
        <v>892</v>
      </c>
      <c r="H132" s="8">
        <v>-13826</v>
      </c>
      <c r="I132" s="8">
        <f t="shared" si="40"/>
        <v>-2288</v>
      </c>
      <c r="J132" s="8">
        <v>159431</v>
      </c>
      <c r="K132" s="8">
        <f t="shared" si="41"/>
        <v>-8401</v>
      </c>
      <c r="L132" s="8">
        <v>132654</v>
      </c>
      <c r="M132" s="8">
        <f t="shared" si="42"/>
        <v>-11238</v>
      </c>
      <c r="N132" s="8">
        <v>26777</v>
      </c>
      <c r="O132" s="8">
        <f t="shared" si="43"/>
        <v>2837</v>
      </c>
      <c r="P132" s="8">
        <v>109194</v>
      </c>
      <c r="Q132" s="8">
        <f t="shared" si="44"/>
        <v>-5580</v>
      </c>
      <c r="R132" s="8">
        <v>113214</v>
      </c>
      <c r="S132" s="8">
        <f t="shared" si="45"/>
        <v>-8772</v>
      </c>
      <c r="T132" s="8">
        <v>-4020</v>
      </c>
      <c r="U132" s="8">
        <f t="shared" si="46"/>
        <v>3192</v>
      </c>
      <c r="W132" s="8">
        <v>142327</v>
      </c>
      <c r="X132" s="8">
        <f t="shared" si="47"/>
        <v>-1041</v>
      </c>
      <c r="Y132" s="8">
        <v>9345</v>
      </c>
      <c r="Z132" s="8">
        <f t="shared" si="48"/>
        <v>207</v>
      </c>
      <c r="AA132" s="8">
        <v>10349</v>
      </c>
      <c r="AB132" s="8">
        <f t="shared" si="35"/>
        <v>1596</v>
      </c>
      <c r="AC132" s="8">
        <v>-1004</v>
      </c>
      <c r="AD132" s="8">
        <f t="shared" si="35"/>
        <v>-1389</v>
      </c>
      <c r="AE132" s="8">
        <v>74037</v>
      </c>
      <c r="AF132" s="8">
        <f t="shared" si="49"/>
        <v>-1087</v>
      </c>
      <c r="AG132" s="8">
        <v>77248</v>
      </c>
      <c r="AH132" s="8">
        <f t="shared" si="50"/>
        <v>-3533</v>
      </c>
      <c r="AI132" s="8">
        <v>-3211</v>
      </c>
      <c r="AJ132" s="8">
        <f t="shared" si="51"/>
        <v>2446</v>
      </c>
      <c r="AK132" s="8">
        <v>68935</v>
      </c>
      <c r="AL132" s="8">
        <f t="shared" si="52"/>
        <v>-1223</v>
      </c>
      <c r="AM132" s="8">
        <v>75231</v>
      </c>
      <c r="AN132" s="8">
        <f t="shared" si="53"/>
        <v>-3548</v>
      </c>
      <c r="AO132" s="8">
        <v>-6296</v>
      </c>
      <c r="AP132" s="8">
        <f t="shared" si="54"/>
        <v>2325</v>
      </c>
      <c r="AR132" s="8">
        <v>1246848</v>
      </c>
      <c r="AS132" s="8">
        <f t="shared" si="55"/>
        <v>29699</v>
      </c>
      <c r="AT132" s="8">
        <v>89859</v>
      </c>
      <c r="AU132" s="8">
        <f t="shared" si="56"/>
        <v>2066</v>
      </c>
      <c r="AV132" s="8">
        <v>77058</v>
      </c>
      <c r="AW132" s="8">
        <f t="shared" si="57"/>
        <v>4191</v>
      </c>
      <c r="AX132" s="8">
        <f t="shared" ref="AX132:AX195" si="64">AT132-AV132</f>
        <v>12801</v>
      </c>
      <c r="AY132" s="8">
        <f t="shared" si="58"/>
        <v>-2125</v>
      </c>
      <c r="AZ132" s="8">
        <v>577035</v>
      </c>
      <c r="BA132" s="8">
        <f t="shared" si="59"/>
        <v>-9915</v>
      </c>
      <c r="BB132" s="8">
        <v>525717</v>
      </c>
      <c r="BC132" s="8">
        <f t="shared" si="60"/>
        <v>-3157</v>
      </c>
      <c r="BD132" s="8">
        <f t="shared" ref="BD132:BD195" si="65">AZ132-BB132</f>
        <v>51318</v>
      </c>
      <c r="BE132" s="8">
        <f t="shared" si="61"/>
        <v>-6758</v>
      </c>
      <c r="BF132" s="8">
        <v>323036</v>
      </c>
      <c r="BG132" s="8">
        <f t="shared" si="62"/>
        <v>-8918</v>
      </c>
      <c r="BH132" s="8">
        <v>449311</v>
      </c>
      <c r="BI132" s="8">
        <f t="shared" si="63"/>
        <v>-11347</v>
      </c>
      <c r="BJ132" s="8">
        <f t="shared" ref="BJ132:BJ195" si="66">BF132-BH132</f>
        <v>-126275</v>
      </c>
      <c r="BK132" s="8">
        <f t="shared" si="36"/>
        <v>2429</v>
      </c>
    </row>
    <row r="133" spans="1:63">
      <c r="A133" s="5">
        <v>39798</v>
      </c>
      <c r="B133" s="8">
        <v>261880</v>
      </c>
      <c r="C133" s="8">
        <f t="shared" si="37"/>
        <v>4808</v>
      </c>
      <c r="D133" s="8">
        <v>9845</v>
      </c>
      <c r="E133" s="8">
        <f t="shared" si="38"/>
        <v>3149</v>
      </c>
      <c r="F133" s="8">
        <v>18750</v>
      </c>
      <c r="G133" s="8">
        <f t="shared" si="39"/>
        <v>-1772</v>
      </c>
      <c r="H133" s="8">
        <v>-8905</v>
      </c>
      <c r="I133" s="8">
        <f t="shared" si="40"/>
        <v>4921</v>
      </c>
      <c r="J133" s="8">
        <v>156194</v>
      </c>
      <c r="K133" s="8">
        <f t="shared" si="41"/>
        <v>-3237</v>
      </c>
      <c r="L133" s="8">
        <v>135747</v>
      </c>
      <c r="M133" s="8">
        <f t="shared" si="42"/>
        <v>3093</v>
      </c>
      <c r="N133" s="8">
        <v>20447</v>
      </c>
      <c r="O133" s="8">
        <f t="shared" si="43"/>
        <v>-6330</v>
      </c>
      <c r="P133" s="8">
        <v>108489</v>
      </c>
      <c r="Q133" s="8">
        <f t="shared" si="44"/>
        <v>-705</v>
      </c>
      <c r="R133" s="8">
        <v>119248</v>
      </c>
      <c r="S133" s="8">
        <f t="shared" si="45"/>
        <v>6034</v>
      </c>
      <c r="T133" s="8">
        <v>-10759</v>
      </c>
      <c r="U133" s="8">
        <f t="shared" si="46"/>
        <v>-6739</v>
      </c>
      <c r="W133" s="8">
        <v>141451</v>
      </c>
      <c r="X133" s="8">
        <f t="shared" si="47"/>
        <v>-876</v>
      </c>
      <c r="Y133" s="8">
        <v>10191</v>
      </c>
      <c r="Z133" s="8">
        <f t="shared" si="48"/>
        <v>846</v>
      </c>
      <c r="AA133" s="8">
        <v>9477</v>
      </c>
      <c r="AB133" s="8">
        <f t="shared" ref="AB133:AD196" si="67">AA133-AA132</f>
        <v>-872</v>
      </c>
      <c r="AC133" s="8">
        <v>714</v>
      </c>
      <c r="AD133" s="8">
        <f t="shared" si="67"/>
        <v>1718</v>
      </c>
      <c r="AE133" s="8">
        <v>71075</v>
      </c>
      <c r="AF133" s="8">
        <f t="shared" si="49"/>
        <v>-2962</v>
      </c>
      <c r="AG133" s="8">
        <v>77229</v>
      </c>
      <c r="AH133" s="8">
        <f t="shared" si="50"/>
        <v>-19</v>
      </c>
      <c r="AI133" s="8">
        <v>-6154</v>
      </c>
      <c r="AJ133" s="8">
        <f t="shared" si="51"/>
        <v>-2943</v>
      </c>
      <c r="AK133" s="8">
        <v>65893</v>
      </c>
      <c r="AL133" s="8">
        <f t="shared" si="52"/>
        <v>-3042</v>
      </c>
      <c r="AM133" s="8">
        <v>75333</v>
      </c>
      <c r="AN133" s="8">
        <f t="shared" si="53"/>
        <v>102</v>
      </c>
      <c r="AO133" s="8">
        <v>-9440</v>
      </c>
      <c r="AP133" s="8">
        <f t="shared" si="54"/>
        <v>-3144</v>
      </c>
      <c r="AR133" s="8">
        <v>1279967</v>
      </c>
      <c r="AS133" s="8">
        <f t="shared" si="55"/>
        <v>33119</v>
      </c>
      <c r="AT133" s="8">
        <v>94099</v>
      </c>
      <c r="AU133" s="8">
        <f t="shared" si="56"/>
        <v>4240</v>
      </c>
      <c r="AV133" s="8">
        <v>69393</v>
      </c>
      <c r="AW133" s="8">
        <f t="shared" si="57"/>
        <v>-7665</v>
      </c>
      <c r="AX133" s="8">
        <f t="shared" si="64"/>
        <v>24706</v>
      </c>
      <c r="AY133" s="8">
        <f t="shared" si="58"/>
        <v>11905</v>
      </c>
      <c r="AZ133" s="8">
        <v>569352</v>
      </c>
      <c r="BA133" s="8">
        <f t="shared" si="59"/>
        <v>-7683</v>
      </c>
      <c r="BB133" s="8">
        <v>543151</v>
      </c>
      <c r="BC133" s="8">
        <f t="shared" si="60"/>
        <v>17434</v>
      </c>
      <c r="BD133" s="8">
        <f t="shared" si="65"/>
        <v>26201</v>
      </c>
      <c r="BE133" s="8">
        <f t="shared" si="61"/>
        <v>-25117</v>
      </c>
      <c r="BF133" s="8">
        <v>316632</v>
      </c>
      <c r="BG133" s="8">
        <f t="shared" si="62"/>
        <v>-6404</v>
      </c>
      <c r="BH133" s="8">
        <v>470927</v>
      </c>
      <c r="BI133" s="8">
        <f t="shared" si="63"/>
        <v>21616</v>
      </c>
      <c r="BJ133" s="8">
        <f t="shared" si="66"/>
        <v>-154295</v>
      </c>
      <c r="BK133" s="8">
        <f t="shared" ref="BK133:BK196" si="68">BJ133-BJ132</f>
        <v>-28020</v>
      </c>
    </row>
    <row r="134" spans="1:63">
      <c r="A134" s="5">
        <v>39805</v>
      </c>
      <c r="B134" s="8">
        <v>254170</v>
      </c>
      <c r="C134" s="8">
        <f t="shared" si="37"/>
        <v>-7710</v>
      </c>
      <c r="D134" s="8">
        <v>13192</v>
      </c>
      <c r="E134" s="8">
        <f t="shared" si="38"/>
        <v>3347</v>
      </c>
      <c r="F134" s="8">
        <v>19759</v>
      </c>
      <c r="G134" s="8">
        <f t="shared" si="39"/>
        <v>1009</v>
      </c>
      <c r="H134" s="8">
        <v>-6567</v>
      </c>
      <c r="I134" s="8">
        <f t="shared" si="40"/>
        <v>2338</v>
      </c>
      <c r="J134" s="8">
        <v>18056</v>
      </c>
      <c r="K134" s="8">
        <f t="shared" si="41"/>
        <v>-138138</v>
      </c>
      <c r="L134" s="8">
        <v>126774</v>
      </c>
      <c r="M134" s="8">
        <f t="shared" si="42"/>
        <v>-8973</v>
      </c>
      <c r="N134" s="8">
        <v>18056</v>
      </c>
      <c r="O134" s="8">
        <f t="shared" si="43"/>
        <v>-2391</v>
      </c>
      <c r="P134" s="8">
        <v>98145</v>
      </c>
      <c r="Q134" s="8">
        <f t="shared" si="44"/>
        <v>-10344</v>
      </c>
      <c r="R134" s="8">
        <v>111932</v>
      </c>
      <c r="S134" s="8">
        <f t="shared" si="45"/>
        <v>-7316</v>
      </c>
      <c r="T134" s="8">
        <v>-13787</v>
      </c>
      <c r="U134" s="8">
        <f t="shared" si="46"/>
        <v>-3028</v>
      </c>
      <c r="W134" s="8">
        <v>139650</v>
      </c>
      <c r="X134" s="8">
        <f t="shared" si="47"/>
        <v>-1801</v>
      </c>
      <c r="Y134" s="8" t="e">
        <v>#N/A</v>
      </c>
      <c r="Z134" s="8" t="e">
        <f t="shared" si="48"/>
        <v>#N/A</v>
      </c>
      <c r="AA134" s="8" t="e">
        <v>#N/A</v>
      </c>
      <c r="AB134" s="8" t="e">
        <f t="shared" si="67"/>
        <v>#N/A</v>
      </c>
      <c r="AC134" s="8" t="e">
        <v>#N/A</v>
      </c>
      <c r="AD134" s="8" t="e">
        <f t="shared" si="67"/>
        <v>#N/A</v>
      </c>
      <c r="AE134" s="8">
        <v>65864</v>
      </c>
      <c r="AF134" s="8">
        <f t="shared" si="49"/>
        <v>-5211</v>
      </c>
      <c r="AG134" s="8">
        <v>76770</v>
      </c>
      <c r="AH134" s="8">
        <f t="shared" si="50"/>
        <v>-459</v>
      </c>
      <c r="AI134" s="8">
        <v>-10906</v>
      </c>
      <c r="AJ134" s="8">
        <f t="shared" si="51"/>
        <v>-4752</v>
      </c>
      <c r="AK134" s="8" t="e">
        <v>#N/A</v>
      </c>
      <c r="AL134" s="8" t="e">
        <f t="shared" si="52"/>
        <v>#N/A</v>
      </c>
      <c r="AM134" s="8" t="e">
        <v>#N/A</v>
      </c>
      <c r="AN134" s="8" t="e">
        <f t="shared" si="53"/>
        <v>#N/A</v>
      </c>
      <c r="AO134" s="8" t="e">
        <v>#N/A</v>
      </c>
      <c r="AP134" s="8" t="e">
        <f t="shared" si="54"/>
        <v>#N/A</v>
      </c>
      <c r="AR134" s="8">
        <v>1254797</v>
      </c>
      <c r="AS134" s="8">
        <f t="shared" si="55"/>
        <v>-25170</v>
      </c>
      <c r="AT134" s="8">
        <v>89068</v>
      </c>
      <c r="AU134" s="8">
        <f t="shared" si="56"/>
        <v>-5031</v>
      </c>
      <c r="AV134" s="8">
        <v>70370</v>
      </c>
      <c r="AW134" s="8">
        <f t="shared" si="57"/>
        <v>977</v>
      </c>
      <c r="AX134" s="8">
        <f t="shared" si="64"/>
        <v>18698</v>
      </c>
      <c r="AY134" s="8">
        <f t="shared" si="58"/>
        <v>-6008</v>
      </c>
      <c r="AZ134" s="8">
        <v>573215</v>
      </c>
      <c r="BA134" s="8">
        <f t="shared" si="59"/>
        <v>3863</v>
      </c>
      <c r="BB134" s="8">
        <v>536512</v>
      </c>
      <c r="BC134" s="8">
        <f t="shared" si="60"/>
        <v>-6639</v>
      </c>
      <c r="BD134" s="8">
        <f t="shared" si="65"/>
        <v>36703</v>
      </c>
      <c r="BE134" s="8">
        <f t="shared" si="61"/>
        <v>10502</v>
      </c>
      <c r="BF134" s="8">
        <v>317054</v>
      </c>
      <c r="BG134" s="8">
        <f t="shared" si="62"/>
        <v>422</v>
      </c>
      <c r="BH134" s="8">
        <v>465459</v>
      </c>
      <c r="BI134" s="8">
        <f t="shared" si="63"/>
        <v>-5468</v>
      </c>
      <c r="BJ134" s="8">
        <f t="shared" si="66"/>
        <v>-148405</v>
      </c>
      <c r="BK134" s="8">
        <f t="shared" si="68"/>
        <v>5890</v>
      </c>
    </row>
    <row r="135" spans="1:63">
      <c r="A135" s="5">
        <v>39812</v>
      </c>
      <c r="B135" s="8">
        <v>245171</v>
      </c>
      <c r="C135" s="8">
        <f t="shared" si="37"/>
        <v>-8999</v>
      </c>
      <c r="D135" s="8">
        <v>13915</v>
      </c>
      <c r="E135" s="8">
        <f t="shared" si="38"/>
        <v>723</v>
      </c>
      <c r="F135" s="8">
        <v>21086</v>
      </c>
      <c r="G135" s="8">
        <f t="shared" si="39"/>
        <v>1327</v>
      </c>
      <c r="H135" s="8">
        <v>-7171</v>
      </c>
      <c r="I135" s="8">
        <f t="shared" si="40"/>
        <v>-604</v>
      </c>
      <c r="J135" s="8">
        <v>140033</v>
      </c>
      <c r="K135" s="8">
        <f t="shared" si="41"/>
        <v>121977</v>
      </c>
      <c r="L135" s="8">
        <v>126316</v>
      </c>
      <c r="M135" s="8">
        <f t="shared" si="42"/>
        <v>-458</v>
      </c>
      <c r="N135" s="8">
        <v>13717</v>
      </c>
      <c r="O135" s="8">
        <f t="shared" si="43"/>
        <v>-4339</v>
      </c>
      <c r="P135" s="8">
        <v>93073</v>
      </c>
      <c r="Q135" s="8">
        <f t="shared" si="44"/>
        <v>-5072</v>
      </c>
      <c r="R135" s="8">
        <v>113549</v>
      </c>
      <c r="S135" s="8">
        <f t="shared" si="45"/>
        <v>1617</v>
      </c>
      <c r="T135" s="8">
        <v>-20476</v>
      </c>
      <c r="U135" s="8">
        <f t="shared" si="46"/>
        <v>-6689</v>
      </c>
      <c r="W135" s="8">
        <v>132666</v>
      </c>
      <c r="X135" s="8">
        <f t="shared" si="47"/>
        <v>-6984</v>
      </c>
      <c r="Y135" s="8">
        <v>12970</v>
      </c>
      <c r="Z135" s="8" t="e">
        <f t="shared" si="48"/>
        <v>#N/A</v>
      </c>
      <c r="AA135" s="8">
        <v>5302</v>
      </c>
      <c r="AB135" s="8" t="e">
        <f t="shared" si="67"/>
        <v>#N/A</v>
      </c>
      <c r="AC135" s="8">
        <v>7668</v>
      </c>
      <c r="AD135" s="8" t="e">
        <f t="shared" si="67"/>
        <v>#N/A</v>
      </c>
      <c r="AE135" s="8">
        <v>61226</v>
      </c>
      <c r="AF135" s="8">
        <f t="shared" si="49"/>
        <v>-4638</v>
      </c>
      <c r="AG135" s="8">
        <v>77514</v>
      </c>
      <c r="AH135" s="8">
        <f t="shared" si="50"/>
        <v>744</v>
      </c>
      <c r="AI135" s="8">
        <v>-16288</v>
      </c>
      <c r="AJ135" s="8">
        <f t="shared" si="51"/>
        <v>-5382</v>
      </c>
      <c r="AK135" s="8">
        <v>55275</v>
      </c>
      <c r="AL135" s="8" t="e">
        <f t="shared" si="52"/>
        <v>#N/A</v>
      </c>
      <c r="AM135" s="8">
        <v>77023</v>
      </c>
      <c r="AN135" s="8" t="e">
        <f t="shared" si="53"/>
        <v>#N/A</v>
      </c>
      <c r="AO135" s="8">
        <v>-21748</v>
      </c>
      <c r="AP135" s="8" t="e">
        <f t="shared" si="54"/>
        <v>#N/A</v>
      </c>
      <c r="AR135" s="8">
        <v>1239047</v>
      </c>
      <c r="AS135" s="8">
        <f t="shared" si="55"/>
        <v>-15750</v>
      </c>
      <c r="AT135" s="8">
        <v>91329</v>
      </c>
      <c r="AU135" s="8">
        <f t="shared" si="56"/>
        <v>2261</v>
      </c>
      <c r="AV135" s="8">
        <v>62535</v>
      </c>
      <c r="AW135" s="8">
        <f t="shared" si="57"/>
        <v>-7835</v>
      </c>
      <c r="AX135" s="8">
        <f t="shared" si="64"/>
        <v>28794</v>
      </c>
      <c r="AY135" s="8">
        <f t="shared" si="58"/>
        <v>10096</v>
      </c>
      <c r="AZ135" s="8">
        <v>558466</v>
      </c>
      <c r="BA135" s="8">
        <f t="shared" si="59"/>
        <v>-14749</v>
      </c>
      <c r="BB135" s="8">
        <v>531842</v>
      </c>
      <c r="BC135" s="8">
        <f t="shared" si="60"/>
        <v>-4670</v>
      </c>
      <c r="BD135" s="8">
        <f t="shared" si="65"/>
        <v>26624</v>
      </c>
      <c r="BE135" s="8">
        <f t="shared" si="61"/>
        <v>-10079</v>
      </c>
      <c r="BF135" s="8">
        <v>298844</v>
      </c>
      <c r="BG135" s="8">
        <f t="shared" si="62"/>
        <v>-18210</v>
      </c>
      <c r="BH135" s="8">
        <v>462052</v>
      </c>
      <c r="BI135" s="8">
        <f t="shared" si="63"/>
        <v>-3407</v>
      </c>
      <c r="BJ135" s="8">
        <f t="shared" si="66"/>
        <v>-163208</v>
      </c>
      <c r="BK135" s="8">
        <f t="shared" si="68"/>
        <v>-14803</v>
      </c>
    </row>
    <row r="136" spans="1:63">
      <c r="A136" s="5">
        <v>39819</v>
      </c>
      <c r="B136" s="8">
        <v>236752</v>
      </c>
      <c r="C136" s="8">
        <f t="shared" ref="C136:C199" si="69">B136-B135</f>
        <v>-8419</v>
      </c>
      <c r="D136" s="8">
        <v>15225</v>
      </c>
      <c r="E136" s="8">
        <f t="shared" ref="E136:E199" si="70">D136-D135</f>
        <v>1310</v>
      </c>
      <c r="F136" s="8">
        <v>18972</v>
      </c>
      <c r="G136" s="8">
        <f t="shared" ref="G136:G199" si="71">F136-F135</f>
        <v>-2114</v>
      </c>
      <c r="H136" s="8">
        <v>-3747</v>
      </c>
      <c r="I136" s="8">
        <f t="shared" ref="I136:I199" si="72">H136-H135</f>
        <v>3424</v>
      </c>
      <c r="J136" s="8">
        <v>5902</v>
      </c>
      <c r="K136" s="8">
        <f t="shared" ref="K136:K199" si="73">J136-J135</f>
        <v>-134131</v>
      </c>
      <c r="L136" s="8">
        <v>125854</v>
      </c>
      <c r="M136" s="8">
        <f t="shared" ref="M136:M199" si="74">L136-L135</f>
        <v>-462</v>
      </c>
      <c r="N136" s="8">
        <v>5902</v>
      </c>
      <c r="O136" s="8">
        <f t="shared" ref="O136:O199" si="75">N136-N135</f>
        <v>-7815</v>
      </c>
      <c r="P136" s="8">
        <v>81613</v>
      </c>
      <c r="Q136" s="8">
        <f t="shared" ref="Q136:Q199" si="76">P136-P135</f>
        <v>-11460</v>
      </c>
      <c r="R136" s="8">
        <v>112742</v>
      </c>
      <c r="S136" s="8">
        <f t="shared" ref="S136:S199" si="77">R136-R135</f>
        <v>-807</v>
      </c>
      <c r="T136" s="8">
        <v>-31129</v>
      </c>
      <c r="U136" s="8">
        <f t="shared" ref="U136:U199" si="78">T136-T135</f>
        <v>-10653</v>
      </c>
      <c r="W136" s="8">
        <v>135183</v>
      </c>
      <c r="X136" s="8">
        <f t="shared" ref="X136:X199" si="79">W136-W135</f>
        <v>2517</v>
      </c>
      <c r="Y136" s="8">
        <v>14663</v>
      </c>
      <c r="Z136" s="8">
        <f t="shared" ref="Z136:Z199" si="80">Y136-Y135</f>
        <v>1693</v>
      </c>
      <c r="AA136" s="8">
        <v>6097</v>
      </c>
      <c r="AB136" s="8">
        <f t="shared" si="67"/>
        <v>795</v>
      </c>
      <c r="AC136" s="8">
        <v>8566</v>
      </c>
      <c r="AD136" s="8">
        <f t="shared" si="67"/>
        <v>898</v>
      </c>
      <c r="AE136" s="8">
        <v>59681</v>
      </c>
      <c r="AF136" s="8">
        <f t="shared" ref="AF136:AF199" si="81">AE136-AE135</f>
        <v>-1545</v>
      </c>
      <c r="AG136" s="8">
        <v>78864</v>
      </c>
      <c r="AH136" s="8">
        <f t="shared" ref="AH136:AH199" si="82">AG136-AG135</f>
        <v>1350</v>
      </c>
      <c r="AI136" s="8">
        <v>-19183</v>
      </c>
      <c r="AJ136" s="8">
        <f t="shared" ref="AJ136:AJ199" si="83">AI136-AI135</f>
        <v>-2895</v>
      </c>
      <c r="AK136" s="8">
        <v>54049</v>
      </c>
      <c r="AL136" s="8">
        <f t="shared" ref="AL136:AL199" si="84">AK136-AK135</f>
        <v>-1226</v>
      </c>
      <c r="AM136" s="8">
        <v>78373</v>
      </c>
      <c r="AN136" s="8">
        <f t="shared" ref="AN136:AN199" si="85">AM136-AM135</f>
        <v>1350</v>
      </c>
      <c r="AO136" s="8">
        <v>-24324</v>
      </c>
      <c r="AP136" s="8">
        <f t="shared" ref="AP136:AP199" si="86">AO136-AO135</f>
        <v>-2576</v>
      </c>
      <c r="AR136" s="8">
        <v>1269024</v>
      </c>
      <c r="AS136" s="8">
        <f t="shared" ref="AS136:AS199" si="87">AR136-AR135</f>
        <v>29977</v>
      </c>
      <c r="AT136" s="8">
        <v>94525</v>
      </c>
      <c r="AU136" s="8">
        <f t="shared" ref="AU136:AU199" si="88">AT136-AT135</f>
        <v>3196</v>
      </c>
      <c r="AV136" s="8">
        <v>57307</v>
      </c>
      <c r="AW136" s="8">
        <f t="shared" ref="AW136:AW199" si="89">AV136-AV135</f>
        <v>-5228</v>
      </c>
      <c r="AX136" s="8">
        <f t="shared" si="64"/>
        <v>37218</v>
      </c>
      <c r="AY136" s="8">
        <f t="shared" ref="AY136:AY199" si="90">AX136-AX135</f>
        <v>8424</v>
      </c>
      <c r="AZ136" s="8">
        <v>556291</v>
      </c>
      <c r="BA136" s="8">
        <f t="shared" ref="BA136:BA199" si="91">AZ136-AZ135</f>
        <v>-2175</v>
      </c>
      <c r="BB136" s="8">
        <v>539255</v>
      </c>
      <c r="BC136" s="8">
        <f t="shared" ref="BC136:BC199" si="92">BB136-BB135</f>
        <v>7413</v>
      </c>
      <c r="BD136" s="8">
        <f t="shared" si="65"/>
        <v>17036</v>
      </c>
      <c r="BE136" s="8">
        <f t="shared" ref="BE136:BE199" si="93">BD136-BD135</f>
        <v>-9588</v>
      </c>
      <c r="BF136" s="8">
        <v>289705</v>
      </c>
      <c r="BG136" s="8">
        <f t="shared" ref="BG136:BG199" si="94">BF136-BF135</f>
        <v>-9139</v>
      </c>
      <c r="BH136" s="8">
        <v>469826</v>
      </c>
      <c r="BI136" s="8">
        <f t="shared" ref="BI136:BI199" si="95">BH136-BH135</f>
        <v>7774</v>
      </c>
      <c r="BJ136" s="8">
        <f t="shared" si="66"/>
        <v>-180121</v>
      </c>
      <c r="BK136" s="8">
        <f t="shared" si="68"/>
        <v>-16913</v>
      </c>
    </row>
    <row r="137" spans="1:63">
      <c r="A137" s="5">
        <v>39826</v>
      </c>
      <c r="B137" s="8">
        <v>240463</v>
      </c>
      <c r="C137" s="8">
        <f t="shared" si="69"/>
        <v>3711</v>
      </c>
      <c r="D137" s="8">
        <v>14757</v>
      </c>
      <c r="E137" s="8">
        <f t="shared" si="70"/>
        <v>-468</v>
      </c>
      <c r="F137" s="8">
        <v>14523</v>
      </c>
      <c r="G137" s="8">
        <f t="shared" si="71"/>
        <v>-4449</v>
      </c>
      <c r="H137" s="8">
        <v>234</v>
      </c>
      <c r="I137" s="8">
        <f t="shared" si="72"/>
        <v>3981</v>
      </c>
      <c r="J137" s="8">
        <v>3910</v>
      </c>
      <c r="K137" s="8">
        <f t="shared" si="73"/>
        <v>-1992</v>
      </c>
      <c r="L137" s="8">
        <v>132381</v>
      </c>
      <c r="M137" s="8">
        <f t="shared" si="74"/>
        <v>6527</v>
      </c>
      <c r="N137" s="8">
        <v>3910</v>
      </c>
      <c r="O137" s="8">
        <f t="shared" si="75"/>
        <v>-1992</v>
      </c>
      <c r="P137" s="8">
        <v>84852</v>
      </c>
      <c r="Q137" s="8">
        <f t="shared" si="76"/>
        <v>3239</v>
      </c>
      <c r="R137" s="8">
        <v>118390</v>
      </c>
      <c r="S137" s="8">
        <f t="shared" si="77"/>
        <v>5648</v>
      </c>
      <c r="T137" s="8">
        <v>-33538</v>
      </c>
      <c r="U137" s="8">
        <f t="shared" si="78"/>
        <v>-2409</v>
      </c>
      <c r="W137" s="8">
        <v>134946</v>
      </c>
      <c r="X137" s="8">
        <f t="shared" si="79"/>
        <v>-237</v>
      </c>
      <c r="Y137" s="8">
        <v>15732</v>
      </c>
      <c r="Z137" s="8">
        <f t="shared" si="80"/>
        <v>1069</v>
      </c>
      <c r="AA137" s="8">
        <v>5566</v>
      </c>
      <c r="AB137" s="8">
        <f t="shared" si="67"/>
        <v>-531</v>
      </c>
      <c r="AC137" s="8">
        <v>10166</v>
      </c>
      <c r="AD137" s="8">
        <f t="shared" si="67"/>
        <v>1600</v>
      </c>
      <c r="AE137" s="8">
        <v>59051</v>
      </c>
      <c r="AF137" s="8">
        <f t="shared" si="81"/>
        <v>-630</v>
      </c>
      <c r="AG137" s="8">
        <v>81685</v>
      </c>
      <c r="AH137" s="8">
        <f t="shared" si="82"/>
        <v>2821</v>
      </c>
      <c r="AI137" s="8">
        <v>-22634</v>
      </c>
      <c r="AJ137" s="8">
        <f t="shared" si="83"/>
        <v>-3451</v>
      </c>
      <c r="AK137" s="8">
        <v>53802</v>
      </c>
      <c r="AL137" s="8">
        <f t="shared" si="84"/>
        <v>-247</v>
      </c>
      <c r="AM137" s="8">
        <v>81012</v>
      </c>
      <c r="AN137" s="8">
        <f t="shared" si="85"/>
        <v>2639</v>
      </c>
      <c r="AO137" s="8">
        <v>-27210</v>
      </c>
      <c r="AP137" s="8">
        <f t="shared" si="86"/>
        <v>-2886</v>
      </c>
      <c r="AR137" s="8">
        <v>1270167</v>
      </c>
      <c r="AS137" s="8">
        <f t="shared" si="87"/>
        <v>1143</v>
      </c>
      <c r="AT137" s="8">
        <v>92583</v>
      </c>
      <c r="AU137" s="8">
        <f t="shared" si="88"/>
        <v>-1942</v>
      </c>
      <c r="AV137" s="8">
        <v>69438</v>
      </c>
      <c r="AW137" s="8">
        <f t="shared" si="89"/>
        <v>12131</v>
      </c>
      <c r="AX137" s="8">
        <f t="shared" si="64"/>
        <v>23145</v>
      </c>
      <c r="AY137" s="8">
        <f t="shared" si="90"/>
        <v>-14073</v>
      </c>
      <c r="AZ137" s="8">
        <v>553947</v>
      </c>
      <c r="BA137" s="8">
        <f t="shared" si="91"/>
        <v>-2344</v>
      </c>
      <c r="BB137" s="8">
        <v>504944</v>
      </c>
      <c r="BC137" s="8">
        <f t="shared" si="92"/>
        <v>-34311</v>
      </c>
      <c r="BD137" s="8">
        <f t="shared" si="65"/>
        <v>49003</v>
      </c>
      <c r="BE137" s="8">
        <f t="shared" si="93"/>
        <v>31967</v>
      </c>
      <c r="BF137" s="8">
        <v>300115</v>
      </c>
      <c r="BG137" s="8">
        <f t="shared" si="94"/>
        <v>10410</v>
      </c>
      <c r="BH137" s="8">
        <v>435414</v>
      </c>
      <c r="BI137" s="8">
        <f t="shared" si="95"/>
        <v>-34412</v>
      </c>
      <c r="BJ137" s="8">
        <f t="shared" si="66"/>
        <v>-135299</v>
      </c>
      <c r="BK137" s="8">
        <f t="shared" si="68"/>
        <v>44822</v>
      </c>
    </row>
    <row r="138" spans="1:63">
      <c r="A138" s="5">
        <v>39833</v>
      </c>
      <c r="B138" s="8">
        <v>251296</v>
      </c>
      <c r="C138" s="8">
        <f t="shared" si="69"/>
        <v>10833</v>
      </c>
      <c r="D138" s="8">
        <v>14539</v>
      </c>
      <c r="E138" s="8">
        <f t="shared" si="70"/>
        <v>-218</v>
      </c>
      <c r="F138" s="8">
        <v>17910</v>
      </c>
      <c r="G138" s="8">
        <f t="shared" si="71"/>
        <v>3387</v>
      </c>
      <c r="H138" s="8">
        <v>-3371</v>
      </c>
      <c r="I138" s="8">
        <f t="shared" si="72"/>
        <v>-3605</v>
      </c>
      <c r="J138" s="8">
        <v>6606</v>
      </c>
      <c r="K138" s="8">
        <f t="shared" si="73"/>
        <v>2696</v>
      </c>
      <c r="L138" s="8">
        <v>137572</v>
      </c>
      <c r="M138" s="8">
        <f t="shared" si="74"/>
        <v>5191</v>
      </c>
      <c r="N138" s="8">
        <v>6606</v>
      </c>
      <c r="O138" s="8">
        <f t="shared" si="75"/>
        <v>2696</v>
      </c>
      <c r="P138" s="8">
        <v>92781</v>
      </c>
      <c r="Q138" s="8">
        <f t="shared" si="76"/>
        <v>7929</v>
      </c>
      <c r="R138" s="8">
        <v>122728</v>
      </c>
      <c r="S138" s="8">
        <f t="shared" si="77"/>
        <v>4338</v>
      </c>
      <c r="T138" s="8">
        <v>-29947</v>
      </c>
      <c r="U138" s="8">
        <f t="shared" si="78"/>
        <v>3591</v>
      </c>
      <c r="W138" s="8">
        <v>138180</v>
      </c>
      <c r="X138" s="8">
        <f t="shared" si="79"/>
        <v>3234</v>
      </c>
      <c r="Y138" s="8">
        <v>16150</v>
      </c>
      <c r="Z138" s="8">
        <f t="shared" si="80"/>
        <v>418</v>
      </c>
      <c r="AA138" s="8">
        <v>4318</v>
      </c>
      <c r="AB138" s="8">
        <f t="shared" si="67"/>
        <v>-1248</v>
      </c>
      <c r="AC138" s="8">
        <v>11832</v>
      </c>
      <c r="AD138" s="8">
        <f t="shared" si="67"/>
        <v>1666</v>
      </c>
      <c r="AE138" s="8">
        <v>61738</v>
      </c>
      <c r="AF138" s="8">
        <f t="shared" si="81"/>
        <v>2687</v>
      </c>
      <c r="AG138" s="8">
        <v>86089</v>
      </c>
      <c r="AH138" s="8">
        <f t="shared" si="82"/>
        <v>4404</v>
      </c>
      <c r="AI138" s="8">
        <v>-24351</v>
      </c>
      <c r="AJ138" s="8">
        <f t="shared" si="83"/>
        <v>-1717</v>
      </c>
      <c r="AK138" s="8">
        <v>57043</v>
      </c>
      <c r="AL138" s="8">
        <f t="shared" si="84"/>
        <v>3241</v>
      </c>
      <c r="AM138" s="8">
        <v>85490</v>
      </c>
      <c r="AN138" s="8">
        <f t="shared" si="85"/>
        <v>4478</v>
      </c>
      <c r="AO138" s="8">
        <v>-28447</v>
      </c>
      <c r="AP138" s="8">
        <f t="shared" si="86"/>
        <v>-1237</v>
      </c>
      <c r="AR138" s="8">
        <v>1258263</v>
      </c>
      <c r="AS138" s="8">
        <f t="shared" si="87"/>
        <v>-11904</v>
      </c>
      <c r="AT138" s="8">
        <v>96468</v>
      </c>
      <c r="AU138" s="8">
        <f t="shared" si="88"/>
        <v>3885</v>
      </c>
      <c r="AV138" s="8">
        <v>70241</v>
      </c>
      <c r="AW138" s="8">
        <f t="shared" si="89"/>
        <v>803</v>
      </c>
      <c r="AX138" s="8">
        <f t="shared" si="64"/>
        <v>26227</v>
      </c>
      <c r="AY138" s="8">
        <f t="shared" si="90"/>
        <v>3082</v>
      </c>
      <c r="AZ138" s="8">
        <v>541366</v>
      </c>
      <c r="BA138" s="8">
        <f t="shared" si="91"/>
        <v>-12581</v>
      </c>
      <c r="BB138" s="8">
        <v>499034</v>
      </c>
      <c r="BC138" s="8">
        <f t="shared" si="92"/>
        <v>-5910</v>
      </c>
      <c r="BD138" s="8">
        <f t="shared" si="65"/>
        <v>42332</v>
      </c>
      <c r="BE138" s="8">
        <f t="shared" si="93"/>
        <v>-6671</v>
      </c>
      <c r="BF138" s="8">
        <v>289627</v>
      </c>
      <c r="BG138" s="8">
        <f t="shared" si="94"/>
        <v>-10488</v>
      </c>
      <c r="BH138" s="8">
        <v>426333</v>
      </c>
      <c r="BI138" s="8">
        <f t="shared" si="95"/>
        <v>-9081</v>
      </c>
      <c r="BJ138" s="8">
        <f t="shared" si="66"/>
        <v>-136706</v>
      </c>
      <c r="BK138" s="8">
        <f t="shared" si="68"/>
        <v>-1407</v>
      </c>
    </row>
    <row r="139" spans="1:63">
      <c r="A139" s="5">
        <v>39840</v>
      </c>
      <c r="B139" s="8">
        <v>249622</v>
      </c>
      <c r="C139" s="8">
        <f t="shared" si="69"/>
        <v>-1674</v>
      </c>
      <c r="D139" s="8">
        <v>14476</v>
      </c>
      <c r="E139" s="8">
        <f t="shared" si="70"/>
        <v>-63</v>
      </c>
      <c r="F139" s="8">
        <v>20026</v>
      </c>
      <c r="G139" s="8">
        <f t="shared" si="71"/>
        <v>2116</v>
      </c>
      <c r="H139" s="8">
        <v>-5550</v>
      </c>
      <c r="I139" s="8">
        <f t="shared" si="72"/>
        <v>-2179</v>
      </c>
      <c r="J139" s="8">
        <v>8351</v>
      </c>
      <c r="K139" s="8">
        <f t="shared" si="73"/>
        <v>1745</v>
      </c>
      <c r="L139" s="8">
        <v>136868</v>
      </c>
      <c r="M139" s="8">
        <f t="shared" si="74"/>
        <v>-704</v>
      </c>
      <c r="N139" s="8">
        <v>8351</v>
      </c>
      <c r="O139" s="8">
        <f t="shared" si="75"/>
        <v>1745</v>
      </c>
      <c r="P139" s="8">
        <v>96545</v>
      </c>
      <c r="Q139" s="8">
        <f t="shared" si="76"/>
        <v>3764</v>
      </c>
      <c r="R139" s="8">
        <v>121502</v>
      </c>
      <c r="S139" s="8">
        <f t="shared" si="77"/>
        <v>-1226</v>
      </c>
      <c r="T139" s="8">
        <v>-24957</v>
      </c>
      <c r="U139" s="8">
        <f t="shared" si="78"/>
        <v>4990</v>
      </c>
      <c r="W139" s="8">
        <v>146117</v>
      </c>
      <c r="X139" s="8">
        <f t="shared" si="79"/>
        <v>7937</v>
      </c>
      <c r="Y139" s="8">
        <v>20023</v>
      </c>
      <c r="Z139" s="8">
        <f t="shared" si="80"/>
        <v>3873</v>
      </c>
      <c r="AA139" s="8">
        <v>2640</v>
      </c>
      <c r="AB139" s="8">
        <f t="shared" si="67"/>
        <v>-1678</v>
      </c>
      <c r="AC139" s="8">
        <v>17383</v>
      </c>
      <c r="AD139" s="8">
        <f t="shared" si="67"/>
        <v>5551</v>
      </c>
      <c r="AE139" s="8">
        <v>63758</v>
      </c>
      <c r="AF139" s="8">
        <f t="shared" si="81"/>
        <v>2020</v>
      </c>
      <c r="AG139" s="8">
        <v>92349</v>
      </c>
      <c r="AH139" s="8">
        <f t="shared" si="82"/>
        <v>6260</v>
      </c>
      <c r="AI139" s="8">
        <v>-28591</v>
      </c>
      <c r="AJ139" s="8">
        <f t="shared" si="83"/>
        <v>-4240</v>
      </c>
      <c r="AK139" s="8">
        <v>58558</v>
      </c>
      <c r="AL139" s="8">
        <f t="shared" si="84"/>
        <v>1515</v>
      </c>
      <c r="AM139" s="8">
        <v>91772</v>
      </c>
      <c r="AN139" s="8">
        <f t="shared" si="85"/>
        <v>6282</v>
      </c>
      <c r="AO139" s="8">
        <v>-33214</v>
      </c>
      <c r="AP139" s="8">
        <f t="shared" si="86"/>
        <v>-4767</v>
      </c>
      <c r="AR139" s="8">
        <v>1227531</v>
      </c>
      <c r="AS139" s="8">
        <f t="shared" si="87"/>
        <v>-30732</v>
      </c>
      <c r="AT139" s="8">
        <v>91578</v>
      </c>
      <c r="AU139" s="8">
        <f t="shared" si="88"/>
        <v>-4890</v>
      </c>
      <c r="AV139" s="8">
        <v>74741</v>
      </c>
      <c r="AW139" s="8">
        <f t="shared" si="89"/>
        <v>4500</v>
      </c>
      <c r="AX139" s="8">
        <f t="shared" si="64"/>
        <v>16837</v>
      </c>
      <c r="AY139" s="8">
        <f t="shared" si="90"/>
        <v>-9390</v>
      </c>
      <c r="AZ139" s="8">
        <v>538809</v>
      </c>
      <c r="BA139" s="8">
        <f t="shared" si="91"/>
        <v>-2557</v>
      </c>
      <c r="BB139" s="8">
        <v>484648</v>
      </c>
      <c r="BC139" s="8">
        <f t="shared" si="92"/>
        <v>-14386</v>
      </c>
      <c r="BD139" s="8">
        <f t="shared" si="65"/>
        <v>54161</v>
      </c>
      <c r="BE139" s="8">
        <f t="shared" si="93"/>
        <v>11829</v>
      </c>
      <c r="BF139" s="8">
        <v>285513</v>
      </c>
      <c r="BG139" s="8">
        <f t="shared" si="94"/>
        <v>-4114</v>
      </c>
      <c r="BH139" s="8">
        <v>411783</v>
      </c>
      <c r="BI139" s="8">
        <f t="shared" si="95"/>
        <v>-14550</v>
      </c>
      <c r="BJ139" s="8">
        <f t="shared" si="66"/>
        <v>-126270</v>
      </c>
      <c r="BK139" s="8">
        <f t="shared" si="68"/>
        <v>10436</v>
      </c>
    </row>
    <row r="140" spans="1:63">
      <c r="A140" s="5">
        <v>39847</v>
      </c>
      <c r="B140" s="8">
        <v>259510</v>
      </c>
      <c r="C140" s="8">
        <f t="shared" si="69"/>
        <v>9888</v>
      </c>
      <c r="D140" s="8">
        <v>16334</v>
      </c>
      <c r="E140" s="8">
        <f t="shared" si="70"/>
        <v>1858</v>
      </c>
      <c r="F140" s="8">
        <v>25073</v>
      </c>
      <c r="G140" s="8">
        <f t="shared" si="71"/>
        <v>5047</v>
      </c>
      <c r="H140" s="8">
        <v>-8739</v>
      </c>
      <c r="I140" s="8">
        <f t="shared" si="72"/>
        <v>-3189</v>
      </c>
      <c r="J140" s="8">
        <v>14987</v>
      </c>
      <c r="K140" s="8">
        <f t="shared" si="73"/>
        <v>6636</v>
      </c>
      <c r="L140" s="8">
        <v>133054</v>
      </c>
      <c r="M140" s="8">
        <f t="shared" si="74"/>
        <v>-3814</v>
      </c>
      <c r="N140" s="8">
        <v>14987</v>
      </c>
      <c r="O140" s="8">
        <f t="shared" si="75"/>
        <v>6636</v>
      </c>
      <c r="P140" s="8">
        <v>98277</v>
      </c>
      <c r="Q140" s="8">
        <f t="shared" si="76"/>
        <v>1732</v>
      </c>
      <c r="R140" s="8">
        <v>118673</v>
      </c>
      <c r="S140" s="8">
        <f t="shared" si="77"/>
        <v>-2829</v>
      </c>
      <c r="T140" s="8">
        <v>-20396</v>
      </c>
      <c r="U140" s="8">
        <f t="shared" si="78"/>
        <v>4561</v>
      </c>
      <c r="W140" s="8">
        <v>150542</v>
      </c>
      <c r="X140" s="8">
        <f t="shared" si="79"/>
        <v>4425</v>
      </c>
      <c r="Y140" s="8">
        <v>20745</v>
      </c>
      <c r="Z140" s="8">
        <f t="shared" si="80"/>
        <v>722</v>
      </c>
      <c r="AA140" s="8">
        <v>3039</v>
      </c>
      <c r="AB140" s="8">
        <f t="shared" si="67"/>
        <v>399</v>
      </c>
      <c r="AC140" s="8">
        <v>17706</v>
      </c>
      <c r="AD140" s="8">
        <f t="shared" si="67"/>
        <v>323</v>
      </c>
      <c r="AE140" s="8">
        <v>67542</v>
      </c>
      <c r="AF140" s="8">
        <f t="shared" si="81"/>
        <v>3784</v>
      </c>
      <c r="AG140" s="8">
        <v>93518</v>
      </c>
      <c r="AH140" s="8">
        <f t="shared" si="82"/>
        <v>1169</v>
      </c>
      <c r="AI140" s="8">
        <v>-25976</v>
      </c>
      <c r="AJ140" s="8">
        <f t="shared" si="83"/>
        <v>2615</v>
      </c>
      <c r="AK140" s="8">
        <v>62001</v>
      </c>
      <c r="AL140" s="8">
        <f t="shared" si="84"/>
        <v>3443</v>
      </c>
      <c r="AM140" s="8">
        <v>92829</v>
      </c>
      <c r="AN140" s="8">
        <f t="shared" si="85"/>
        <v>1057</v>
      </c>
      <c r="AO140" s="8">
        <v>-30828</v>
      </c>
      <c r="AP140" s="8">
        <f t="shared" si="86"/>
        <v>2386</v>
      </c>
      <c r="AR140" s="8">
        <v>1247816</v>
      </c>
      <c r="AS140" s="8">
        <f t="shared" si="87"/>
        <v>20285</v>
      </c>
      <c r="AT140" s="8">
        <v>95311</v>
      </c>
      <c r="AU140" s="8">
        <f t="shared" si="88"/>
        <v>3733</v>
      </c>
      <c r="AV140" s="8">
        <v>92949</v>
      </c>
      <c r="AW140" s="8">
        <f t="shared" si="89"/>
        <v>18208</v>
      </c>
      <c r="AX140" s="8">
        <f t="shared" si="64"/>
        <v>2362</v>
      </c>
      <c r="AY140" s="8">
        <f t="shared" si="90"/>
        <v>-14475</v>
      </c>
      <c r="AZ140" s="8">
        <v>543664</v>
      </c>
      <c r="BA140" s="8">
        <f t="shared" si="91"/>
        <v>4855</v>
      </c>
      <c r="BB140" s="8">
        <v>471950</v>
      </c>
      <c r="BC140" s="8">
        <f t="shared" si="92"/>
        <v>-12698</v>
      </c>
      <c r="BD140" s="8">
        <f t="shared" si="65"/>
        <v>71714</v>
      </c>
      <c r="BE140" s="8">
        <f t="shared" si="93"/>
        <v>17553</v>
      </c>
      <c r="BF140" s="8">
        <v>292520</v>
      </c>
      <c r="BG140" s="8">
        <f t="shared" si="94"/>
        <v>7007</v>
      </c>
      <c r="BH140" s="8">
        <v>390340</v>
      </c>
      <c r="BI140" s="8">
        <f t="shared" si="95"/>
        <v>-21443</v>
      </c>
      <c r="BJ140" s="8">
        <f t="shared" si="66"/>
        <v>-97820</v>
      </c>
      <c r="BK140" s="8">
        <f t="shared" si="68"/>
        <v>28450</v>
      </c>
    </row>
    <row r="141" spans="1:63">
      <c r="A141" s="5">
        <v>39854</v>
      </c>
      <c r="B141" s="8">
        <v>250936</v>
      </c>
      <c r="C141" s="8">
        <f t="shared" si="69"/>
        <v>-8574</v>
      </c>
      <c r="D141" s="8">
        <v>13366</v>
      </c>
      <c r="E141" s="8">
        <f t="shared" si="70"/>
        <v>-2968</v>
      </c>
      <c r="F141" s="8">
        <v>22675</v>
      </c>
      <c r="G141" s="8">
        <f t="shared" si="71"/>
        <v>-2398</v>
      </c>
      <c r="H141" s="8">
        <v>-9309</v>
      </c>
      <c r="I141" s="8">
        <f t="shared" si="72"/>
        <v>-570</v>
      </c>
      <c r="J141" s="8">
        <v>2825</v>
      </c>
      <c r="K141" s="8">
        <f t="shared" si="73"/>
        <v>-12162</v>
      </c>
      <c r="L141" s="8">
        <v>132510</v>
      </c>
      <c r="M141" s="8">
        <f t="shared" si="74"/>
        <v>-544</v>
      </c>
      <c r="N141" s="8">
        <v>2825</v>
      </c>
      <c r="O141" s="8">
        <f t="shared" si="75"/>
        <v>-12162</v>
      </c>
      <c r="P141" s="8">
        <v>89763</v>
      </c>
      <c r="Q141" s="8">
        <f t="shared" si="76"/>
        <v>-8514</v>
      </c>
      <c r="R141" s="8">
        <v>117297</v>
      </c>
      <c r="S141" s="8">
        <f t="shared" si="77"/>
        <v>-1376</v>
      </c>
      <c r="T141" s="8">
        <v>-27534</v>
      </c>
      <c r="U141" s="8">
        <f t="shared" si="78"/>
        <v>-7138</v>
      </c>
      <c r="W141" s="8">
        <v>149943</v>
      </c>
      <c r="X141" s="8">
        <f t="shared" si="79"/>
        <v>-599</v>
      </c>
      <c r="Y141" s="8">
        <v>21225</v>
      </c>
      <c r="Z141" s="8">
        <f t="shared" si="80"/>
        <v>480</v>
      </c>
      <c r="AA141" s="8">
        <v>3002</v>
      </c>
      <c r="AB141" s="8">
        <f t="shared" si="67"/>
        <v>-37</v>
      </c>
      <c r="AC141" s="8">
        <v>18223</v>
      </c>
      <c r="AD141" s="8">
        <f t="shared" si="67"/>
        <v>517</v>
      </c>
      <c r="AE141" s="8">
        <v>67138</v>
      </c>
      <c r="AF141" s="8">
        <f t="shared" si="81"/>
        <v>-404</v>
      </c>
      <c r="AG141" s="8">
        <v>96849</v>
      </c>
      <c r="AH141" s="8">
        <f t="shared" si="82"/>
        <v>3331</v>
      </c>
      <c r="AI141" s="8">
        <v>-29711</v>
      </c>
      <c r="AJ141" s="8">
        <f t="shared" si="83"/>
        <v>-3735</v>
      </c>
      <c r="AK141" s="8">
        <v>60981</v>
      </c>
      <c r="AL141" s="8">
        <f t="shared" si="84"/>
        <v>-1020</v>
      </c>
      <c r="AM141" s="8">
        <v>95924</v>
      </c>
      <c r="AN141" s="8">
        <f t="shared" si="85"/>
        <v>3095</v>
      </c>
      <c r="AO141" s="8">
        <v>-34943</v>
      </c>
      <c r="AP141" s="8">
        <f t="shared" si="86"/>
        <v>-4115</v>
      </c>
      <c r="AR141" s="8">
        <v>1228466</v>
      </c>
      <c r="AS141" s="8">
        <f t="shared" si="87"/>
        <v>-19350</v>
      </c>
      <c r="AT141" s="8">
        <v>97132</v>
      </c>
      <c r="AU141" s="8">
        <f t="shared" si="88"/>
        <v>1821</v>
      </c>
      <c r="AV141" s="8">
        <v>93837</v>
      </c>
      <c r="AW141" s="8">
        <f t="shared" si="89"/>
        <v>888</v>
      </c>
      <c r="AX141" s="8">
        <f t="shared" si="64"/>
        <v>3295</v>
      </c>
      <c r="AY141" s="8">
        <f t="shared" si="90"/>
        <v>933</v>
      </c>
      <c r="AZ141" s="8">
        <v>539886</v>
      </c>
      <c r="BA141" s="8">
        <f t="shared" si="91"/>
        <v>-3778</v>
      </c>
      <c r="BB141" s="8">
        <v>475493</v>
      </c>
      <c r="BC141" s="8">
        <f t="shared" si="92"/>
        <v>3543</v>
      </c>
      <c r="BD141" s="8">
        <f t="shared" si="65"/>
        <v>64393</v>
      </c>
      <c r="BE141" s="8">
        <f t="shared" si="93"/>
        <v>-7321</v>
      </c>
      <c r="BF141" s="8">
        <v>291841</v>
      </c>
      <c r="BG141" s="8">
        <f t="shared" si="94"/>
        <v>-679</v>
      </c>
      <c r="BH141" s="8">
        <v>394944</v>
      </c>
      <c r="BI141" s="8">
        <f t="shared" si="95"/>
        <v>4604</v>
      </c>
      <c r="BJ141" s="8">
        <f t="shared" si="66"/>
        <v>-103103</v>
      </c>
      <c r="BK141" s="8">
        <f t="shared" si="68"/>
        <v>-5283</v>
      </c>
    </row>
    <row r="142" spans="1:63">
      <c r="A142" s="5">
        <v>39861</v>
      </c>
      <c r="B142" s="8">
        <v>263380</v>
      </c>
      <c r="C142" s="8">
        <f t="shared" si="69"/>
        <v>12444</v>
      </c>
      <c r="D142" s="8">
        <v>10679</v>
      </c>
      <c r="E142" s="8">
        <f t="shared" si="70"/>
        <v>-2687</v>
      </c>
      <c r="F142" s="8">
        <v>24774</v>
      </c>
      <c r="G142" s="8">
        <f t="shared" si="71"/>
        <v>2099</v>
      </c>
      <c r="H142" s="8">
        <v>-14095</v>
      </c>
      <c r="I142" s="8">
        <f t="shared" si="72"/>
        <v>-4786</v>
      </c>
      <c r="J142" s="8">
        <v>13375</v>
      </c>
      <c r="K142" s="8">
        <f t="shared" si="73"/>
        <v>10550</v>
      </c>
      <c r="L142" s="8">
        <v>134606</v>
      </c>
      <c r="M142" s="8">
        <f t="shared" si="74"/>
        <v>2096</v>
      </c>
      <c r="N142" s="8">
        <v>13375</v>
      </c>
      <c r="O142" s="8">
        <f t="shared" si="75"/>
        <v>10550</v>
      </c>
      <c r="P142" s="8">
        <v>102130</v>
      </c>
      <c r="Q142" s="8">
        <f t="shared" si="76"/>
        <v>12367</v>
      </c>
      <c r="R142" s="8">
        <v>121722</v>
      </c>
      <c r="S142" s="8">
        <f t="shared" si="77"/>
        <v>4425</v>
      </c>
      <c r="T142" s="8">
        <v>-19592</v>
      </c>
      <c r="U142" s="8">
        <f t="shared" si="78"/>
        <v>7942</v>
      </c>
      <c r="W142" s="8">
        <v>143787</v>
      </c>
      <c r="X142" s="8">
        <f t="shared" si="79"/>
        <v>-6156</v>
      </c>
      <c r="Y142" s="8">
        <v>16246</v>
      </c>
      <c r="Z142" s="8">
        <f t="shared" si="80"/>
        <v>-4979</v>
      </c>
      <c r="AA142" s="8">
        <v>4438</v>
      </c>
      <c r="AB142" s="8">
        <f t="shared" si="67"/>
        <v>1436</v>
      </c>
      <c r="AC142" s="8">
        <v>11808</v>
      </c>
      <c r="AD142" s="8">
        <f t="shared" si="67"/>
        <v>-6415</v>
      </c>
      <c r="AE142" s="8">
        <v>71257</v>
      </c>
      <c r="AF142" s="8">
        <f t="shared" si="81"/>
        <v>4119</v>
      </c>
      <c r="AG142" s="8">
        <v>87492</v>
      </c>
      <c r="AH142" s="8">
        <f t="shared" si="82"/>
        <v>-9357</v>
      </c>
      <c r="AI142" s="8">
        <v>-16235</v>
      </c>
      <c r="AJ142" s="8">
        <f t="shared" si="83"/>
        <v>13476</v>
      </c>
      <c r="AK142" s="8">
        <v>65006</v>
      </c>
      <c r="AL142" s="8">
        <f t="shared" si="84"/>
        <v>4025</v>
      </c>
      <c r="AM142" s="8">
        <v>86425</v>
      </c>
      <c r="AN142" s="8">
        <f t="shared" si="85"/>
        <v>-9499</v>
      </c>
      <c r="AO142" s="8">
        <v>-21419</v>
      </c>
      <c r="AP142" s="8">
        <f t="shared" si="86"/>
        <v>13524</v>
      </c>
      <c r="AR142" s="8">
        <v>1225572</v>
      </c>
      <c r="AS142" s="8">
        <f t="shared" si="87"/>
        <v>-2894</v>
      </c>
      <c r="AT142" s="8">
        <v>92680</v>
      </c>
      <c r="AU142" s="8">
        <f t="shared" si="88"/>
        <v>-4452</v>
      </c>
      <c r="AV142" s="8">
        <v>112686</v>
      </c>
      <c r="AW142" s="8">
        <f t="shared" si="89"/>
        <v>18849</v>
      </c>
      <c r="AX142" s="8">
        <f t="shared" si="64"/>
        <v>-20006</v>
      </c>
      <c r="AY142" s="8">
        <f t="shared" si="90"/>
        <v>-23301</v>
      </c>
      <c r="AZ142" s="8">
        <v>555092</v>
      </c>
      <c r="BA142" s="8">
        <f t="shared" si="91"/>
        <v>15206</v>
      </c>
      <c r="BB142" s="8">
        <v>460007</v>
      </c>
      <c r="BC142" s="8">
        <f t="shared" si="92"/>
        <v>-15486</v>
      </c>
      <c r="BD142" s="8">
        <f t="shared" si="65"/>
        <v>95085</v>
      </c>
      <c r="BE142" s="8">
        <f t="shared" si="93"/>
        <v>30692</v>
      </c>
      <c r="BF142" s="8">
        <v>306977</v>
      </c>
      <c r="BG142" s="8">
        <f t="shared" si="94"/>
        <v>15136</v>
      </c>
      <c r="BH142" s="8">
        <v>375498</v>
      </c>
      <c r="BI142" s="8">
        <f t="shared" si="95"/>
        <v>-19446</v>
      </c>
      <c r="BJ142" s="8">
        <f t="shared" si="66"/>
        <v>-68521</v>
      </c>
      <c r="BK142" s="8">
        <f t="shared" si="68"/>
        <v>34582</v>
      </c>
    </row>
    <row r="143" spans="1:63">
      <c r="A143" s="5">
        <v>39868</v>
      </c>
      <c r="B143" s="8">
        <v>237776</v>
      </c>
      <c r="C143" s="8">
        <f t="shared" si="69"/>
        <v>-25604</v>
      </c>
      <c r="D143" s="8">
        <v>10125</v>
      </c>
      <c r="E143" s="8">
        <f t="shared" si="70"/>
        <v>-554</v>
      </c>
      <c r="F143" s="8">
        <v>26581</v>
      </c>
      <c r="G143" s="8">
        <f t="shared" si="71"/>
        <v>1807</v>
      </c>
      <c r="H143" s="8">
        <v>-16456</v>
      </c>
      <c r="I143" s="8">
        <f t="shared" si="72"/>
        <v>-2361</v>
      </c>
      <c r="J143" s="8">
        <v>18133</v>
      </c>
      <c r="K143" s="8">
        <f t="shared" si="73"/>
        <v>4758</v>
      </c>
      <c r="L143" s="8">
        <v>111506</v>
      </c>
      <c r="M143" s="8">
        <f t="shared" si="74"/>
        <v>-23100</v>
      </c>
      <c r="N143" s="8">
        <v>18133</v>
      </c>
      <c r="O143" s="8">
        <f t="shared" si="75"/>
        <v>4758</v>
      </c>
      <c r="P143" s="8">
        <v>82679</v>
      </c>
      <c r="Q143" s="8">
        <f t="shared" si="76"/>
        <v>-19451</v>
      </c>
      <c r="R143" s="8">
        <v>99759</v>
      </c>
      <c r="S143" s="8">
        <f t="shared" si="77"/>
        <v>-21963</v>
      </c>
      <c r="T143" s="8">
        <v>-17080</v>
      </c>
      <c r="U143" s="8">
        <f t="shared" si="78"/>
        <v>2512</v>
      </c>
      <c r="W143" s="8">
        <v>129294</v>
      </c>
      <c r="X143" s="8">
        <f t="shared" si="79"/>
        <v>-14493</v>
      </c>
      <c r="Y143" s="8">
        <v>13025</v>
      </c>
      <c r="Z143" s="8">
        <f t="shared" si="80"/>
        <v>-3221</v>
      </c>
      <c r="AA143" s="8">
        <v>7651</v>
      </c>
      <c r="AB143" s="8">
        <f t="shared" si="67"/>
        <v>3213</v>
      </c>
      <c r="AC143" s="8">
        <v>5374</v>
      </c>
      <c r="AD143" s="8">
        <f t="shared" si="67"/>
        <v>-6434</v>
      </c>
      <c r="AE143" s="8">
        <v>69579</v>
      </c>
      <c r="AF143" s="8">
        <f t="shared" si="81"/>
        <v>-1678</v>
      </c>
      <c r="AG143" s="8">
        <v>80054</v>
      </c>
      <c r="AH143" s="8">
        <f t="shared" si="82"/>
        <v>-7438</v>
      </c>
      <c r="AI143" s="8">
        <v>-10475</v>
      </c>
      <c r="AJ143" s="8">
        <f t="shared" si="83"/>
        <v>5760</v>
      </c>
      <c r="AK143" s="8">
        <v>63795</v>
      </c>
      <c r="AL143" s="8">
        <f t="shared" si="84"/>
        <v>-1211</v>
      </c>
      <c r="AM143" s="8">
        <v>78282</v>
      </c>
      <c r="AN143" s="8">
        <f t="shared" si="85"/>
        <v>-8143</v>
      </c>
      <c r="AO143" s="8">
        <v>-14487</v>
      </c>
      <c r="AP143" s="8">
        <f t="shared" si="86"/>
        <v>6932</v>
      </c>
      <c r="AR143" s="8">
        <v>1091888</v>
      </c>
      <c r="AS143" s="8">
        <f t="shared" si="87"/>
        <v>-133684</v>
      </c>
      <c r="AT143" s="8">
        <v>94338</v>
      </c>
      <c r="AU143" s="8">
        <f t="shared" si="88"/>
        <v>1658</v>
      </c>
      <c r="AV143" s="8">
        <v>115194</v>
      </c>
      <c r="AW143" s="8">
        <f t="shared" si="89"/>
        <v>2508</v>
      </c>
      <c r="AX143" s="8">
        <f t="shared" si="64"/>
        <v>-20856</v>
      </c>
      <c r="AY143" s="8">
        <f t="shared" si="90"/>
        <v>-850</v>
      </c>
      <c r="AZ143" s="8">
        <v>510980</v>
      </c>
      <c r="BA143" s="8">
        <f t="shared" si="91"/>
        <v>-44112</v>
      </c>
      <c r="BB143" s="8">
        <v>425535</v>
      </c>
      <c r="BC143" s="8">
        <f t="shared" si="92"/>
        <v>-34472</v>
      </c>
      <c r="BD143" s="8">
        <f t="shared" si="65"/>
        <v>85445</v>
      </c>
      <c r="BE143" s="8">
        <f t="shared" si="93"/>
        <v>-9640</v>
      </c>
      <c r="BF143" s="8">
        <v>272139</v>
      </c>
      <c r="BG143" s="8">
        <f t="shared" si="94"/>
        <v>-34838</v>
      </c>
      <c r="BH143" s="8">
        <v>353709</v>
      </c>
      <c r="BI143" s="8">
        <f t="shared" si="95"/>
        <v>-21789</v>
      </c>
      <c r="BJ143" s="8">
        <f t="shared" si="66"/>
        <v>-81570</v>
      </c>
      <c r="BK143" s="8">
        <f t="shared" si="68"/>
        <v>-13049</v>
      </c>
    </row>
    <row r="144" spans="1:63">
      <c r="A144" s="5">
        <v>39875</v>
      </c>
      <c r="B144" s="8">
        <v>239878</v>
      </c>
      <c r="C144" s="8">
        <f t="shared" si="69"/>
        <v>2102</v>
      </c>
      <c r="D144" s="8">
        <v>11447</v>
      </c>
      <c r="E144" s="8">
        <f t="shared" si="70"/>
        <v>1322</v>
      </c>
      <c r="F144" s="8">
        <v>30646</v>
      </c>
      <c r="G144" s="8">
        <f t="shared" si="71"/>
        <v>4065</v>
      </c>
      <c r="H144" s="8">
        <v>-19199</v>
      </c>
      <c r="I144" s="8">
        <f t="shared" si="72"/>
        <v>-2743</v>
      </c>
      <c r="J144" s="8">
        <v>20891</v>
      </c>
      <c r="K144" s="8">
        <f t="shared" si="73"/>
        <v>2758</v>
      </c>
      <c r="L144" s="8">
        <v>114926</v>
      </c>
      <c r="M144" s="8">
        <f t="shared" si="74"/>
        <v>3420</v>
      </c>
      <c r="N144" s="8">
        <v>20891</v>
      </c>
      <c r="O144" s="8">
        <f t="shared" si="75"/>
        <v>2758</v>
      </c>
      <c r="P144" s="8">
        <v>84194</v>
      </c>
      <c r="Q144" s="8">
        <f t="shared" si="76"/>
        <v>1515</v>
      </c>
      <c r="R144" s="8">
        <v>102673</v>
      </c>
      <c r="S144" s="8">
        <f t="shared" si="77"/>
        <v>2914</v>
      </c>
      <c r="T144" s="8">
        <v>-18479</v>
      </c>
      <c r="U144" s="8">
        <f t="shared" si="78"/>
        <v>-1399</v>
      </c>
      <c r="W144" s="8">
        <v>129705</v>
      </c>
      <c r="X144" s="8">
        <f t="shared" si="79"/>
        <v>411</v>
      </c>
      <c r="Y144" s="8">
        <v>14400</v>
      </c>
      <c r="Z144" s="8">
        <f t="shared" si="80"/>
        <v>1375</v>
      </c>
      <c r="AA144" s="8">
        <v>10588</v>
      </c>
      <c r="AB144" s="8">
        <f t="shared" si="67"/>
        <v>2937</v>
      </c>
      <c r="AC144" s="8">
        <v>3812</v>
      </c>
      <c r="AD144" s="8">
        <f t="shared" si="67"/>
        <v>-1562</v>
      </c>
      <c r="AE144" s="8">
        <v>66854</v>
      </c>
      <c r="AF144" s="8">
        <f t="shared" si="81"/>
        <v>-2725</v>
      </c>
      <c r="AG144" s="8">
        <v>73583</v>
      </c>
      <c r="AH144" s="8">
        <f t="shared" si="82"/>
        <v>-6471</v>
      </c>
      <c r="AI144" s="8">
        <v>-6729</v>
      </c>
      <c r="AJ144" s="8">
        <f t="shared" si="83"/>
        <v>3746</v>
      </c>
      <c r="AK144" s="8">
        <v>61532</v>
      </c>
      <c r="AL144" s="8">
        <f t="shared" si="84"/>
        <v>-2263</v>
      </c>
      <c r="AM144" s="8">
        <v>72373</v>
      </c>
      <c r="AN144" s="8">
        <f t="shared" si="85"/>
        <v>-5909</v>
      </c>
      <c r="AO144" s="8">
        <v>-10841</v>
      </c>
      <c r="AP144" s="8">
        <f t="shared" si="86"/>
        <v>3646</v>
      </c>
      <c r="AR144" s="8">
        <v>1107615</v>
      </c>
      <c r="AS144" s="8">
        <f t="shared" si="87"/>
        <v>15727</v>
      </c>
      <c r="AT144" s="8">
        <v>91875</v>
      </c>
      <c r="AU144" s="8">
        <f t="shared" si="88"/>
        <v>-2463</v>
      </c>
      <c r="AV144" s="8">
        <v>106218</v>
      </c>
      <c r="AW144" s="8">
        <f t="shared" si="89"/>
        <v>-8976</v>
      </c>
      <c r="AX144" s="8">
        <f t="shared" si="64"/>
        <v>-14343</v>
      </c>
      <c r="AY144" s="8">
        <f t="shared" si="90"/>
        <v>6513</v>
      </c>
      <c r="AZ144" s="8">
        <v>514154</v>
      </c>
      <c r="BA144" s="8">
        <f t="shared" si="91"/>
        <v>3174</v>
      </c>
      <c r="BB144" s="8">
        <v>429670</v>
      </c>
      <c r="BC144" s="8">
        <f t="shared" si="92"/>
        <v>4135</v>
      </c>
      <c r="BD144" s="8">
        <f t="shared" si="65"/>
        <v>84484</v>
      </c>
      <c r="BE144" s="8">
        <f t="shared" si="93"/>
        <v>-961</v>
      </c>
      <c r="BF144" s="8">
        <v>271551</v>
      </c>
      <c r="BG144" s="8">
        <f t="shared" si="94"/>
        <v>-588</v>
      </c>
      <c r="BH144" s="8">
        <v>354718</v>
      </c>
      <c r="BI144" s="8">
        <f t="shared" si="95"/>
        <v>1009</v>
      </c>
      <c r="BJ144" s="8">
        <f t="shared" si="66"/>
        <v>-83167</v>
      </c>
      <c r="BK144" s="8">
        <f t="shared" si="68"/>
        <v>-1597</v>
      </c>
    </row>
    <row r="145" spans="1:63">
      <c r="A145" s="5">
        <v>39882</v>
      </c>
      <c r="B145" s="8">
        <v>237650</v>
      </c>
      <c r="C145" s="8">
        <f t="shared" si="69"/>
        <v>-2228</v>
      </c>
      <c r="D145" s="8">
        <v>12652</v>
      </c>
      <c r="E145" s="8">
        <f t="shared" si="70"/>
        <v>1205</v>
      </c>
      <c r="F145" s="8">
        <v>29135</v>
      </c>
      <c r="G145" s="8">
        <f t="shared" si="71"/>
        <v>-1511</v>
      </c>
      <c r="H145" s="8">
        <v>-16483</v>
      </c>
      <c r="I145" s="8">
        <f t="shared" si="72"/>
        <v>2716</v>
      </c>
      <c r="J145" s="8">
        <v>19507</v>
      </c>
      <c r="K145" s="8">
        <f t="shared" si="73"/>
        <v>-1384</v>
      </c>
      <c r="L145" s="8">
        <v>113218</v>
      </c>
      <c r="M145" s="8">
        <f t="shared" si="74"/>
        <v>-1708</v>
      </c>
      <c r="N145" s="8">
        <v>19507</v>
      </c>
      <c r="O145" s="8">
        <f t="shared" si="75"/>
        <v>-1384</v>
      </c>
      <c r="P145" s="8">
        <v>84768</v>
      </c>
      <c r="Q145" s="8">
        <f t="shared" si="76"/>
        <v>574</v>
      </c>
      <c r="R145" s="8">
        <v>100774</v>
      </c>
      <c r="S145" s="8">
        <f t="shared" si="77"/>
        <v>-1899</v>
      </c>
      <c r="T145" s="8">
        <v>-16006</v>
      </c>
      <c r="U145" s="8">
        <f t="shared" si="78"/>
        <v>2473</v>
      </c>
      <c r="W145" s="8">
        <v>124178</v>
      </c>
      <c r="X145" s="8">
        <f t="shared" si="79"/>
        <v>-5527</v>
      </c>
      <c r="Y145" s="8">
        <v>16593</v>
      </c>
      <c r="Z145" s="8">
        <f t="shared" si="80"/>
        <v>2193</v>
      </c>
      <c r="AA145" s="8">
        <v>11853</v>
      </c>
      <c r="AB145" s="8">
        <f t="shared" si="67"/>
        <v>1265</v>
      </c>
      <c r="AC145" s="8">
        <v>4740</v>
      </c>
      <c r="AD145" s="8">
        <f t="shared" si="67"/>
        <v>928</v>
      </c>
      <c r="AE145" s="8">
        <v>58412</v>
      </c>
      <c r="AF145" s="8">
        <f t="shared" si="81"/>
        <v>-8442</v>
      </c>
      <c r="AG145" s="8">
        <v>67888</v>
      </c>
      <c r="AH145" s="8">
        <f t="shared" si="82"/>
        <v>-5695</v>
      </c>
      <c r="AI145" s="8">
        <v>-9476</v>
      </c>
      <c r="AJ145" s="8">
        <f t="shared" si="83"/>
        <v>-2747</v>
      </c>
      <c r="AK145" s="8">
        <v>54355</v>
      </c>
      <c r="AL145" s="8">
        <f t="shared" si="84"/>
        <v>-7177</v>
      </c>
      <c r="AM145" s="8">
        <v>66780</v>
      </c>
      <c r="AN145" s="8">
        <f t="shared" si="85"/>
        <v>-5593</v>
      </c>
      <c r="AO145" s="8">
        <v>-12425</v>
      </c>
      <c r="AP145" s="8">
        <f t="shared" si="86"/>
        <v>-1584</v>
      </c>
      <c r="AR145" s="8">
        <v>1119773</v>
      </c>
      <c r="AS145" s="8">
        <f t="shared" si="87"/>
        <v>12158</v>
      </c>
      <c r="AT145" s="8">
        <v>102368</v>
      </c>
      <c r="AU145" s="8">
        <f t="shared" si="88"/>
        <v>10493</v>
      </c>
      <c r="AV145" s="8">
        <v>85613</v>
      </c>
      <c r="AW145" s="8">
        <f t="shared" si="89"/>
        <v>-20605</v>
      </c>
      <c r="AX145" s="8">
        <f t="shared" si="64"/>
        <v>16755</v>
      </c>
      <c r="AY145" s="8">
        <f t="shared" si="90"/>
        <v>31098</v>
      </c>
      <c r="AZ145" s="8">
        <v>503701</v>
      </c>
      <c r="BA145" s="8">
        <f t="shared" si="91"/>
        <v>-10453</v>
      </c>
      <c r="BB145" s="8">
        <v>461783</v>
      </c>
      <c r="BC145" s="8">
        <f t="shared" si="92"/>
        <v>32113</v>
      </c>
      <c r="BD145" s="8">
        <f t="shared" si="65"/>
        <v>41918</v>
      </c>
      <c r="BE145" s="8">
        <f t="shared" si="93"/>
        <v>-42566</v>
      </c>
      <c r="BF145" s="8">
        <v>262044</v>
      </c>
      <c r="BG145" s="8">
        <f t="shared" si="94"/>
        <v>-9507</v>
      </c>
      <c r="BH145" s="8">
        <v>384618</v>
      </c>
      <c r="BI145" s="8">
        <f t="shared" si="95"/>
        <v>29900</v>
      </c>
      <c r="BJ145" s="8">
        <f t="shared" si="66"/>
        <v>-122574</v>
      </c>
      <c r="BK145" s="8">
        <f t="shared" si="68"/>
        <v>-39407</v>
      </c>
    </row>
    <row r="146" spans="1:63">
      <c r="A146" s="5">
        <v>39889</v>
      </c>
      <c r="B146" s="8">
        <v>240044</v>
      </c>
      <c r="C146" s="8">
        <f t="shared" si="69"/>
        <v>2394</v>
      </c>
      <c r="D146" s="8">
        <v>11075</v>
      </c>
      <c r="E146" s="8">
        <f t="shared" si="70"/>
        <v>-1577</v>
      </c>
      <c r="F146" s="8">
        <v>33176</v>
      </c>
      <c r="G146" s="8">
        <f t="shared" si="71"/>
        <v>4041</v>
      </c>
      <c r="H146" s="8">
        <v>-22101</v>
      </c>
      <c r="I146" s="8">
        <f t="shared" si="72"/>
        <v>-5618</v>
      </c>
      <c r="J146" s="8">
        <v>24393</v>
      </c>
      <c r="K146" s="8">
        <f t="shared" si="73"/>
        <v>4886</v>
      </c>
      <c r="L146" s="8">
        <v>114740</v>
      </c>
      <c r="M146" s="8">
        <f t="shared" si="74"/>
        <v>1522</v>
      </c>
      <c r="N146" s="8">
        <v>24393</v>
      </c>
      <c r="O146" s="8">
        <f t="shared" si="75"/>
        <v>4886</v>
      </c>
      <c r="P146" s="8">
        <v>97258</v>
      </c>
      <c r="Q146" s="8">
        <f t="shared" si="76"/>
        <v>12490</v>
      </c>
      <c r="R146" s="8">
        <v>100307</v>
      </c>
      <c r="S146" s="8">
        <f t="shared" si="77"/>
        <v>-467</v>
      </c>
      <c r="T146" s="8">
        <v>-3049</v>
      </c>
      <c r="U146" s="8">
        <f t="shared" si="78"/>
        <v>12957</v>
      </c>
      <c r="W146" s="8">
        <v>125278</v>
      </c>
      <c r="X146" s="8">
        <f t="shared" si="79"/>
        <v>1100</v>
      </c>
      <c r="Y146" s="8">
        <v>18288</v>
      </c>
      <c r="Z146" s="8">
        <f t="shared" si="80"/>
        <v>1695</v>
      </c>
      <c r="AA146" s="8">
        <v>7812</v>
      </c>
      <c r="AB146" s="8">
        <f t="shared" si="67"/>
        <v>-4041</v>
      </c>
      <c r="AC146" s="8">
        <v>10476</v>
      </c>
      <c r="AD146" s="8">
        <f t="shared" si="67"/>
        <v>5736</v>
      </c>
      <c r="AE146" s="8">
        <v>54501</v>
      </c>
      <c r="AF146" s="8">
        <f t="shared" si="81"/>
        <v>-3911</v>
      </c>
      <c r="AG146" s="8">
        <v>72155</v>
      </c>
      <c r="AH146" s="8">
        <f t="shared" si="82"/>
        <v>4267</v>
      </c>
      <c r="AI146" s="8">
        <v>-17654</v>
      </c>
      <c r="AJ146" s="8">
        <f t="shared" si="83"/>
        <v>-8178</v>
      </c>
      <c r="AK146" s="8">
        <v>50171</v>
      </c>
      <c r="AL146" s="8">
        <f t="shared" si="84"/>
        <v>-4184</v>
      </c>
      <c r="AM146" s="8">
        <v>71034</v>
      </c>
      <c r="AN146" s="8">
        <f t="shared" si="85"/>
        <v>4254</v>
      </c>
      <c r="AO146" s="8">
        <v>-20863</v>
      </c>
      <c r="AP146" s="8">
        <f t="shared" si="86"/>
        <v>-8438</v>
      </c>
      <c r="AR146" s="8">
        <v>1160066</v>
      </c>
      <c r="AS146" s="8">
        <f t="shared" si="87"/>
        <v>40293</v>
      </c>
      <c r="AT146" s="8">
        <v>107554</v>
      </c>
      <c r="AU146" s="8">
        <f t="shared" si="88"/>
        <v>5186</v>
      </c>
      <c r="AV146" s="8">
        <v>57596</v>
      </c>
      <c r="AW146" s="8">
        <f t="shared" si="89"/>
        <v>-28017</v>
      </c>
      <c r="AX146" s="8">
        <f t="shared" si="64"/>
        <v>49958</v>
      </c>
      <c r="AY146" s="8">
        <f t="shared" si="90"/>
        <v>33203</v>
      </c>
      <c r="AZ146" s="8">
        <v>512958</v>
      </c>
      <c r="BA146" s="8">
        <f t="shared" si="91"/>
        <v>9257</v>
      </c>
      <c r="BB146" s="8">
        <v>507560</v>
      </c>
      <c r="BC146" s="8">
        <f t="shared" si="92"/>
        <v>45777</v>
      </c>
      <c r="BD146" s="8">
        <f t="shared" si="65"/>
        <v>5398</v>
      </c>
      <c r="BE146" s="8">
        <f t="shared" si="93"/>
        <v>-36520</v>
      </c>
      <c r="BF146" s="8">
        <v>266838</v>
      </c>
      <c r="BG146" s="8">
        <f t="shared" si="94"/>
        <v>4794</v>
      </c>
      <c r="BH146" s="8">
        <v>427471</v>
      </c>
      <c r="BI146" s="8">
        <f t="shared" si="95"/>
        <v>42853</v>
      </c>
      <c r="BJ146" s="8">
        <f t="shared" si="66"/>
        <v>-160633</v>
      </c>
      <c r="BK146" s="8">
        <f t="shared" si="68"/>
        <v>-38059</v>
      </c>
    </row>
    <row r="147" spans="1:63">
      <c r="A147" s="5">
        <v>39896</v>
      </c>
      <c r="B147" s="8">
        <v>241550</v>
      </c>
      <c r="C147" s="8">
        <f t="shared" si="69"/>
        <v>1506</v>
      </c>
      <c r="D147" s="8">
        <v>12536</v>
      </c>
      <c r="E147" s="8">
        <f t="shared" si="70"/>
        <v>1461</v>
      </c>
      <c r="F147" s="8">
        <v>28647</v>
      </c>
      <c r="G147" s="8">
        <f t="shared" si="71"/>
        <v>-4529</v>
      </c>
      <c r="H147" s="8">
        <v>-16111</v>
      </c>
      <c r="I147" s="8">
        <f t="shared" si="72"/>
        <v>5990</v>
      </c>
      <c r="J147" s="8">
        <v>15857</v>
      </c>
      <c r="K147" s="8">
        <f t="shared" si="73"/>
        <v>-8536</v>
      </c>
      <c r="L147" s="8">
        <v>119812</v>
      </c>
      <c r="M147" s="8">
        <f t="shared" si="74"/>
        <v>5072</v>
      </c>
      <c r="N147" s="8">
        <v>15857</v>
      </c>
      <c r="O147" s="8">
        <f t="shared" si="75"/>
        <v>-8536</v>
      </c>
      <c r="P147" s="8">
        <v>91829</v>
      </c>
      <c r="Q147" s="8">
        <f t="shared" si="76"/>
        <v>-5429</v>
      </c>
      <c r="R147" s="8">
        <v>104845</v>
      </c>
      <c r="S147" s="8">
        <f t="shared" si="77"/>
        <v>4538</v>
      </c>
      <c r="T147" s="8">
        <v>-13016</v>
      </c>
      <c r="U147" s="8">
        <f t="shared" si="78"/>
        <v>-9967</v>
      </c>
      <c r="W147" s="8">
        <v>129749</v>
      </c>
      <c r="X147" s="8">
        <f t="shared" si="79"/>
        <v>4471</v>
      </c>
      <c r="Y147" s="8">
        <v>21838</v>
      </c>
      <c r="Z147" s="8">
        <f t="shared" si="80"/>
        <v>3550</v>
      </c>
      <c r="AA147" s="8">
        <v>4793</v>
      </c>
      <c r="AB147" s="8">
        <f t="shared" si="67"/>
        <v>-3019</v>
      </c>
      <c r="AC147" s="8">
        <v>17045</v>
      </c>
      <c r="AD147" s="8">
        <f t="shared" si="67"/>
        <v>6569</v>
      </c>
      <c r="AE147" s="8">
        <v>51607</v>
      </c>
      <c r="AF147" s="8">
        <f t="shared" si="81"/>
        <v>-2894</v>
      </c>
      <c r="AG147" s="8">
        <v>81150</v>
      </c>
      <c r="AH147" s="8">
        <f t="shared" si="82"/>
        <v>8995</v>
      </c>
      <c r="AI147" s="8">
        <v>-29543</v>
      </c>
      <c r="AJ147" s="8">
        <f t="shared" si="83"/>
        <v>-11889</v>
      </c>
      <c r="AK147" s="8">
        <v>47172</v>
      </c>
      <c r="AL147" s="8">
        <f t="shared" si="84"/>
        <v>-2999</v>
      </c>
      <c r="AM147" s="8">
        <v>79437</v>
      </c>
      <c r="AN147" s="8">
        <f t="shared" si="85"/>
        <v>8403</v>
      </c>
      <c r="AO147" s="8">
        <v>-32265</v>
      </c>
      <c r="AP147" s="8">
        <f t="shared" si="86"/>
        <v>-11402</v>
      </c>
      <c r="AR147" s="8">
        <v>1195955</v>
      </c>
      <c r="AS147" s="8">
        <f t="shared" si="87"/>
        <v>35889</v>
      </c>
      <c r="AT147" s="8">
        <v>111822</v>
      </c>
      <c r="AU147" s="8">
        <f t="shared" si="88"/>
        <v>4268</v>
      </c>
      <c r="AV147" s="8">
        <v>51244</v>
      </c>
      <c r="AW147" s="8">
        <f t="shared" si="89"/>
        <v>-6352</v>
      </c>
      <c r="AX147" s="8">
        <f t="shared" si="64"/>
        <v>60578</v>
      </c>
      <c r="AY147" s="8">
        <f t="shared" si="90"/>
        <v>10620</v>
      </c>
      <c r="AZ147" s="8">
        <v>531432</v>
      </c>
      <c r="BA147" s="8">
        <f t="shared" si="91"/>
        <v>18474</v>
      </c>
      <c r="BB147" s="8">
        <v>531949</v>
      </c>
      <c r="BC147" s="8">
        <f t="shared" si="92"/>
        <v>24389</v>
      </c>
      <c r="BD147" s="8">
        <f t="shared" si="65"/>
        <v>-517</v>
      </c>
      <c r="BE147" s="8">
        <f t="shared" si="93"/>
        <v>-5915</v>
      </c>
      <c r="BF147" s="8">
        <v>279606</v>
      </c>
      <c r="BG147" s="8">
        <f t="shared" si="94"/>
        <v>12768</v>
      </c>
      <c r="BH147" s="8">
        <v>454156</v>
      </c>
      <c r="BI147" s="8">
        <f t="shared" si="95"/>
        <v>26685</v>
      </c>
      <c r="BJ147" s="8">
        <f t="shared" si="66"/>
        <v>-174550</v>
      </c>
      <c r="BK147" s="8">
        <f t="shared" si="68"/>
        <v>-13917</v>
      </c>
    </row>
    <row r="148" spans="1:63">
      <c r="A148" s="5">
        <v>39903</v>
      </c>
      <c r="B148" s="8">
        <v>241849</v>
      </c>
      <c r="C148" s="8">
        <f t="shared" si="69"/>
        <v>299</v>
      </c>
      <c r="D148" s="8">
        <v>14989</v>
      </c>
      <c r="E148" s="8">
        <f t="shared" si="70"/>
        <v>2453</v>
      </c>
      <c r="F148" s="8">
        <v>23255</v>
      </c>
      <c r="G148" s="8">
        <f t="shared" si="71"/>
        <v>-5392</v>
      </c>
      <c r="H148" s="8">
        <v>-8266</v>
      </c>
      <c r="I148" s="8">
        <f t="shared" si="72"/>
        <v>7845</v>
      </c>
      <c r="J148" s="8">
        <v>7385</v>
      </c>
      <c r="K148" s="8">
        <f t="shared" si="73"/>
        <v>-8472</v>
      </c>
      <c r="L148" s="8">
        <v>129509</v>
      </c>
      <c r="M148" s="8">
        <f t="shared" si="74"/>
        <v>9697</v>
      </c>
      <c r="N148" s="8">
        <v>7385</v>
      </c>
      <c r="O148" s="8">
        <f t="shared" si="75"/>
        <v>-8472</v>
      </c>
      <c r="P148" s="8">
        <v>87968</v>
      </c>
      <c r="Q148" s="8">
        <f t="shared" si="76"/>
        <v>-3861</v>
      </c>
      <c r="R148" s="8">
        <v>116562</v>
      </c>
      <c r="S148" s="8">
        <f t="shared" si="77"/>
        <v>11717</v>
      </c>
      <c r="T148" s="8">
        <v>-28594</v>
      </c>
      <c r="U148" s="8">
        <f t="shared" si="78"/>
        <v>-15578</v>
      </c>
      <c r="W148" s="8">
        <v>126448</v>
      </c>
      <c r="X148" s="8">
        <f t="shared" si="79"/>
        <v>-3301</v>
      </c>
      <c r="Y148" s="8">
        <v>22411</v>
      </c>
      <c r="Z148" s="8">
        <f t="shared" si="80"/>
        <v>573</v>
      </c>
      <c r="AA148" s="8">
        <v>3998</v>
      </c>
      <c r="AB148" s="8">
        <f t="shared" si="67"/>
        <v>-795</v>
      </c>
      <c r="AC148" s="8">
        <v>18413</v>
      </c>
      <c r="AD148" s="8">
        <f t="shared" si="67"/>
        <v>1368</v>
      </c>
      <c r="AE148" s="8">
        <v>49041</v>
      </c>
      <c r="AF148" s="8">
        <f t="shared" si="81"/>
        <v>-2566</v>
      </c>
      <c r="AG148" s="8">
        <v>80983</v>
      </c>
      <c r="AH148" s="8">
        <f t="shared" si="82"/>
        <v>-167</v>
      </c>
      <c r="AI148" s="8">
        <v>-31942</v>
      </c>
      <c r="AJ148" s="8">
        <f t="shared" si="83"/>
        <v>-2399</v>
      </c>
      <c r="AK148" s="8">
        <v>45601</v>
      </c>
      <c r="AL148" s="8">
        <f t="shared" si="84"/>
        <v>-1571</v>
      </c>
      <c r="AM148" s="8">
        <v>77604</v>
      </c>
      <c r="AN148" s="8">
        <f t="shared" si="85"/>
        <v>-1833</v>
      </c>
      <c r="AO148" s="8">
        <v>-32003</v>
      </c>
      <c r="AP148" s="8">
        <f t="shared" si="86"/>
        <v>262</v>
      </c>
      <c r="AR148" s="8">
        <v>1224961</v>
      </c>
      <c r="AS148" s="8">
        <f t="shared" si="87"/>
        <v>29006</v>
      </c>
      <c r="AT148" s="8">
        <v>115075</v>
      </c>
      <c r="AU148" s="8">
        <f t="shared" si="88"/>
        <v>3253</v>
      </c>
      <c r="AV148" s="8">
        <v>54599</v>
      </c>
      <c r="AW148" s="8">
        <f t="shared" si="89"/>
        <v>3355</v>
      </c>
      <c r="AX148" s="8">
        <f t="shared" si="64"/>
        <v>60476</v>
      </c>
      <c r="AY148" s="8">
        <f t="shared" si="90"/>
        <v>-102</v>
      </c>
      <c r="AZ148" s="8">
        <v>547018</v>
      </c>
      <c r="BA148" s="8">
        <f t="shared" si="91"/>
        <v>15586</v>
      </c>
      <c r="BB148" s="8">
        <v>543741</v>
      </c>
      <c r="BC148" s="8">
        <f t="shared" si="92"/>
        <v>11792</v>
      </c>
      <c r="BD148" s="8">
        <f t="shared" si="65"/>
        <v>3277</v>
      </c>
      <c r="BE148" s="8">
        <f t="shared" si="93"/>
        <v>3794</v>
      </c>
      <c r="BF148" s="8">
        <v>289256</v>
      </c>
      <c r="BG148" s="8">
        <f t="shared" si="94"/>
        <v>9650</v>
      </c>
      <c r="BH148" s="8">
        <v>464422</v>
      </c>
      <c r="BI148" s="8">
        <f t="shared" si="95"/>
        <v>10266</v>
      </c>
      <c r="BJ148" s="8">
        <f t="shared" si="66"/>
        <v>-175166</v>
      </c>
      <c r="BK148" s="8">
        <f t="shared" si="68"/>
        <v>-616</v>
      </c>
    </row>
    <row r="149" spans="1:63">
      <c r="A149" s="5">
        <v>39910</v>
      </c>
      <c r="B149" s="8">
        <v>244547</v>
      </c>
      <c r="C149" s="8">
        <f t="shared" si="69"/>
        <v>2698</v>
      </c>
      <c r="D149" s="8">
        <v>17880</v>
      </c>
      <c r="E149" s="8">
        <f t="shared" si="70"/>
        <v>2891</v>
      </c>
      <c r="F149" s="8">
        <v>18981</v>
      </c>
      <c r="G149" s="8">
        <f t="shared" si="71"/>
        <v>-4274</v>
      </c>
      <c r="H149" s="8">
        <v>-1101</v>
      </c>
      <c r="I149" s="8">
        <f t="shared" si="72"/>
        <v>7165</v>
      </c>
      <c r="J149" s="8">
        <v>128702</v>
      </c>
      <c r="K149" s="8">
        <f t="shared" si="73"/>
        <v>121317</v>
      </c>
      <c r="L149" s="8">
        <v>133966</v>
      </c>
      <c r="M149" s="8">
        <f t="shared" si="74"/>
        <v>4457</v>
      </c>
      <c r="N149" s="8">
        <v>-5264</v>
      </c>
      <c r="O149" s="8">
        <f t="shared" si="75"/>
        <v>-12649</v>
      </c>
      <c r="P149" s="8">
        <v>77443</v>
      </c>
      <c r="Q149" s="8">
        <f t="shared" si="76"/>
        <v>-10525</v>
      </c>
      <c r="R149" s="8">
        <v>121154</v>
      </c>
      <c r="S149" s="8">
        <f t="shared" si="77"/>
        <v>4592</v>
      </c>
      <c r="T149" s="8">
        <v>-43711</v>
      </c>
      <c r="U149" s="8">
        <f t="shared" si="78"/>
        <v>-15117</v>
      </c>
      <c r="W149" s="8">
        <v>132363</v>
      </c>
      <c r="X149" s="8">
        <f t="shared" si="79"/>
        <v>5915</v>
      </c>
      <c r="Y149" s="8">
        <v>22868</v>
      </c>
      <c r="Z149" s="8">
        <f t="shared" si="80"/>
        <v>457</v>
      </c>
      <c r="AA149" s="8">
        <v>6007</v>
      </c>
      <c r="AB149" s="8">
        <f t="shared" si="67"/>
        <v>2009</v>
      </c>
      <c r="AC149" s="8">
        <v>16861</v>
      </c>
      <c r="AD149" s="8">
        <f t="shared" si="67"/>
        <v>-1552</v>
      </c>
      <c r="AE149" s="8">
        <v>52780</v>
      </c>
      <c r="AF149" s="8">
        <f t="shared" si="81"/>
        <v>3739</v>
      </c>
      <c r="AG149" s="8">
        <v>83909</v>
      </c>
      <c r="AH149" s="8">
        <f t="shared" si="82"/>
        <v>2926</v>
      </c>
      <c r="AI149" s="8">
        <v>-31129</v>
      </c>
      <c r="AJ149" s="8">
        <f t="shared" si="83"/>
        <v>813</v>
      </c>
      <c r="AK149" s="8">
        <v>48588</v>
      </c>
      <c r="AL149" s="8">
        <f t="shared" si="84"/>
        <v>2987</v>
      </c>
      <c r="AM149" s="8">
        <v>79764</v>
      </c>
      <c r="AN149" s="8">
        <f t="shared" si="85"/>
        <v>2160</v>
      </c>
      <c r="AO149" s="8">
        <v>-31176</v>
      </c>
      <c r="AP149" s="8">
        <f t="shared" si="86"/>
        <v>827</v>
      </c>
      <c r="AR149" s="8">
        <v>1251985</v>
      </c>
      <c r="AS149" s="8">
        <f t="shared" si="87"/>
        <v>27024</v>
      </c>
      <c r="AT149" s="8">
        <v>115687</v>
      </c>
      <c r="AU149" s="8">
        <f t="shared" si="88"/>
        <v>612</v>
      </c>
      <c r="AV149" s="8">
        <v>54544</v>
      </c>
      <c r="AW149" s="8">
        <f t="shared" si="89"/>
        <v>-55</v>
      </c>
      <c r="AX149" s="8">
        <f t="shared" si="64"/>
        <v>61143</v>
      </c>
      <c r="AY149" s="8">
        <f t="shared" si="90"/>
        <v>667</v>
      </c>
      <c r="AZ149" s="8">
        <v>554624</v>
      </c>
      <c r="BA149" s="8">
        <f t="shared" si="91"/>
        <v>7606</v>
      </c>
      <c r="BB149" s="8">
        <v>551638</v>
      </c>
      <c r="BC149" s="8">
        <f t="shared" si="92"/>
        <v>7897</v>
      </c>
      <c r="BD149" s="8">
        <f t="shared" si="65"/>
        <v>2986</v>
      </c>
      <c r="BE149" s="8">
        <f t="shared" si="93"/>
        <v>-291</v>
      </c>
      <c r="BF149" s="8">
        <v>294018</v>
      </c>
      <c r="BG149" s="8">
        <f t="shared" si="94"/>
        <v>4762</v>
      </c>
      <c r="BH149" s="8">
        <v>473643</v>
      </c>
      <c r="BI149" s="8">
        <f t="shared" si="95"/>
        <v>9221</v>
      </c>
      <c r="BJ149" s="8">
        <f t="shared" si="66"/>
        <v>-179625</v>
      </c>
      <c r="BK149" s="8">
        <f t="shared" si="68"/>
        <v>-4459</v>
      </c>
    </row>
    <row r="150" spans="1:63">
      <c r="A150" s="5">
        <v>39917</v>
      </c>
      <c r="B150" s="8">
        <v>254905</v>
      </c>
      <c r="C150" s="8">
        <f t="shared" si="69"/>
        <v>10358</v>
      </c>
      <c r="D150" s="8">
        <v>21425</v>
      </c>
      <c r="E150" s="8">
        <f t="shared" si="70"/>
        <v>3545</v>
      </c>
      <c r="F150" s="8">
        <v>14712</v>
      </c>
      <c r="G150" s="8">
        <f t="shared" si="71"/>
        <v>-4269</v>
      </c>
      <c r="H150" s="8">
        <v>6713</v>
      </c>
      <c r="I150" s="8">
        <f t="shared" si="72"/>
        <v>7814</v>
      </c>
      <c r="J150" s="8">
        <v>127771</v>
      </c>
      <c r="K150" s="8">
        <f t="shared" si="73"/>
        <v>-931</v>
      </c>
      <c r="L150" s="8">
        <v>142631</v>
      </c>
      <c r="M150" s="8">
        <f t="shared" si="74"/>
        <v>8665</v>
      </c>
      <c r="N150" s="8">
        <v>-14860</v>
      </c>
      <c r="O150" s="8">
        <f t="shared" si="75"/>
        <v>-9596</v>
      </c>
      <c r="P150" s="8">
        <v>77957</v>
      </c>
      <c r="Q150" s="8">
        <f t="shared" si="76"/>
        <v>514</v>
      </c>
      <c r="R150" s="8">
        <v>131493</v>
      </c>
      <c r="S150" s="8">
        <f t="shared" si="77"/>
        <v>10339</v>
      </c>
      <c r="T150" s="8">
        <v>-53536</v>
      </c>
      <c r="U150" s="8">
        <f t="shared" si="78"/>
        <v>-9825</v>
      </c>
      <c r="W150" s="8">
        <v>140410</v>
      </c>
      <c r="X150" s="8">
        <f t="shared" si="79"/>
        <v>8047</v>
      </c>
      <c r="Y150" s="8">
        <v>28645</v>
      </c>
      <c r="Z150" s="8">
        <f t="shared" si="80"/>
        <v>5777</v>
      </c>
      <c r="AA150" s="8">
        <v>4278</v>
      </c>
      <c r="AB150" s="8">
        <f t="shared" si="67"/>
        <v>-1729</v>
      </c>
      <c r="AC150" s="8">
        <v>24367</v>
      </c>
      <c r="AD150" s="8">
        <f t="shared" si="67"/>
        <v>7506</v>
      </c>
      <c r="AE150" s="8">
        <v>52271</v>
      </c>
      <c r="AF150" s="8">
        <f t="shared" si="81"/>
        <v>-509</v>
      </c>
      <c r="AG150" s="8">
        <v>91194</v>
      </c>
      <c r="AH150" s="8">
        <f t="shared" si="82"/>
        <v>7285</v>
      </c>
      <c r="AI150" s="8">
        <v>-38923</v>
      </c>
      <c r="AJ150" s="8">
        <f t="shared" si="83"/>
        <v>-7794</v>
      </c>
      <c r="AK150" s="8">
        <v>48708</v>
      </c>
      <c r="AL150" s="8">
        <f t="shared" si="84"/>
        <v>120</v>
      </c>
      <c r="AM150" s="8">
        <v>88233</v>
      </c>
      <c r="AN150" s="8">
        <f t="shared" si="85"/>
        <v>8469</v>
      </c>
      <c r="AO150" s="8">
        <v>-39525</v>
      </c>
      <c r="AP150" s="8">
        <f t="shared" si="86"/>
        <v>-8349</v>
      </c>
      <c r="AR150" s="8">
        <v>1245011</v>
      </c>
      <c r="AS150" s="8">
        <f t="shared" si="87"/>
        <v>-6974</v>
      </c>
      <c r="AT150" s="8">
        <v>122478</v>
      </c>
      <c r="AU150" s="8">
        <f t="shared" si="88"/>
        <v>6791</v>
      </c>
      <c r="AV150" s="8">
        <v>61180</v>
      </c>
      <c r="AW150" s="8">
        <f t="shared" si="89"/>
        <v>6636</v>
      </c>
      <c r="AX150" s="8">
        <f t="shared" si="64"/>
        <v>61298</v>
      </c>
      <c r="AY150" s="8">
        <f t="shared" si="90"/>
        <v>155</v>
      </c>
      <c r="AZ150" s="8">
        <v>537467</v>
      </c>
      <c r="BA150" s="8">
        <f t="shared" si="91"/>
        <v>-17157</v>
      </c>
      <c r="BB150" s="8">
        <v>534448</v>
      </c>
      <c r="BC150" s="8">
        <f t="shared" si="92"/>
        <v>-17190</v>
      </c>
      <c r="BD150" s="8">
        <f t="shared" si="65"/>
        <v>3019</v>
      </c>
      <c r="BE150" s="8">
        <f t="shared" si="93"/>
        <v>33</v>
      </c>
      <c r="BF150" s="8">
        <v>278411</v>
      </c>
      <c r="BG150" s="8">
        <f t="shared" si="94"/>
        <v>-15607</v>
      </c>
      <c r="BH150" s="8">
        <v>459369</v>
      </c>
      <c r="BI150" s="8">
        <f t="shared" si="95"/>
        <v>-14274</v>
      </c>
      <c r="BJ150" s="8">
        <f t="shared" si="66"/>
        <v>-180958</v>
      </c>
      <c r="BK150" s="8">
        <f t="shared" si="68"/>
        <v>-1333</v>
      </c>
    </row>
    <row r="151" spans="1:63">
      <c r="A151" s="5">
        <v>39924</v>
      </c>
      <c r="B151" s="8">
        <v>252691</v>
      </c>
      <c r="C151" s="8">
        <f t="shared" si="69"/>
        <v>-2214</v>
      </c>
      <c r="D151" s="8">
        <v>24020</v>
      </c>
      <c r="E151" s="8">
        <f t="shared" si="70"/>
        <v>2595</v>
      </c>
      <c r="F151" s="8">
        <v>15428</v>
      </c>
      <c r="G151" s="8">
        <f t="shared" si="71"/>
        <v>716</v>
      </c>
      <c r="H151" s="8">
        <v>8592</v>
      </c>
      <c r="I151" s="8">
        <f t="shared" si="72"/>
        <v>1879</v>
      </c>
      <c r="J151" s="8">
        <v>122808</v>
      </c>
      <c r="K151" s="8">
        <f t="shared" si="73"/>
        <v>-4963</v>
      </c>
      <c r="L151" s="8">
        <v>137350</v>
      </c>
      <c r="M151" s="8">
        <f t="shared" si="74"/>
        <v>-5281</v>
      </c>
      <c r="N151" s="8">
        <v>-14542</v>
      </c>
      <c r="O151" s="8">
        <f t="shared" si="75"/>
        <v>318</v>
      </c>
      <c r="P151" s="8">
        <v>69788</v>
      </c>
      <c r="Q151" s="8">
        <f t="shared" si="76"/>
        <v>-8169</v>
      </c>
      <c r="R151" s="8">
        <v>127533</v>
      </c>
      <c r="S151" s="8">
        <f t="shared" si="77"/>
        <v>-3960</v>
      </c>
      <c r="T151" s="8">
        <v>-57745</v>
      </c>
      <c r="U151" s="8">
        <f t="shared" si="78"/>
        <v>-4209</v>
      </c>
      <c r="W151" s="8">
        <v>151754</v>
      </c>
      <c r="X151" s="8">
        <f t="shared" si="79"/>
        <v>11344</v>
      </c>
      <c r="Y151" s="8">
        <v>38414</v>
      </c>
      <c r="Z151" s="8">
        <f t="shared" si="80"/>
        <v>9769</v>
      </c>
      <c r="AA151" s="8">
        <v>4041</v>
      </c>
      <c r="AB151" s="8">
        <f t="shared" si="67"/>
        <v>-237</v>
      </c>
      <c r="AC151" s="8">
        <v>34373</v>
      </c>
      <c r="AD151" s="8">
        <f t="shared" si="67"/>
        <v>10006</v>
      </c>
      <c r="AE151" s="8">
        <v>52811</v>
      </c>
      <c r="AF151" s="8">
        <f t="shared" si="81"/>
        <v>540</v>
      </c>
      <c r="AG151" s="8">
        <v>103176</v>
      </c>
      <c r="AH151" s="8">
        <f t="shared" si="82"/>
        <v>11982</v>
      </c>
      <c r="AI151" s="8">
        <v>-50365</v>
      </c>
      <c r="AJ151" s="8">
        <f t="shared" si="83"/>
        <v>-11442</v>
      </c>
      <c r="AK151" s="8">
        <v>48790</v>
      </c>
      <c r="AL151" s="8">
        <f t="shared" si="84"/>
        <v>82</v>
      </c>
      <c r="AM151" s="8">
        <v>99277</v>
      </c>
      <c r="AN151" s="8">
        <f t="shared" si="85"/>
        <v>11044</v>
      </c>
      <c r="AO151" s="8">
        <v>-50487</v>
      </c>
      <c r="AP151" s="8">
        <f t="shared" si="86"/>
        <v>-10962</v>
      </c>
      <c r="AR151" s="8">
        <v>1234636</v>
      </c>
      <c r="AS151" s="8">
        <f t="shared" si="87"/>
        <v>-10375</v>
      </c>
      <c r="AT151" s="8">
        <v>120610</v>
      </c>
      <c r="AU151" s="8">
        <f t="shared" si="88"/>
        <v>-1868</v>
      </c>
      <c r="AV151" s="8">
        <v>101069</v>
      </c>
      <c r="AW151" s="8">
        <f t="shared" si="89"/>
        <v>39889</v>
      </c>
      <c r="AX151" s="8">
        <f t="shared" si="64"/>
        <v>19541</v>
      </c>
      <c r="AY151" s="8">
        <f t="shared" si="90"/>
        <v>-41757</v>
      </c>
      <c r="AZ151" s="8">
        <v>546192</v>
      </c>
      <c r="BA151" s="8">
        <f t="shared" si="91"/>
        <v>8725</v>
      </c>
      <c r="BB151" s="8">
        <v>492178</v>
      </c>
      <c r="BC151" s="8">
        <f t="shared" si="92"/>
        <v>-42270</v>
      </c>
      <c r="BD151" s="8">
        <f t="shared" si="65"/>
        <v>54014</v>
      </c>
      <c r="BE151" s="8">
        <f t="shared" si="93"/>
        <v>50995</v>
      </c>
      <c r="BF151" s="8">
        <v>285692</v>
      </c>
      <c r="BG151" s="8">
        <f t="shared" si="94"/>
        <v>7281</v>
      </c>
      <c r="BH151" s="8">
        <v>413620</v>
      </c>
      <c r="BI151" s="8">
        <f t="shared" si="95"/>
        <v>-45749</v>
      </c>
      <c r="BJ151" s="8">
        <f t="shared" si="66"/>
        <v>-127928</v>
      </c>
      <c r="BK151" s="8">
        <f t="shared" si="68"/>
        <v>53030</v>
      </c>
    </row>
    <row r="152" spans="1:63">
      <c r="A152" s="5">
        <v>39931</v>
      </c>
      <c r="B152" s="8">
        <v>239257</v>
      </c>
      <c r="C152" s="8">
        <f t="shared" si="69"/>
        <v>-13434</v>
      </c>
      <c r="D152" s="8">
        <v>24782</v>
      </c>
      <c r="E152" s="8">
        <f t="shared" si="70"/>
        <v>762</v>
      </c>
      <c r="F152" s="8">
        <v>15443</v>
      </c>
      <c r="G152" s="8">
        <f t="shared" si="71"/>
        <v>15</v>
      </c>
      <c r="H152" s="8">
        <v>9339</v>
      </c>
      <c r="I152" s="8">
        <f t="shared" si="72"/>
        <v>747</v>
      </c>
      <c r="J152" s="8">
        <v>120087</v>
      </c>
      <c r="K152" s="8">
        <f t="shared" si="73"/>
        <v>-2721</v>
      </c>
      <c r="L152" s="8">
        <v>132301</v>
      </c>
      <c r="M152" s="8">
        <f t="shared" si="74"/>
        <v>-5049</v>
      </c>
      <c r="N152" s="8">
        <v>-12214</v>
      </c>
      <c r="O152" s="8">
        <f t="shared" si="75"/>
        <v>2328</v>
      </c>
      <c r="P152" s="8">
        <v>65892</v>
      </c>
      <c r="Q152" s="8">
        <f t="shared" si="76"/>
        <v>-3896</v>
      </c>
      <c r="R152" s="8">
        <v>123819</v>
      </c>
      <c r="S152" s="8">
        <f t="shared" si="77"/>
        <v>-3714</v>
      </c>
      <c r="T152" s="8">
        <v>-57927</v>
      </c>
      <c r="U152" s="8">
        <f t="shared" si="78"/>
        <v>-182</v>
      </c>
      <c r="W152" s="8">
        <v>147616</v>
      </c>
      <c r="X152" s="8">
        <f t="shared" si="79"/>
        <v>-4138</v>
      </c>
      <c r="Y152" s="8">
        <v>36005</v>
      </c>
      <c r="Z152" s="8">
        <f t="shared" si="80"/>
        <v>-2409</v>
      </c>
      <c r="AA152" s="8">
        <v>3612</v>
      </c>
      <c r="AB152" s="8">
        <f t="shared" si="67"/>
        <v>-429</v>
      </c>
      <c r="AC152" s="8">
        <v>32393</v>
      </c>
      <c r="AD152" s="8">
        <f t="shared" si="67"/>
        <v>-1980</v>
      </c>
      <c r="AE152" s="8">
        <v>52722</v>
      </c>
      <c r="AF152" s="8">
        <f t="shared" si="81"/>
        <v>-89</v>
      </c>
      <c r="AG152" s="8">
        <v>95944</v>
      </c>
      <c r="AH152" s="8">
        <f t="shared" si="82"/>
        <v>-7232</v>
      </c>
      <c r="AI152" s="8">
        <v>-43222</v>
      </c>
      <c r="AJ152" s="8">
        <f t="shared" si="83"/>
        <v>7143</v>
      </c>
      <c r="AK152" s="8">
        <v>49622</v>
      </c>
      <c r="AL152" s="8">
        <f t="shared" si="84"/>
        <v>832</v>
      </c>
      <c r="AM152" s="8">
        <v>92163</v>
      </c>
      <c r="AN152" s="8">
        <f t="shared" si="85"/>
        <v>-7114</v>
      </c>
      <c r="AO152" s="8">
        <v>-42541</v>
      </c>
      <c r="AP152" s="8">
        <f t="shared" si="86"/>
        <v>7946</v>
      </c>
      <c r="AR152" s="8">
        <v>1164978</v>
      </c>
      <c r="AS152" s="8">
        <f t="shared" si="87"/>
        <v>-69658</v>
      </c>
      <c r="AT152" s="8">
        <v>120769</v>
      </c>
      <c r="AU152" s="8">
        <f t="shared" si="88"/>
        <v>159</v>
      </c>
      <c r="AV152" s="8">
        <v>105433</v>
      </c>
      <c r="AW152" s="8">
        <f t="shared" si="89"/>
        <v>4364</v>
      </c>
      <c r="AX152" s="8">
        <f t="shared" si="64"/>
        <v>15336</v>
      </c>
      <c r="AY152" s="8">
        <f t="shared" si="90"/>
        <v>-4205</v>
      </c>
      <c r="AZ152" s="8">
        <v>520479</v>
      </c>
      <c r="BA152" s="8">
        <f t="shared" si="91"/>
        <v>-25713</v>
      </c>
      <c r="BB152" s="8">
        <v>465107</v>
      </c>
      <c r="BC152" s="8">
        <f t="shared" si="92"/>
        <v>-27071</v>
      </c>
      <c r="BD152" s="8">
        <f t="shared" si="65"/>
        <v>55372</v>
      </c>
      <c r="BE152" s="8">
        <f t="shared" si="93"/>
        <v>1358</v>
      </c>
      <c r="BF152" s="8">
        <v>258984</v>
      </c>
      <c r="BG152" s="8">
        <f t="shared" si="94"/>
        <v>-26708</v>
      </c>
      <c r="BH152" s="8">
        <v>388025</v>
      </c>
      <c r="BI152" s="8">
        <f t="shared" si="95"/>
        <v>-25595</v>
      </c>
      <c r="BJ152" s="8">
        <f t="shared" si="66"/>
        <v>-129041</v>
      </c>
      <c r="BK152" s="8">
        <f t="shared" si="68"/>
        <v>-1113</v>
      </c>
    </row>
    <row r="153" spans="1:63">
      <c r="A153" s="5">
        <v>39938</v>
      </c>
      <c r="B153" s="8">
        <v>244315</v>
      </c>
      <c r="C153" s="8">
        <f t="shared" si="69"/>
        <v>5058</v>
      </c>
      <c r="D153" s="8">
        <v>31465</v>
      </c>
      <c r="E153" s="8">
        <f t="shared" si="70"/>
        <v>6683</v>
      </c>
      <c r="F153" s="8">
        <v>15559</v>
      </c>
      <c r="G153" s="8">
        <f t="shared" si="71"/>
        <v>116</v>
      </c>
      <c r="H153" s="8">
        <v>15906</v>
      </c>
      <c r="I153" s="8">
        <f t="shared" si="72"/>
        <v>6567</v>
      </c>
      <c r="J153" s="8">
        <v>111700</v>
      </c>
      <c r="K153" s="8">
        <f t="shared" si="73"/>
        <v>-8387</v>
      </c>
      <c r="L153" s="8">
        <v>137718</v>
      </c>
      <c r="M153" s="8">
        <f t="shared" si="74"/>
        <v>5417</v>
      </c>
      <c r="N153" s="8">
        <v>-26018</v>
      </c>
      <c r="O153" s="8">
        <f t="shared" si="75"/>
        <v>-13804</v>
      </c>
      <c r="P153" s="8">
        <v>57180</v>
      </c>
      <c r="Q153" s="8">
        <f t="shared" si="76"/>
        <v>-8712</v>
      </c>
      <c r="R153" s="8">
        <v>129207</v>
      </c>
      <c r="S153" s="8">
        <f t="shared" si="77"/>
        <v>5388</v>
      </c>
      <c r="T153" s="8">
        <v>-72027</v>
      </c>
      <c r="U153" s="8">
        <f t="shared" si="78"/>
        <v>-14100</v>
      </c>
      <c r="W153" s="8">
        <v>163069</v>
      </c>
      <c r="X153" s="8">
        <f t="shared" si="79"/>
        <v>15453</v>
      </c>
      <c r="Y153" s="8">
        <v>44278</v>
      </c>
      <c r="Z153" s="8">
        <f t="shared" si="80"/>
        <v>8273</v>
      </c>
      <c r="AA153" s="8">
        <v>1715</v>
      </c>
      <c r="AB153" s="8">
        <f t="shared" si="67"/>
        <v>-1897</v>
      </c>
      <c r="AC153" s="8">
        <v>42563</v>
      </c>
      <c r="AD153" s="8">
        <f t="shared" si="67"/>
        <v>10170</v>
      </c>
      <c r="AE153" s="8">
        <v>56562</v>
      </c>
      <c r="AF153" s="8">
        <f t="shared" si="81"/>
        <v>3840</v>
      </c>
      <c r="AG153" s="8">
        <v>114493</v>
      </c>
      <c r="AH153" s="8">
        <f t="shared" si="82"/>
        <v>18549</v>
      </c>
      <c r="AI153" s="8">
        <v>-57931</v>
      </c>
      <c r="AJ153" s="8">
        <f t="shared" si="83"/>
        <v>-14709</v>
      </c>
      <c r="AK153" s="8">
        <v>51821</v>
      </c>
      <c r="AL153" s="8">
        <f t="shared" si="84"/>
        <v>2199</v>
      </c>
      <c r="AM153" s="8">
        <v>111356</v>
      </c>
      <c r="AN153" s="8">
        <f t="shared" si="85"/>
        <v>19193</v>
      </c>
      <c r="AO153" s="8">
        <v>-59535</v>
      </c>
      <c r="AP153" s="8">
        <f t="shared" si="86"/>
        <v>-16994</v>
      </c>
      <c r="AR153" s="8">
        <v>1175078</v>
      </c>
      <c r="AS153" s="8">
        <f t="shared" si="87"/>
        <v>10100</v>
      </c>
      <c r="AT153" s="8">
        <v>144947</v>
      </c>
      <c r="AU153" s="8">
        <f t="shared" si="88"/>
        <v>24178</v>
      </c>
      <c r="AV153" s="8">
        <v>83547</v>
      </c>
      <c r="AW153" s="8">
        <f t="shared" si="89"/>
        <v>-21886</v>
      </c>
      <c r="AX153" s="8">
        <f t="shared" si="64"/>
        <v>61400</v>
      </c>
      <c r="AY153" s="8">
        <f t="shared" si="90"/>
        <v>46064</v>
      </c>
      <c r="AZ153" s="8">
        <v>511348</v>
      </c>
      <c r="BA153" s="8">
        <f t="shared" si="91"/>
        <v>-9131</v>
      </c>
      <c r="BB153" s="8">
        <v>500802</v>
      </c>
      <c r="BC153" s="8">
        <f t="shared" si="92"/>
        <v>35695</v>
      </c>
      <c r="BD153" s="8">
        <f t="shared" si="65"/>
        <v>10546</v>
      </c>
      <c r="BE153" s="8">
        <f t="shared" si="93"/>
        <v>-44826</v>
      </c>
      <c r="BF153" s="8">
        <v>244377</v>
      </c>
      <c r="BG153" s="8">
        <f t="shared" si="94"/>
        <v>-14607</v>
      </c>
      <c r="BH153" s="8">
        <v>426405</v>
      </c>
      <c r="BI153" s="8">
        <f t="shared" si="95"/>
        <v>38380</v>
      </c>
      <c r="BJ153" s="8">
        <f t="shared" si="66"/>
        <v>-182028</v>
      </c>
      <c r="BK153" s="8">
        <f t="shared" si="68"/>
        <v>-52987</v>
      </c>
    </row>
    <row r="154" spans="1:63">
      <c r="A154" s="5">
        <v>39945</v>
      </c>
      <c r="B154" s="8">
        <v>252243</v>
      </c>
      <c r="C154" s="8">
        <f t="shared" si="69"/>
        <v>7928</v>
      </c>
      <c r="D154" s="8">
        <v>36438</v>
      </c>
      <c r="E154" s="8">
        <f t="shared" si="70"/>
        <v>4973</v>
      </c>
      <c r="F154" s="8">
        <v>13715</v>
      </c>
      <c r="G154" s="8">
        <f t="shared" si="71"/>
        <v>-1844</v>
      </c>
      <c r="H154" s="8">
        <v>22723</v>
      </c>
      <c r="I154" s="8">
        <f t="shared" si="72"/>
        <v>6817</v>
      </c>
      <c r="J154" s="8">
        <v>110124</v>
      </c>
      <c r="K154" s="8">
        <f t="shared" si="73"/>
        <v>-1576</v>
      </c>
      <c r="L154" s="8">
        <v>146785</v>
      </c>
      <c r="M154" s="8">
        <f t="shared" si="74"/>
        <v>9067</v>
      </c>
      <c r="N154" s="8">
        <v>-36661</v>
      </c>
      <c r="O154" s="8">
        <f t="shared" si="75"/>
        <v>-10643</v>
      </c>
      <c r="P154" s="8">
        <v>53626</v>
      </c>
      <c r="Q154" s="8">
        <f t="shared" si="76"/>
        <v>-3554</v>
      </c>
      <c r="R154" s="8">
        <v>138523</v>
      </c>
      <c r="S154" s="8">
        <f t="shared" si="77"/>
        <v>9316</v>
      </c>
      <c r="T154" s="8">
        <v>-84897</v>
      </c>
      <c r="U154" s="8">
        <f t="shared" si="78"/>
        <v>-12870</v>
      </c>
      <c r="W154" s="8">
        <v>173458</v>
      </c>
      <c r="X154" s="8">
        <f t="shared" si="79"/>
        <v>10389</v>
      </c>
      <c r="Y154" s="8">
        <v>43482</v>
      </c>
      <c r="Z154" s="8">
        <f t="shared" si="80"/>
        <v>-796</v>
      </c>
      <c r="AA154" s="8">
        <v>2783</v>
      </c>
      <c r="AB154" s="8">
        <f t="shared" si="67"/>
        <v>1068</v>
      </c>
      <c r="AC154" s="8">
        <v>40699</v>
      </c>
      <c r="AD154" s="8">
        <f t="shared" si="67"/>
        <v>-1864</v>
      </c>
      <c r="AE154" s="8">
        <v>63952</v>
      </c>
      <c r="AF154" s="8">
        <f t="shared" si="81"/>
        <v>7390</v>
      </c>
      <c r="AG154" s="8">
        <v>120664</v>
      </c>
      <c r="AH154" s="8">
        <f t="shared" si="82"/>
        <v>6171</v>
      </c>
      <c r="AI154" s="8">
        <v>-56712</v>
      </c>
      <c r="AJ154" s="8">
        <f t="shared" si="83"/>
        <v>1219</v>
      </c>
      <c r="AK154" s="8">
        <v>59172</v>
      </c>
      <c r="AL154" s="8">
        <f t="shared" si="84"/>
        <v>7351</v>
      </c>
      <c r="AM154" s="8">
        <v>117729</v>
      </c>
      <c r="AN154" s="8">
        <f t="shared" si="85"/>
        <v>6373</v>
      </c>
      <c r="AO154" s="8">
        <v>-58557</v>
      </c>
      <c r="AP154" s="8">
        <f t="shared" si="86"/>
        <v>978</v>
      </c>
      <c r="AR154" s="8">
        <v>1264514</v>
      </c>
      <c r="AS154" s="8">
        <f t="shared" si="87"/>
        <v>89436</v>
      </c>
      <c r="AT154" s="8">
        <v>169935</v>
      </c>
      <c r="AU154" s="8">
        <f t="shared" si="88"/>
        <v>24988</v>
      </c>
      <c r="AV154" s="8">
        <v>60119</v>
      </c>
      <c r="AW154" s="8">
        <f t="shared" si="89"/>
        <v>-23428</v>
      </c>
      <c r="AX154" s="8">
        <f t="shared" si="64"/>
        <v>109816</v>
      </c>
      <c r="AY154" s="8">
        <f t="shared" si="90"/>
        <v>48416</v>
      </c>
      <c r="AZ154" s="8">
        <v>531007</v>
      </c>
      <c r="BA154" s="8">
        <f t="shared" si="91"/>
        <v>19659</v>
      </c>
      <c r="BB154" s="8">
        <v>570966</v>
      </c>
      <c r="BC154" s="8">
        <f t="shared" si="92"/>
        <v>70164</v>
      </c>
      <c r="BD154" s="8">
        <f t="shared" si="65"/>
        <v>-39959</v>
      </c>
      <c r="BE154" s="8">
        <f t="shared" si="93"/>
        <v>-50505</v>
      </c>
      <c r="BF154" s="8">
        <v>257451</v>
      </c>
      <c r="BG154" s="8">
        <f t="shared" si="94"/>
        <v>13074</v>
      </c>
      <c r="BH154" s="8">
        <v>497705</v>
      </c>
      <c r="BI154" s="8">
        <f t="shared" si="95"/>
        <v>71300</v>
      </c>
      <c r="BJ154" s="8">
        <f t="shared" si="66"/>
        <v>-240254</v>
      </c>
      <c r="BK154" s="8">
        <f t="shared" si="68"/>
        <v>-58226</v>
      </c>
    </row>
    <row r="155" spans="1:63">
      <c r="A155" s="5">
        <v>39952</v>
      </c>
      <c r="B155" s="8">
        <v>266450</v>
      </c>
      <c r="C155" s="8">
        <f t="shared" si="69"/>
        <v>14207</v>
      </c>
      <c r="D155" s="8">
        <v>36941</v>
      </c>
      <c r="E155" s="8">
        <f t="shared" si="70"/>
        <v>503</v>
      </c>
      <c r="F155" s="8">
        <v>21422</v>
      </c>
      <c r="G155" s="8">
        <f t="shared" si="71"/>
        <v>7707</v>
      </c>
      <c r="H155" s="8">
        <v>15519</v>
      </c>
      <c r="I155" s="8">
        <f t="shared" si="72"/>
        <v>-7204</v>
      </c>
      <c r="J155" s="8">
        <v>120957</v>
      </c>
      <c r="K155" s="8">
        <f t="shared" si="73"/>
        <v>10833</v>
      </c>
      <c r="L155" s="8">
        <v>148513</v>
      </c>
      <c r="M155" s="8">
        <f t="shared" si="74"/>
        <v>1728</v>
      </c>
      <c r="N155" s="8">
        <v>-27556</v>
      </c>
      <c r="O155" s="8">
        <f t="shared" si="75"/>
        <v>9105</v>
      </c>
      <c r="P155" s="8">
        <v>64315</v>
      </c>
      <c r="Q155" s="8">
        <f t="shared" si="76"/>
        <v>10689</v>
      </c>
      <c r="R155" s="8">
        <v>141131</v>
      </c>
      <c r="S155" s="8">
        <f t="shared" si="77"/>
        <v>2608</v>
      </c>
      <c r="T155" s="8">
        <v>-76816</v>
      </c>
      <c r="U155" s="8">
        <f t="shared" si="78"/>
        <v>8081</v>
      </c>
      <c r="W155" s="8">
        <v>195351</v>
      </c>
      <c r="X155" s="8">
        <f t="shared" si="79"/>
        <v>21893</v>
      </c>
      <c r="Y155" s="8">
        <v>49757</v>
      </c>
      <c r="Z155" s="8">
        <f t="shared" si="80"/>
        <v>6275</v>
      </c>
      <c r="AA155" s="8">
        <v>1461</v>
      </c>
      <c r="AB155" s="8">
        <f t="shared" si="67"/>
        <v>-1322</v>
      </c>
      <c r="AC155" s="8">
        <v>48296</v>
      </c>
      <c r="AD155" s="8">
        <f t="shared" si="67"/>
        <v>7597</v>
      </c>
      <c r="AE155" s="8">
        <v>67266</v>
      </c>
      <c r="AF155" s="8">
        <f t="shared" si="81"/>
        <v>3314</v>
      </c>
      <c r="AG155" s="8">
        <v>135577</v>
      </c>
      <c r="AH155" s="8">
        <f t="shared" si="82"/>
        <v>14913</v>
      </c>
      <c r="AI155" s="8">
        <v>-68311</v>
      </c>
      <c r="AJ155" s="8">
        <f t="shared" si="83"/>
        <v>-11599</v>
      </c>
      <c r="AK155" s="8">
        <v>61088</v>
      </c>
      <c r="AL155" s="8">
        <f t="shared" si="84"/>
        <v>1916</v>
      </c>
      <c r="AM155" s="8">
        <v>133273</v>
      </c>
      <c r="AN155" s="8">
        <f t="shared" si="85"/>
        <v>15544</v>
      </c>
      <c r="AO155" s="8">
        <v>-72185</v>
      </c>
      <c r="AP155" s="8">
        <f t="shared" si="86"/>
        <v>-13628</v>
      </c>
      <c r="AR155" s="8">
        <v>1294390</v>
      </c>
      <c r="AS155" s="8">
        <f t="shared" si="87"/>
        <v>29876</v>
      </c>
      <c r="AT155" s="8">
        <v>189793</v>
      </c>
      <c r="AU155" s="8">
        <f t="shared" si="88"/>
        <v>19858</v>
      </c>
      <c r="AV155" s="8">
        <v>46467</v>
      </c>
      <c r="AW155" s="8">
        <f t="shared" si="89"/>
        <v>-13652</v>
      </c>
      <c r="AX155" s="8">
        <f t="shared" si="64"/>
        <v>143326</v>
      </c>
      <c r="AY155" s="8">
        <f t="shared" si="90"/>
        <v>33510</v>
      </c>
      <c r="AZ155" s="8">
        <v>543990</v>
      </c>
      <c r="BA155" s="8">
        <f t="shared" si="91"/>
        <v>12983</v>
      </c>
      <c r="BB155" s="8">
        <v>600523</v>
      </c>
      <c r="BC155" s="8">
        <f t="shared" si="92"/>
        <v>29557</v>
      </c>
      <c r="BD155" s="8">
        <f t="shared" si="65"/>
        <v>-56533</v>
      </c>
      <c r="BE155" s="8">
        <f t="shared" si="93"/>
        <v>-16574</v>
      </c>
      <c r="BF155" s="8">
        <v>260170</v>
      </c>
      <c r="BG155" s="8">
        <f t="shared" si="94"/>
        <v>2719</v>
      </c>
      <c r="BH155" s="8">
        <v>524898</v>
      </c>
      <c r="BI155" s="8">
        <f t="shared" si="95"/>
        <v>27193</v>
      </c>
      <c r="BJ155" s="8">
        <f t="shared" si="66"/>
        <v>-264728</v>
      </c>
      <c r="BK155" s="8">
        <f t="shared" si="68"/>
        <v>-24474</v>
      </c>
    </row>
    <row r="156" spans="1:63">
      <c r="A156" s="5">
        <v>39959</v>
      </c>
      <c r="B156" s="8">
        <v>277931</v>
      </c>
      <c r="C156" s="8">
        <f t="shared" si="69"/>
        <v>11481</v>
      </c>
      <c r="D156" s="8">
        <v>35612</v>
      </c>
      <c r="E156" s="8">
        <f t="shared" si="70"/>
        <v>-1329</v>
      </c>
      <c r="F156" s="8">
        <v>23443</v>
      </c>
      <c r="G156" s="8">
        <f t="shared" si="71"/>
        <v>2021</v>
      </c>
      <c r="H156" s="8">
        <v>12169</v>
      </c>
      <c r="I156" s="8">
        <f t="shared" si="72"/>
        <v>-3350</v>
      </c>
      <c r="J156" s="8">
        <v>131506</v>
      </c>
      <c r="K156" s="8">
        <f t="shared" si="73"/>
        <v>10549</v>
      </c>
      <c r="L156" s="8">
        <v>153309</v>
      </c>
      <c r="M156" s="8">
        <f t="shared" si="74"/>
        <v>4796</v>
      </c>
      <c r="N156" s="8">
        <v>-21803</v>
      </c>
      <c r="O156" s="8">
        <f t="shared" si="75"/>
        <v>5753</v>
      </c>
      <c r="P156" s="8">
        <v>71077</v>
      </c>
      <c r="Q156" s="8">
        <f t="shared" si="76"/>
        <v>6762</v>
      </c>
      <c r="R156" s="8">
        <v>144860</v>
      </c>
      <c r="S156" s="8">
        <f t="shared" si="77"/>
        <v>3729</v>
      </c>
      <c r="T156" s="8">
        <v>-73783</v>
      </c>
      <c r="U156" s="8">
        <f t="shared" si="78"/>
        <v>3033</v>
      </c>
      <c r="W156" s="8">
        <v>210179</v>
      </c>
      <c r="X156" s="8">
        <f t="shared" si="79"/>
        <v>14828</v>
      </c>
      <c r="Y156" s="8">
        <v>55419</v>
      </c>
      <c r="Z156" s="8">
        <f t="shared" si="80"/>
        <v>5662</v>
      </c>
      <c r="AA156" s="8">
        <v>1619</v>
      </c>
      <c r="AB156" s="8">
        <f t="shared" si="67"/>
        <v>158</v>
      </c>
      <c r="AC156" s="8">
        <v>53800</v>
      </c>
      <c r="AD156" s="8">
        <f t="shared" si="67"/>
        <v>5504</v>
      </c>
      <c r="AE156" s="8">
        <v>69819</v>
      </c>
      <c r="AF156" s="8">
        <f t="shared" si="81"/>
        <v>2553</v>
      </c>
      <c r="AG156" s="8">
        <v>143710</v>
      </c>
      <c r="AH156" s="8">
        <f t="shared" si="82"/>
        <v>8133</v>
      </c>
      <c r="AI156" s="8">
        <v>-73891</v>
      </c>
      <c r="AJ156" s="8">
        <f t="shared" si="83"/>
        <v>-5580</v>
      </c>
      <c r="AK156" s="8">
        <v>64229</v>
      </c>
      <c r="AL156" s="8">
        <f t="shared" si="84"/>
        <v>3141</v>
      </c>
      <c r="AM156" s="8">
        <v>141315</v>
      </c>
      <c r="AN156" s="8">
        <f t="shared" si="85"/>
        <v>8042</v>
      </c>
      <c r="AO156" s="8">
        <v>-77086</v>
      </c>
      <c r="AP156" s="8">
        <f t="shared" si="86"/>
        <v>-4901</v>
      </c>
      <c r="AR156" s="8">
        <v>1329830</v>
      </c>
      <c r="AS156" s="8">
        <f t="shared" si="87"/>
        <v>35440</v>
      </c>
      <c r="AT156" s="8">
        <v>201452</v>
      </c>
      <c r="AU156" s="8">
        <f t="shared" si="88"/>
        <v>11659</v>
      </c>
      <c r="AV156" s="8">
        <v>45076</v>
      </c>
      <c r="AW156" s="8">
        <f t="shared" si="89"/>
        <v>-1391</v>
      </c>
      <c r="AX156" s="8">
        <f t="shared" si="64"/>
        <v>156376</v>
      </c>
      <c r="AY156" s="8">
        <f t="shared" si="90"/>
        <v>13050</v>
      </c>
      <c r="AZ156" s="8">
        <v>550286</v>
      </c>
      <c r="BA156" s="8">
        <f t="shared" si="91"/>
        <v>6296</v>
      </c>
      <c r="BB156" s="8">
        <v>617808</v>
      </c>
      <c r="BC156" s="8">
        <f t="shared" si="92"/>
        <v>17285</v>
      </c>
      <c r="BD156" s="8">
        <f t="shared" si="65"/>
        <v>-67522</v>
      </c>
      <c r="BE156" s="8">
        <f t="shared" si="93"/>
        <v>-10989</v>
      </c>
      <c r="BF156" s="8">
        <v>261645</v>
      </c>
      <c r="BG156" s="8">
        <f t="shared" si="94"/>
        <v>1475</v>
      </c>
      <c r="BH156" s="8">
        <v>541512</v>
      </c>
      <c r="BI156" s="8">
        <f t="shared" si="95"/>
        <v>16614</v>
      </c>
      <c r="BJ156" s="8">
        <f t="shared" si="66"/>
        <v>-279867</v>
      </c>
      <c r="BK156" s="8">
        <f t="shared" si="68"/>
        <v>-15139</v>
      </c>
    </row>
    <row r="157" spans="1:63">
      <c r="A157" s="5">
        <v>39966</v>
      </c>
      <c r="B157" s="8">
        <v>285220</v>
      </c>
      <c r="C157" s="8">
        <f t="shared" si="69"/>
        <v>7289</v>
      </c>
      <c r="D157" s="8">
        <v>42275</v>
      </c>
      <c r="E157" s="8">
        <f t="shared" si="70"/>
        <v>6663</v>
      </c>
      <c r="F157" s="8">
        <v>20680</v>
      </c>
      <c r="G157" s="8">
        <f t="shared" si="71"/>
        <v>-2763</v>
      </c>
      <c r="H157" s="8">
        <v>21595</v>
      </c>
      <c r="I157" s="8">
        <f t="shared" si="72"/>
        <v>9426</v>
      </c>
      <c r="J157" s="8">
        <v>125925</v>
      </c>
      <c r="K157" s="8">
        <f t="shared" si="73"/>
        <v>-5581</v>
      </c>
      <c r="L157" s="8">
        <v>159726</v>
      </c>
      <c r="M157" s="8">
        <f t="shared" si="74"/>
        <v>6417</v>
      </c>
      <c r="N157" s="8">
        <v>-33801</v>
      </c>
      <c r="O157" s="8">
        <f t="shared" si="75"/>
        <v>-11998</v>
      </c>
      <c r="P157" s="8">
        <v>62159</v>
      </c>
      <c r="Q157" s="8">
        <f t="shared" si="76"/>
        <v>-8918</v>
      </c>
      <c r="R157" s="8">
        <v>153113</v>
      </c>
      <c r="S157" s="8">
        <f t="shared" si="77"/>
        <v>8253</v>
      </c>
      <c r="T157" s="8">
        <v>-90954</v>
      </c>
      <c r="U157" s="8">
        <f t="shared" si="78"/>
        <v>-17171</v>
      </c>
      <c r="W157" s="8">
        <v>217520</v>
      </c>
      <c r="X157" s="8">
        <f t="shared" si="79"/>
        <v>7341</v>
      </c>
      <c r="Y157" s="8">
        <v>57680</v>
      </c>
      <c r="Z157" s="8">
        <f t="shared" si="80"/>
        <v>2261</v>
      </c>
      <c r="AA157" s="8">
        <v>1143</v>
      </c>
      <c r="AB157" s="8">
        <f t="shared" si="67"/>
        <v>-476</v>
      </c>
      <c r="AC157" s="8">
        <v>56537</v>
      </c>
      <c r="AD157" s="8">
        <f t="shared" si="67"/>
        <v>2737</v>
      </c>
      <c r="AE157" s="8">
        <v>70878</v>
      </c>
      <c r="AF157" s="8">
        <f t="shared" si="81"/>
        <v>1059</v>
      </c>
      <c r="AG157" s="8">
        <v>149632</v>
      </c>
      <c r="AH157" s="8">
        <f t="shared" si="82"/>
        <v>5922</v>
      </c>
      <c r="AI157" s="8">
        <v>-78754</v>
      </c>
      <c r="AJ157" s="8">
        <f t="shared" si="83"/>
        <v>-4863</v>
      </c>
      <c r="AK157" s="8">
        <v>65277</v>
      </c>
      <c r="AL157" s="8">
        <f t="shared" si="84"/>
        <v>1048</v>
      </c>
      <c r="AM157" s="8">
        <v>146768</v>
      </c>
      <c r="AN157" s="8">
        <f t="shared" si="85"/>
        <v>5453</v>
      </c>
      <c r="AO157" s="8">
        <v>-81491</v>
      </c>
      <c r="AP157" s="8">
        <f t="shared" si="86"/>
        <v>-4405</v>
      </c>
      <c r="AR157" s="8">
        <v>1412608</v>
      </c>
      <c r="AS157" s="8">
        <f t="shared" si="87"/>
        <v>82778</v>
      </c>
      <c r="AT157" s="8">
        <v>227192</v>
      </c>
      <c r="AU157" s="8">
        <f t="shared" si="88"/>
        <v>25740</v>
      </c>
      <c r="AV157" s="8">
        <v>52910</v>
      </c>
      <c r="AW157" s="8">
        <f t="shared" si="89"/>
        <v>7834</v>
      </c>
      <c r="AX157" s="8">
        <f t="shared" si="64"/>
        <v>174282</v>
      </c>
      <c r="AY157" s="8">
        <f t="shared" si="90"/>
        <v>17906</v>
      </c>
      <c r="AZ157" s="8">
        <v>556906</v>
      </c>
      <c r="BA157" s="8">
        <f t="shared" si="91"/>
        <v>6620</v>
      </c>
      <c r="BB157" s="8">
        <v>654755</v>
      </c>
      <c r="BC157" s="8">
        <f t="shared" si="92"/>
        <v>36947</v>
      </c>
      <c r="BD157" s="8">
        <f t="shared" si="65"/>
        <v>-97849</v>
      </c>
      <c r="BE157" s="8">
        <f t="shared" si="93"/>
        <v>-30327</v>
      </c>
      <c r="BF157" s="8">
        <v>251208</v>
      </c>
      <c r="BG157" s="8">
        <f t="shared" si="94"/>
        <v>-10437</v>
      </c>
      <c r="BH157" s="8">
        <v>579934</v>
      </c>
      <c r="BI157" s="8">
        <f t="shared" si="95"/>
        <v>38422</v>
      </c>
      <c r="BJ157" s="8">
        <f t="shared" si="66"/>
        <v>-328726</v>
      </c>
      <c r="BK157" s="8">
        <f t="shared" si="68"/>
        <v>-48859</v>
      </c>
    </row>
    <row r="158" spans="1:63">
      <c r="A158" s="5">
        <v>39973</v>
      </c>
      <c r="B158" s="8">
        <v>300556</v>
      </c>
      <c r="C158" s="8">
        <f t="shared" si="69"/>
        <v>15336</v>
      </c>
      <c r="D158" s="8">
        <v>42333</v>
      </c>
      <c r="E158" s="8">
        <f t="shared" si="70"/>
        <v>58</v>
      </c>
      <c r="F158" s="8">
        <v>21719</v>
      </c>
      <c r="G158" s="8">
        <f t="shared" si="71"/>
        <v>1039</v>
      </c>
      <c r="H158" s="8">
        <v>20614</v>
      </c>
      <c r="I158" s="8">
        <f t="shared" si="72"/>
        <v>-981</v>
      </c>
      <c r="J158" s="8">
        <v>132161</v>
      </c>
      <c r="K158" s="8">
        <f t="shared" si="73"/>
        <v>6236</v>
      </c>
      <c r="L158" s="8">
        <v>160328</v>
      </c>
      <c r="M158" s="8">
        <f t="shared" si="74"/>
        <v>602</v>
      </c>
      <c r="N158" s="8">
        <v>-28167</v>
      </c>
      <c r="O158" s="8">
        <f t="shared" si="75"/>
        <v>5634</v>
      </c>
      <c r="P158" s="8">
        <v>68661</v>
      </c>
      <c r="Q158" s="8">
        <f t="shared" si="76"/>
        <v>6502</v>
      </c>
      <c r="R158" s="8">
        <v>152849</v>
      </c>
      <c r="S158" s="8">
        <f t="shared" si="77"/>
        <v>-264</v>
      </c>
      <c r="T158" s="8">
        <v>-84188</v>
      </c>
      <c r="U158" s="8">
        <f t="shared" si="78"/>
        <v>6766</v>
      </c>
      <c r="W158" s="8">
        <v>230949</v>
      </c>
      <c r="X158" s="8">
        <f t="shared" si="79"/>
        <v>13429</v>
      </c>
      <c r="Y158" s="8">
        <v>57770</v>
      </c>
      <c r="Z158" s="8">
        <f t="shared" si="80"/>
        <v>90</v>
      </c>
      <c r="AA158" s="8">
        <v>1018</v>
      </c>
      <c r="AB158" s="8">
        <f t="shared" si="67"/>
        <v>-125</v>
      </c>
      <c r="AC158" s="8">
        <v>56752</v>
      </c>
      <c r="AD158" s="8">
        <f t="shared" si="67"/>
        <v>215</v>
      </c>
      <c r="AE158" s="8">
        <v>76057</v>
      </c>
      <c r="AF158" s="8">
        <f t="shared" si="81"/>
        <v>5179</v>
      </c>
      <c r="AG158" s="8">
        <v>153373</v>
      </c>
      <c r="AH158" s="8">
        <f t="shared" si="82"/>
        <v>3741</v>
      </c>
      <c r="AI158" s="8">
        <v>-77316</v>
      </c>
      <c r="AJ158" s="8">
        <f t="shared" si="83"/>
        <v>1438</v>
      </c>
      <c r="AK158" s="8">
        <v>69401</v>
      </c>
      <c r="AL158" s="8">
        <f t="shared" si="84"/>
        <v>4124</v>
      </c>
      <c r="AM158" s="8">
        <v>149033</v>
      </c>
      <c r="AN158" s="8">
        <f t="shared" si="85"/>
        <v>2265</v>
      </c>
      <c r="AO158" s="8">
        <v>-79632</v>
      </c>
      <c r="AP158" s="8">
        <f t="shared" si="86"/>
        <v>1859</v>
      </c>
      <c r="AR158" s="8">
        <v>1412631</v>
      </c>
      <c r="AS158" s="8">
        <f t="shared" si="87"/>
        <v>23</v>
      </c>
      <c r="AT158" s="8">
        <v>224725</v>
      </c>
      <c r="AU158" s="8">
        <f t="shared" si="88"/>
        <v>-2467</v>
      </c>
      <c r="AV158" s="8">
        <v>42304</v>
      </c>
      <c r="AW158" s="8">
        <f t="shared" si="89"/>
        <v>-10606</v>
      </c>
      <c r="AX158" s="8">
        <f t="shared" si="64"/>
        <v>182421</v>
      </c>
      <c r="AY158" s="8">
        <f t="shared" si="90"/>
        <v>8139</v>
      </c>
      <c r="AZ158" s="8">
        <v>560392</v>
      </c>
      <c r="BA158" s="8">
        <f t="shared" si="91"/>
        <v>3486</v>
      </c>
      <c r="BB158" s="8">
        <v>657957</v>
      </c>
      <c r="BC158" s="8">
        <f t="shared" si="92"/>
        <v>3202</v>
      </c>
      <c r="BD158" s="8">
        <f t="shared" si="65"/>
        <v>-97565</v>
      </c>
      <c r="BE158" s="8">
        <f t="shared" si="93"/>
        <v>284</v>
      </c>
      <c r="BF158" s="8">
        <v>251684</v>
      </c>
      <c r="BG158" s="8">
        <f t="shared" si="94"/>
        <v>476</v>
      </c>
      <c r="BH158" s="8">
        <v>579263</v>
      </c>
      <c r="BI158" s="8">
        <f t="shared" si="95"/>
        <v>-671</v>
      </c>
      <c r="BJ158" s="8">
        <f t="shared" si="66"/>
        <v>-327579</v>
      </c>
      <c r="BK158" s="8">
        <f t="shared" si="68"/>
        <v>1147</v>
      </c>
    </row>
    <row r="159" spans="1:63">
      <c r="A159" s="5">
        <v>39980</v>
      </c>
      <c r="B159" s="8">
        <v>313639</v>
      </c>
      <c r="C159" s="8">
        <f t="shared" si="69"/>
        <v>13083</v>
      </c>
      <c r="D159" s="8">
        <v>27679</v>
      </c>
      <c r="E159" s="8">
        <f t="shared" si="70"/>
        <v>-14654</v>
      </c>
      <c r="F159" s="8">
        <v>26816</v>
      </c>
      <c r="G159" s="8">
        <f t="shared" si="71"/>
        <v>5097</v>
      </c>
      <c r="H159" s="8">
        <v>863</v>
      </c>
      <c r="I159" s="8">
        <f t="shared" si="72"/>
        <v>-19751</v>
      </c>
      <c r="J159" s="8">
        <v>153871</v>
      </c>
      <c r="K159" s="8">
        <f t="shared" si="73"/>
        <v>21710</v>
      </c>
      <c r="L159" s="8">
        <v>156080</v>
      </c>
      <c r="M159" s="8">
        <f t="shared" si="74"/>
        <v>-4248</v>
      </c>
      <c r="N159" s="8">
        <v>-2209</v>
      </c>
      <c r="O159" s="8">
        <f t="shared" si="75"/>
        <v>25958</v>
      </c>
      <c r="P159" s="8">
        <v>93301</v>
      </c>
      <c r="Q159" s="8">
        <f t="shared" si="76"/>
        <v>24640</v>
      </c>
      <c r="R159" s="8">
        <v>146622</v>
      </c>
      <c r="S159" s="8">
        <f t="shared" si="77"/>
        <v>-6227</v>
      </c>
      <c r="T159" s="8">
        <v>-53321</v>
      </c>
      <c r="U159" s="8">
        <f t="shared" si="78"/>
        <v>30867</v>
      </c>
      <c r="W159" s="8">
        <v>230362</v>
      </c>
      <c r="X159" s="8">
        <f t="shared" si="79"/>
        <v>-587</v>
      </c>
      <c r="Y159" s="8">
        <v>56914</v>
      </c>
      <c r="Z159" s="8">
        <f t="shared" si="80"/>
        <v>-856</v>
      </c>
      <c r="AA159" s="8">
        <v>838</v>
      </c>
      <c r="AB159" s="8">
        <f t="shared" si="67"/>
        <v>-180</v>
      </c>
      <c r="AC159" s="8">
        <v>56076</v>
      </c>
      <c r="AD159" s="8">
        <f t="shared" si="67"/>
        <v>-676</v>
      </c>
      <c r="AE159" s="8">
        <v>77598</v>
      </c>
      <c r="AF159" s="8">
        <f t="shared" si="81"/>
        <v>1541</v>
      </c>
      <c r="AG159" s="8">
        <v>151130</v>
      </c>
      <c r="AH159" s="8">
        <f t="shared" si="82"/>
        <v>-2243</v>
      </c>
      <c r="AI159" s="8">
        <v>-73532</v>
      </c>
      <c r="AJ159" s="8">
        <f t="shared" si="83"/>
        <v>3784</v>
      </c>
      <c r="AK159" s="8">
        <v>69951</v>
      </c>
      <c r="AL159" s="8">
        <f t="shared" si="84"/>
        <v>550</v>
      </c>
      <c r="AM159" s="8">
        <v>147043</v>
      </c>
      <c r="AN159" s="8">
        <f t="shared" si="85"/>
        <v>-1990</v>
      </c>
      <c r="AO159" s="8">
        <v>-77092</v>
      </c>
      <c r="AP159" s="8">
        <f t="shared" si="86"/>
        <v>2540</v>
      </c>
      <c r="AR159" s="8">
        <v>1395921</v>
      </c>
      <c r="AS159" s="8">
        <f t="shared" si="87"/>
        <v>-16710</v>
      </c>
      <c r="AT159" s="8">
        <v>205507</v>
      </c>
      <c r="AU159" s="8">
        <f t="shared" si="88"/>
        <v>-19218</v>
      </c>
      <c r="AV159" s="8">
        <v>55260</v>
      </c>
      <c r="AW159" s="8">
        <f t="shared" si="89"/>
        <v>12956</v>
      </c>
      <c r="AX159" s="8">
        <f t="shared" si="64"/>
        <v>150247</v>
      </c>
      <c r="AY159" s="8">
        <f t="shared" si="90"/>
        <v>-32174</v>
      </c>
      <c r="AZ159" s="8">
        <v>580394</v>
      </c>
      <c r="BA159" s="8">
        <f t="shared" si="91"/>
        <v>20002</v>
      </c>
      <c r="BB159" s="8">
        <v>624375</v>
      </c>
      <c r="BC159" s="8">
        <f t="shared" si="92"/>
        <v>-33582</v>
      </c>
      <c r="BD159" s="8">
        <f t="shared" si="65"/>
        <v>-43981</v>
      </c>
      <c r="BE159" s="8">
        <f t="shared" si="93"/>
        <v>53584</v>
      </c>
      <c r="BF159" s="8">
        <v>269538</v>
      </c>
      <c r="BG159" s="8">
        <f t="shared" si="94"/>
        <v>17854</v>
      </c>
      <c r="BH159" s="8">
        <v>537667</v>
      </c>
      <c r="BI159" s="8">
        <f t="shared" si="95"/>
        <v>-41596</v>
      </c>
      <c r="BJ159" s="8">
        <f t="shared" si="66"/>
        <v>-268129</v>
      </c>
      <c r="BK159" s="8">
        <f t="shared" si="68"/>
        <v>59450</v>
      </c>
    </row>
    <row r="160" spans="1:63">
      <c r="A160" s="5">
        <v>39987</v>
      </c>
      <c r="B160" s="8">
        <v>306744</v>
      </c>
      <c r="C160" s="8">
        <f t="shared" si="69"/>
        <v>-6895</v>
      </c>
      <c r="D160" s="8">
        <v>27031</v>
      </c>
      <c r="E160" s="8">
        <f t="shared" si="70"/>
        <v>-648</v>
      </c>
      <c r="F160" s="8">
        <v>29277</v>
      </c>
      <c r="G160" s="8">
        <f t="shared" si="71"/>
        <v>2461</v>
      </c>
      <c r="H160" s="8">
        <v>-2246</v>
      </c>
      <c r="I160" s="8">
        <f t="shared" si="72"/>
        <v>-3109</v>
      </c>
      <c r="J160" s="8">
        <v>158015</v>
      </c>
      <c r="K160" s="8">
        <f t="shared" si="73"/>
        <v>4144</v>
      </c>
      <c r="L160" s="8">
        <v>153806</v>
      </c>
      <c r="M160" s="8">
        <f t="shared" si="74"/>
        <v>-2274</v>
      </c>
      <c r="N160" s="8">
        <v>4209</v>
      </c>
      <c r="O160" s="8">
        <f t="shared" si="75"/>
        <v>6418</v>
      </c>
      <c r="P160" s="8">
        <v>95408</v>
      </c>
      <c r="Q160" s="8">
        <f t="shared" si="76"/>
        <v>2107</v>
      </c>
      <c r="R160" s="8">
        <v>144816</v>
      </c>
      <c r="S160" s="8">
        <f t="shared" si="77"/>
        <v>-1806</v>
      </c>
      <c r="T160" s="8">
        <v>-49408</v>
      </c>
      <c r="U160" s="8">
        <f t="shared" si="78"/>
        <v>3913</v>
      </c>
      <c r="W160" s="8">
        <v>219819</v>
      </c>
      <c r="X160" s="8">
        <f t="shared" si="79"/>
        <v>-10543</v>
      </c>
      <c r="Y160" s="8">
        <v>49304</v>
      </c>
      <c r="Z160" s="8">
        <f t="shared" si="80"/>
        <v>-7610</v>
      </c>
      <c r="AA160" s="8">
        <v>1441</v>
      </c>
      <c r="AB160" s="8">
        <f t="shared" si="67"/>
        <v>603</v>
      </c>
      <c r="AC160" s="8">
        <v>47863</v>
      </c>
      <c r="AD160" s="8">
        <f t="shared" si="67"/>
        <v>-8213</v>
      </c>
      <c r="AE160" s="8">
        <v>77570</v>
      </c>
      <c r="AF160" s="8">
        <f t="shared" si="81"/>
        <v>-28</v>
      </c>
      <c r="AG160" s="8">
        <v>137828</v>
      </c>
      <c r="AH160" s="8">
        <f t="shared" si="82"/>
        <v>-13302</v>
      </c>
      <c r="AI160" s="8">
        <v>-60258</v>
      </c>
      <c r="AJ160" s="8">
        <f t="shared" si="83"/>
        <v>13274</v>
      </c>
      <c r="AK160" s="8">
        <v>70128</v>
      </c>
      <c r="AL160" s="8">
        <f t="shared" si="84"/>
        <v>177</v>
      </c>
      <c r="AM160" s="8">
        <v>133701</v>
      </c>
      <c r="AN160" s="8">
        <f t="shared" si="85"/>
        <v>-13342</v>
      </c>
      <c r="AO160" s="8">
        <v>-63573</v>
      </c>
      <c r="AP160" s="8">
        <f t="shared" si="86"/>
        <v>13519</v>
      </c>
      <c r="AR160" s="8">
        <v>1388160</v>
      </c>
      <c r="AS160" s="8">
        <f t="shared" si="87"/>
        <v>-7761</v>
      </c>
      <c r="AT160" s="8">
        <v>192502</v>
      </c>
      <c r="AU160" s="8">
        <f t="shared" si="88"/>
        <v>-13005</v>
      </c>
      <c r="AV160" s="8">
        <v>82882</v>
      </c>
      <c r="AW160" s="8">
        <f t="shared" si="89"/>
        <v>27622</v>
      </c>
      <c r="AX160" s="8">
        <f t="shared" si="64"/>
        <v>109620</v>
      </c>
      <c r="AY160" s="8">
        <f t="shared" si="90"/>
        <v>-40627</v>
      </c>
      <c r="AZ160" s="8">
        <v>609223</v>
      </c>
      <c r="BA160" s="8">
        <f t="shared" si="91"/>
        <v>28829</v>
      </c>
      <c r="BB160" s="8">
        <v>608067</v>
      </c>
      <c r="BC160" s="8">
        <f t="shared" si="92"/>
        <v>-16308</v>
      </c>
      <c r="BD160" s="8">
        <f t="shared" si="65"/>
        <v>1156</v>
      </c>
      <c r="BE160" s="8">
        <f t="shared" si="93"/>
        <v>45137</v>
      </c>
      <c r="BF160" s="8">
        <v>296271</v>
      </c>
      <c r="BG160" s="8">
        <f t="shared" si="94"/>
        <v>26733</v>
      </c>
      <c r="BH160" s="8">
        <v>518833</v>
      </c>
      <c r="BI160" s="8">
        <f t="shared" si="95"/>
        <v>-18834</v>
      </c>
      <c r="BJ160" s="8">
        <f t="shared" si="66"/>
        <v>-222562</v>
      </c>
      <c r="BK160" s="8">
        <f t="shared" si="68"/>
        <v>45567</v>
      </c>
    </row>
    <row r="161" spans="1:63">
      <c r="A161" s="5">
        <v>39994</v>
      </c>
      <c r="B161" s="8">
        <v>283193</v>
      </c>
      <c r="C161" s="8">
        <f t="shared" si="69"/>
        <v>-23551</v>
      </c>
      <c r="D161" s="8">
        <v>23233</v>
      </c>
      <c r="E161" s="8">
        <f t="shared" si="70"/>
        <v>-3798</v>
      </c>
      <c r="F161" s="8">
        <v>32219</v>
      </c>
      <c r="G161" s="8">
        <f t="shared" si="71"/>
        <v>2942</v>
      </c>
      <c r="H161" s="8">
        <v>-8986</v>
      </c>
      <c r="I161" s="8">
        <f t="shared" si="72"/>
        <v>-6740</v>
      </c>
      <c r="J161" s="8">
        <v>153139</v>
      </c>
      <c r="K161" s="8">
        <f t="shared" si="73"/>
        <v>-4876</v>
      </c>
      <c r="L161" s="8">
        <v>135524</v>
      </c>
      <c r="M161" s="8">
        <f t="shared" si="74"/>
        <v>-18282</v>
      </c>
      <c r="N161" s="8">
        <v>17615</v>
      </c>
      <c r="O161" s="8">
        <f t="shared" si="75"/>
        <v>13406</v>
      </c>
      <c r="P161" s="8">
        <v>92038</v>
      </c>
      <c r="Q161" s="8">
        <f t="shared" si="76"/>
        <v>-3370</v>
      </c>
      <c r="R161" s="8">
        <v>128136</v>
      </c>
      <c r="S161" s="8">
        <f t="shared" si="77"/>
        <v>-16680</v>
      </c>
      <c r="T161" s="8">
        <v>-36098</v>
      </c>
      <c r="U161" s="8">
        <f t="shared" si="78"/>
        <v>13310</v>
      </c>
      <c r="W161" s="8">
        <v>207297</v>
      </c>
      <c r="X161" s="8">
        <f t="shared" si="79"/>
        <v>-12522</v>
      </c>
      <c r="Y161" s="8">
        <v>49332</v>
      </c>
      <c r="Z161" s="8">
        <f t="shared" si="80"/>
        <v>28</v>
      </c>
      <c r="AA161" s="8">
        <v>1683</v>
      </c>
      <c r="AB161" s="8">
        <f t="shared" si="67"/>
        <v>242</v>
      </c>
      <c r="AC161" s="8">
        <v>47649</v>
      </c>
      <c r="AD161" s="8">
        <f t="shared" si="67"/>
        <v>-214</v>
      </c>
      <c r="AE161" s="8">
        <v>77288</v>
      </c>
      <c r="AF161" s="8">
        <f t="shared" si="81"/>
        <v>-282</v>
      </c>
      <c r="AG161" s="8">
        <v>134777</v>
      </c>
      <c r="AH161" s="8">
        <f t="shared" si="82"/>
        <v>-3051</v>
      </c>
      <c r="AI161" s="8">
        <v>-57489</v>
      </c>
      <c r="AJ161" s="8">
        <f t="shared" si="83"/>
        <v>2769</v>
      </c>
      <c r="AK161" s="8">
        <v>69311</v>
      </c>
      <c r="AL161" s="8">
        <f t="shared" si="84"/>
        <v>-817</v>
      </c>
      <c r="AM161" s="8">
        <v>130707</v>
      </c>
      <c r="AN161" s="8">
        <f t="shared" si="85"/>
        <v>-2994</v>
      </c>
      <c r="AO161" s="8">
        <v>-61396</v>
      </c>
      <c r="AP161" s="8">
        <f t="shared" si="86"/>
        <v>2177</v>
      </c>
      <c r="AR161" s="8">
        <v>1277177</v>
      </c>
      <c r="AS161" s="8">
        <f t="shared" si="87"/>
        <v>-110983</v>
      </c>
      <c r="AT161" s="8">
        <v>190884</v>
      </c>
      <c r="AU161" s="8">
        <f t="shared" si="88"/>
        <v>-1618</v>
      </c>
      <c r="AV161" s="8">
        <v>87909</v>
      </c>
      <c r="AW161" s="8">
        <f t="shared" si="89"/>
        <v>5027</v>
      </c>
      <c r="AX161" s="8">
        <f t="shared" si="64"/>
        <v>102975</v>
      </c>
      <c r="AY161" s="8">
        <f t="shared" si="90"/>
        <v>-6645</v>
      </c>
      <c r="AZ161" s="8">
        <v>580193</v>
      </c>
      <c r="BA161" s="8">
        <f t="shared" si="91"/>
        <v>-29030</v>
      </c>
      <c r="BB161" s="8">
        <v>573702</v>
      </c>
      <c r="BC161" s="8">
        <f t="shared" si="92"/>
        <v>-34365</v>
      </c>
      <c r="BD161" s="8">
        <f t="shared" si="65"/>
        <v>6491</v>
      </c>
      <c r="BE161" s="8">
        <f t="shared" si="93"/>
        <v>5335</v>
      </c>
      <c r="BF161" s="8">
        <v>278226</v>
      </c>
      <c r="BG161" s="8">
        <f t="shared" si="94"/>
        <v>-18045</v>
      </c>
      <c r="BH161" s="8">
        <v>490730</v>
      </c>
      <c r="BI161" s="8">
        <f t="shared" si="95"/>
        <v>-28103</v>
      </c>
      <c r="BJ161" s="8">
        <f t="shared" si="66"/>
        <v>-212504</v>
      </c>
      <c r="BK161" s="8">
        <f t="shared" si="68"/>
        <v>10058</v>
      </c>
    </row>
    <row r="162" spans="1:63">
      <c r="A162" s="5">
        <v>40001</v>
      </c>
      <c r="B162" s="8">
        <v>287266</v>
      </c>
      <c r="C162" s="8">
        <f t="shared" si="69"/>
        <v>4073</v>
      </c>
      <c r="D162" s="8">
        <v>18379</v>
      </c>
      <c r="E162" s="8">
        <f t="shared" si="70"/>
        <v>-4854</v>
      </c>
      <c r="F162" s="8">
        <v>37819</v>
      </c>
      <c r="G162" s="8">
        <f t="shared" si="71"/>
        <v>5600</v>
      </c>
      <c r="H162" s="8">
        <v>-19440</v>
      </c>
      <c r="I162" s="8">
        <f t="shared" si="72"/>
        <v>-10454</v>
      </c>
      <c r="J162" s="8">
        <v>162412</v>
      </c>
      <c r="K162" s="8">
        <f t="shared" si="73"/>
        <v>9273</v>
      </c>
      <c r="L162" s="8">
        <v>127879</v>
      </c>
      <c r="M162" s="8">
        <f t="shared" si="74"/>
        <v>-7645</v>
      </c>
      <c r="N162" s="8">
        <v>34533</v>
      </c>
      <c r="O162" s="8">
        <f t="shared" si="75"/>
        <v>16918</v>
      </c>
      <c r="P162" s="8">
        <v>100220</v>
      </c>
      <c r="Q162" s="8">
        <f t="shared" si="76"/>
        <v>8182</v>
      </c>
      <c r="R162" s="8">
        <v>120086</v>
      </c>
      <c r="S162" s="8">
        <f t="shared" si="77"/>
        <v>-8050</v>
      </c>
      <c r="T162" s="8">
        <v>-19866</v>
      </c>
      <c r="U162" s="8">
        <f t="shared" si="78"/>
        <v>16232</v>
      </c>
      <c r="W162" s="8">
        <v>203640</v>
      </c>
      <c r="X162" s="8">
        <f t="shared" si="79"/>
        <v>-3657</v>
      </c>
      <c r="Y162" s="8">
        <v>40453</v>
      </c>
      <c r="Z162" s="8">
        <f t="shared" si="80"/>
        <v>-8879</v>
      </c>
      <c r="AA162" s="8">
        <v>4520</v>
      </c>
      <c r="AB162" s="8">
        <f t="shared" si="67"/>
        <v>2837</v>
      </c>
      <c r="AC162" s="8">
        <v>35933</v>
      </c>
      <c r="AD162" s="8">
        <f t="shared" si="67"/>
        <v>-11716</v>
      </c>
      <c r="AE162" s="8">
        <v>84716</v>
      </c>
      <c r="AF162" s="8">
        <f t="shared" si="81"/>
        <v>7428</v>
      </c>
      <c r="AG162" s="8">
        <v>128470</v>
      </c>
      <c r="AH162" s="8">
        <f t="shared" si="82"/>
        <v>-6307</v>
      </c>
      <c r="AI162" s="8">
        <v>-43754</v>
      </c>
      <c r="AJ162" s="8">
        <f t="shared" si="83"/>
        <v>13735</v>
      </c>
      <c r="AK162" s="8">
        <v>76274</v>
      </c>
      <c r="AL162" s="8">
        <f t="shared" si="84"/>
        <v>6963</v>
      </c>
      <c r="AM162" s="8">
        <v>124523</v>
      </c>
      <c r="AN162" s="8">
        <f t="shared" si="85"/>
        <v>-6184</v>
      </c>
      <c r="AO162" s="8">
        <v>-48249</v>
      </c>
      <c r="AP162" s="8">
        <f t="shared" si="86"/>
        <v>13147</v>
      </c>
      <c r="AR162" s="8">
        <v>1291765</v>
      </c>
      <c r="AS162" s="8">
        <f t="shared" si="87"/>
        <v>14588</v>
      </c>
      <c r="AT162" s="8">
        <v>179878</v>
      </c>
      <c r="AU162" s="8">
        <f t="shared" si="88"/>
        <v>-11006</v>
      </c>
      <c r="AV162" s="8">
        <v>99236</v>
      </c>
      <c r="AW162" s="8">
        <f t="shared" si="89"/>
        <v>11327</v>
      </c>
      <c r="AX162" s="8">
        <f t="shared" si="64"/>
        <v>80642</v>
      </c>
      <c r="AY162" s="8">
        <f t="shared" si="90"/>
        <v>-22333</v>
      </c>
      <c r="AZ162" s="8">
        <v>584042</v>
      </c>
      <c r="BA162" s="8">
        <f t="shared" si="91"/>
        <v>3849</v>
      </c>
      <c r="BB162" s="8">
        <v>552477</v>
      </c>
      <c r="BC162" s="8">
        <f t="shared" si="92"/>
        <v>-21225</v>
      </c>
      <c r="BD162" s="8">
        <f t="shared" si="65"/>
        <v>31565</v>
      </c>
      <c r="BE162" s="8">
        <f t="shared" si="93"/>
        <v>25074</v>
      </c>
      <c r="BF162" s="8">
        <v>276906</v>
      </c>
      <c r="BG162" s="8">
        <f t="shared" si="94"/>
        <v>-1320</v>
      </c>
      <c r="BH162" s="8">
        <v>464286</v>
      </c>
      <c r="BI162" s="8">
        <f t="shared" si="95"/>
        <v>-26444</v>
      </c>
      <c r="BJ162" s="8">
        <f t="shared" si="66"/>
        <v>-187380</v>
      </c>
      <c r="BK162" s="8">
        <f t="shared" si="68"/>
        <v>25124</v>
      </c>
    </row>
    <row r="163" spans="1:63">
      <c r="A163" s="5">
        <v>40008</v>
      </c>
      <c r="B163" s="8">
        <v>299717</v>
      </c>
      <c r="C163" s="8">
        <f t="shared" si="69"/>
        <v>12451</v>
      </c>
      <c r="D163" s="8">
        <v>17295</v>
      </c>
      <c r="E163" s="8">
        <f t="shared" si="70"/>
        <v>-1084</v>
      </c>
      <c r="F163" s="8">
        <v>42249</v>
      </c>
      <c r="G163" s="8">
        <f t="shared" si="71"/>
        <v>4430</v>
      </c>
      <c r="H163" s="8">
        <v>-24954</v>
      </c>
      <c r="I163" s="8">
        <f t="shared" si="72"/>
        <v>-5514</v>
      </c>
      <c r="J163" s="8">
        <v>170209</v>
      </c>
      <c r="K163" s="8">
        <f t="shared" si="73"/>
        <v>7797</v>
      </c>
      <c r="L163" s="8">
        <v>133694</v>
      </c>
      <c r="M163" s="8">
        <f t="shared" si="74"/>
        <v>5815</v>
      </c>
      <c r="N163" s="8">
        <v>36515</v>
      </c>
      <c r="O163" s="8">
        <f t="shared" si="75"/>
        <v>1982</v>
      </c>
      <c r="P163" s="8">
        <v>105908</v>
      </c>
      <c r="Q163" s="8">
        <f t="shared" si="76"/>
        <v>5688</v>
      </c>
      <c r="R163" s="8">
        <v>123903</v>
      </c>
      <c r="S163" s="8">
        <f t="shared" si="77"/>
        <v>3817</v>
      </c>
      <c r="T163" s="8">
        <v>-17995</v>
      </c>
      <c r="U163" s="8">
        <f t="shared" si="78"/>
        <v>1871</v>
      </c>
      <c r="W163" s="8">
        <v>197483</v>
      </c>
      <c r="X163" s="8">
        <f t="shared" si="79"/>
        <v>-6157</v>
      </c>
      <c r="Y163" s="8">
        <v>33847</v>
      </c>
      <c r="Z163" s="8">
        <f t="shared" si="80"/>
        <v>-6606</v>
      </c>
      <c r="AA163" s="8">
        <v>6038</v>
      </c>
      <c r="AB163" s="8">
        <f t="shared" si="67"/>
        <v>1518</v>
      </c>
      <c r="AC163" s="8">
        <v>27809</v>
      </c>
      <c r="AD163" s="8">
        <f t="shared" si="67"/>
        <v>-8124</v>
      </c>
      <c r="AE163" s="8">
        <v>87831</v>
      </c>
      <c r="AF163" s="8">
        <f t="shared" si="81"/>
        <v>3115</v>
      </c>
      <c r="AG163" s="8">
        <v>123999</v>
      </c>
      <c r="AH163" s="8">
        <f t="shared" si="82"/>
        <v>-4471</v>
      </c>
      <c r="AI163" s="8">
        <v>-36168</v>
      </c>
      <c r="AJ163" s="8">
        <f t="shared" si="83"/>
        <v>7586</v>
      </c>
      <c r="AK163" s="8">
        <v>81974</v>
      </c>
      <c r="AL163" s="8">
        <f t="shared" si="84"/>
        <v>5700</v>
      </c>
      <c r="AM163" s="8">
        <v>121960</v>
      </c>
      <c r="AN163" s="8">
        <f t="shared" si="85"/>
        <v>-2563</v>
      </c>
      <c r="AO163" s="8">
        <v>-39986</v>
      </c>
      <c r="AP163" s="8">
        <f t="shared" si="86"/>
        <v>8263</v>
      </c>
      <c r="AR163" s="8">
        <v>1298664</v>
      </c>
      <c r="AS163" s="8">
        <f t="shared" si="87"/>
        <v>6899</v>
      </c>
      <c r="AT163" s="8">
        <v>172816</v>
      </c>
      <c r="AU163" s="8">
        <f t="shared" si="88"/>
        <v>-7062</v>
      </c>
      <c r="AV163" s="8">
        <v>112750</v>
      </c>
      <c r="AW163" s="8">
        <f t="shared" si="89"/>
        <v>13514</v>
      </c>
      <c r="AX163" s="8">
        <f t="shared" si="64"/>
        <v>60066</v>
      </c>
      <c r="AY163" s="8">
        <f t="shared" si="90"/>
        <v>-20576</v>
      </c>
      <c r="AZ163" s="8">
        <v>588967</v>
      </c>
      <c r="BA163" s="8">
        <f t="shared" si="91"/>
        <v>4925</v>
      </c>
      <c r="BB163" s="8">
        <v>544654</v>
      </c>
      <c r="BC163" s="8">
        <f t="shared" si="92"/>
        <v>-7823</v>
      </c>
      <c r="BD163" s="8">
        <f t="shared" si="65"/>
        <v>44313</v>
      </c>
      <c r="BE163" s="8">
        <f t="shared" si="93"/>
        <v>12748</v>
      </c>
      <c r="BF163" s="8">
        <v>272535</v>
      </c>
      <c r="BG163" s="8">
        <f t="shared" si="94"/>
        <v>-4371</v>
      </c>
      <c r="BH163" s="8">
        <v>450304</v>
      </c>
      <c r="BI163" s="8">
        <f t="shared" si="95"/>
        <v>-13982</v>
      </c>
      <c r="BJ163" s="8">
        <f t="shared" si="66"/>
        <v>-177769</v>
      </c>
      <c r="BK163" s="8">
        <f t="shared" si="68"/>
        <v>9611</v>
      </c>
    </row>
    <row r="164" spans="1:63">
      <c r="A164" s="5">
        <v>40015</v>
      </c>
      <c r="B164" s="8">
        <v>299095</v>
      </c>
      <c r="C164" s="8">
        <f t="shared" si="69"/>
        <v>-622</v>
      </c>
      <c r="D164" s="8">
        <v>17662</v>
      </c>
      <c r="E164" s="8">
        <f t="shared" si="70"/>
        <v>367</v>
      </c>
      <c r="F164" s="8">
        <v>39975</v>
      </c>
      <c r="G164" s="8">
        <f t="shared" si="71"/>
        <v>-2274</v>
      </c>
      <c r="H164" s="8">
        <v>-22313</v>
      </c>
      <c r="I164" s="8">
        <f t="shared" si="72"/>
        <v>2641</v>
      </c>
      <c r="J164" s="8">
        <v>168337</v>
      </c>
      <c r="K164" s="8">
        <f t="shared" si="73"/>
        <v>-1872</v>
      </c>
      <c r="L164" s="8">
        <v>133718</v>
      </c>
      <c r="M164" s="8">
        <f t="shared" si="74"/>
        <v>24</v>
      </c>
      <c r="N164" s="8">
        <v>34619</v>
      </c>
      <c r="O164" s="8">
        <f t="shared" si="75"/>
        <v>-1896</v>
      </c>
      <c r="P164" s="8">
        <v>103241</v>
      </c>
      <c r="Q164" s="8">
        <f t="shared" si="76"/>
        <v>-2667</v>
      </c>
      <c r="R164" s="8">
        <v>123966</v>
      </c>
      <c r="S164" s="8">
        <f t="shared" si="77"/>
        <v>63</v>
      </c>
      <c r="T164" s="8">
        <v>-20725</v>
      </c>
      <c r="U164" s="8">
        <f t="shared" si="78"/>
        <v>-2730</v>
      </c>
      <c r="W164" s="8">
        <v>195806</v>
      </c>
      <c r="X164" s="8">
        <f t="shared" si="79"/>
        <v>-1677</v>
      </c>
      <c r="Y164" s="8">
        <v>32579</v>
      </c>
      <c r="Z164" s="8">
        <f t="shared" si="80"/>
        <v>-1268</v>
      </c>
      <c r="AA164" s="8">
        <v>4899</v>
      </c>
      <c r="AB164" s="8">
        <f t="shared" si="67"/>
        <v>-1139</v>
      </c>
      <c r="AC164" s="8">
        <v>27680</v>
      </c>
      <c r="AD164" s="8">
        <f t="shared" si="67"/>
        <v>-129</v>
      </c>
      <c r="AE164" s="8">
        <v>90241</v>
      </c>
      <c r="AF164" s="8">
        <f t="shared" si="81"/>
        <v>2410</v>
      </c>
      <c r="AG164" s="8">
        <v>122044</v>
      </c>
      <c r="AH164" s="8">
        <f t="shared" si="82"/>
        <v>-1955</v>
      </c>
      <c r="AI164" s="8">
        <v>-31803</v>
      </c>
      <c r="AJ164" s="8">
        <f t="shared" si="83"/>
        <v>4365</v>
      </c>
      <c r="AK164" s="8">
        <v>83344</v>
      </c>
      <c r="AL164" s="8">
        <f t="shared" si="84"/>
        <v>1370</v>
      </c>
      <c r="AM164" s="8">
        <v>118621</v>
      </c>
      <c r="AN164" s="8">
        <f t="shared" si="85"/>
        <v>-3339</v>
      </c>
      <c r="AO164" s="8">
        <v>-35277</v>
      </c>
      <c r="AP164" s="8">
        <f t="shared" si="86"/>
        <v>4709</v>
      </c>
      <c r="AR164" s="8">
        <v>1356748</v>
      </c>
      <c r="AS164" s="8">
        <f t="shared" si="87"/>
        <v>58084</v>
      </c>
      <c r="AT164" s="8">
        <v>166371</v>
      </c>
      <c r="AU164" s="8">
        <f t="shared" si="88"/>
        <v>-6445</v>
      </c>
      <c r="AV164" s="8">
        <v>123829</v>
      </c>
      <c r="AW164" s="8">
        <f t="shared" si="89"/>
        <v>11079</v>
      </c>
      <c r="AX164" s="8">
        <f t="shared" si="64"/>
        <v>42542</v>
      </c>
      <c r="AY164" s="8">
        <f t="shared" si="90"/>
        <v>-17524</v>
      </c>
      <c r="AZ164" s="8">
        <v>605322</v>
      </c>
      <c r="BA164" s="8">
        <f t="shared" si="91"/>
        <v>16355</v>
      </c>
      <c r="BB164" s="8">
        <v>540158</v>
      </c>
      <c r="BC164" s="8">
        <f t="shared" si="92"/>
        <v>-4496</v>
      </c>
      <c r="BD164" s="8">
        <f t="shared" si="65"/>
        <v>65164</v>
      </c>
      <c r="BE164" s="8">
        <f t="shared" si="93"/>
        <v>20851</v>
      </c>
      <c r="BF164" s="8">
        <v>280443</v>
      </c>
      <c r="BG164" s="8">
        <f t="shared" si="94"/>
        <v>7908</v>
      </c>
      <c r="BH164" s="8">
        <v>442294</v>
      </c>
      <c r="BI164" s="8">
        <f t="shared" si="95"/>
        <v>-8010</v>
      </c>
      <c r="BJ164" s="8">
        <f t="shared" si="66"/>
        <v>-161851</v>
      </c>
      <c r="BK164" s="8">
        <f t="shared" si="68"/>
        <v>15918</v>
      </c>
    </row>
    <row r="165" spans="1:63">
      <c r="A165" s="5">
        <v>40022</v>
      </c>
      <c r="B165" s="8">
        <v>281698</v>
      </c>
      <c r="C165" s="8">
        <f t="shared" si="69"/>
        <v>-17397</v>
      </c>
      <c r="D165" s="8">
        <v>17475</v>
      </c>
      <c r="E165" s="8">
        <f t="shared" si="70"/>
        <v>-187</v>
      </c>
      <c r="F165" s="8">
        <v>36538</v>
      </c>
      <c r="G165" s="8">
        <f t="shared" si="71"/>
        <v>-3437</v>
      </c>
      <c r="H165" s="8">
        <v>-19063</v>
      </c>
      <c r="I165" s="8">
        <f t="shared" si="72"/>
        <v>3250</v>
      </c>
      <c r="J165" s="8">
        <v>156929</v>
      </c>
      <c r="K165" s="8">
        <f t="shared" si="73"/>
        <v>-11408</v>
      </c>
      <c r="L165" s="8">
        <v>127949</v>
      </c>
      <c r="M165" s="8">
        <f t="shared" si="74"/>
        <v>-5769</v>
      </c>
      <c r="N165" s="8">
        <v>28980</v>
      </c>
      <c r="O165" s="8">
        <f t="shared" si="75"/>
        <v>-5639</v>
      </c>
      <c r="P165" s="8">
        <v>92713</v>
      </c>
      <c r="Q165" s="8">
        <f t="shared" si="76"/>
        <v>-10528</v>
      </c>
      <c r="R165" s="8">
        <v>116901</v>
      </c>
      <c r="S165" s="8">
        <f t="shared" si="77"/>
        <v>-7065</v>
      </c>
      <c r="T165" s="8">
        <v>-24188</v>
      </c>
      <c r="U165" s="8">
        <f t="shared" si="78"/>
        <v>-3463</v>
      </c>
      <c r="W165" s="8">
        <v>196856</v>
      </c>
      <c r="X165" s="8">
        <f t="shared" si="79"/>
        <v>1050</v>
      </c>
      <c r="Y165" s="8">
        <v>36576</v>
      </c>
      <c r="Z165" s="8">
        <f t="shared" si="80"/>
        <v>3997</v>
      </c>
      <c r="AA165" s="8">
        <v>3866</v>
      </c>
      <c r="AB165" s="8">
        <f t="shared" si="67"/>
        <v>-1033</v>
      </c>
      <c r="AC165" s="8">
        <v>32710</v>
      </c>
      <c r="AD165" s="8">
        <f t="shared" si="67"/>
        <v>5030</v>
      </c>
      <c r="AE165" s="8">
        <v>88211</v>
      </c>
      <c r="AF165" s="8">
        <f t="shared" si="81"/>
        <v>-2030</v>
      </c>
      <c r="AG165" s="8">
        <v>127190</v>
      </c>
      <c r="AH165" s="8">
        <f t="shared" si="82"/>
        <v>5146</v>
      </c>
      <c r="AI165" s="8">
        <v>-38979</v>
      </c>
      <c r="AJ165" s="8">
        <f t="shared" si="83"/>
        <v>-7176</v>
      </c>
      <c r="AK165" s="8">
        <v>81621</v>
      </c>
      <c r="AL165" s="8">
        <f t="shared" si="84"/>
        <v>-1723</v>
      </c>
      <c r="AM165" s="8">
        <v>124186</v>
      </c>
      <c r="AN165" s="8">
        <f t="shared" si="85"/>
        <v>5565</v>
      </c>
      <c r="AO165" s="8">
        <v>-42565</v>
      </c>
      <c r="AP165" s="8">
        <f t="shared" si="86"/>
        <v>-7288</v>
      </c>
      <c r="AR165" s="8">
        <v>1308608</v>
      </c>
      <c r="AS165" s="8">
        <f t="shared" si="87"/>
        <v>-48140</v>
      </c>
      <c r="AT165" s="8">
        <v>161779</v>
      </c>
      <c r="AU165" s="8">
        <f t="shared" si="88"/>
        <v>-4592</v>
      </c>
      <c r="AV165" s="8">
        <v>117348</v>
      </c>
      <c r="AW165" s="8">
        <f t="shared" si="89"/>
        <v>-6481</v>
      </c>
      <c r="AX165" s="8">
        <f t="shared" si="64"/>
        <v>44431</v>
      </c>
      <c r="AY165" s="8">
        <f t="shared" si="90"/>
        <v>1889</v>
      </c>
      <c r="AZ165" s="8">
        <v>583512</v>
      </c>
      <c r="BA165" s="8">
        <f t="shared" si="91"/>
        <v>-21810</v>
      </c>
      <c r="BB165" s="8">
        <v>543970</v>
      </c>
      <c r="BC165" s="8">
        <f t="shared" si="92"/>
        <v>3812</v>
      </c>
      <c r="BD165" s="8">
        <f t="shared" si="65"/>
        <v>39542</v>
      </c>
      <c r="BE165" s="8">
        <f t="shared" si="93"/>
        <v>-25622</v>
      </c>
      <c r="BF165" s="8">
        <v>248461</v>
      </c>
      <c r="BG165" s="8">
        <f t="shared" si="94"/>
        <v>-31982</v>
      </c>
      <c r="BH165" s="8">
        <v>452116</v>
      </c>
      <c r="BI165" s="8">
        <f t="shared" si="95"/>
        <v>9822</v>
      </c>
      <c r="BJ165" s="8">
        <f t="shared" si="66"/>
        <v>-203655</v>
      </c>
      <c r="BK165" s="8">
        <f t="shared" si="68"/>
        <v>-41804</v>
      </c>
    </row>
    <row r="166" spans="1:63">
      <c r="A166" s="5">
        <v>40029</v>
      </c>
      <c r="B166" s="8">
        <v>295818</v>
      </c>
      <c r="C166" s="8">
        <f t="shared" si="69"/>
        <v>14120</v>
      </c>
      <c r="D166" s="8">
        <v>24361</v>
      </c>
      <c r="E166" s="8">
        <f t="shared" si="70"/>
        <v>6886</v>
      </c>
      <c r="F166" s="8">
        <v>28657</v>
      </c>
      <c r="G166" s="8">
        <f t="shared" si="71"/>
        <v>-7881</v>
      </c>
      <c r="H166" s="8">
        <v>-4296</v>
      </c>
      <c r="I166" s="8">
        <f t="shared" si="72"/>
        <v>14767</v>
      </c>
      <c r="J166" s="8">
        <v>149847</v>
      </c>
      <c r="K166" s="8">
        <f t="shared" si="73"/>
        <v>-7082</v>
      </c>
      <c r="L166" s="8">
        <v>148838</v>
      </c>
      <c r="M166" s="8">
        <f t="shared" si="74"/>
        <v>20889</v>
      </c>
      <c r="N166" s="8">
        <v>1009</v>
      </c>
      <c r="O166" s="8">
        <f t="shared" si="75"/>
        <v>-27971</v>
      </c>
      <c r="P166" s="8">
        <v>84730</v>
      </c>
      <c r="Q166" s="8">
        <f t="shared" si="76"/>
        <v>-7983</v>
      </c>
      <c r="R166" s="8">
        <v>136534</v>
      </c>
      <c r="S166" s="8">
        <f t="shared" si="77"/>
        <v>19633</v>
      </c>
      <c r="T166" s="8">
        <v>-51804</v>
      </c>
      <c r="U166" s="8">
        <f t="shared" si="78"/>
        <v>-27616</v>
      </c>
      <c r="W166" s="8">
        <v>201754</v>
      </c>
      <c r="X166" s="8">
        <f t="shared" si="79"/>
        <v>4898</v>
      </c>
      <c r="Y166" s="8">
        <v>41952</v>
      </c>
      <c r="Z166" s="8">
        <f t="shared" si="80"/>
        <v>5376</v>
      </c>
      <c r="AA166" s="8">
        <v>1994</v>
      </c>
      <c r="AB166" s="8">
        <f t="shared" si="67"/>
        <v>-1872</v>
      </c>
      <c r="AC166" s="8">
        <v>39958</v>
      </c>
      <c r="AD166" s="8">
        <f t="shared" si="67"/>
        <v>7248</v>
      </c>
      <c r="AE166" s="8">
        <v>78469</v>
      </c>
      <c r="AF166" s="8">
        <f t="shared" si="81"/>
        <v>-9742</v>
      </c>
      <c r="AG166" s="8">
        <v>129678</v>
      </c>
      <c r="AH166" s="8">
        <f t="shared" si="82"/>
        <v>2488</v>
      </c>
      <c r="AI166" s="8">
        <v>-51209</v>
      </c>
      <c r="AJ166" s="8">
        <f t="shared" si="83"/>
        <v>-12230</v>
      </c>
      <c r="AK166" s="8">
        <v>71595</v>
      </c>
      <c r="AL166" s="8">
        <f t="shared" si="84"/>
        <v>-10026</v>
      </c>
      <c r="AM166" s="8">
        <v>126724</v>
      </c>
      <c r="AN166" s="8">
        <f t="shared" si="85"/>
        <v>2538</v>
      </c>
      <c r="AO166" s="8">
        <v>-55129</v>
      </c>
      <c r="AP166" s="8">
        <f t="shared" si="86"/>
        <v>-12564</v>
      </c>
      <c r="AR166" s="8">
        <v>1313252</v>
      </c>
      <c r="AS166" s="8">
        <f t="shared" si="87"/>
        <v>4644</v>
      </c>
      <c r="AT166" s="8">
        <v>169740</v>
      </c>
      <c r="AU166" s="8">
        <f t="shared" si="88"/>
        <v>7961</v>
      </c>
      <c r="AV166" s="8">
        <v>96518</v>
      </c>
      <c r="AW166" s="8">
        <f t="shared" si="89"/>
        <v>-20830</v>
      </c>
      <c r="AX166" s="8">
        <f t="shared" si="64"/>
        <v>73222</v>
      </c>
      <c r="AY166" s="8">
        <f t="shared" si="90"/>
        <v>28791</v>
      </c>
      <c r="AZ166" s="8">
        <v>576521</v>
      </c>
      <c r="BA166" s="8">
        <f t="shared" si="91"/>
        <v>-6991</v>
      </c>
      <c r="BB166" s="8">
        <v>562175</v>
      </c>
      <c r="BC166" s="8">
        <f t="shared" si="92"/>
        <v>18205</v>
      </c>
      <c r="BD166" s="8">
        <f t="shared" si="65"/>
        <v>14346</v>
      </c>
      <c r="BE166" s="8">
        <f t="shared" si="93"/>
        <v>-25196</v>
      </c>
      <c r="BF166" s="8">
        <v>242824</v>
      </c>
      <c r="BG166" s="8">
        <f t="shared" si="94"/>
        <v>-5637</v>
      </c>
      <c r="BH166" s="8">
        <v>475512</v>
      </c>
      <c r="BI166" s="8">
        <f t="shared" si="95"/>
        <v>23396</v>
      </c>
      <c r="BJ166" s="8">
        <f t="shared" si="66"/>
        <v>-232688</v>
      </c>
      <c r="BK166" s="8">
        <f t="shared" si="68"/>
        <v>-29033</v>
      </c>
    </row>
    <row r="167" spans="1:63">
      <c r="A167" s="5">
        <v>40036</v>
      </c>
      <c r="B167" s="8">
        <v>291621</v>
      </c>
      <c r="C167" s="8">
        <f t="shared" si="69"/>
        <v>-4197</v>
      </c>
      <c r="D167" s="8">
        <v>27823</v>
      </c>
      <c r="E167" s="8">
        <f t="shared" si="70"/>
        <v>3462</v>
      </c>
      <c r="F167" s="8">
        <v>23632</v>
      </c>
      <c r="G167" s="8">
        <f t="shared" si="71"/>
        <v>-5025</v>
      </c>
      <c r="H167" s="8">
        <v>4191</v>
      </c>
      <c r="I167" s="8">
        <f t="shared" si="72"/>
        <v>8487</v>
      </c>
      <c r="J167" s="8">
        <v>144784</v>
      </c>
      <c r="K167" s="8">
        <f t="shared" si="73"/>
        <v>-5063</v>
      </c>
      <c r="L167" s="8">
        <v>151857</v>
      </c>
      <c r="M167" s="8">
        <f t="shared" si="74"/>
        <v>3019</v>
      </c>
      <c r="N167" s="8">
        <v>-7073</v>
      </c>
      <c r="O167" s="8">
        <f t="shared" si="75"/>
        <v>-8082</v>
      </c>
      <c r="P167" s="8">
        <v>80523</v>
      </c>
      <c r="Q167" s="8">
        <f t="shared" si="76"/>
        <v>-4207</v>
      </c>
      <c r="R167" s="8">
        <v>142688</v>
      </c>
      <c r="S167" s="8">
        <f t="shared" si="77"/>
        <v>6154</v>
      </c>
      <c r="T167" s="8">
        <v>-62165</v>
      </c>
      <c r="U167" s="8">
        <f t="shared" si="78"/>
        <v>-10361</v>
      </c>
      <c r="W167" s="8">
        <v>202771</v>
      </c>
      <c r="X167" s="8">
        <f t="shared" si="79"/>
        <v>1017</v>
      </c>
      <c r="Y167" s="8">
        <v>45746</v>
      </c>
      <c r="Z167" s="8">
        <f t="shared" si="80"/>
        <v>3794</v>
      </c>
      <c r="AA167" s="8">
        <v>2932</v>
      </c>
      <c r="AB167" s="8">
        <f t="shared" si="67"/>
        <v>938</v>
      </c>
      <c r="AC167" s="8">
        <v>42814</v>
      </c>
      <c r="AD167" s="8">
        <f t="shared" si="67"/>
        <v>2856</v>
      </c>
      <c r="AE167" s="8">
        <v>77453</v>
      </c>
      <c r="AF167" s="8">
        <f t="shared" si="81"/>
        <v>-1016</v>
      </c>
      <c r="AG167" s="8">
        <v>131237</v>
      </c>
      <c r="AH167" s="8">
        <f t="shared" si="82"/>
        <v>1559</v>
      </c>
      <c r="AI167" s="8">
        <v>-53784</v>
      </c>
      <c r="AJ167" s="8">
        <f t="shared" si="83"/>
        <v>-2575</v>
      </c>
      <c r="AK167" s="8">
        <v>70729</v>
      </c>
      <c r="AL167" s="8">
        <f t="shared" si="84"/>
        <v>-866</v>
      </c>
      <c r="AM167" s="8">
        <v>128249</v>
      </c>
      <c r="AN167" s="8">
        <f t="shared" si="85"/>
        <v>1525</v>
      </c>
      <c r="AO167" s="8">
        <v>-57520</v>
      </c>
      <c r="AP167" s="8">
        <f t="shared" si="86"/>
        <v>-2391</v>
      </c>
      <c r="AR167" s="8">
        <v>1330309</v>
      </c>
      <c r="AS167" s="8">
        <f t="shared" si="87"/>
        <v>17057</v>
      </c>
      <c r="AT167" s="8">
        <v>173176</v>
      </c>
      <c r="AU167" s="8">
        <f t="shared" si="88"/>
        <v>3436</v>
      </c>
      <c r="AV167" s="8">
        <v>93033</v>
      </c>
      <c r="AW167" s="8">
        <f t="shared" si="89"/>
        <v>-3485</v>
      </c>
      <c r="AX167" s="8">
        <f t="shared" si="64"/>
        <v>80143</v>
      </c>
      <c r="AY167" s="8">
        <f t="shared" si="90"/>
        <v>6921</v>
      </c>
      <c r="AZ167" s="8">
        <v>576601</v>
      </c>
      <c r="BA167" s="8">
        <f t="shared" si="91"/>
        <v>80</v>
      </c>
      <c r="BB167" s="8">
        <v>559439</v>
      </c>
      <c r="BC167" s="8">
        <f t="shared" si="92"/>
        <v>-2736</v>
      </c>
      <c r="BD167" s="8">
        <f t="shared" si="65"/>
        <v>17162</v>
      </c>
      <c r="BE167" s="8">
        <f t="shared" si="93"/>
        <v>2816</v>
      </c>
      <c r="BF167" s="8">
        <v>241870</v>
      </c>
      <c r="BG167" s="8">
        <f t="shared" si="94"/>
        <v>-954</v>
      </c>
      <c r="BH167" s="8">
        <v>472702</v>
      </c>
      <c r="BI167" s="8">
        <f t="shared" si="95"/>
        <v>-2810</v>
      </c>
      <c r="BJ167" s="8">
        <f t="shared" si="66"/>
        <v>-230832</v>
      </c>
      <c r="BK167" s="8">
        <f t="shared" si="68"/>
        <v>1856</v>
      </c>
    </row>
    <row r="168" spans="1:63">
      <c r="A168" s="5">
        <v>40043</v>
      </c>
      <c r="B168" s="8">
        <v>280627</v>
      </c>
      <c r="C168" s="8">
        <f t="shared" si="69"/>
        <v>-10994</v>
      </c>
      <c r="D168" s="8">
        <v>24520</v>
      </c>
      <c r="E168" s="8">
        <f t="shared" si="70"/>
        <v>-3303</v>
      </c>
      <c r="F168" s="8">
        <v>21666</v>
      </c>
      <c r="G168" s="8">
        <f t="shared" si="71"/>
        <v>-1966</v>
      </c>
      <c r="H168" s="8">
        <v>2854</v>
      </c>
      <c r="I168" s="8">
        <f t="shared" si="72"/>
        <v>-1337</v>
      </c>
      <c r="J168" s="8">
        <v>139349</v>
      </c>
      <c r="K168" s="8">
        <f t="shared" si="73"/>
        <v>-5435</v>
      </c>
      <c r="L168" s="8">
        <v>146276</v>
      </c>
      <c r="M168" s="8">
        <f t="shared" si="74"/>
        <v>-5581</v>
      </c>
      <c r="N168" s="8">
        <v>-6927</v>
      </c>
      <c r="O168" s="8">
        <f t="shared" si="75"/>
        <v>146</v>
      </c>
      <c r="P168" s="8">
        <v>77497</v>
      </c>
      <c r="Q168" s="8">
        <f t="shared" si="76"/>
        <v>-3026</v>
      </c>
      <c r="R168" s="8">
        <v>138526</v>
      </c>
      <c r="S168" s="8">
        <f t="shared" si="77"/>
        <v>-4162</v>
      </c>
      <c r="T168" s="8">
        <v>-61029</v>
      </c>
      <c r="U168" s="8">
        <f t="shared" si="78"/>
        <v>1136</v>
      </c>
      <c r="W168" s="8">
        <v>188898</v>
      </c>
      <c r="X168" s="8">
        <f t="shared" si="79"/>
        <v>-13873</v>
      </c>
      <c r="Y168" s="8">
        <v>40207</v>
      </c>
      <c r="Z168" s="8">
        <f t="shared" si="80"/>
        <v>-5539</v>
      </c>
      <c r="AA168" s="8">
        <v>3774</v>
      </c>
      <c r="AB168" s="8">
        <f t="shared" si="67"/>
        <v>842</v>
      </c>
      <c r="AC168" s="8">
        <v>36433</v>
      </c>
      <c r="AD168" s="8">
        <f t="shared" si="67"/>
        <v>-6381</v>
      </c>
      <c r="AE168" s="8">
        <v>71929</v>
      </c>
      <c r="AF168" s="8">
        <f t="shared" si="81"/>
        <v>-5524</v>
      </c>
      <c r="AG168" s="8">
        <v>119420</v>
      </c>
      <c r="AH168" s="8">
        <f t="shared" si="82"/>
        <v>-11817</v>
      </c>
      <c r="AI168" s="8">
        <v>-47491</v>
      </c>
      <c r="AJ168" s="8">
        <f t="shared" si="83"/>
        <v>6293</v>
      </c>
      <c r="AK168" s="8">
        <v>66116</v>
      </c>
      <c r="AL168" s="8">
        <f t="shared" si="84"/>
        <v>-4613</v>
      </c>
      <c r="AM168" s="8">
        <v>116960</v>
      </c>
      <c r="AN168" s="8">
        <f t="shared" si="85"/>
        <v>-11289</v>
      </c>
      <c r="AO168" s="8">
        <v>-50844</v>
      </c>
      <c r="AP168" s="8">
        <f t="shared" si="86"/>
        <v>6676</v>
      </c>
      <c r="AR168" s="8">
        <v>1321382</v>
      </c>
      <c r="AS168" s="8">
        <f t="shared" si="87"/>
        <v>-8927</v>
      </c>
      <c r="AT168" s="8">
        <v>156653</v>
      </c>
      <c r="AU168" s="8">
        <f t="shared" si="88"/>
        <v>-16523</v>
      </c>
      <c r="AV168" s="8">
        <v>105686</v>
      </c>
      <c r="AW168" s="8">
        <f t="shared" si="89"/>
        <v>12653</v>
      </c>
      <c r="AX168" s="8">
        <f t="shared" si="64"/>
        <v>50967</v>
      </c>
      <c r="AY168" s="8">
        <f t="shared" si="90"/>
        <v>-29176</v>
      </c>
      <c r="AZ168" s="8">
        <v>586284</v>
      </c>
      <c r="BA168" s="8">
        <f t="shared" si="91"/>
        <v>9683</v>
      </c>
      <c r="BB168" s="8">
        <v>546321</v>
      </c>
      <c r="BC168" s="8">
        <f t="shared" si="92"/>
        <v>-13118</v>
      </c>
      <c r="BD168" s="8">
        <f t="shared" si="65"/>
        <v>39963</v>
      </c>
      <c r="BE168" s="8">
        <f t="shared" si="93"/>
        <v>22801</v>
      </c>
      <c r="BF168" s="8">
        <v>256079</v>
      </c>
      <c r="BG168" s="8">
        <f t="shared" si="94"/>
        <v>14209</v>
      </c>
      <c r="BH168" s="8">
        <v>462225</v>
      </c>
      <c r="BI168" s="8">
        <f t="shared" si="95"/>
        <v>-10477</v>
      </c>
      <c r="BJ168" s="8">
        <f t="shared" si="66"/>
        <v>-206146</v>
      </c>
      <c r="BK168" s="8">
        <f t="shared" si="68"/>
        <v>24686</v>
      </c>
    </row>
    <row r="169" spans="1:63">
      <c r="A169" s="5">
        <v>40050</v>
      </c>
      <c r="B169" s="8">
        <v>274870</v>
      </c>
      <c r="C169" s="8">
        <f t="shared" si="69"/>
        <v>-5757</v>
      </c>
      <c r="D169" s="8">
        <v>28499</v>
      </c>
      <c r="E169" s="8">
        <f t="shared" si="70"/>
        <v>3979</v>
      </c>
      <c r="F169" s="8">
        <v>20738</v>
      </c>
      <c r="G169" s="8">
        <f t="shared" si="71"/>
        <v>-928</v>
      </c>
      <c r="H169" s="8">
        <v>7761</v>
      </c>
      <c r="I169" s="8">
        <f t="shared" si="72"/>
        <v>4907</v>
      </c>
      <c r="J169" s="8">
        <v>131565</v>
      </c>
      <c r="K169" s="8">
        <f t="shared" si="73"/>
        <v>-7784</v>
      </c>
      <c r="L169" s="8">
        <v>144210</v>
      </c>
      <c r="M169" s="8">
        <f t="shared" si="74"/>
        <v>-2066</v>
      </c>
      <c r="N169" s="8">
        <v>-12645</v>
      </c>
      <c r="O169" s="8">
        <f t="shared" si="75"/>
        <v>-5718</v>
      </c>
      <c r="P169" s="8">
        <v>69854</v>
      </c>
      <c r="Q169" s="8">
        <f t="shared" si="76"/>
        <v>-7643</v>
      </c>
      <c r="R169" s="8">
        <v>136237</v>
      </c>
      <c r="S169" s="8">
        <f t="shared" si="77"/>
        <v>-2289</v>
      </c>
      <c r="T169" s="8">
        <v>-66383</v>
      </c>
      <c r="U169" s="8">
        <f t="shared" si="78"/>
        <v>-5354</v>
      </c>
      <c r="W169" s="8">
        <v>182479</v>
      </c>
      <c r="X169" s="8">
        <f t="shared" si="79"/>
        <v>-6419</v>
      </c>
      <c r="Y169" s="8">
        <v>39547</v>
      </c>
      <c r="Z169" s="8">
        <f t="shared" si="80"/>
        <v>-660</v>
      </c>
      <c r="AA169" s="8">
        <v>1741</v>
      </c>
      <c r="AB169" s="8">
        <f t="shared" si="67"/>
        <v>-2033</v>
      </c>
      <c r="AC169" s="8">
        <v>37806</v>
      </c>
      <c r="AD169" s="8">
        <f t="shared" si="67"/>
        <v>1373</v>
      </c>
      <c r="AE169" s="8">
        <v>70424</v>
      </c>
      <c r="AF169" s="8">
        <f t="shared" si="81"/>
        <v>-1505</v>
      </c>
      <c r="AG169" s="8">
        <v>120585</v>
      </c>
      <c r="AH169" s="8">
        <f t="shared" si="82"/>
        <v>1165</v>
      </c>
      <c r="AI169" s="8">
        <v>-50161</v>
      </c>
      <c r="AJ169" s="8">
        <f t="shared" si="83"/>
        <v>-2670</v>
      </c>
      <c r="AK169" s="8">
        <v>64643</v>
      </c>
      <c r="AL169" s="8">
        <f t="shared" si="84"/>
        <v>-1473</v>
      </c>
      <c r="AM169" s="8">
        <v>118385</v>
      </c>
      <c r="AN169" s="8">
        <f t="shared" si="85"/>
        <v>1425</v>
      </c>
      <c r="AO169" s="8">
        <v>-53742</v>
      </c>
      <c r="AP169" s="8">
        <f t="shared" si="86"/>
        <v>-2898</v>
      </c>
      <c r="AR169" s="8">
        <v>1267297</v>
      </c>
      <c r="AS169" s="8">
        <f t="shared" si="87"/>
        <v>-54085</v>
      </c>
      <c r="AT169" s="8">
        <v>153848</v>
      </c>
      <c r="AU169" s="8">
        <f t="shared" si="88"/>
        <v>-2805</v>
      </c>
      <c r="AV169" s="8">
        <v>118046</v>
      </c>
      <c r="AW169" s="8">
        <f t="shared" si="89"/>
        <v>12360</v>
      </c>
      <c r="AX169" s="8">
        <f t="shared" si="64"/>
        <v>35802</v>
      </c>
      <c r="AY169" s="8">
        <f t="shared" si="90"/>
        <v>-15165</v>
      </c>
      <c r="AZ169" s="8">
        <v>574798</v>
      </c>
      <c r="BA169" s="8">
        <f t="shared" si="91"/>
        <v>-11486</v>
      </c>
      <c r="BB169" s="8">
        <v>519509</v>
      </c>
      <c r="BC169" s="8">
        <f t="shared" si="92"/>
        <v>-26812</v>
      </c>
      <c r="BD169" s="8">
        <f t="shared" si="65"/>
        <v>55289</v>
      </c>
      <c r="BE169" s="8">
        <f t="shared" si="93"/>
        <v>15326</v>
      </c>
      <c r="BF169" s="8">
        <v>249746</v>
      </c>
      <c r="BG169" s="8">
        <f t="shared" si="94"/>
        <v>-6333</v>
      </c>
      <c r="BH169" s="8">
        <v>444038</v>
      </c>
      <c r="BI169" s="8">
        <f t="shared" si="95"/>
        <v>-18187</v>
      </c>
      <c r="BJ169" s="8">
        <f t="shared" si="66"/>
        <v>-194292</v>
      </c>
      <c r="BK169" s="8">
        <f t="shared" si="68"/>
        <v>11854</v>
      </c>
    </row>
    <row r="170" spans="1:63">
      <c r="A170" s="5">
        <v>40057</v>
      </c>
      <c r="B170" s="8">
        <v>269212</v>
      </c>
      <c r="C170" s="8">
        <f t="shared" si="69"/>
        <v>-5658</v>
      </c>
      <c r="D170" s="8">
        <v>23333</v>
      </c>
      <c r="E170" s="8">
        <f t="shared" si="70"/>
        <v>-5166</v>
      </c>
      <c r="F170" s="8">
        <v>33082</v>
      </c>
      <c r="G170" s="8">
        <f t="shared" si="71"/>
        <v>12344</v>
      </c>
      <c r="H170" s="8">
        <v>-9749</v>
      </c>
      <c r="I170" s="8">
        <f t="shared" si="72"/>
        <v>-17510</v>
      </c>
      <c r="J170" s="8">
        <v>137889</v>
      </c>
      <c r="K170" s="8">
        <f t="shared" si="73"/>
        <v>6324</v>
      </c>
      <c r="L170" s="8">
        <v>123540</v>
      </c>
      <c r="M170" s="8">
        <f t="shared" si="74"/>
        <v>-20670</v>
      </c>
      <c r="N170" s="8">
        <v>14349</v>
      </c>
      <c r="O170" s="8">
        <f t="shared" si="75"/>
        <v>26994</v>
      </c>
      <c r="P170" s="8">
        <v>77306</v>
      </c>
      <c r="Q170" s="8">
        <f t="shared" si="76"/>
        <v>7452</v>
      </c>
      <c r="R170" s="8">
        <v>115844</v>
      </c>
      <c r="S170" s="8">
        <f t="shared" si="77"/>
        <v>-20393</v>
      </c>
      <c r="T170" s="8">
        <v>-38538</v>
      </c>
      <c r="U170" s="8">
        <f t="shared" si="78"/>
        <v>27845</v>
      </c>
      <c r="W170" s="8">
        <v>178427</v>
      </c>
      <c r="X170" s="8">
        <f t="shared" si="79"/>
        <v>-4052</v>
      </c>
      <c r="Y170" s="8">
        <v>39885</v>
      </c>
      <c r="Z170" s="8">
        <f t="shared" si="80"/>
        <v>338</v>
      </c>
      <c r="AA170" s="8">
        <v>2386</v>
      </c>
      <c r="AB170" s="8">
        <f t="shared" si="67"/>
        <v>645</v>
      </c>
      <c r="AC170" s="8">
        <v>37499</v>
      </c>
      <c r="AD170" s="8">
        <f t="shared" si="67"/>
        <v>-307</v>
      </c>
      <c r="AE170" s="8">
        <v>71353</v>
      </c>
      <c r="AF170" s="8">
        <f t="shared" si="81"/>
        <v>929</v>
      </c>
      <c r="AG170" s="8">
        <v>118825</v>
      </c>
      <c r="AH170" s="8">
        <f t="shared" si="82"/>
        <v>-1760</v>
      </c>
      <c r="AI170" s="8">
        <v>-47472</v>
      </c>
      <c r="AJ170" s="8">
        <f t="shared" si="83"/>
        <v>2689</v>
      </c>
      <c r="AK170" s="8">
        <v>65407</v>
      </c>
      <c r="AL170" s="8">
        <f t="shared" si="84"/>
        <v>764</v>
      </c>
      <c r="AM170" s="8">
        <v>116501</v>
      </c>
      <c r="AN170" s="8">
        <f t="shared" si="85"/>
        <v>-1884</v>
      </c>
      <c r="AO170" s="8">
        <v>-51094</v>
      </c>
      <c r="AP170" s="8">
        <f t="shared" si="86"/>
        <v>2648</v>
      </c>
      <c r="AR170" s="8">
        <v>1262635</v>
      </c>
      <c r="AS170" s="8">
        <f t="shared" si="87"/>
        <v>-4662</v>
      </c>
      <c r="AT170" s="8">
        <v>151764</v>
      </c>
      <c r="AU170" s="8">
        <f t="shared" si="88"/>
        <v>-2084</v>
      </c>
      <c r="AV170" s="8">
        <v>126631</v>
      </c>
      <c r="AW170" s="8">
        <f t="shared" si="89"/>
        <v>8585</v>
      </c>
      <c r="AX170" s="8">
        <f t="shared" si="64"/>
        <v>25133</v>
      </c>
      <c r="AY170" s="8">
        <f t="shared" si="90"/>
        <v>-10669</v>
      </c>
      <c r="AZ170" s="8">
        <v>561329</v>
      </c>
      <c r="BA170" s="8">
        <f t="shared" si="91"/>
        <v>-13469</v>
      </c>
      <c r="BB170" s="8">
        <v>497727</v>
      </c>
      <c r="BC170" s="8">
        <f t="shared" si="92"/>
        <v>-21782</v>
      </c>
      <c r="BD170" s="8">
        <f t="shared" si="65"/>
        <v>63602</v>
      </c>
      <c r="BE170" s="8">
        <f t="shared" si="93"/>
        <v>8313</v>
      </c>
      <c r="BF170" s="8">
        <v>234144</v>
      </c>
      <c r="BG170" s="8">
        <f t="shared" si="94"/>
        <v>-15602</v>
      </c>
      <c r="BH170" s="8">
        <v>426360</v>
      </c>
      <c r="BI170" s="8">
        <f t="shared" si="95"/>
        <v>-17678</v>
      </c>
      <c r="BJ170" s="8">
        <f t="shared" si="66"/>
        <v>-192216</v>
      </c>
      <c r="BK170" s="8">
        <f t="shared" si="68"/>
        <v>2076</v>
      </c>
    </row>
    <row r="171" spans="1:63">
      <c r="A171" s="5">
        <v>40064</v>
      </c>
      <c r="B171" s="8">
        <v>259111</v>
      </c>
      <c r="C171" s="8">
        <f t="shared" si="69"/>
        <v>-10101</v>
      </c>
      <c r="D171" s="8">
        <v>22800</v>
      </c>
      <c r="E171" s="8">
        <f t="shared" si="70"/>
        <v>-533</v>
      </c>
      <c r="F171" s="8">
        <v>41618</v>
      </c>
      <c r="G171" s="8">
        <f t="shared" si="71"/>
        <v>8536</v>
      </c>
      <c r="H171" s="8">
        <v>-18818</v>
      </c>
      <c r="I171" s="8">
        <f t="shared" si="72"/>
        <v>-9069</v>
      </c>
      <c r="J171" s="8">
        <v>140096</v>
      </c>
      <c r="K171" s="8">
        <f t="shared" si="73"/>
        <v>2207</v>
      </c>
      <c r="L171" s="8">
        <v>118161</v>
      </c>
      <c r="M171" s="8">
        <f t="shared" si="74"/>
        <v>-5379</v>
      </c>
      <c r="N171" s="8">
        <v>21935</v>
      </c>
      <c r="O171" s="8">
        <f t="shared" si="75"/>
        <v>7586</v>
      </c>
      <c r="P171" s="8">
        <v>79308</v>
      </c>
      <c r="Q171" s="8">
        <f t="shared" si="76"/>
        <v>2002</v>
      </c>
      <c r="R171" s="8">
        <v>110457</v>
      </c>
      <c r="S171" s="8">
        <f t="shared" si="77"/>
        <v>-5387</v>
      </c>
      <c r="T171" s="8">
        <v>-31149</v>
      </c>
      <c r="U171" s="8">
        <f t="shared" si="78"/>
        <v>7389</v>
      </c>
      <c r="W171" s="8">
        <v>177601</v>
      </c>
      <c r="X171" s="8">
        <f t="shared" si="79"/>
        <v>-826</v>
      </c>
      <c r="Y171" s="8">
        <v>36370</v>
      </c>
      <c r="Z171" s="8">
        <f t="shared" si="80"/>
        <v>-3515</v>
      </c>
      <c r="AA171" s="8">
        <v>4317</v>
      </c>
      <c r="AB171" s="8">
        <f t="shared" si="67"/>
        <v>1931</v>
      </c>
      <c r="AC171" s="8">
        <v>32053</v>
      </c>
      <c r="AD171" s="8">
        <f t="shared" si="67"/>
        <v>-5446</v>
      </c>
      <c r="AE171" s="8">
        <v>76643</v>
      </c>
      <c r="AF171" s="8">
        <f t="shared" si="81"/>
        <v>5290</v>
      </c>
      <c r="AG171" s="8">
        <v>113383</v>
      </c>
      <c r="AH171" s="8">
        <f t="shared" si="82"/>
        <v>-5442</v>
      </c>
      <c r="AI171" s="8">
        <v>-36740</v>
      </c>
      <c r="AJ171" s="8">
        <f t="shared" si="83"/>
        <v>10732</v>
      </c>
      <c r="AK171" s="8">
        <v>70317</v>
      </c>
      <c r="AL171" s="8">
        <f t="shared" si="84"/>
        <v>4910</v>
      </c>
      <c r="AM171" s="8">
        <v>110664</v>
      </c>
      <c r="AN171" s="8">
        <f t="shared" si="85"/>
        <v>-5837</v>
      </c>
      <c r="AO171" s="8">
        <v>-40347</v>
      </c>
      <c r="AP171" s="8">
        <f t="shared" si="86"/>
        <v>10747</v>
      </c>
      <c r="AR171" s="8">
        <v>1272639</v>
      </c>
      <c r="AS171" s="8">
        <f t="shared" si="87"/>
        <v>10004</v>
      </c>
      <c r="AT171" s="8">
        <v>150852</v>
      </c>
      <c r="AU171" s="8">
        <f t="shared" si="88"/>
        <v>-912</v>
      </c>
      <c r="AV171" s="8">
        <v>133292</v>
      </c>
      <c r="AW171" s="8">
        <f t="shared" si="89"/>
        <v>6661</v>
      </c>
      <c r="AX171" s="8">
        <f t="shared" si="64"/>
        <v>17560</v>
      </c>
      <c r="AY171" s="8">
        <f t="shared" si="90"/>
        <v>-7573</v>
      </c>
      <c r="AZ171" s="8">
        <v>571863</v>
      </c>
      <c r="BA171" s="8">
        <f t="shared" si="91"/>
        <v>10534</v>
      </c>
      <c r="BB171" s="8">
        <v>491207</v>
      </c>
      <c r="BC171" s="8">
        <f t="shared" si="92"/>
        <v>-6520</v>
      </c>
      <c r="BD171" s="8">
        <f t="shared" si="65"/>
        <v>80656</v>
      </c>
      <c r="BE171" s="8">
        <f t="shared" si="93"/>
        <v>17054</v>
      </c>
      <c r="BF171" s="8">
        <v>247338</v>
      </c>
      <c r="BG171" s="8">
        <f t="shared" si="94"/>
        <v>13194</v>
      </c>
      <c r="BH171" s="8">
        <v>417599</v>
      </c>
      <c r="BI171" s="8">
        <f t="shared" si="95"/>
        <v>-8761</v>
      </c>
      <c r="BJ171" s="8">
        <f t="shared" si="66"/>
        <v>-170261</v>
      </c>
      <c r="BK171" s="8">
        <f t="shared" si="68"/>
        <v>21955</v>
      </c>
    </row>
    <row r="172" spans="1:63">
      <c r="A172" s="5">
        <v>40071</v>
      </c>
      <c r="B172" s="8">
        <v>263190</v>
      </c>
      <c r="C172" s="8">
        <f t="shared" si="69"/>
        <v>4079</v>
      </c>
      <c r="D172" s="8">
        <v>25742</v>
      </c>
      <c r="E172" s="8">
        <f t="shared" si="70"/>
        <v>2942</v>
      </c>
      <c r="F172" s="8">
        <v>43691</v>
      </c>
      <c r="G172" s="8">
        <f t="shared" si="71"/>
        <v>2073</v>
      </c>
      <c r="H172" s="8">
        <v>-17949</v>
      </c>
      <c r="I172" s="8">
        <f t="shared" si="72"/>
        <v>869</v>
      </c>
      <c r="J172" s="8">
        <v>141189</v>
      </c>
      <c r="K172" s="8">
        <f t="shared" si="73"/>
        <v>1093</v>
      </c>
      <c r="L172" s="8">
        <v>122119</v>
      </c>
      <c r="M172" s="8">
        <f t="shared" si="74"/>
        <v>3958</v>
      </c>
      <c r="N172" s="8">
        <v>19070</v>
      </c>
      <c r="O172" s="8">
        <f t="shared" si="75"/>
        <v>-2865</v>
      </c>
      <c r="P172" s="8">
        <v>82300</v>
      </c>
      <c r="Q172" s="8">
        <f t="shared" si="76"/>
        <v>2992</v>
      </c>
      <c r="R172" s="8">
        <v>113825</v>
      </c>
      <c r="S172" s="8">
        <f t="shared" si="77"/>
        <v>3368</v>
      </c>
      <c r="T172" s="8">
        <v>-31525</v>
      </c>
      <c r="U172" s="8">
        <f t="shared" si="78"/>
        <v>-376</v>
      </c>
      <c r="W172" s="8">
        <v>184224</v>
      </c>
      <c r="X172" s="8">
        <f t="shared" si="79"/>
        <v>6623</v>
      </c>
      <c r="Y172" s="8">
        <v>37919</v>
      </c>
      <c r="Z172" s="8">
        <f t="shared" si="80"/>
        <v>1549</v>
      </c>
      <c r="AA172" s="8">
        <v>2834</v>
      </c>
      <c r="AB172" s="8">
        <f t="shared" si="67"/>
        <v>-1483</v>
      </c>
      <c r="AC172" s="8">
        <v>35085</v>
      </c>
      <c r="AD172" s="8">
        <f t="shared" si="67"/>
        <v>3032</v>
      </c>
      <c r="AE172" s="8">
        <v>79465</v>
      </c>
      <c r="AF172" s="8">
        <f t="shared" si="81"/>
        <v>2822</v>
      </c>
      <c r="AG172" s="8">
        <v>121267</v>
      </c>
      <c r="AH172" s="8">
        <f t="shared" si="82"/>
        <v>7884</v>
      </c>
      <c r="AI172" s="8">
        <v>-41802</v>
      </c>
      <c r="AJ172" s="8">
        <f t="shared" si="83"/>
        <v>-5062</v>
      </c>
      <c r="AK172" s="8">
        <v>72045</v>
      </c>
      <c r="AL172" s="8">
        <f t="shared" si="84"/>
        <v>1728</v>
      </c>
      <c r="AM172" s="8">
        <v>117784</v>
      </c>
      <c r="AN172" s="8">
        <f t="shared" si="85"/>
        <v>7120</v>
      </c>
      <c r="AO172" s="8">
        <v>-45739</v>
      </c>
      <c r="AP172" s="8">
        <f t="shared" si="86"/>
        <v>-5392</v>
      </c>
      <c r="AR172" s="8">
        <v>1316649</v>
      </c>
      <c r="AS172" s="8">
        <f t="shared" si="87"/>
        <v>44010</v>
      </c>
      <c r="AT172" s="8">
        <v>176174</v>
      </c>
      <c r="AU172" s="8">
        <f t="shared" si="88"/>
        <v>25322</v>
      </c>
      <c r="AV172" s="8">
        <v>110719</v>
      </c>
      <c r="AW172" s="8">
        <f t="shared" si="89"/>
        <v>-22573</v>
      </c>
      <c r="AX172" s="8">
        <f t="shared" si="64"/>
        <v>65455</v>
      </c>
      <c r="AY172" s="8">
        <f t="shared" si="90"/>
        <v>47895</v>
      </c>
      <c r="AZ172" s="8">
        <v>570489</v>
      </c>
      <c r="BA172" s="8">
        <f t="shared" si="91"/>
        <v>-1374</v>
      </c>
      <c r="BB172" s="8">
        <v>526373</v>
      </c>
      <c r="BC172" s="8">
        <f t="shared" si="92"/>
        <v>35166</v>
      </c>
      <c r="BD172" s="8">
        <f t="shared" si="65"/>
        <v>44116</v>
      </c>
      <c r="BE172" s="8">
        <f t="shared" si="93"/>
        <v>-36540</v>
      </c>
      <c r="BF172" s="8">
        <v>241026</v>
      </c>
      <c r="BG172" s="8">
        <f t="shared" si="94"/>
        <v>-6312</v>
      </c>
      <c r="BH172" s="8">
        <v>452652</v>
      </c>
      <c r="BI172" s="8">
        <f t="shared" si="95"/>
        <v>35053</v>
      </c>
      <c r="BJ172" s="8">
        <f t="shared" si="66"/>
        <v>-211626</v>
      </c>
      <c r="BK172" s="8">
        <f t="shared" si="68"/>
        <v>-41365</v>
      </c>
    </row>
    <row r="173" spans="1:63">
      <c r="A173" s="5">
        <v>40078</v>
      </c>
      <c r="B173" s="8">
        <v>255076</v>
      </c>
      <c r="C173" s="8">
        <f t="shared" si="69"/>
        <v>-8114</v>
      </c>
      <c r="D173" s="8">
        <v>26161</v>
      </c>
      <c r="E173" s="8">
        <f t="shared" si="70"/>
        <v>419</v>
      </c>
      <c r="F173" s="8">
        <v>44364</v>
      </c>
      <c r="G173" s="8">
        <f t="shared" si="71"/>
        <v>673</v>
      </c>
      <c r="H173" s="8">
        <v>-18203</v>
      </c>
      <c r="I173" s="8">
        <f t="shared" si="72"/>
        <v>-254</v>
      </c>
      <c r="J173" s="8">
        <v>138345</v>
      </c>
      <c r="K173" s="8">
        <f t="shared" si="73"/>
        <v>-2844</v>
      </c>
      <c r="L173" s="8">
        <v>117893</v>
      </c>
      <c r="M173" s="8">
        <f t="shared" si="74"/>
        <v>-4226</v>
      </c>
      <c r="N173" s="8">
        <v>20452</v>
      </c>
      <c r="O173" s="8">
        <f t="shared" si="75"/>
        <v>1382</v>
      </c>
      <c r="P173" s="8">
        <v>78788</v>
      </c>
      <c r="Q173" s="8">
        <f t="shared" si="76"/>
        <v>-3512</v>
      </c>
      <c r="R173" s="8">
        <v>110355</v>
      </c>
      <c r="S173" s="8">
        <f t="shared" si="77"/>
        <v>-3470</v>
      </c>
      <c r="T173" s="8">
        <v>-31567</v>
      </c>
      <c r="U173" s="8">
        <f t="shared" si="78"/>
        <v>-42</v>
      </c>
      <c r="W173" s="8">
        <v>177893</v>
      </c>
      <c r="X173" s="8">
        <f t="shared" si="79"/>
        <v>-6331</v>
      </c>
      <c r="Y173" s="8">
        <v>34141</v>
      </c>
      <c r="Z173" s="8">
        <f t="shared" si="80"/>
        <v>-3778</v>
      </c>
      <c r="AA173" s="8">
        <v>4200</v>
      </c>
      <c r="AB173" s="8">
        <f t="shared" si="67"/>
        <v>1366</v>
      </c>
      <c r="AC173" s="8">
        <v>29941</v>
      </c>
      <c r="AD173" s="8">
        <f t="shared" si="67"/>
        <v>-5144</v>
      </c>
      <c r="AE173" s="8">
        <v>81352</v>
      </c>
      <c r="AF173" s="8">
        <f t="shared" si="81"/>
        <v>1887</v>
      </c>
      <c r="AG173" s="8">
        <v>113005</v>
      </c>
      <c r="AH173" s="8">
        <f t="shared" si="82"/>
        <v>-8262</v>
      </c>
      <c r="AI173" s="8">
        <v>-31653</v>
      </c>
      <c r="AJ173" s="8">
        <f t="shared" si="83"/>
        <v>10149</v>
      </c>
      <c r="AK173" s="8">
        <v>74488</v>
      </c>
      <c r="AL173" s="8">
        <f t="shared" si="84"/>
        <v>2443</v>
      </c>
      <c r="AM173" s="8">
        <v>108715</v>
      </c>
      <c r="AN173" s="8">
        <f t="shared" si="85"/>
        <v>-9069</v>
      </c>
      <c r="AO173" s="8">
        <v>-34227</v>
      </c>
      <c r="AP173" s="8">
        <f t="shared" si="86"/>
        <v>11512</v>
      </c>
      <c r="AR173" s="8">
        <v>1345219</v>
      </c>
      <c r="AS173" s="8">
        <f t="shared" si="87"/>
        <v>28570</v>
      </c>
      <c r="AT173" s="8">
        <v>180911</v>
      </c>
      <c r="AU173" s="8">
        <f t="shared" si="88"/>
        <v>4737</v>
      </c>
      <c r="AV173" s="8">
        <v>110766</v>
      </c>
      <c r="AW173" s="8">
        <f t="shared" si="89"/>
        <v>47</v>
      </c>
      <c r="AX173" s="8">
        <f t="shared" si="64"/>
        <v>70145</v>
      </c>
      <c r="AY173" s="8">
        <f t="shared" si="90"/>
        <v>4690</v>
      </c>
      <c r="AZ173" s="8">
        <v>585437</v>
      </c>
      <c r="BA173" s="8">
        <f t="shared" si="91"/>
        <v>14948</v>
      </c>
      <c r="BB173" s="8">
        <v>533348</v>
      </c>
      <c r="BC173" s="8">
        <f t="shared" si="92"/>
        <v>6975</v>
      </c>
      <c r="BD173" s="8">
        <f t="shared" si="65"/>
        <v>52089</v>
      </c>
      <c r="BE173" s="8">
        <f t="shared" si="93"/>
        <v>7973</v>
      </c>
      <c r="BF173" s="8">
        <v>249552</v>
      </c>
      <c r="BG173" s="8">
        <f t="shared" si="94"/>
        <v>8526</v>
      </c>
      <c r="BH173" s="8">
        <v>457078</v>
      </c>
      <c r="BI173" s="8">
        <f t="shared" si="95"/>
        <v>4426</v>
      </c>
      <c r="BJ173" s="8">
        <f t="shared" si="66"/>
        <v>-207526</v>
      </c>
      <c r="BK173" s="8">
        <f t="shared" si="68"/>
        <v>4100</v>
      </c>
    </row>
    <row r="174" spans="1:63">
      <c r="A174" s="5">
        <v>40085</v>
      </c>
      <c r="B174" s="8">
        <v>250762</v>
      </c>
      <c r="C174" s="8">
        <f t="shared" si="69"/>
        <v>-4314</v>
      </c>
      <c r="D174" s="8">
        <v>24472</v>
      </c>
      <c r="E174" s="8">
        <f t="shared" si="70"/>
        <v>-1689</v>
      </c>
      <c r="F174" s="8">
        <v>45770</v>
      </c>
      <c r="G174" s="8">
        <f t="shared" si="71"/>
        <v>1406</v>
      </c>
      <c r="H174" s="8">
        <v>-21298</v>
      </c>
      <c r="I174" s="8">
        <f t="shared" si="72"/>
        <v>-3095</v>
      </c>
      <c r="J174" s="8">
        <v>139187</v>
      </c>
      <c r="K174" s="8">
        <f t="shared" si="73"/>
        <v>842</v>
      </c>
      <c r="L174" s="8">
        <v>110293</v>
      </c>
      <c r="M174" s="8">
        <f t="shared" si="74"/>
        <v>-7600</v>
      </c>
      <c r="N174" s="8">
        <v>28894</v>
      </c>
      <c r="O174" s="8">
        <f t="shared" si="75"/>
        <v>8442</v>
      </c>
      <c r="P174" s="8">
        <v>80733</v>
      </c>
      <c r="Q174" s="8">
        <f t="shared" si="76"/>
        <v>1945</v>
      </c>
      <c r="R174" s="8">
        <v>103736</v>
      </c>
      <c r="S174" s="8">
        <f t="shared" si="77"/>
        <v>-6619</v>
      </c>
      <c r="T174" s="8">
        <v>-23003</v>
      </c>
      <c r="U174" s="8">
        <f t="shared" si="78"/>
        <v>8564</v>
      </c>
      <c r="W174" s="8">
        <v>170629</v>
      </c>
      <c r="X174" s="8">
        <f t="shared" si="79"/>
        <v>-7264</v>
      </c>
      <c r="Y174" s="8">
        <v>34394</v>
      </c>
      <c r="Z174" s="8">
        <f t="shared" si="80"/>
        <v>253</v>
      </c>
      <c r="AA174" s="8">
        <v>3227</v>
      </c>
      <c r="AB174" s="8">
        <f t="shared" si="67"/>
        <v>-973</v>
      </c>
      <c r="AC174" s="8">
        <v>31167</v>
      </c>
      <c r="AD174" s="8">
        <f t="shared" si="67"/>
        <v>1226</v>
      </c>
      <c r="AE174" s="8">
        <v>75324</v>
      </c>
      <c r="AF174" s="8">
        <f t="shared" si="81"/>
        <v>-6028</v>
      </c>
      <c r="AG174" s="8">
        <v>107029</v>
      </c>
      <c r="AH174" s="8">
        <f t="shared" si="82"/>
        <v>-5976</v>
      </c>
      <c r="AI174" s="8">
        <v>-31705</v>
      </c>
      <c r="AJ174" s="8">
        <f t="shared" si="83"/>
        <v>-52</v>
      </c>
      <c r="AK174" s="8">
        <v>68186</v>
      </c>
      <c r="AL174" s="8">
        <f t="shared" si="84"/>
        <v>-6302</v>
      </c>
      <c r="AM174" s="8">
        <v>102348</v>
      </c>
      <c r="AN174" s="8">
        <f t="shared" si="85"/>
        <v>-6367</v>
      </c>
      <c r="AO174" s="8">
        <v>-34162</v>
      </c>
      <c r="AP174" s="8">
        <f t="shared" si="86"/>
        <v>65</v>
      </c>
      <c r="AR174" s="8">
        <v>1313096</v>
      </c>
      <c r="AS174" s="8">
        <f t="shared" si="87"/>
        <v>-32123</v>
      </c>
      <c r="AT174" s="8">
        <v>178803</v>
      </c>
      <c r="AU174" s="8">
        <f t="shared" si="88"/>
        <v>-2108</v>
      </c>
      <c r="AV174" s="8">
        <v>85534</v>
      </c>
      <c r="AW174" s="8">
        <f t="shared" si="89"/>
        <v>-25232</v>
      </c>
      <c r="AX174" s="8">
        <f t="shared" si="64"/>
        <v>93269</v>
      </c>
      <c r="AY174" s="8">
        <f t="shared" si="90"/>
        <v>23124</v>
      </c>
      <c r="AZ174" s="8">
        <v>578353</v>
      </c>
      <c r="BA174" s="8">
        <f t="shared" si="91"/>
        <v>-7084</v>
      </c>
      <c r="BB174" s="8">
        <v>547763</v>
      </c>
      <c r="BC174" s="8">
        <f t="shared" si="92"/>
        <v>14415</v>
      </c>
      <c r="BD174" s="8">
        <f t="shared" si="65"/>
        <v>30590</v>
      </c>
      <c r="BE174" s="8">
        <f t="shared" si="93"/>
        <v>-21499</v>
      </c>
      <c r="BF174" s="8">
        <v>241422</v>
      </c>
      <c r="BG174" s="8">
        <f t="shared" si="94"/>
        <v>-8130</v>
      </c>
      <c r="BH174" s="8">
        <v>472441</v>
      </c>
      <c r="BI174" s="8">
        <f t="shared" si="95"/>
        <v>15363</v>
      </c>
      <c r="BJ174" s="8">
        <f t="shared" si="66"/>
        <v>-231019</v>
      </c>
      <c r="BK174" s="8">
        <f t="shared" si="68"/>
        <v>-23493</v>
      </c>
    </row>
    <row r="175" spans="1:63">
      <c r="A175" s="5">
        <v>40092</v>
      </c>
      <c r="B175" s="8">
        <v>243041</v>
      </c>
      <c r="C175" s="8">
        <f t="shared" si="69"/>
        <v>-7721</v>
      </c>
      <c r="D175" s="8">
        <v>26346</v>
      </c>
      <c r="E175" s="8">
        <f t="shared" si="70"/>
        <v>1874</v>
      </c>
      <c r="F175" s="8">
        <v>46092</v>
      </c>
      <c r="G175" s="8">
        <f t="shared" si="71"/>
        <v>322</v>
      </c>
      <c r="H175" s="8">
        <v>-19746</v>
      </c>
      <c r="I175" s="8">
        <f t="shared" si="72"/>
        <v>1552</v>
      </c>
      <c r="J175" s="8">
        <v>130543</v>
      </c>
      <c r="K175" s="8">
        <f t="shared" si="73"/>
        <v>-8644</v>
      </c>
      <c r="L175" s="8">
        <v>106953</v>
      </c>
      <c r="M175" s="8">
        <f t="shared" si="74"/>
        <v>-3340</v>
      </c>
      <c r="N175" s="8">
        <v>23590</v>
      </c>
      <c r="O175" s="8">
        <f t="shared" si="75"/>
        <v>-5304</v>
      </c>
      <c r="P175" s="8">
        <v>65832</v>
      </c>
      <c r="Q175" s="8">
        <f t="shared" si="76"/>
        <v>-14901</v>
      </c>
      <c r="R175" s="8">
        <v>100005</v>
      </c>
      <c r="S175" s="8">
        <f t="shared" si="77"/>
        <v>-3731</v>
      </c>
      <c r="T175" s="8">
        <v>-34173</v>
      </c>
      <c r="U175" s="8">
        <f t="shared" si="78"/>
        <v>-11170</v>
      </c>
      <c r="W175" s="8">
        <v>172182</v>
      </c>
      <c r="X175" s="8">
        <f t="shared" si="79"/>
        <v>1553</v>
      </c>
      <c r="Y175" s="8">
        <v>34668</v>
      </c>
      <c r="Z175" s="8">
        <f t="shared" si="80"/>
        <v>274</v>
      </c>
      <c r="AA175" s="8">
        <v>6577</v>
      </c>
      <c r="AB175" s="8">
        <f t="shared" si="67"/>
        <v>3350</v>
      </c>
      <c r="AC175" s="8">
        <v>28091</v>
      </c>
      <c r="AD175" s="8">
        <f t="shared" si="67"/>
        <v>-3076</v>
      </c>
      <c r="AE175" s="8">
        <v>76666</v>
      </c>
      <c r="AF175" s="8">
        <f t="shared" si="81"/>
        <v>1342</v>
      </c>
      <c r="AG175" s="8">
        <v>104783</v>
      </c>
      <c r="AH175" s="8">
        <f t="shared" si="82"/>
        <v>-2246</v>
      </c>
      <c r="AI175" s="8">
        <v>-28117</v>
      </c>
      <c r="AJ175" s="8">
        <f t="shared" si="83"/>
        <v>3588</v>
      </c>
      <c r="AK175" s="8">
        <v>69269</v>
      </c>
      <c r="AL175" s="8">
        <f t="shared" si="84"/>
        <v>1083</v>
      </c>
      <c r="AM175" s="8">
        <v>98960</v>
      </c>
      <c r="AN175" s="8">
        <f t="shared" si="85"/>
        <v>-3388</v>
      </c>
      <c r="AO175" s="8">
        <v>-29691</v>
      </c>
      <c r="AP175" s="8">
        <f t="shared" si="86"/>
        <v>4471</v>
      </c>
      <c r="AR175" s="8">
        <v>1377970</v>
      </c>
      <c r="AS175" s="8">
        <f t="shared" si="87"/>
        <v>64874</v>
      </c>
      <c r="AT175" s="8">
        <v>200184</v>
      </c>
      <c r="AU175" s="8">
        <f t="shared" si="88"/>
        <v>21381</v>
      </c>
      <c r="AV175" s="8">
        <v>68136</v>
      </c>
      <c r="AW175" s="8">
        <f t="shared" si="89"/>
        <v>-17398</v>
      </c>
      <c r="AX175" s="8">
        <f t="shared" si="64"/>
        <v>132048</v>
      </c>
      <c r="AY175" s="8">
        <f t="shared" si="90"/>
        <v>38779</v>
      </c>
      <c r="AZ175" s="8">
        <v>589463</v>
      </c>
      <c r="BA175" s="8">
        <f t="shared" si="91"/>
        <v>11110</v>
      </c>
      <c r="BB175" s="8">
        <v>588264</v>
      </c>
      <c r="BC175" s="8">
        <f t="shared" si="92"/>
        <v>40501</v>
      </c>
      <c r="BD175" s="8">
        <f t="shared" si="65"/>
        <v>1199</v>
      </c>
      <c r="BE175" s="8">
        <f t="shared" si="93"/>
        <v>-29391</v>
      </c>
      <c r="BF175" s="8">
        <v>243475</v>
      </c>
      <c r="BG175" s="8">
        <f t="shared" si="94"/>
        <v>2053</v>
      </c>
      <c r="BH175" s="8">
        <v>513079</v>
      </c>
      <c r="BI175" s="8">
        <f t="shared" si="95"/>
        <v>40638</v>
      </c>
      <c r="BJ175" s="8">
        <f t="shared" si="66"/>
        <v>-269604</v>
      </c>
      <c r="BK175" s="8">
        <f t="shared" si="68"/>
        <v>-38585</v>
      </c>
    </row>
    <row r="176" spans="1:63">
      <c r="A176" s="5">
        <v>40099</v>
      </c>
      <c r="B176" s="8">
        <v>272851</v>
      </c>
      <c r="C176" s="8">
        <f t="shared" si="69"/>
        <v>29810</v>
      </c>
      <c r="D176" s="8">
        <v>32038</v>
      </c>
      <c r="E176" s="8">
        <f t="shared" si="70"/>
        <v>5692</v>
      </c>
      <c r="F176" s="8">
        <v>37768</v>
      </c>
      <c r="G176" s="8">
        <f t="shared" si="71"/>
        <v>-8324</v>
      </c>
      <c r="H176" s="8">
        <v>-5730</v>
      </c>
      <c r="I176" s="8">
        <f t="shared" si="72"/>
        <v>14016</v>
      </c>
      <c r="J176" s="8">
        <v>125161</v>
      </c>
      <c r="K176" s="8">
        <f t="shared" si="73"/>
        <v>-5382</v>
      </c>
      <c r="L176" s="8">
        <v>125678</v>
      </c>
      <c r="M176" s="8">
        <f t="shared" si="74"/>
        <v>18725</v>
      </c>
      <c r="N176" s="8">
        <v>-517</v>
      </c>
      <c r="O176" s="8">
        <f t="shared" si="75"/>
        <v>-24107</v>
      </c>
      <c r="P176" s="8">
        <v>56599</v>
      </c>
      <c r="Q176" s="8">
        <f t="shared" si="76"/>
        <v>-9233</v>
      </c>
      <c r="R176" s="8">
        <v>118147</v>
      </c>
      <c r="S176" s="8">
        <f t="shared" si="77"/>
        <v>18142</v>
      </c>
      <c r="T176" s="8">
        <v>-61548</v>
      </c>
      <c r="U176" s="8">
        <f t="shared" si="78"/>
        <v>-27375</v>
      </c>
      <c r="W176" s="8">
        <v>173769</v>
      </c>
      <c r="X176" s="8">
        <f t="shared" si="79"/>
        <v>1587</v>
      </c>
      <c r="Y176" s="8">
        <v>42207</v>
      </c>
      <c r="Z176" s="8">
        <f t="shared" si="80"/>
        <v>7539</v>
      </c>
      <c r="AA176" s="8">
        <v>7781</v>
      </c>
      <c r="AB176" s="8">
        <f t="shared" si="67"/>
        <v>1204</v>
      </c>
      <c r="AC176" s="8">
        <v>34426</v>
      </c>
      <c r="AD176" s="8">
        <f t="shared" si="67"/>
        <v>6335</v>
      </c>
      <c r="AE176" s="8">
        <v>65620</v>
      </c>
      <c r="AF176" s="8">
        <f t="shared" si="81"/>
        <v>-11046</v>
      </c>
      <c r="AG176" s="8">
        <v>107601</v>
      </c>
      <c r="AH176" s="8">
        <f t="shared" si="82"/>
        <v>2818</v>
      </c>
      <c r="AI176" s="8">
        <v>-41981</v>
      </c>
      <c r="AJ176" s="8">
        <f t="shared" si="83"/>
        <v>-13864</v>
      </c>
      <c r="AK176" s="8">
        <v>58988</v>
      </c>
      <c r="AL176" s="8">
        <f t="shared" si="84"/>
        <v>-10281</v>
      </c>
      <c r="AM176" s="8">
        <v>102839</v>
      </c>
      <c r="AN176" s="8">
        <f t="shared" si="85"/>
        <v>3879</v>
      </c>
      <c r="AO176" s="8">
        <v>-43851</v>
      </c>
      <c r="AP176" s="8">
        <f t="shared" si="86"/>
        <v>-14160</v>
      </c>
      <c r="AR176" s="8">
        <v>1411074</v>
      </c>
      <c r="AS176" s="8">
        <f t="shared" si="87"/>
        <v>33104</v>
      </c>
      <c r="AT176" s="8">
        <v>210868</v>
      </c>
      <c r="AU176" s="8">
        <f t="shared" si="88"/>
        <v>10684</v>
      </c>
      <c r="AV176" s="8">
        <v>42571</v>
      </c>
      <c r="AW176" s="8">
        <f t="shared" si="89"/>
        <v>-25565</v>
      </c>
      <c r="AX176" s="8">
        <f t="shared" si="64"/>
        <v>168297</v>
      </c>
      <c r="AY176" s="8">
        <f t="shared" si="90"/>
        <v>36249</v>
      </c>
      <c r="AZ176" s="8">
        <v>588543</v>
      </c>
      <c r="BA176" s="8">
        <f t="shared" si="91"/>
        <v>-920</v>
      </c>
      <c r="BB176" s="8">
        <v>612166</v>
      </c>
      <c r="BC176" s="8">
        <f t="shared" si="92"/>
        <v>23902</v>
      </c>
      <c r="BD176" s="8">
        <f t="shared" si="65"/>
        <v>-23623</v>
      </c>
      <c r="BE176" s="8">
        <f t="shared" si="93"/>
        <v>-24822</v>
      </c>
      <c r="BF176" s="8">
        <v>243016</v>
      </c>
      <c r="BG176" s="8">
        <f t="shared" si="94"/>
        <v>-459</v>
      </c>
      <c r="BH176" s="8">
        <v>539951</v>
      </c>
      <c r="BI176" s="8">
        <f t="shared" si="95"/>
        <v>26872</v>
      </c>
      <c r="BJ176" s="8">
        <f t="shared" si="66"/>
        <v>-296935</v>
      </c>
      <c r="BK176" s="8">
        <f t="shared" si="68"/>
        <v>-27331</v>
      </c>
    </row>
    <row r="177" spans="1:63">
      <c r="A177" s="5">
        <v>40106</v>
      </c>
      <c r="B177" s="8">
        <v>283245</v>
      </c>
      <c r="C177" s="8">
        <f t="shared" si="69"/>
        <v>10394</v>
      </c>
      <c r="D177" s="8">
        <v>39669</v>
      </c>
      <c r="E177" s="8">
        <f t="shared" si="70"/>
        <v>7631</v>
      </c>
      <c r="F177" s="8">
        <v>26953</v>
      </c>
      <c r="G177" s="8">
        <f t="shared" si="71"/>
        <v>-10815</v>
      </c>
      <c r="H177" s="8">
        <v>12716</v>
      </c>
      <c r="I177" s="8">
        <f t="shared" si="72"/>
        <v>18446</v>
      </c>
      <c r="J177" s="8">
        <v>123494</v>
      </c>
      <c r="K177" s="8">
        <f t="shared" si="73"/>
        <v>-1667</v>
      </c>
      <c r="L177" s="8">
        <v>141478</v>
      </c>
      <c r="M177" s="8">
        <f t="shared" si="74"/>
        <v>15800</v>
      </c>
      <c r="N177" s="8">
        <v>-17984</v>
      </c>
      <c r="O177" s="8">
        <f t="shared" si="75"/>
        <v>-17467</v>
      </c>
      <c r="P177" s="8">
        <v>51969</v>
      </c>
      <c r="Q177" s="8">
        <f t="shared" si="76"/>
        <v>-4630</v>
      </c>
      <c r="R177" s="8">
        <v>130072</v>
      </c>
      <c r="S177" s="8">
        <f t="shared" si="77"/>
        <v>11925</v>
      </c>
      <c r="T177" s="8">
        <v>-78103</v>
      </c>
      <c r="U177" s="8">
        <f t="shared" si="78"/>
        <v>-16555</v>
      </c>
      <c r="W177" s="8">
        <v>171954</v>
      </c>
      <c r="X177" s="8">
        <f t="shared" si="79"/>
        <v>-1815</v>
      </c>
      <c r="Y177" s="8">
        <v>40722</v>
      </c>
      <c r="Z177" s="8">
        <f t="shared" si="80"/>
        <v>-1485</v>
      </c>
      <c r="AA177" s="8">
        <v>7752</v>
      </c>
      <c r="AB177" s="8">
        <f t="shared" si="67"/>
        <v>-29</v>
      </c>
      <c r="AC177" s="8">
        <v>32970</v>
      </c>
      <c r="AD177" s="8">
        <f t="shared" si="67"/>
        <v>-1456</v>
      </c>
      <c r="AE177" s="8">
        <v>61539</v>
      </c>
      <c r="AF177" s="8">
        <f t="shared" si="81"/>
        <v>-4081</v>
      </c>
      <c r="AG177" s="8">
        <v>104257</v>
      </c>
      <c r="AH177" s="8">
        <f t="shared" si="82"/>
        <v>-3344</v>
      </c>
      <c r="AI177" s="8">
        <v>-42718</v>
      </c>
      <c r="AJ177" s="8">
        <f t="shared" si="83"/>
        <v>-737</v>
      </c>
      <c r="AK177" s="8">
        <v>55115</v>
      </c>
      <c r="AL177" s="8">
        <f t="shared" si="84"/>
        <v>-3873</v>
      </c>
      <c r="AM177" s="8">
        <v>100597</v>
      </c>
      <c r="AN177" s="8">
        <f t="shared" si="85"/>
        <v>-2242</v>
      </c>
      <c r="AO177" s="8">
        <v>-45482</v>
      </c>
      <c r="AP177" s="8">
        <f t="shared" si="86"/>
        <v>-1631</v>
      </c>
      <c r="AR177" s="8">
        <v>1448787</v>
      </c>
      <c r="AS177" s="8">
        <f t="shared" si="87"/>
        <v>37713</v>
      </c>
      <c r="AT177" s="8">
        <v>218845</v>
      </c>
      <c r="AU177" s="8">
        <f t="shared" si="88"/>
        <v>7977</v>
      </c>
      <c r="AV177" s="8">
        <v>29787</v>
      </c>
      <c r="AW177" s="8">
        <f t="shared" si="89"/>
        <v>-12784</v>
      </c>
      <c r="AX177" s="8">
        <f t="shared" si="64"/>
        <v>189058</v>
      </c>
      <c r="AY177" s="8">
        <f t="shared" si="90"/>
        <v>20761</v>
      </c>
      <c r="AZ177" s="8">
        <v>596647</v>
      </c>
      <c r="BA177" s="8">
        <f t="shared" si="91"/>
        <v>8104</v>
      </c>
      <c r="BB177" s="8">
        <v>629962</v>
      </c>
      <c r="BC177" s="8">
        <f t="shared" si="92"/>
        <v>17796</v>
      </c>
      <c r="BD177" s="8">
        <f t="shared" si="65"/>
        <v>-33315</v>
      </c>
      <c r="BE177" s="8">
        <f t="shared" si="93"/>
        <v>-9692</v>
      </c>
      <c r="BF177" s="8">
        <v>244248</v>
      </c>
      <c r="BG177" s="8">
        <f t="shared" si="94"/>
        <v>1232</v>
      </c>
      <c r="BH177" s="8">
        <v>557231</v>
      </c>
      <c r="BI177" s="8">
        <f t="shared" si="95"/>
        <v>17280</v>
      </c>
      <c r="BJ177" s="8">
        <f t="shared" si="66"/>
        <v>-312983</v>
      </c>
      <c r="BK177" s="8">
        <f t="shared" si="68"/>
        <v>-16048</v>
      </c>
    </row>
    <row r="178" spans="1:63">
      <c r="A178" s="5">
        <v>40113</v>
      </c>
      <c r="B178" s="8">
        <v>289078</v>
      </c>
      <c r="C178" s="8">
        <f t="shared" si="69"/>
        <v>5833</v>
      </c>
      <c r="D178" s="8">
        <v>46725</v>
      </c>
      <c r="E178" s="8">
        <f t="shared" si="70"/>
        <v>7056</v>
      </c>
      <c r="F178" s="8">
        <v>18846</v>
      </c>
      <c r="G178" s="8">
        <f t="shared" si="71"/>
        <v>-8107</v>
      </c>
      <c r="H178" s="8">
        <v>27879</v>
      </c>
      <c r="I178" s="8">
        <f t="shared" si="72"/>
        <v>15163</v>
      </c>
      <c r="J178" s="8">
        <v>121646</v>
      </c>
      <c r="K178" s="8">
        <f t="shared" si="73"/>
        <v>-1848</v>
      </c>
      <c r="L178" s="8">
        <v>153522</v>
      </c>
      <c r="M178" s="8">
        <f t="shared" si="74"/>
        <v>12044</v>
      </c>
      <c r="N178" s="8">
        <v>-31876</v>
      </c>
      <c r="O178" s="8">
        <f t="shared" si="75"/>
        <v>-13892</v>
      </c>
      <c r="P178" s="8">
        <v>51762</v>
      </c>
      <c r="Q178" s="8">
        <f t="shared" si="76"/>
        <v>-207</v>
      </c>
      <c r="R178" s="8">
        <v>140761</v>
      </c>
      <c r="S178" s="8">
        <f t="shared" si="77"/>
        <v>10689</v>
      </c>
      <c r="T178" s="8">
        <v>-88999</v>
      </c>
      <c r="U178" s="8">
        <f t="shared" si="78"/>
        <v>-10896</v>
      </c>
      <c r="W178" s="8">
        <v>171630</v>
      </c>
      <c r="X178" s="8">
        <f t="shared" si="79"/>
        <v>-324</v>
      </c>
      <c r="Y178" s="8">
        <v>37329</v>
      </c>
      <c r="Z178" s="8">
        <f t="shared" si="80"/>
        <v>-3393</v>
      </c>
      <c r="AA178" s="8">
        <v>8973</v>
      </c>
      <c r="AB178" s="8">
        <f t="shared" si="67"/>
        <v>1221</v>
      </c>
      <c r="AC178" s="8">
        <v>28356</v>
      </c>
      <c r="AD178" s="8">
        <f t="shared" si="67"/>
        <v>-4614</v>
      </c>
      <c r="AE178" s="8">
        <v>64680</v>
      </c>
      <c r="AF178" s="8">
        <f t="shared" si="81"/>
        <v>3141</v>
      </c>
      <c r="AG178" s="8">
        <v>101112</v>
      </c>
      <c r="AH178" s="8">
        <f t="shared" si="82"/>
        <v>-3145</v>
      </c>
      <c r="AI178" s="8">
        <v>-36432</v>
      </c>
      <c r="AJ178" s="8">
        <f t="shared" si="83"/>
        <v>6286</v>
      </c>
      <c r="AK178" s="8">
        <v>58219</v>
      </c>
      <c r="AL178" s="8">
        <f t="shared" si="84"/>
        <v>3104</v>
      </c>
      <c r="AM178" s="8">
        <v>97888</v>
      </c>
      <c r="AN178" s="8">
        <f t="shared" si="85"/>
        <v>-2709</v>
      </c>
      <c r="AO178" s="8">
        <v>-39669</v>
      </c>
      <c r="AP178" s="8">
        <f t="shared" si="86"/>
        <v>5813</v>
      </c>
      <c r="AR178" s="8">
        <v>1435654</v>
      </c>
      <c r="AS178" s="8">
        <f t="shared" si="87"/>
        <v>-13133</v>
      </c>
      <c r="AT178" s="8">
        <v>206991</v>
      </c>
      <c r="AU178" s="8">
        <f t="shared" si="88"/>
        <v>-11854</v>
      </c>
      <c r="AV178" s="8">
        <v>26215</v>
      </c>
      <c r="AW178" s="8">
        <f t="shared" si="89"/>
        <v>-3572</v>
      </c>
      <c r="AX178" s="8">
        <f t="shared" si="64"/>
        <v>180776</v>
      </c>
      <c r="AY178" s="8">
        <f t="shared" si="90"/>
        <v>-8282</v>
      </c>
      <c r="AZ178" s="8">
        <v>611651</v>
      </c>
      <c r="BA178" s="8">
        <f t="shared" si="91"/>
        <v>15004</v>
      </c>
      <c r="BB178" s="8">
        <v>643275</v>
      </c>
      <c r="BC178" s="8">
        <f t="shared" si="92"/>
        <v>13313</v>
      </c>
      <c r="BD178" s="8">
        <f t="shared" si="65"/>
        <v>-31624</v>
      </c>
      <c r="BE178" s="8">
        <f t="shared" si="93"/>
        <v>1691</v>
      </c>
      <c r="BF178" s="8">
        <v>253584</v>
      </c>
      <c r="BG178" s="8">
        <f t="shared" si="94"/>
        <v>9336</v>
      </c>
      <c r="BH178" s="8">
        <v>569801</v>
      </c>
      <c r="BI178" s="8">
        <f t="shared" si="95"/>
        <v>12570</v>
      </c>
      <c r="BJ178" s="8">
        <f t="shared" si="66"/>
        <v>-316217</v>
      </c>
      <c r="BK178" s="8">
        <f t="shared" si="68"/>
        <v>-3234</v>
      </c>
    </row>
    <row r="179" spans="1:63">
      <c r="A179" s="5">
        <v>40120</v>
      </c>
      <c r="B179" s="8">
        <v>282918</v>
      </c>
      <c r="C179" s="8">
        <f t="shared" si="69"/>
        <v>-6160</v>
      </c>
      <c r="D179" s="8">
        <v>38368</v>
      </c>
      <c r="E179" s="8">
        <f t="shared" si="70"/>
        <v>-8357</v>
      </c>
      <c r="F179" s="8">
        <v>17948</v>
      </c>
      <c r="G179" s="8">
        <f t="shared" si="71"/>
        <v>-898</v>
      </c>
      <c r="H179" s="8">
        <v>20420</v>
      </c>
      <c r="I179" s="8">
        <f t="shared" si="72"/>
        <v>-7459</v>
      </c>
      <c r="J179" s="8">
        <v>124547</v>
      </c>
      <c r="K179" s="8">
        <f t="shared" si="73"/>
        <v>2901</v>
      </c>
      <c r="L179" s="8">
        <v>150343</v>
      </c>
      <c r="M179" s="8">
        <f t="shared" si="74"/>
        <v>-3179</v>
      </c>
      <c r="N179" s="8">
        <v>-25796</v>
      </c>
      <c r="O179" s="8">
        <f t="shared" si="75"/>
        <v>6080</v>
      </c>
      <c r="P179" s="8">
        <v>52895</v>
      </c>
      <c r="Q179" s="8">
        <f t="shared" si="76"/>
        <v>1133</v>
      </c>
      <c r="R179" s="8">
        <v>135693</v>
      </c>
      <c r="S179" s="8">
        <f t="shared" si="77"/>
        <v>-5068</v>
      </c>
      <c r="T179" s="8">
        <v>-82798</v>
      </c>
      <c r="U179" s="8">
        <f t="shared" si="78"/>
        <v>6201</v>
      </c>
      <c r="W179" s="8">
        <v>178582</v>
      </c>
      <c r="X179" s="8">
        <f t="shared" si="79"/>
        <v>6952</v>
      </c>
      <c r="Y179" s="8">
        <v>40313</v>
      </c>
      <c r="Z179" s="8">
        <f t="shared" si="80"/>
        <v>2984</v>
      </c>
      <c r="AA179" s="8">
        <v>3097</v>
      </c>
      <c r="AB179" s="8">
        <f t="shared" si="67"/>
        <v>-5876</v>
      </c>
      <c r="AC179" s="8">
        <v>37216</v>
      </c>
      <c r="AD179" s="8">
        <f t="shared" si="67"/>
        <v>8860</v>
      </c>
      <c r="AE179" s="8">
        <v>65581</v>
      </c>
      <c r="AF179" s="8">
        <f t="shared" si="81"/>
        <v>901</v>
      </c>
      <c r="AG179" s="8">
        <v>113998</v>
      </c>
      <c r="AH179" s="8">
        <f t="shared" si="82"/>
        <v>12886</v>
      </c>
      <c r="AI179" s="8">
        <v>-48417</v>
      </c>
      <c r="AJ179" s="8">
        <f t="shared" si="83"/>
        <v>-11985</v>
      </c>
      <c r="AK179" s="8">
        <v>58539</v>
      </c>
      <c r="AL179" s="8">
        <f t="shared" si="84"/>
        <v>320</v>
      </c>
      <c r="AM179" s="8">
        <v>109764</v>
      </c>
      <c r="AN179" s="8">
        <f t="shared" si="85"/>
        <v>11876</v>
      </c>
      <c r="AO179" s="8">
        <v>-51225</v>
      </c>
      <c r="AP179" s="8">
        <f t="shared" si="86"/>
        <v>-11556</v>
      </c>
      <c r="AR179" s="8">
        <v>1422687</v>
      </c>
      <c r="AS179" s="8">
        <f t="shared" si="87"/>
        <v>-12967</v>
      </c>
      <c r="AT179" s="8">
        <v>214694</v>
      </c>
      <c r="AU179" s="8">
        <f t="shared" si="88"/>
        <v>7703</v>
      </c>
      <c r="AV179" s="8">
        <v>18764</v>
      </c>
      <c r="AW179" s="8">
        <f t="shared" si="89"/>
        <v>-7451</v>
      </c>
      <c r="AX179" s="8">
        <f t="shared" si="64"/>
        <v>195930</v>
      </c>
      <c r="AY179" s="8">
        <f t="shared" si="90"/>
        <v>15154</v>
      </c>
      <c r="AZ179" s="8">
        <v>620190</v>
      </c>
      <c r="BA179" s="8">
        <f t="shared" si="91"/>
        <v>8539</v>
      </c>
      <c r="BB179" s="8">
        <v>655333</v>
      </c>
      <c r="BC179" s="8">
        <f t="shared" si="92"/>
        <v>12058</v>
      </c>
      <c r="BD179" s="8">
        <f t="shared" si="65"/>
        <v>-35143</v>
      </c>
      <c r="BE179" s="8">
        <f t="shared" si="93"/>
        <v>-3519</v>
      </c>
      <c r="BF179" s="8">
        <v>254634</v>
      </c>
      <c r="BG179" s="8">
        <f t="shared" si="94"/>
        <v>1050</v>
      </c>
      <c r="BH179" s="8">
        <v>579471</v>
      </c>
      <c r="BI179" s="8">
        <f t="shared" si="95"/>
        <v>9670</v>
      </c>
      <c r="BJ179" s="8">
        <f t="shared" si="66"/>
        <v>-324837</v>
      </c>
      <c r="BK179" s="8">
        <f t="shared" si="68"/>
        <v>-8620</v>
      </c>
    </row>
    <row r="180" spans="1:63">
      <c r="A180" s="5">
        <v>40127</v>
      </c>
      <c r="B180" s="8">
        <v>286457</v>
      </c>
      <c r="C180" s="8">
        <f t="shared" si="69"/>
        <v>3539</v>
      </c>
      <c r="D180" s="8">
        <v>35779</v>
      </c>
      <c r="E180" s="8">
        <f t="shared" si="70"/>
        <v>-2589</v>
      </c>
      <c r="F180" s="8">
        <v>15419</v>
      </c>
      <c r="G180" s="8">
        <f t="shared" si="71"/>
        <v>-2529</v>
      </c>
      <c r="H180" s="8">
        <v>20360</v>
      </c>
      <c r="I180" s="8">
        <f t="shared" si="72"/>
        <v>-60</v>
      </c>
      <c r="J180" s="8">
        <v>124807</v>
      </c>
      <c r="K180" s="8">
        <f t="shared" si="73"/>
        <v>260</v>
      </c>
      <c r="L180" s="8">
        <v>150293</v>
      </c>
      <c r="M180" s="8">
        <f t="shared" si="74"/>
        <v>-50</v>
      </c>
      <c r="N180" s="8">
        <v>-25486</v>
      </c>
      <c r="O180" s="8">
        <f t="shared" si="75"/>
        <v>310</v>
      </c>
      <c r="P180" s="8">
        <v>54061</v>
      </c>
      <c r="Q180" s="8">
        <f t="shared" si="76"/>
        <v>1166</v>
      </c>
      <c r="R180" s="8">
        <v>136453</v>
      </c>
      <c r="S180" s="8">
        <f t="shared" si="77"/>
        <v>760</v>
      </c>
      <c r="T180" s="8">
        <v>-82392</v>
      </c>
      <c r="U180" s="8">
        <f t="shared" si="78"/>
        <v>406</v>
      </c>
      <c r="W180" s="8">
        <v>177437</v>
      </c>
      <c r="X180" s="8">
        <f t="shared" si="79"/>
        <v>-1145</v>
      </c>
      <c r="Y180" s="8">
        <v>37884</v>
      </c>
      <c r="Z180" s="8">
        <f t="shared" si="80"/>
        <v>-2429</v>
      </c>
      <c r="AA180" s="8">
        <v>5971</v>
      </c>
      <c r="AB180" s="8">
        <f t="shared" si="67"/>
        <v>2874</v>
      </c>
      <c r="AC180" s="8">
        <v>31913</v>
      </c>
      <c r="AD180" s="8">
        <f t="shared" si="67"/>
        <v>-5303</v>
      </c>
      <c r="AE180" s="8">
        <v>68893</v>
      </c>
      <c r="AF180" s="8">
        <f t="shared" si="81"/>
        <v>3312</v>
      </c>
      <c r="AG180" s="8">
        <v>109171</v>
      </c>
      <c r="AH180" s="8">
        <f t="shared" si="82"/>
        <v>-4827</v>
      </c>
      <c r="AI180" s="8">
        <v>-40278</v>
      </c>
      <c r="AJ180" s="8">
        <f t="shared" si="83"/>
        <v>8139</v>
      </c>
      <c r="AK180" s="8">
        <v>62308</v>
      </c>
      <c r="AL180" s="8">
        <f t="shared" si="84"/>
        <v>3769</v>
      </c>
      <c r="AM180" s="8">
        <v>105784</v>
      </c>
      <c r="AN180" s="8">
        <f t="shared" si="85"/>
        <v>-3980</v>
      </c>
      <c r="AO180" s="8">
        <v>-43476</v>
      </c>
      <c r="AP180" s="8">
        <f t="shared" si="86"/>
        <v>7749</v>
      </c>
      <c r="AR180" s="8">
        <v>1473215</v>
      </c>
      <c r="AS180" s="8">
        <f t="shared" si="87"/>
        <v>50528</v>
      </c>
      <c r="AT180" s="8">
        <v>203831</v>
      </c>
      <c r="AU180" s="8">
        <f t="shared" si="88"/>
        <v>-10863</v>
      </c>
      <c r="AV180" s="8">
        <v>17227</v>
      </c>
      <c r="AW180" s="8">
        <f t="shared" si="89"/>
        <v>-1537</v>
      </c>
      <c r="AX180" s="8">
        <f t="shared" si="64"/>
        <v>186604</v>
      </c>
      <c r="AY180" s="8">
        <f t="shared" si="90"/>
        <v>-9326</v>
      </c>
      <c r="AZ180" s="8">
        <v>630973</v>
      </c>
      <c r="BA180" s="8">
        <f t="shared" si="91"/>
        <v>10783</v>
      </c>
      <c r="BB180" s="8">
        <v>661182</v>
      </c>
      <c r="BC180" s="8">
        <f t="shared" si="92"/>
        <v>5849</v>
      </c>
      <c r="BD180" s="8">
        <f t="shared" si="65"/>
        <v>-30209</v>
      </c>
      <c r="BE180" s="8">
        <f t="shared" si="93"/>
        <v>4934</v>
      </c>
      <c r="BF180" s="8">
        <v>256234</v>
      </c>
      <c r="BG180" s="8">
        <f t="shared" si="94"/>
        <v>1600</v>
      </c>
      <c r="BH180" s="8">
        <v>585429</v>
      </c>
      <c r="BI180" s="8">
        <f t="shared" si="95"/>
        <v>5958</v>
      </c>
      <c r="BJ180" s="8">
        <f t="shared" si="66"/>
        <v>-329195</v>
      </c>
      <c r="BK180" s="8">
        <f t="shared" si="68"/>
        <v>-4358</v>
      </c>
    </row>
    <row r="181" spans="1:63">
      <c r="A181" s="5">
        <v>40134</v>
      </c>
      <c r="B181" s="8">
        <v>312964</v>
      </c>
      <c r="C181" s="8">
        <f t="shared" si="69"/>
        <v>26507</v>
      </c>
      <c r="D181" s="8">
        <v>50127</v>
      </c>
      <c r="E181" s="8">
        <f t="shared" si="70"/>
        <v>14348</v>
      </c>
      <c r="F181" s="8">
        <v>9725</v>
      </c>
      <c r="G181" s="8">
        <f t="shared" si="71"/>
        <v>-5694</v>
      </c>
      <c r="H181" s="8">
        <v>40402</v>
      </c>
      <c r="I181" s="8">
        <f t="shared" si="72"/>
        <v>20042</v>
      </c>
      <c r="J181" s="8">
        <v>128779</v>
      </c>
      <c r="K181" s="8">
        <f t="shared" si="73"/>
        <v>3972</v>
      </c>
      <c r="L181" s="8">
        <v>178786</v>
      </c>
      <c r="M181" s="8">
        <f t="shared" si="74"/>
        <v>28493</v>
      </c>
      <c r="N181" s="8">
        <v>-50007</v>
      </c>
      <c r="O181" s="8">
        <f t="shared" si="75"/>
        <v>-24521</v>
      </c>
      <c r="P181" s="8">
        <v>54571</v>
      </c>
      <c r="Q181" s="8">
        <f t="shared" si="76"/>
        <v>510</v>
      </c>
      <c r="R181" s="8">
        <v>163604</v>
      </c>
      <c r="S181" s="8">
        <f t="shared" si="77"/>
        <v>27151</v>
      </c>
      <c r="T181" s="8">
        <v>-109033</v>
      </c>
      <c r="U181" s="8">
        <f t="shared" si="78"/>
        <v>-26641</v>
      </c>
      <c r="W181" s="8">
        <v>187729</v>
      </c>
      <c r="X181" s="8">
        <f t="shared" si="79"/>
        <v>10292</v>
      </c>
      <c r="Y181" s="8">
        <v>41197</v>
      </c>
      <c r="Z181" s="8">
        <f t="shared" si="80"/>
        <v>3313</v>
      </c>
      <c r="AA181" s="8">
        <v>7475</v>
      </c>
      <c r="AB181" s="8">
        <f t="shared" si="67"/>
        <v>1504</v>
      </c>
      <c r="AC181" s="8">
        <v>33722</v>
      </c>
      <c r="AD181" s="8">
        <f t="shared" si="67"/>
        <v>1809</v>
      </c>
      <c r="AE181" s="8">
        <v>73273</v>
      </c>
      <c r="AF181" s="8">
        <f t="shared" si="81"/>
        <v>4380</v>
      </c>
      <c r="AG181" s="8">
        <v>118362</v>
      </c>
      <c r="AH181" s="8">
        <f t="shared" si="82"/>
        <v>9191</v>
      </c>
      <c r="AI181" s="8">
        <v>-45089</v>
      </c>
      <c r="AJ181" s="8">
        <f t="shared" si="83"/>
        <v>-4811</v>
      </c>
      <c r="AK181" s="8">
        <v>65380</v>
      </c>
      <c r="AL181" s="8">
        <f t="shared" si="84"/>
        <v>3072</v>
      </c>
      <c r="AM181" s="8">
        <v>114864</v>
      </c>
      <c r="AN181" s="8">
        <f t="shared" si="85"/>
        <v>9080</v>
      </c>
      <c r="AO181" s="8">
        <v>-49484</v>
      </c>
      <c r="AP181" s="8">
        <f t="shared" si="86"/>
        <v>-6008</v>
      </c>
      <c r="AR181" s="8">
        <v>1502122</v>
      </c>
      <c r="AS181" s="8">
        <f t="shared" si="87"/>
        <v>28907</v>
      </c>
      <c r="AT181" s="8">
        <v>221438</v>
      </c>
      <c r="AU181" s="8">
        <f t="shared" si="88"/>
        <v>17607</v>
      </c>
      <c r="AV181" s="8">
        <v>17642</v>
      </c>
      <c r="AW181" s="8">
        <f t="shared" si="89"/>
        <v>415</v>
      </c>
      <c r="AX181" s="8">
        <f t="shared" si="64"/>
        <v>203796</v>
      </c>
      <c r="AY181" s="8">
        <f t="shared" si="90"/>
        <v>17192</v>
      </c>
      <c r="AZ181" s="8">
        <v>642433</v>
      </c>
      <c r="BA181" s="8">
        <f t="shared" si="91"/>
        <v>11460</v>
      </c>
      <c r="BB181" s="8">
        <v>691261</v>
      </c>
      <c r="BC181" s="8">
        <f t="shared" si="92"/>
        <v>30079</v>
      </c>
      <c r="BD181" s="8">
        <f t="shared" si="65"/>
        <v>-48828</v>
      </c>
      <c r="BE181" s="8">
        <f t="shared" si="93"/>
        <v>-18619</v>
      </c>
      <c r="BF181" s="8">
        <v>252226</v>
      </c>
      <c r="BG181" s="8">
        <f t="shared" si="94"/>
        <v>-4008</v>
      </c>
      <c r="BH181" s="8">
        <v>619788</v>
      </c>
      <c r="BI181" s="8">
        <f t="shared" si="95"/>
        <v>34359</v>
      </c>
      <c r="BJ181" s="8">
        <f t="shared" si="66"/>
        <v>-367562</v>
      </c>
      <c r="BK181" s="8">
        <f t="shared" si="68"/>
        <v>-38367</v>
      </c>
    </row>
    <row r="182" spans="1:63">
      <c r="A182" s="5">
        <v>40141</v>
      </c>
      <c r="B182" s="8">
        <v>287202</v>
      </c>
      <c r="C182" s="8">
        <f t="shared" si="69"/>
        <v>-25762</v>
      </c>
      <c r="D182" s="8">
        <v>58694</v>
      </c>
      <c r="E182" s="8">
        <f t="shared" si="70"/>
        <v>8567</v>
      </c>
      <c r="F182" s="8">
        <v>5633</v>
      </c>
      <c r="G182" s="8">
        <f t="shared" si="71"/>
        <v>-4092</v>
      </c>
      <c r="H182" s="8">
        <v>53061</v>
      </c>
      <c r="I182" s="8">
        <f t="shared" si="72"/>
        <v>12659</v>
      </c>
      <c r="J182" s="8">
        <v>117178</v>
      </c>
      <c r="K182" s="8">
        <f t="shared" si="73"/>
        <v>-11601</v>
      </c>
      <c r="L182" s="8">
        <v>171185</v>
      </c>
      <c r="M182" s="8">
        <f t="shared" si="74"/>
        <v>-7601</v>
      </c>
      <c r="N182" s="8">
        <v>-54007</v>
      </c>
      <c r="O182" s="8">
        <f t="shared" si="75"/>
        <v>-4000</v>
      </c>
      <c r="P182" s="8">
        <v>43055</v>
      </c>
      <c r="Q182" s="8">
        <f t="shared" si="76"/>
        <v>-11516</v>
      </c>
      <c r="R182" s="8">
        <v>152714</v>
      </c>
      <c r="S182" s="8">
        <f t="shared" si="77"/>
        <v>-10890</v>
      </c>
      <c r="T182" s="8">
        <v>-109659</v>
      </c>
      <c r="U182" s="8">
        <f t="shared" si="78"/>
        <v>-626</v>
      </c>
      <c r="W182" s="8">
        <v>186533</v>
      </c>
      <c r="X182" s="8">
        <f t="shared" si="79"/>
        <v>-1196</v>
      </c>
      <c r="Y182" s="8">
        <v>49046</v>
      </c>
      <c r="Z182" s="8">
        <f t="shared" si="80"/>
        <v>7849</v>
      </c>
      <c r="AA182" s="8">
        <v>6201</v>
      </c>
      <c r="AB182" s="8">
        <f t="shared" si="67"/>
        <v>-1274</v>
      </c>
      <c r="AC182" s="8">
        <v>42845</v>
      </c>
      <c r="AD182" s="8">
        <f t="shared" si="67"/>
        <v>9123</v>
      </c>
      <c r="AE182" s="8">
        <v>71632</v>
      </c>
      <c r="AF182" s="8">
        <f t="shared" si="81"/>
        <v>-1641</v>
      </c>
      <c r="AG182" s="8">
        <v>125943</v>
      </c>
      <c r="AH182" s="8">
        <f t="shared" si="82"/>
        <v>7581</v>
      </c>
      <c r="AI182" s="8">
        <v>-54311</v>
      </c>
      <c r="AJ182" s="8">
        <f t="shared" si="83"/>
        <v>-9222</v>
      </c>
      <c r="AK182" s="8">
        <v>65811</v>
      </c>
      <c r="AL182" s="8">
        <f t="shared" si="84"/>
        <v>431</v>
      </c>
      <c r="AM182" s="8">
        <v>124264</v>
      </c>
      <c r="AN182" s="8">
        <f t="shared" si="85"/>
        <v>9400</v>
      </c>
      <c r="AO182" s="8">
        <v>-58453</v>
      </c>
      <c r="AP182" s="8">
        <f t="shared" si="86"/>
        <v>-8969</v>
      </c>
      <c r="AR182" s="8">
        <v>1214860</v>
      </c>
      <c r="AS182" s="8">
        <f t="shared" si="87"/>
        <v>-287262</v>
      </c>
      <c r="AT182" s="8">
        <v>207140</v>
      </c>
      <c r="AU182" s="8">
        <f t="shared" si="88"/>
        <v>-14298</v>
      </c>
      <c r="AV182" s="8">
        <v>23182</v>
      </c>
      <c r="AW182" s="8">
        <f t="shared" si="89"/>
        <v>5540</v>
      </c>
      <c r="AX182" s="8">
        <f t="shared" si="64"/>
        <v>183958</v>
      </c>
      <c r="AY182" s="8">
        <f t="shared" si="90"/>
        <v>-19838</v>
      </c>
      <c r="AZ182" s="8">
        <v>563115</v>
      </c>
      <c r="BA182" s="8">
        <f t="shared" si="91"/>
        <v>-79318</v>
      </c>
      <c r="BB182" s="8">
        <v>602364</v>
      </c>
      <c r="BC182" s="8">
        <f t="shared" si="92"/>
        <v>-88897</v>
      </c>
      <c r="BD182" s="8">
        <f t="shared" si="65"/>
        <v>-39249</v>
      </c>
      <c r="BE182" s="8">
        <f t="shared" si="93"/>
        <v>9579</v>
      </c>
      <c r="BF182" s="8">
        <v>216994</v>
      </c>
      <c r="BG182" s="8">
        <f t="shared" si="94"/>
        <v>-35232</v>
      </c>
      <c r="BH182" s="8">
        <v>574980</v>
      </c>
      <c r="BI182" s="8">
        <f t="shared" si="95"/>
        <v>-44808</v>
      </c>
      <c r="BJ182" s="8">
        <f t="shared" si="66"/>
        <v>-357986</v>
      </c>
      <c r="BK182" s="8">
        <f t="shared" si="68"/>
        <v>9576</v>
      </c>
    </row>
    <row r="183" spans="1:63">
      <c r="A183" s="5">
        <v>40148</v>
      </c>
      <c r="B183" s="8">
        <v>294010</v>
      </c>
      <c r="C183" s="8">
        <f t="shared" si="69"/>
        <v>6808</v>
      </c>
      <c r="D183" s="8">
        <v>58694</v>
      </c>
      <c r="E183" s="8">
        <f t="shared" si="70"/>
        <v>0</v>
      </c>
      <c r="F183" s="8">
        <v>4828</v>
      </c>
      <c r="G183" s="8">
        <f t="shared" si="71"/>
        <v>-805</v>
      </c>
      <c r="H183" s="8">
        <v>53866</v>
      </c>
      <c r="I183" s="8">
        <f t="shared" si="72"/>
        <v>805</v>
      </c>
      <c r="J183" s="8">
        <v>122483</v>
      </c>
      <c r="K183" s="8">
        <f t="shared" si="73"/>
        <v>5305</v>
      </c>
      <c r="L183" s="8">
        <v>179012</v>
      </c>
      <c r="M183" s="8">
        <f t="shared" si="74"/>
        <v>7827</v>
      </c>
      <c r="N183" s="8">
        <v>-56529</v>
      </c>
      <c r="O183" s="8">
        <f t="shared" si="75"/>
        <v>-2522</v>
      </c>
      <c r="P183" s="8">
        <v>40492</v>
      </c>
      <c r="Q183" s="8">
        <f t="shared" si="76"/>
        <v>-2563</v>
      </c>
      <c r="R183" s="8">
        <v>156556</v>
      </c>
      <c r="S183" s="8">
        <f t="shared" si="77"/>
        <v>3842</v>
      </c>
      <c r="T183" s="8">
        <v>-116064</v>
      </c>
      <c r="U183" s="8">
        <f t="shared" si="78"/>
        <v>-6405</v>
      </c>
      <c r="W183" s="8">
        <v>183463</v>
      </c>
      <c r="X183" s="8">
        <f t="shared" si="79"/>
        <v>-3070</v>
      </c>
      <c r="Y183" s="8">
        <v>52694</v>
      </c>
      <c r="Z183" s="8">
        <f t="shared" si="80"/>
        <v>3648</v>
      </c>
      <c r="AA183" s="8">
        <v>7115</v>
      </c>
      <c r="AB183" s="8">
        <f t="shared" si="67"/>
        <v>914</v>
      </c>
      <c r="AC183" s="8">
        <v>45579</v>
      </c>
      <c r="AD183" s="8">
        <f t="shared" si="67"/>
        <v>2734</v>
      </c>
      <c r="AE183" s="8">
        <v>64516</v>
      </c>
      <c r="AF183" s="8">
        <f t="shared" si="81"/>
        <v>-7116</v>
      </c>
      <c r="AG183" s="8">
        <v>122946</v>
      </c>
      <c r="AH183" s="8">
        <f t="shared" si="82"/>
        <v>-2997</v>
      </c>
      <c r="AI183" s="8">
        <v>-58430</v>
      </c>
      <c r="AJ183" s="8">
        <f t="shared" si="83"/>
        <v>-4119</v>
      </c>
      <c r="AK183" s="8">
        <v>58854</v>
      </c>
      <c r="AL183" s="8">
        <f t="shared" si="84"/>
        <v>-6957</v>
      </c>
      <c r="AM183" s="8">
        <v>120706</v>
      </c>
      <c r="AN183" s="8">
        <f t="shared" si="85"/>
        <v>-3558</v>
      </c>
      <c r="AO183" s="8">
        <v>-61852</v>
      </c>
      <c r="AP183" s="8">
        <f t="shared" si="86"/>
        <v>-3399</v>
      </c>
      <c r="AR183" s="8">
        <v>1220867</v>
      </c>
      <c r="AS183" s="8">
        <f t="shared" si="87"/>
        <v>6007</v>
      </c>
      <c r="AT183" s="8">
        <v>233327</v>
      </c>
      <c r="AU183" s="8">
        <f t="shared" si="88"/>
        <v>26187</v>
      </c>
      <c r="AV183" s="8">
        <v>20405</v>
      </c>
      <c r="AW183" s="8">
        <f t="shared" si="89"/>
        <v>-2777</v>
      </c>
      <c r="AX183" s="8">
        <f t="shared" si="64"/>
        <v>212922</v>
      </c>
      <c r="AY183" s="8">
        <f t="shared" si="90"/>
        <v>28964</v>
      </c>
      <c r="AZ183" s="8">
        <v>549839</v>
      </c>
      <c r="BA183" s="8">
        <f t="shared" si="91"/>
        <v>-13276</v>
      </c>
      <c r="BB183" s="8">
        <v>621111</v>
      </c>
      <c r="BC183" s="8">
        <f t="shared" si="92"/>
        <v>18747</v>
      </c>
      <c r="BD183" s="8">
        <f t="shared" si="65"/>
        <v>-71272</v>
      </c>
      <c r="BE183" s="8">
        <f t="shared" si="93"/>
        <v>-32023</v>
      </c>
      <c r="BF183" s="8">
        <v>199223</v>
      </c>
      <c r="BG183" s="8">
        <f t="shared" si="94"/>
        <v>-17771</v>
      </c>
      <c r="BH183" s="8">
        <v>596023</v>
      </c>
      <c r="BI183" s="8">
        <f t="shared" si="95"/>
        <v>21043</v>
      </c>
      <c r="BJ183" s="8">
        <f t="shared" si="66"/>
        <v>-396800</v>
      </c>
      <c r="BK183" s="8">
        <f t="shared" si="68"/>
        <v>-38814</v>
      </c>
    </row>
    <row r="184" spans="1:63">
      <c r="A184" s="5">
        <v>40155</v>
      </c>
      <c r="B184" s="8">
        <v>274347</v>
      </c>
      <c r="C184" s="8">
        <f t="shared" si="69"/>
        <v>-19663</v>
      </c>
      <c r="D184" s="8">
        <v>57759</v>
      </c>
      <c r="E184" s="8">
        <f t="shared" si="70"/>
        <v>-935</v>
      </c>
      <c r="F184" s="8">
        <v>4020</v>
      </c>
      <c r="G184" s="8">
        <f t="shared" si="71"/>
        <v>-808</v>
      </c>
      <c r="H184" s="8">
        <v>53739</v>
      </c>
      <c r="I184" s="8">
        <f t="shared" si="72"/>
        <v>-127</v>
      </c>
      <c r="J184" s="8">
        <v>113778</v>
      </c>
      <c r="K184" s="8">
        <f t="shared" si="73"/>
        <v>-8705</v>
      </c>
      <c r="L184" s="8">
        <v>170209</v>
      </c>
      <c r="M184" s="8">
        <f t="shared" si="74"/>
        <v>-8803</v>
      </c>
      <c r="N184" s="8">
        <v>-56431</v>
      </c>
      <c r="O184" s="8">
        <f t="shared" si="75"/>
        <v>98</v>
      </c>
      <c r="P184" s="8">
        <v>43962</v>
      </c>
      <c r="Q184" s="8">
        <f t="shared" si="76"/>
        <v>3470</v>
      </c>
      <c r="R184" s="8">
        <v>150572</v>
      </c>
      <c r="S184" s="8">
        <f t="shared" si="77"/>
        <v>-5984</v>
      </c>
      <c r="T184" s="8">
        <v>-106610</v>
      </c>
      <c r="U184" s="8">
        <f t="shared" si="78"/>
        <v>9454</v>
      </c>
      <c r="W184" s="8">
        <v>181375</v>
      </c>
      <c r="X184" s="8">
        <f t="shared" si="79"/>
        <v>-2088</v>
      </c>
      <c r="Y184" s="8">
        <v>52313</v>
      </c>
      <c r="Z184" s="8">
        <f t="shared" si="80"/>
        <v>-381</v>
      </c>
      <c r="AA184" s="8">
        <v>10057</v>
      </c>
      <c r="AB184" s="8">
        <f t="shared" si="67"/>
        <v>2942</v>
      </c>
      <c r="AC184" s="8">
        <v>42256</v>
      </c>
      <c r="AD184" s="8">
        <f t="shared" si="67"/>
        <v>-3323</v>
      </c>
      <c r="AE184" s="8">
        <v>65591</v>
      </c>
      <c r="AF184" s="8">
        <f t="shared" si="81"/>
        <v>1075</v>
      </c>
      <c r="AG184" s="8">
        <v>119160</v>
      </c>
      <c r="AH184" s="8">
        <f t="shared" si="82"/>
        <v>-3786</v>
      </c>
      <c r="AI184" s="8">
        <v>-53569</v>
      </c>
      <c r="AJ184" s="8">
        <f t="shared" si="83"/>
        <v>4861</v>
      </c>
      <c r="AK184" s="8">
        <v>60496</v>
      </c>
      <c r="AL184" s="8">
        <f t="shared" si="84"/>
        <v>1642</v>
      </c>
      <c r="AM184" s="8">
        <v>117422</v>
      </c>
      <c r="AN184" s="8">
        <f t="shared" si="85"/>
        <v>-3284</v>
      </c>
      <c r="AO184" s="8">
        <v>-56926</v>
      </c>
      <c r="AP184" s="8">
        <f t="shared" si="86"/>
        <v>4926</v>
      </c>
      <c r="AR184" s="8">
        <v>1218859</v>
      </c>
      <c r="AS184" s="8">
        <f t="shared" si="87"/>
        <v>-2008</v>
      </c>
      <c r="AT184" s="8">
        <v>220730</v>
      </c>
      <c r="AU184" s="8">
        <f t="shared" si="88"/>
        <v>-12597</v>
      </c>
      <c r="AV184" s="8">
        <v>43889</v>
      </c>
      <c r="AW184" s="8">
        <f t="shared" si="89"/>
        <v>23484</v>
      </c>
      <c r="AX184" s="8">
        <f t="shared" si="64"/>
        <v>176841</v>
      </c>
      <c r="AY184" s="8">
        <f t="shared" si="90"/>
        <v>-36081</v>
      </c>
      <c r="AZ184" s="8">
        <v>564986</v>
      </c>
      <c r="BA184" s="8">
        <f t="shared" si="91"/>
        <v>15147</v>
      </c>
      <c r="BB184" s="8">
        <v>606275</v>
      </c>
      <c r="BC184" s="8">
        <f t="shared" si="92"/>
        <v>-14836</v>
      </c>
      <c r="BD184" s="8">
        <f t="shared" si="65"/>
        <v>-41289</v>
      </c>
      <c r="BE184" s="8">
        <f t="shared" si="93"/>
        <v>29983</v>
      </c>
      <c r="BF184" s="8">
        <v>215494</v>
      </c>
      <c r="BG184" s="8">
        <f t="shared" si="94"/>
        <v>16271</v>
      </c>
      <c r="BH184" s="8">
        <v>576947</v>
      </c>
      <c r="BI184" s="8">
        <f t="shared" si="95"/>
        <v>-19076</v>
      </c>
      <c r="BJ184" s="8">
        <f t="shared" si="66"/>
        <v>-361453</v>
      </c>
      <c r="BK184" s="8">
        <f t="shared" si="68"/>
        <v>35347</v>
      </c>
    </row>
    <row r="185" spans="1:63">
      <c r="A185" s="5">
        <v>40162</v>
      </c>
      <c r="B185" s="8">
        <v>268540</v>
      </c>
      <c r="C185" s="8">
        <f t="shared" si="69"/>
        <v>-5807</v>
      </c>
      <c r="D185" s="8">
        <v>53189</v>
      </c>
      <c r="E185" s="8">
        <f t="shared" si="70"/>
        <v>-4570</v>
      </c>
      <c r="F185" s="8">
        <v>5753</v>
      </c>
      <c r="G185" s="8">
        <f t="shared" si="71"/>
        <v>1733</v>
      </c>
      <c r="H185" s="8">
        <v>47436</v>
      </c>
      <c r="I185" s="8">
        <f t="shared" si="72"/>
        <v>-6303</v>
      </c>
      <c r="J185" s="8">
        <v>111846</v>
      </c>
      <c r="K185" s="8">
        <f t="shared" si="73"/>
        <v>-1932</v>
      </c>
      <c r="L185" s="8">
        <v>162220</v>
      </c>
      <c r="M185" s="8">
        <f t="shared" si="74"/>
        <v>-7989</v>
      </c>
      <c r="N185" s="8">
        <v>-50374</v>
      </c>
      <c r="O185" s="8">
        <f t="shared" si="75"/>
        <v>6057</v>
      </c>
      <c r="P185" s="8">
        <v>46105</v>
      </c>
      <c r="Q185" s="8">
        <f t="shared" si="76"/>
        <v>2143</v>
      </c>
      <c r="R185" s="8">
        <v>145040</v>
      </c>
      <c r="S185" s="8">
        <f t="shared" si="77"/>
        <v>-5532</v>
      </c>
      <c r="T185" s="8">
        <v>-98935</v>
      </c>
      <c r="U185" s="8">
        <f t="shared" si="78"/>
        <v>7675</v>
      </c>
      <c r="W185" s="8">
        <v>195146</v>
      </c>
      <c r="X185" s="8">
        <f t="shared" si="79"/>
        <v>13771</v>
      </c>
      <c r="Y185" s="8">
        <v>55905</v>
      </c>
      <c r="Z185" s="8">
        <f t="shared" si="80"/>
        <v>3592</v>
      </c>
      <c r="AA185" s="8">
        <v>11604</v>
      </c>
      <c r="AB185" s="8">
        <f t="shared" si="67"/>
        <v>1547</v>
      </c>
      <c r="AC185" s="8">
        <v>44301</v>
      </c>
      <c r="AD185" s="8">
        <f t="shared" si="67"/>
        <v>2045</v>
      </c>
      <c r="AE185" s="8">
        <v>67599</v>
      </c>
      <c r="AF185" s="8">
        <f t="shared" si="81"/>
        <v>2008</v>
      </c>
      <c r="AG185" s="8">
        <v>124876</v>
      </c>
      <c r="AH185" s="8">
        <f t="shared" si="82"/>
        <v>5716</v>
      </c>
      <c r="AI185" s="8">
        <v>-57277</v>
      </c>
      <c r="AJ185" s="8">
        <f t="shared" si="83"/>
        <v>-3708</v>
      </c>
      <c r="AK185" s="8">
        <v>62826</v>
      </c>
      <c r="AL185" s="8">
        <f t="shared" si="84"/>
        <v>2330</v>
      </c>
      <c r="AM185" s="8">
        <v>120711</v>
      </c>
      <c r="AN185" s="8">
        <f t="shared" si="85"/>
        <v>3289</v>
      </c>
      <c r="AO185" s="8">
        <v>-57885</v>
      </c>
      <c r="AP185" s="8">
        <f t="shared" si="86"/>
        <v>-959</v>
      </c>
      <c r="AR185" s="8">
        <v>1212495</v>
      </c>
      <c r="AS185" s="8">
        <f t="shared" si="87"/>
        <v>-6364</v>
      </c>
      <c r="AT185" s="8">
        <v>224321</v>
      </c>
      <c r="AU185" s="8">
        <f t="shared" si="88"/>
        <v>3591</v>
      </c>
      <c r="AV185" s="8">
        <v>28633</v>
      </c>
      <c r="AW185" s="8">
        <f t="shared" si="89"/>
        <v>-15256</v>
      </c>
      <c r="AX185" s="8">
        <f t="shared" si="64"/>
        <v>195688</v>
      </c>
      <c r="AY185" s="8">
        <f t="shared" si="90"/>
        <v>18847</v>
      </c>
      <c r="AZ185" s="8">
        <v>564032</v>
      </c>
      <c r="BA185" s="8">
        <f t="shared" si="91"/>
        <v>-954</v>
      </c>
      <c r="BB185" s="8">
        <v>622373</v>
      </c>
      <c r="BC185" s="8">
        <f t="shared" si="92"/>
        <v>16098</v>
      </c>
      <c r="BD185" s="8">
        <f t="shared" si="65"/>
        <v>-58341</v>
      </c>
      <c r="BE185" s="8">
        <f t="shared" si="93"/>
        <v>-17052</v>
      </c>
      <c r="BF185" s="8">
        <v>213775</v>
      </c>
      <c r="BG185" s="8">
        <f t="shared" si="94"/>
        <v>-1719</v>
      </c>
      <c r="BH185" s="8">
        <v>589746</v>
      </c>
      <c r="BI185" s="8">
        <f t="shared" si="95"/>
        <v>12799</v>
      </c>
      <c r="BJ185" s="8">
        <f t="shared" si="66"/>
        <v>-375971</v>
      </c>
      <c r="BK185" s="8">
        <f t="shared" si="68"/>
        <v>-14518</v>
      </c>
    </row>
    <row r="186" spans="1:63">
      <c r="A186" s="5">
        <v>40169</v>
      </c>
      <c r="B186" s="8">
        <v>259981</v>
      </c>
      <c r="C186" s="8">
        <f t="shared" si="69"/>
        <v>-8559</v>
      </c>
      <c r="D186" s="8">
        <v>40071</v>
      </c>
      <c r="E186" s="8">
        <f t="shared" si="70"/>
        <v>-13118</v>
      </c>
      <c r="F186" s="8">
        <v>10115</v>
      </c>
      <c r="G186" s="8">
        <f t="shared" si="71"/>
        <v>4362</v>
      </c>
      <c r="H186" s="8">
        <v>29956</v>
      </c>
      <c r="I186" s="8">
        <f t="shared" si="72"/>
        <v>-17480</v>
      </c>
      <c r="J186" s="8">
        <v>123313</v>
      </c>
      <c r="K186" s="8">
        <f t="shared" si="73"/>
        <v>11467</v>
      </c>
      <c r="L186" s="8">
        <v>151031</v>
      </c>
      <c r="M186" s="8">
        <f t="shared" si="74"/>
        <v>-11189</v>
      </c>
      <c r="N186" s="8">
        <v>-27718</v>
      </c>
      <c r="O186" s="8">
        <f t="shared" si="75"/>
        <v>22656</v>
      </c>
      <c r="P186" s="8">
        <v>45074</v>
      </c>
      <c r="Q186" s="8">
        <f t="shared" si="76"/>
        <v>-1031</v>
      </c>
      <c r="R186" s="8">
        <v>128236</v>
      </c>
      <c r="S186" s="8">
        <f t="shared" si="77"/>
        <v>-16804</v>
      </c>
      <c r="T186" s="8">
        <v>-83162</v>
      </c>
      <c r="U186" s="8">
        <f t="shared" si="78"/>
        <v>15773</v>
      </c>
      <c r="W186" s="8">
        <v>187818</v>
      </c>
      <c r="X186" s="8">
        <f t="shared" si="79"/>
        <v>-7328</v>
      </c>
      <c r="Y186" s="8">
        <v>46370</v>
      </c>
      <c r="Z186" s="8">
        <f t="shared" si="80"/>
        <v>-9535</v>
      </c>
      <c r="AA186" s="8">
        <v>10784</v>
      </c>
      <c r="AB186" s="8">
        <f t="shared" si="67"/>
        <v>-820</v>
      </c>
      <c r="AC186" s="8">
        <v>35586</v>
      </c>
      <c r="AD186" s="8">
        <f t="shared" si="67"/>
        <v>-8715</v>
      </c>
      <c r="AE186" s="8">
        <v>73481</v>
      </c>
      <c r="AF186" s="8">
        <f t="shared" si="81"/>
        <v>5882</v>
      </c>
      <c r="AG186" s="8">
        <v>114097</v>
      </c>
      <c r="AH186" s="8">
        <f t="shared" si="82"/>
        <v>-10779</v>
      </c>
      <c r="AI186" s="8">
        <v>-40616</v>
      </c>
      <c r="AJ186" s="8">
        <f t="shared" si="83"/>
        <v>16661</v>
      </c>
      <c r="AK186" s="8">
        <v>65554</v>
      </c>
      <c r="AL186" s="8">
        <f t="shared" si="84"/>
        <v>2728</v>
      </c>
      <c r="AM186" s="8">
        <v>110061</v>
      </c>
      <c r="AN186" s="8">
        <f t="shared" si="85"/>
        <v>-10650</v>
      </c>
      <c r="AO186" s="8">
        <v>-44507</v>
      </c>
      <c r="AP186" s="8">
        <f t="shared" si="86"/>
        <v>13378</v>
      </c>
      <c r="AR186" s="8">
        <v>1220477</v>
      </c>
      <c r="AS186" s="8">
        <f t="shared" si="87"/>
        <v>7982</v>
      </c>
      <c r="AT186" s="8">
        <v>222614</v>
      </c>
      <c r="AU186" s="8">
        <f t="shared" si="88"/>
        <v>-1707</v>
      </c>
      <c r="AV186" s="8">
        <v>32999</v>
      </c>
      <c r="AW186" s="8">
        <f t="shared" si="89"/>
        <v>4366</v>
      </c>
      <c r="AX186" s="8">
        <f t="shared" si="64"/>
        <v>189615</v>
      </c>
      <c r="AY186" s="8">
        <f t="shared" si="90"/>
        <v>-6073</v>
      </c>
      <c r="AZ186" s="8">
        <v>575721</v>
      </c>
      <c r="BA186" s="8">
        <f t="shared" si="91"/>
        <v>11689</v>
      </c>
      <c r="BB186" s="8">
        <v>631386</v>
      </c>
      <c r="BC186" s="8">
        <f t="shared" si="92"/>
        <v>9013</v>
      </c>
      <c r="BD186" s="8">
        <f t="shared" si="65"/>
        <v>-55665</v>
      </c>
      <c r="BE186" s="8">
        <f t="shared" si="93"/>
        <v>2676</v>
      </c>
      <c r="BF186" s="8">
        <v>221641</v>
      </c>
      <c r="BG186" s="8">
        <f t="shared" si="94"/>
        <v>7866</v>
      </c>
      <c r="BH186" s="8">
        <v>597183</v>
      </c>
      <c r="BI186" s="8">
        <f t="shared" si="95"/>
        <v>7437</v>
      </c>
      <c r="BJ186" s="8">
        <f t="shared" si="66"/>
        <v>-375542</v>
      </c>
      <c r="BK186" s="8">
        <f t="shared" si="68"/>
        <v>429</v>
      </c>
    </row>
    <row r="187" spans="1:63">
      <c r="A187" s="5">
        <v>40176</v>
      </c>
      <c r="B187" s="8">
        <v>241324</v>
      </c>
      <c r="C187" s="8">
        <f t="shared" si="69"/>
        <v>-18657</v>
      </c>
      <c r="D187" s="8">
        <v>53189</v>
      </c>
      <c r="E187" s="8">
        <f t="shared" si="70"/>
        <v>13118</v>
      </c>
      <c r="F187" s="8">
        <v>5753</v>
      </c>
      <c r="G187" s="8">
        <f t="shared" si="71"/>
        <v>-4362</v>
      </c>
      <c r="H187" s="8">
        <v>47436</v>
      </c>
      <c r="I187" s="8">
        <f t="shared" si="72"/>
        <v>17480</v>
      </c>
      <c r="J187" s="8">
        <v>108321</v>
      </c>
      <c r="K187" s="8">
        <f t="shared" si="73"/>
        <v>-14992</v>
      </c>
      <c r="L187" s="8">
        <v>141654</v>
      </c>
      <c r="M187" s="8">
        <f t="shared" si="74"/>
        <v>-9377</v>
      </c>
      <c r="N187" s="8">
        <v>-33333</v>
      </c>
      <c r="O187" s="8">
        <f t="shared" si="75"/>
        <v>-5615</v>
      </c>
      <c r="P187" s="8">
        <v>46105</v>
      </c>
      <c r="Q187" s="8">
        <f t="shared" si="76"/>
        <v>1031</v>
      </c>
      <c r="R187" s="8">
        <v>145040</v>
      </c>
      <c r="S187" s="8">
        <f t="shared" si="77"/>
        <v>16804</v>
      </c>
      <c r="T187" s="8">
        <v>-98935</v>
      </c>
      <c r="U187" s="8">
        <f t="shared" si="78"/>
        <v>-15773</v>
      </c>
      <c r="W187" s="8">
        <v>177304</v>
      </c>
      <c r="X187" s="8">
        <f t="shared" si="79"/>
        <v>-10514</v>
      </c>
      <c r="Y187" s="8">
        <v>55905</v>
      </c>
      <c r="Z187" s="8">
        <f t="shared" si="80"/>
        <v>9535</v>
      </c>
      <c r="AA187" s="8">
        <v>11604</v>
      </c>
      <c r="AB187" s="8">
        <f t="shared" si="67"/>
        <v>820</v>
      </c>
      <c r="AC187" s="8">
        <v>44301</v>
      </c>
      <c r="AD187" s="8">
        <f t="shared" si="67"/>
        <v>8715</v>
      </c>
      <c r="AE187" s="8">
        <v>71381</v>
      </c>
      <c r="AF187" s="8">
        <f t="shared" si="81"/>
        <v>-2100</v>
      </c>
      <c r="AG187" s="8">
        <v>114573</v>
      </c>
      <c r="AH187" s="8">
        <f t="shared" si="82"/>
        <v>476</v>
      </c>
      <c r="AI187" s="8">
        <v>-43192</v>
      </c>
      <c r="AJ187" s="8">
        <f t="shared" si="83"/>
        <v>-2576</v>
      </c>
      <c r="AK187" s="8">
        <v>62826</v>
      </c>
      <c r="AL187" s="8">
        <f t="shared" si="84"/>
        <v>-2728</v>
      </c>
      <c r="AM187" s="8">
        <v>120711</v>
      </c>
      <c r="AN187" s="8">
        <f t="shared" si="85"/>
        <v>10650</v>
      </c>
      <c r="AO187" s="8">
        <v>-57885</v>
      </c>
      <c r="AP187" s="8">
        <f t="shared" si="86"/>
        <v>-13378</v>
      </c>
      <c r="AR187" s="8">
        <v>1247226</v>
      </c>
      <c r="AS187" s="8">
        <f t="shared" si="87"/>
        <v>26749</v>
      </c>
      <c r="AT187" s="8">
        <v>234239</v>
      </c>
      <c r="AU187" s="8">
        <f t="shared" si="88"/>
        <v>11625</v>
      </c>
      <c r="AV187" s="8">
        <v>28812</v>
      </c>
      <c r="AW187" s="8">
        <f t="shared" si="89"/>
        <v>-4187</v>
      </c>
      <c r="AX187" s="8">
        <f t="shared" si="64"/>
        <v>205427</v>
      </c>
      <c r="AY187" s="8">
        <f t="shared" si="90"/>
        <v>15812</v>
      </c>
      <c r="AZ187" s="8">
        <v>575403</v>
      </c>
      <c r="BA187" s="8">
        <f t="shared" si="91"/>
        <v>-318</v>
      </c>
      <c r="BB187" s="8">
        <v>654720</v>
      </c>
      <c r="BC187" s="8">
        <f t="shared" si="92"/>
        <v>23334</v>
      </c>
      <c r="BD187" s="8">
        <f t="shared" si="65"/>
        <v>-79317</v>
      </c>
      <c r="BE187" s="8">
        <f t="shared" si="93"/>
        <v>-23652</v>
      </c>
      <c r="BF187" s="8">
        <v>217883</v>
      </c>
      <c r="BG187" s="8">
        <f t="shared" si="94"/>
        <v>-3758</v>
      </c>
      <c r="BH187" s="8">
        <v>619618</v>
      </c>
      <c r="BI187" s="8">
        <f t="shared" si="95"/>
        <v>22435</v>
      </c>
      <c r="BJ187" s="8">
        <f t="shared" si="66"/>
        <v>-401735</v>
      </c>
      <c r="BK187" s="8">
        <f t="shared" si="68"/>
        <v>-26193</v>
      </c>
    </row>
    <row r="188" spans="1:63">
      <c r="A188" s="5">
        <v>40183</v>
      </c>
      <c r="B188" s="8">
        <v>240248</v>
      </c>
      <c r="C188" s="8">
        <f t="shared" si="69"/>
        <v>-1076</v>
      </c>
      <c r="D188" s="8">
        <v>49450</v>
      </c>
      <c r="E188" s="8">
        <f t="shared" si="70"/>
        <v>-3739</v>
      </c>
      <c r="F188" s="8">
        <v>7876</v>
      </c>
      <c r="G188" s="8">
        <f t="shared" si="71"/>
        <v>2123</v>
      </c>
      <c r="H188" s="8">
        <v>41574</v>
      </c>
      <c r="I188" s="8">
        <f t="shared" si="72"/>
        <v>-5862</v>
      </c>
      <c r="J188" s="8">
        <v>102947</v>
      </c>
      <c r="K188" s="8">
        <f t="shared" si="73"/>
        <v>-5374</v>
      </c>
      <c r="L188" s="8">
        <v>149844</v>
      </c>
      <c r="M188" s="8">
        <f t="shared" si="74"/>
        <v>8190</v>
      </c>
      <c r="N188" s="8">
        <v>-46897</v>
      </c>
      <c r="O188" s="8">
        <f t="shared" si="75"/>
        <v>-13564</v>
      </c>
      <c r="P188" s="8">
        <v>40213</v>
      </c>
      <c r="Q188" s="8">
        <f t="shared" si="76"/>
        <v>-5892</v>
      </c>
      <c r="R188" s="8">
        <v>135752</v>
      </c>
      <c r="S188" s="8">
        <f t="shared" si="77"/>
        <v>-9288</v>
      </c>
      <c r="T188" s="8">
        <v>-95539</v>
      </c>
      <c r="U188" s="8">
        <f t="shared" si="78"/>
        <v>3396</v>
      </c>
      <c r="W188" s="8">
        <v>183795</v>
      </c>
      <c r="X188" s="8">
        <f t="shared" si="79"/>
        <v>6491</v>
      </c>
      <c r="Y188" s="8">
        <v>52017</v>
      </c>
      <c r="Z188" s="8">
        <f t="shared" si="80"/>
        <v>-3888</v>
      </c>
      <c r="AA188" s="8">
        <v>10910</v>
      </c>
      <c r="AB188" s="8">
        <f t="shared" si="67"/>
        <v>-694</v>
      </c>
      <c r="AC188" s="8">
        <v>41107</v>
      </c>
      <c r="AD188" s="8">
        <f t="shared" si="67"/>
        <v>-3194</v>
      </c>
      <c r="AE188" s="8">
        <v>70387</v>
      </c>
      <c r="AF188" s="8">
        <f t="shared" si="81"/>
        <v>-994</v>
      </c>
      <c r="AG188" s="8">
        <v>119527</v>
      </c>
      <c r="AH188" s="8">
        <f t="shared" si="82"/>
        <v>4954</v>
      </c>
      <c r="AI188" s="8">
        <v>-49140</v>
      </c>
      <c r="AJ188" s="8">
        <f t="shared" si="83"/>
        <v>-5948</v>
      </c>
      <c r="AK188" s="8">
        <v>64606</v>
      </c>
      <c r="AL188" s="8">
        <f t="shared" si="84"/>
        <v>1780</v>
      </c>
      <c r="AM188" s="8">
        <v>116096</v>
      </c>
      <c r="AN188" s="8">
        <f t="shared" si="85"/>
        <v>-4615</v>
      </c>
      <c r="AO188" s="8">
        <v>-51490</v>
      </c>
      <c r="AP188" s="8">
        <f t="shared" si="86"/>
        <v>6395</v>
      </c>
      <c r="AR188" s="8">
        <v>1299567</v>
      </c>
      <c r="AS188" s="8">
        <f t="shared" si="87"/>
        <v>52341</v>
      </c>
      <c r="AT188" s="8">
        <v>257495</v>
      </c>
      <c r="AU188" s="8">
        <f t="shared" si="88"/>
        <v>23256</v>
      </c>
      <c r="AV188" s="8">
        <v>28238</v>
      </c>
      <c r="AW188" s="8">
        <f t="shared" si="89"/>
        <v>-574</v>
      </c>
      <c r="AX188" s="8">
        <f t="shared" si="64"/>
        <v>229257</v>
      </c>
      <c r="AY188" s="8">
        <f t="shared" si="90"/>
        <v>23830</v>
      </c>
      <c r="AZ188" s="8">
        <v>580788</v>
      </c>
      <c r="BA188" s="8">
        <f t="shared" si="91"/>
        <v>5385</v>
      </c>
      <c r="BB188" s="8">
        <v>689111</v>
      </c>
      <c r="BC188" s="8">
        <f t="shared" si="92"/>
        <v>34391</v>
      </c>
      <c r="BD188" s="8">
        <f t="shared" si="65"/>
        <v>-108323</v>
      </c>
      <c r="BE188" s="8">
        <f t="shared" si="93"/>
        <v>-29006</v>
      </c>
      <c r="BF188" s="8">
        <v>219721</v>
      </c>
      <c r="BG188" s="8">
        <f t="shared" si="94"/>
        <v>1838</v>
      </c>
      <c r="BH188" s="8">
        <v>651500</v>
      </c>
      <c r="BI188" s="8">
        <f t="shared" si="95"/>
        <v>31882</v>
      </c>
      <c r="BJ188" s="8">
        <f t="shared" si="66"/>
        <v>-431779</v>
      </c>
      <c r="BK188" s="8">
        <f t="shared" si="68"/>
        <v>-30044</v>
      </c>
    </row>
    <row r="189" spans="1:63">
      <c r="A189" s="5">
        <v>40190</v>
      </c>
      <c r="B189" s="8">
        <v>247076</v>
      </c>
      <c r="C189" s="8">
        <f t="shared" si="69"/>
        <v>6828</v>
      </c>
      <c r="D189" s="8">
        <v>41947</v>
      </c>
      <c r="E189" s="8">
        <f t="shared" si="70"/>
        <v>-7503</v>
      </c>
      <c r="F189" s="8">
        <v>11562</v>
      </c>
      <c r="G189" s="8">
        <f t="shared" si="71"/>
        <v>3686</v>
      </c>
      <c r="H189" s="8">
        <v>30385</v>
      </c>
      <c r="I189" s="8">
        <f t="shared" si="72"/>
        <v>-11189</v>
      </c>
      <c r="J189" s="8">
        <v>117342</v>
      </c>
      <c r="K189" s="8">
        <f t="shared" si="73"/>
        <v>14395</v>
      </c>
      <c r="L189" s="8">
        <v>152171</v>
      </c>
      <c r="M189" s="8">
        <f t="shared" si="74"/>
        <v>2327</v>
      </c>
      <c r="N189" s="8">
        <v>-34829</v>
      </c>
      <c r="O189" s="8">
        <f t="shared" si="75"/>
        <v>12068</v>
      </c>
      <c r="P189" s="8">
        <v>45992</v>
      </c>
      <c r="Q189" s="8">
        <f t="shared" si="76"/>
        <v>5779</v>
      </c>
      <c r="R189" s="8">
        <v>139024</v>
      </c>
      <c r="S189" s="8">
        <f t="shared" si="77"/>
        <v>3272</v>
      </c>
      <c r="T189" s="8">
        <v>-93032</v>
      </c>
      <c r="U189" s="8">
        <f t="shared" si="78"/>
        <v>2507</v>
      </c>
      <c r="W189" s="8">
        <v>185815</v>
      </c>
      <c r="X189" s="8">
        <f t="shared" si="79"/>
        <v>2020</v>
      </c>
      <c r="Y189" s="8">
        <v>48683</v>
      </c>
      <c r="Z189" s="8">
        <f t="shared" si="80"/>
        <v>-3334</v>
      </c>
      <c r="AA189" s="8">
        <v>12079</v>
      </c>
      <c r="AB189" s="8">
        <f t="shared" si="67"/>
        <v>1169</v>
      </c>
      <c r="AC189" s="8">
        <v>36604</v>
      </c>
      <c r="AD189" s="8">
        <f t="shared" si="67"/>
        <v>-4503</v>
      </c>
      <c r="AE189" s="8">
        <v>72683</v>
      </c>
      <c r="AF189" s="8">
        <f t="shared" si="81"/>
        <v>2296</v>
      </c>
      <c r="AG189" s="8">
        <v>112217</v>
      </c>
      <c r="AH189" s="8">
        <f t="shared" si="82"/>
        <v>-7310</v>
      </c>
      <c r="AI189" s="8">
        <v>-39534</v>
      </c>
      <c r="AJ189" s="8">
        <f t="shared" si="83"/>
        <v>9606</v>
      </c>
      <c r="AK189" s="8">
        <v>65102</v>
      </c>
      <c r="AL189" s="8">
        <f t="shared" si="84"/>
        <v>496</v>
      </c>
      <c r="AM189" s="8">
        <v>107540</v>
      </c>
      <c r="AN189" s="8">
        <f t="shared" si="85"/>
        <v>-8556</v>
      </c>
      <c r="AO189" s="8">
        <v>-42438</v>
      </c>
      <c r="AP189" s="8">
        <f t="shared" si="86"/>
        <v>9052</v>
      </c>
      <c r="AR189" s="8">
        <v>1384055</v>
      </c>
      <c r="AS189" s="8">
        <f t="shared" si="87"/>
        <v>84488</v>
      </c>
      <c r="AT189" s="8">
        <v>267441</v>
      </c>
      <c r="AU189" s="8">
        <f t="shared" si="88"/>
        <v>9946</v>
      </c>
      <c r="AV189" s="8">
        <v>37115</v>
      </c>
      <c r="AW189" s="8">
        <f t="shared" si="89"/>
        <v>8877</v>
      </c>
      <c r="AX189" s="8">
        <f t="shared" si="64"/>
        <v>230326</v>
      </c>
      <c r="AY189" s="8">
        <f t="shared" si="90"/>
        <v>1069</v>
      </c>
      <c r="AZ189" s="8">
        <v>615840</v>
      </c>
      <c r="BA189" s="8">
        <f t="shared" si="91"/>
        <v>35052</v>
      </c>
      <c r="BB189" s="8">
        <v>717497</v>
      </c>
      <c r="BC189" s="8">
        <f t="shared" si="92"/>
        <v>28386</v>
      </c>
      <c r="BD189" s="8">
        <f t="shared" si="65"/>
        <v>-101657</v>
      </c>
      <c r="BE189" s="8">
        <f t="shared" si="93"/>
        <v>6666</v>
      </c>
      <c r="BF189" s="8">
        <v>226679</v>
      </c>
      <c r="BG189" s="8">
        <f t="shared" si="94"/>
        <v>6958</v>
      </c>
      <c r="BH189" s="8">
        <v>679962</v>
      </c>
      <c r="BI189" s="8">
        <f t="shared" si="95"/>
        <v>28462</v>
      </c>
      <c r="BJ189" s="8">
        <f t="shared" si="66"/>
        <v>-453283</v>
      </c>
      <c r="BK189" s="8">
        <f t="shared" si="68"/>
        <v>-21504</v>
      </c>
    </row>
    <row r="190" spans="1:63">
      <c r="A190" s="5">
        <v>40197</v>
      </c>
      <c r="B190" s="8">
        <v>253047</v>
      </c>
      <c r="C190" s="8">
        <f t="shared" si="69"/>
        <v>5971</v>
      </c>
      <c r="D190" s="8">
        <v>30857</v>
      </c>
      <c r="E190" s="8">
        <f t="shared" si="70"/>
        <v>-11090</v>
      </c>
      <c r="F190" s="8">
        <v>16370</v>
      </c>
      <c r="G190" s="8">
        <f t="shared" si="71"/>
        <v>4808</v>
      </c>
      <c r="H190" s="8">
        <v>14487</v>
      </c>
      <c r="I190" s="8">
        <f t="shared" si="72"/>
        <v>-15898</v>
      </c>
      <c r="J190" s="8">
        <v>134770</v>
      </c>
      <c r="K190" s="8">
        <f t="shared" si="73"/>
        <v>17428</v>
      </c>
      <c r="L190" s="8">
        <v>148088</v>
      </c>
      <c r="M190" s="8">
        <f t="shared" si="74"/>
        <v>-4083</v>
      </c>
      <c r="N190" s="8">
        <v>-13318</v>
      </c>
      <c r="O190" s="8">
        <f t="shared" si="75"/>
        <v>21511</v>
      </c>
      <c r="P190" s="8">
        <v>56855</v>
      </c>
      <c r="Q190" s="8">
        <f t="shared" si="76"/>
        <v>10863</v>
      </c>
      <c r="R190" s="8">
        <v>135209</v>
      </c>
      <c r="S190" s="8">
        <f t="shared" si="77"/>
        <v>-3815</v>
      </c>
      <c r="T190" s="8">
        <v>-78354</v>
      </c>
      <c r="U190" s="8">
        <f t="shared" si="78"/>
        <v>14678</v>
      </c>
      <c r="W190" s="8">
        <v>189823</v>
      </c>
      <c r="X190" s="8">
        <f t="shared" si="79"/>
        <v>4008</v>
      </c>
      <c r="Y190" s="8">
        <v>46025</v>
      </c>
      <c r="Z190" s="8">
        <f t="shared" si="80"/>
        <v>-2658</v>
      </c>
      <c r="AA190" s="8">
        <v>10230</v>
      </c>
      <c r="AB190" s="8">
        <f t="shared" si="67"/>
        <v>-1849</v>
      </c>
      <c r="AC190" s="8">
        <v>35795</v>
      </c>
      <c r="AD190" s="8">
        <f t="shared" si="67"/>
        <v>-809</v>
      </c>
      <c r="AE190" s="8">
        <v>75104</v>
      </c>
      <c r="AF190" s="8">
        <f t="shared" si="81"/>
        <v>2421</v>
      </c>
      <c r="AG190" s="8">
        <v>116040</v>
      </c>
      <c r="AH190" s="8">
        <f t="shared" si="82"/>
        <v>3823</v>
      </c>
      <c r="AI190" s="8">
        <v>-40936</v>
      </c>
      <c r="AJ190" s="8">
        <f t="shared" si="83"/>
        <v>-1402</v>
      </c>
      <c r="AK190" s="8">
        <v>67603</v>
      </c>
      <c r="AL190" s="8">
        <f t="shared" si="84"/>
        <v>2501</v>
      </c>
      <c r="AM190" s="8">
        <v>110903</v>
      </c>
      <c r="AN190" s="8">
        <f t="shared" si="85"/>
        <v>3363</v>
      </c>
      <c r="AO190" s="8">
        <v>-43300</v>
      </c>
      <c r="AP190" s="8">
        <f t="shared" si="86"/>
        <v>-862</v>
      </c>
      <c r="AR190" s="8">
        <v>1410976</v>
      </c>
      <c r="AS190" s="8">
        <f t="shared" si="87"/>
        <v>26921</v>
      </c>
      <c r="AT190" s="8">
        <v>203278</v>
      </c>
      <c r="AU190" s="8">
        <f t="shared" si="88"/>
        <v>-64163</v>
      </c>
      <c r="AV190" s="8">
        <v>72207</v>
      </c>
      <c r="AW190" s="8">
        <f t="shared" si="89"/>
        <v>35092</v>
      </c>
      <c r="AX190" s="8">
        <f t="shared" si="64"/>
        <v>131071</v>
      </c>
      <c r="AY190" s="8">
        <f t="shared" si="90"/>
        <v>-99255</v>
      </c>
      <c r="AZ190" s="8">
        <v>678776</v>
      </c>
      <c r="BA190" s="8">
        <f t="shared" si="91"/>
        <v>62936</v>
      </c>
      <c r="BB190" s="8">
        <v>671530</v>
      </c>
      <c r="BC190" s="8">
        <f t="shared" si="92"/>
        <v>-45967</v>
      </c>
      <c r="BD190" s="8">
        <f t="shared" si="65"/>
        <v>7246</v>
      </c>
      <c r="BE190" s="8">
        <f t="shared" si="93"/>
        <v>108903</v>
      </c>
      <c r="BF190" s="8">
        <v>248312</v>
      </c>
      <c r="BG190" s="8">
        <f t="shared" si="94"/>
        <v>21633</v>
      </c>
      <c r="BH190" s="8">
        <v>633098</v>
      </c>
      <c r="BI190" s="8">
        <f t="shared" si="95"/>
        <v>-46864</v>
      </c>
      <c r="BJ190" s="8">
        <f t="shared" si="66"/>
        <v>-384786</v>
      </c>
      <c r="BK190" s="8">
        <f t="shared" si="68"/>
        <v>68497</v>
      </c>
    </row>
    <row r="191" spans="1:63">
      <c r="A191" s="5">
        <v>40204</v>
      </c>
      <c r="B191" s="8">
        <v>269833</v>
      </c>
      <c r="C191" s="8">
        <f t="shared" si="69"/>
        <v>16786</v>
      </c>
      <c r="D191" s="8">
        <v>31394</v>
      </c>
      <c r="E191" s="8">
        <f t="shared" si="70"/>
        <v>537</v>
      </c>
      <c r="F191" s="8">
        <v>26888</v>
      </c>
      <c r="G191" s="8">
        <f t="shared" si="71"/>
        <v>10518</v>
      </c>
      <c r="H191" s="8">
        <v>4506</v>
      </c>
      <c r="I191" s="8">
        <f t="shared" si="72"/>
        <v>-9981</v>
      </c>
      <c r="J191" s="8">
        <v>148267</v>
      </c>
      <c r="K191" s="8">
        <f t="shared" si="73"/>
        <v>13497</v>
      </c>
      <c r="L191" s="8">
        <v>149465</v>
      </c>
      <c r="M191" s="8">
        <f t="shared" si="74"/>
        <v>1377</v>
      </c>
      <c r="N191" s="8">
        <v>-1198</v>
      </c>
      <c r="O191" s="8">
        <f t="shared" si="75"/>
        <v>12120</v>
      </c>
      <c r="P191" s="8">
        <v>69522</v>
      </c>
      <c r="Q191" s="8">
        <f t="shared" si="76"/>
        <v>12667</v>
      </c>
      <c r="R191" s="8">
        <v>134669</v>
      </c>
      <c r="S191" s="8">
        <f t="shared" si="77"/>
        <v>-540</v>
      </c>
      <c r="T191" s="8">
        <v>-65147</v>
      </c>
      <c r="U191" s="8">
        <f t="shared" si="78"/>
        <v>13207</v>
      </c>
      <c r="W191" s="8">
        <v>199811</v>
      </c>
      <c r="X191" s="8">
        <f t="shared" si="79"/>
        <v>9988</v>
      </c>
      <c r="Y191" s="8">
        <v>48118</v>
      </c>
      <c r="Z191" s="8">
        <f t="shared" si="80"/>
        <v>2093</v>
      </c>
      <c r="AA191" s="8">
        <v>13779</v>
      </c>
      <c r="AB191" s="8">
        <f t="shared" si="67"/>
        <v>3549</v>
      </c>
      <c r="AC191" s="8">
        <v>34339</v>
      </c>
      <c r="AD191" s="8">
        <f t="shared" si="67"/>
        <v>-1456</v>
      </c>
      <c r="AE191" s="8">
        <v>78315</v>
      </c>
      <c r="AF191" s="8">
        <f t="shared" si="81"/>
        <v>3211</v>
      </c>
      <c r="AG191" s="8">
        <v>118923</v>
      </c>
      <c r="AH191" s="8">
        <f t="shared" si="82"/>
        <v>2883</v>
      </c>
      <c r="AI191" s="8">
        <v>-40608</v>
      </c>
      <c r="AJ191" s="8">
        <f t="shared" si="83"/>
        <v>328</v>
      </c>
      <c r="AK191" s="8">
        <v>69356</v>
      </c>
      <c r="AL191" s="8">
        <f t="shared" si="84"/>
        <v>1753</v>
      </c>
      <c r="AM191" s="8">
        <v>111401</v>
      </c>
      <c r="AN191" s="8">
        <f t="shared" si="85"/>
        <v>498</v>
      </c>
      <c r="AO191" s="8">
        <v>-42045</v>
      </c>
      <c r="AP191" s="8">
        <f t="shared" si="86"/>
        <v>1255</v>
      </c>
      <c r="AR191" s="8">
        <v>1435139</v>
      </c>
      <c r="AS191" s="8">
        <f t="shared" si="87"/>
        <v>24163</v>
      </c>
      <c r="AT191" s="8">
        <v>194510</v>
      </c>
      <c r="AU191" s="8">
        <f t="shared" si="88"/>
        <v>-8768</v>
      </c>
      <c r="AV191" s="8">
        <v>99201</v>
      </c>
      <c r="AW191" s="8">
        <f t="shared" si="89"/>
        <v>26994</v>
      </c>
      <c r="AX191" s="8">
        <f t="shared" si="64"/>
        <v>95309</v>
      </c>
      <c r="AY191" s="8">
        <f t="shared" si="90"/>
        <v>-35762</v>
      </c>
      <c r="AZ191" s="8">
        <v>692505</v>
      </c>
      <c r="BA191" s="8">
        <f t="shared" si="91"/>
        <v>13729</v>
      </c>
      <c r="BB191" s="8">
        <v>645137</v>
      </c>
      <c r="BC191" s="8">
        <f t="shared" si="92"/>
        <v>-26393</v>
      </c>
      <c r="BD191" s="8">
        <f t="shared" si="65"/>
        <v>47368</v>
      </c>
      <c r="BE191" s="8">
        <f t="shared" si="93"/>
        <v>40122</v>
      </c>
      <c r="BF191" s="8">
        <v>260710</v>
      </c>
      <c r="BG191" s="8">
        <f t="shared" si="94"/>
        <v>12398</v>
      </c>
      <c r="BH191" s="8">
        <v>604807</v>
      </c>
      <c r="BI191" s="8">
        <f t="shared" si="95"/>
        <v>-28291</v>
      </c>
      <c r="BJ191" s="8">
        <f t="shared" si="66"/>
        <v>-344097</v>
      </c>
      <c r="BK191" s="8">
        <f t="shared" si="68"/>
        <v>40689</v>
      </c>
    </row>
    <row r="192" spans="1:63">
      <c r="A192" s="5">
        <v>40211</v>
      </c>
      <c r="B192" s="8">
        <v>296768</v>
      </c>
      <c r="C192" s="8">
        <f t="shared" si="69"/>
        <v>26935</v>
      </c>
      <c r="D192" s="8">
        <v>33630</v>
      </c>
      <c r="E192" s="8">
        <f t="shared" si="70"/>
        <v>2236</v>
      </c>
      <c r="F192" s="8">
        <v>31658</v>
      </c>
      <c r="G192" s="8">
        <f t="shared" si="71"/>
        <v>4770</v>
      </c>
      <c r="H192" s="8">
        <v>1972</v>
      </c>
      <c r="I192" s="8">
        <f t="shared" si="72"/>
        <v>-2534</v>
      </c>
      <c r="J192" s="8">
        <v>161539</v>
      </c>
      <c r="K192" s="8">
        <f t="shared" si="73"/>
        <v>13272</v>
      </c>
      <c r="L192" s="8">
        <v>162814</v>
      </c>
      <c r="M192" s="8">
        <f t="shared" si="74"/>
        <v>13349</v>
      </c>
      <c r="N192" s="8">
        <v>-1275</v>
      </c>
      <c r="O192" s="8">
        <f t="shared" si="75"/>
        <v>-77</v>
      </c>
      <c r="P192" s="8">
        <v>74719</v>
      </c>
      <c r="Q192" s="8">
        <f t="shared" si="76"/>
        <v>5197</v>
      </c>
      <c r="R192" s="8">
        <v>145565</v>
      </c>
      <c r="S192" s="8">
        <f t="shared" si="77"/>
        <v>10896</v>
      </c>
      <c r="T192" s="8">
        <v>-70846</v>
      </c>
      <c r="U192" s="8">
        <f t="shared" si="78"/>
        <v>-5699</v>
      </c>
      <c r="W192" s="8">
        <v>211321</v>
      </c>
      <c r="X192" s="8">
        <f t="shared" si="79"/>
        <v>11510</v>
      </c>
      <c r="Y192" s="8">
        <v>44265</v>
      </c>
      <c r="Z192" s="8">
        <f t="shared" si="80"/>
        <v>-3853</v>
      </c>
      <c r="AA192" s="8">
        <v>19043</v>
      </c>
      <c r="AB192" s="8">
        <f t="shared" si="67"/>
        <v>5264</v>
      </c>
      <c r="AC192" s="8">
        <v>25222</v>
      </c>
      <c r="AD192" s="8">
        <f t="shared" si="67"/>
        <v>-9117</v>
      </c>
      <c r="AE192" s="8">
        <v>86361</v>
      </c>
      <c r="AF192" s="8">
        <f t="shared" si="81"/>
        <v>8046</v>
      </c>
      <c r="AG192" s="8">
        <v>118441</v>
      </c>
      <c r="AH192" s="8">
        <f t="shared" si="82"/>
        <v>-482</v>
      </c>
      <c r="AI192" s="8">
        <v>-32080</v>
      </c>
      <c r="AJ192" s="8">
        <f t="shared" si="83"/>
        <v>8528</v>
      </c>
      <c r="AK192" s="8">
        <v>78183</v>
      </c>
      <c r="AL192" s="8">
        <f t="shared" si="84"/>
        <v>8827</v>
      </c>
      <c r="AM192" s="8">
        <v>110748</v>
      </c>
      <c r="AN192" s="8">
        <f t="shared" si="85"/>
        <v>-653</v>
      </c>
      <c r="AO192" s="8">
        <v>-32565</v>
      </c>
      <c r="AP192" s="8">
        <f t="shared" si="86"/>
        <v>9480</v>
      </c>
      <c r="AR192" s="8">
        <v>1476113</v>
      </c>
      <c r="AS192" s="8">
        <f t="shared" si="87"/>
        <v>40974</v>
      </c>
      <c r="AT192" s="8">
        <v>189413</v>
      </c>
      <c r="AU192" s="8">
        <f t="shared" si="88"/>
        <v>-5097</v>
      </c>
      <c r="AV192" s="8">
        <v>113522</v>
      </c>
      <c r="AW192" s="8">
        <f t="shared" si="89"/>
        <v>14321</v>
      </c>
      <c r="AX192" s="8">
        <f t="shared" si="64"/>
        <v>75891</v>
      </c>
      <c r="AY192" s="8">
        <f t="shared" si="90"/>
        <v>-19418</v>
      </c>
      <c r="AZ192" s="8">
        <v>710821</v>
      </c>
      <c r="BA192" s="8">
        <f t="shared" si="91"/>
        <v>18316</v>
      </c>
      <c r="BB192" s="8">
        <v>647531</v>
      </c>
      <c r="BC192" s="8">
        <f t="shared" si="92"/>
        <v>2394</v>
      </c>
      <c r="BD192" s="8">
        <f t="shared" si="65"/>
        <v>63290</v>
      </c>
      <c r="BE192" s="8">
        <f t="shared" si="93"/>
        <v>15922</v>
      </c>
      <c r="BF192" s="8">
        <v>276931</v>
      </c>
      <c r="BG192" s="8">
        <f t="shared" si="94"/>
        <v>16221</v>
      </c>
      <c r="BH192" s="8">
        <v>596558</v>
      </c>
      <c r="BI192" s="8">
        <f t="shared" si="95"/>
        <v>-8249</v>
      </c>
      <c r="BJ192" s="8">
        <f t="shared" si="66"/>
        <v>-319627</v>
      </c>
      <c r="BK192" s="8">
        <f t="shared" si="68"/>
        <v>24470</v>
      </c>
    </row>
    <row r="193" spans="1:63">
      <c r="A193" s="5">
        <v>40218</v>
      </c>
      <c r="B193" s="8">
        <v>336428</v>
      </c>
      <c r="C193" s="8">
        <f t="shared" si="69"/>
        <v>39660</v>
      </c>
      <c r="D193" s="8">
        <v>37916</v>
      </c>
      <c r="E193" s="8">
        <f t="shared" si="70"/>
        <v>4286</v>
      </c>
      <c r="F193" s="8">
        <v>29221</v>
      </c>
      <c r="G193" s="8">
        <f t="shared" si="71"/>
        <v>-2437</v>
      </c>
      <c r="H193" s="8">
        <v>8695</v>
      </c>
      <c r="I193" s="8">
        <f t="shared" si="72"/>
        <v>6723</v>
      </c>
      <c r="J193" s="8">
        <v>173975</v>
      </c>
      <c r="K193" s="8">
        <f t="shared" si="73"/>
        <v>12436</v>
      </c>
      <c r="L193" s="8">
        <v>186667</v>
      </c>
      <c r="M193" s="8">
        <f t="shared" si="74"/>
        <v>23853</v>
      </c>
      <c r="N193" s="8">
        <v>-12692</v>
      </c>
      <c r="O193" s="8">
        <f t="shared" si="75"/>
        <v>-11417</v>
      </c>
      <c r="P193" s="8">
        <v>76142</v>
      </c>
      <c r="Q193" s="8">
        <f t="shared" si="76"/>
        <v>1423</v>
      </c>
      <c r="R193" s="8">
        <v>172017</v>
      </c>
      <c r="S193" s="8">
        <f t="shared" si="77"/>
        <v>26452</v>
      </c>
      <c r="T193" s="8">
        <v>-95875</v>
      </c>
      <c r="U193" s="8">
        <f t="shared" si="78"/>
        <v>-25029</v>
      </c>
      <c r="W193" s="8">
        <v>229359</v>
      </c>
      <c r="X193" s="8">
        <f t="shared" si="79"/>
        <v>18038</v>
      </c>
      <c r="Y193" s="8">
        <v>42980</v>
      </c>
      <c r="Z193" s="8">
        <f t="shared" si="80"/>
        <v>-1285</v>
      </c>
      <c r="AA193" s="8">
        <v>23370</v>
      </c>
      <c r="AB193" s="8">
        <f t="shared" si="67"/>
        <v>4327</v>
      </c>
      <c r="AC193" s="8">
        <v>19610</v>
      </c>
      <c r="AD193" s="8">
        <f t="shared" si="67"/>
        <v>-5612</v>
      </c>
      <c r="AE193" s="8">
        <v>100754</v>
      </c>
      <c r="AF193" s="8">
        <f t="shared" si="81"/>
        <v>14393</v>
      </c>
      <c r="AG193" s="8">
        <v>123091</v>
      </c>
      <c r="AH193" s="8">
        <f t="shared" si="82"/>
        <v>4650</v>
      </c>
      <c r="AI193" s="8">
        <v>-22337</v>
      </c>
      <c r="AJ193" s="8">
        <f t="shared" si="83"/>
        <v>9743</v>
      </c>
      <c r="AK193" s="8">
        <v>91075</v>
      </c>
      <c r="AL193" s="8">
        <f t="shared" si="84"/>
        <v>12892</v>
      </c>
      <c r="AM193" s="8">
        <v>113694</v>
      </c>
      <c r="AN193" s="8">
        <f t="shared" si="85"/>
        <v>2946</v>
      </c>
      <c r="AO193" s="8">
        <v>-22619</v>
      </c>
      <c r="AP193" s="8">
        <f t="shared" si="86"/>
        <v>9946</v>
      </c>
      <c r="AR193" s="8">
        <v>1481038</v>
      </c>
      <c r="AS193" s="8">
        <f t="shared" si="87"/>
        <v>4925</v>
      </c>
      <c r="AT193" s="8">
        <v>179046</v>
      </c>
      <c r="AU193" s="8">
        <f t="shared" si="88"/>
        <v>-10367</v>
      </c>
      <c r="AV193" s="8">
        <v>138136</v>
      </c>
      <c r="AW193" s="8">
        <f t="shared" si="89"/>
        <v>24614</v>
      </c>
      <c r="AX193" s="8">
        <f t="shared" si="64"/>
        <v>40910</v>
      </c>
      <c r="AY193" s="8">
        <f t="shared" si="90"/>
        <v>-34981</v>
      </c>
      <c r="AZ193" s="8">
        <v>723468</v>
      </c>
      <c r="BA193" s="8">
        <f t="shared" si="91"/>
        <v>12647</v>
      </c>
      <c r="BB193" s="8">
        <v>635168</v>
      </c>
      <c r="BC193" s="8">
        <f t="shared" si="92"/>
        <v>-12363</v>
      </c>
      <c r="BD193" s="8">
        <f t="shared" si="65"/>
        <v>88300</v>
      </c>
      <c r="BE193" s="8">
        <f t="shared" si="93"/>
        <v>25010</v>
      </c>
      <c r="BF193" s="8">
        <v>291741</v>
      </c>
      <c r="BG193" s="8">
        <f t="shared" si="94"/>
        <v>14810</v>
      </c>
      <c r="BH193" s="8">
        <v>584732</v>
      </c>
      <c r="BI193" s="8">
        <f t="shared" si="95"/>
        <v>-11826</v>
      </c>
      <c r="BJ193" s="8">
        <f t="shared" si="66"/>
        <v>-292991</v>
      </c>
      <c r="BK193" s="8">
        <f t="shared" si="68"/>
        <v>26636</v>
      </c>
    </row>
    <row r="194" spans="1:63">
      <c r="A194" s="5">
        <v>40225</v>
      </c>
      <c r="B194" s="8">
        <v>336843</v>
      </c>
      <c r="C194" s="8">
        <f t="shared" si="69"/>
        <v>415</v>
      </c>
      <c r="D194" s="8">
        <v>42494</v>
      </c>
      <c r="E194" s="8">
        <f t="shared" si="70"/>
        <v>4578</v>
      </c>
      <c r="F194" s="8">
        <v>20974</v>
      </c>
      <c r="G194" s="8">
        <f t="shared" si="71"/>
        <v>-8247</v>
      </c>
      <c r="H194" s="8">
        <v>21520</v>
      </c>
      <c r="I194" s="8">
        <f t="shared" si="72"/>
        <v>12825</v>
      </c>
      <c r="J194" s="8">
        <v>171507</v>
      </c>
      <c r="K194" s="8">
        <f t="shared" si="73"/>
        <v>-2468</v>
      </c>
      <c r="L194" s="8">
        <v>194983</v>
      </c>
      <c r="M194" s="8">
        <f t="shared" si="74"/>
        <v>8316</v>
      </c>
      <c r="N194" s="8">
        <v>-23476</v>
      </c>
      <c r="O194" s="8">
        <f t="shared" si="75"/>
        <v>-10784</v>
      </c>
      <c r="P194" s="8">
        <v>68306</v>
      </c>
      <c r="Q194" s="8">
        <f t="shared" si="76"/>
        <v>-7836</v>
      </c>
      <c r="R194" s="8">
        <v>178831</v>
      </c>
      <c r="S194" s="8">
        <f t="shared" si="77"/>
        <v>6814</v>
      </c>
      <c r="T194" s="8">
        <v>-110525</v>
      </c>
      <c r="U194" s="8">
        <f t="shared" si="78"/>
        <v>-14650</v>
      </c>
      <c r="W194" s="8">
        <v>231600</v>
      </c>
      <c r="X194" s="8">
        <f t="shared" si="79"/>
        <v>2241</v>
      </c>
      <c r="Y194" s="8">
        <v>45323</v>
      </c>
      <c r="Z194" s="8">
        <f t="shared" si="80"/>
        <v>2343</v>
      </c>
      <c r="AA194" s="8">
        <v>22459</v>
      </c>
      <c r="AB194" s="8">
        <f t="shared" si="67"/>
        <v>-911</v>
      </c>
      <c r="AC194" s="8">
        <v>22864</v>
      </c>
      <c r="AD194" s="8">
        <f t="shared" si="67"/>
        <v>3254</v>
      </c>
      <c r="AE194" s="8">
        <v>100291</v>
      </c>
      <c r="AF194" s="8">
        <f t="shared" si="81"/>
        <v>-463</v>
      </c>
      <c r="AG194" s="8">
        <v>129630</v>
      </c>
      <c r="AH194" s="8">
        <f t="shared" si="82"/>
        <v>6539</v>
      </c>
      <c r="AI194" s="8">
        <v>-29339</v>
      </c>
      <c r="AJ194" s="8">
        <f t="shared" si="83"/>
        <v>-7002</v>
      </c>
      <c r="AK194" s="8">
        <v>90206</v>
      </c>
      <c r="AL194" s="8">
        <f t="shared" si="84"/>
        <v>-869</v>
      </c>
      <c r="AM194" s="8">
        <v>119381</v>
      </c>
      <c r="AN194" s="8">
        <f t="shared" si="85"/>
        <v>5687</v>
      </c>
      <c r="AO194" s="8">
        <v>-29175</v>
      </c>
      <c r="AP194" s="8">
        <f t="shared" si="86"/>
        <v>-6556</v>
      </c>
      <c r="AR194" s="8">
        <v>1513817</v>
      </c>
      <c r="AS194" s="8">
        <f t="shared" si="87"/>
        <v>32779</v>
      </c>
      <c r="AT194" s="8">
        <v>178733</v>
      </c>
      <c r="AU194" s="8">
        <f t="shared" si="88"/>
        <v>-313</v>
      </c>
      <c r="AV194" s="8">
        <v>137226</v>
      </c>
      <c r="AW194" s="8">
        <f t="shared" si="89"/>
        <v>-910</v>
      </c>
      <c r="AX194" s="8">
        <f t="shared" si="64"/>
        <v>41507</v>
      </c>
      <c r="AY194" s="8">
        <f t="shared" si="90"/>
        <v>597</v>
      </c>
      <c r="AZ194" s="8">
        <v>724696</v>
      </c>
      <c r="BA194" s="8">
        <f t="shared" si="91"/>
        <v>1228</v>
      </c>
      <c r="BB194" s="8">
        <v>643284</v>
      </c>
      <c r="BC194" s="8">
        <f t="shared" si="92"/>
        <v>8116</v>
      </c>
      <c r="BD194" s="8">
        <f t="shared" si="65"/>
        <v>81412</v>
      </c>
      <c r="BE194" s="8">
        <f t="shared" si="93"/>
        <v>-6888</v>
      </c>
      <c r="BF194" s="8">
        <v>294423</v>
      </c>
      <c r="BG194" s="8">
        <f t="shared" si="94"/>
        <v>2682</v>
      </c>
      <c r="BH194" s="8">
        <v>593795</v>
      </c>
      <c r="BI194" s="8">
        <f t="shared" si="95"/>
        <v>9063</v>
      </c>
      <c r="BJ194" s="8">
        <f t="shared" si="66"/>
        <v>-299372</v>
      </c>
      <c r="BK194" s="8">
        <f t="shared" si="68"/>
        <v>-6381</v>
      </c>
    </row>
    <row r="195" spans="1:63">
      <c r="A195" s="5">
        <v>40232</v>
      </c>
      <c r="B195" s="8">
        <v>324979</v>
      </c>
      <c r="C195" s="8">
        <f t="shared" si="69"/>
        <v>-11864</v>
      </c>
      <c r="D195" s="8">
        <v>43075</v>
      </c>
      <c r="E195" s="8">
        <f t="shared" si="70"/>
        <v>581</v>
      </c>
      <c r="F195" s="8">
        <v>17273</v>
      </c>
      <c r="G195" s="8">
        <f t="shared" si="71"/>
        <v>-3701</v>
      </c>
      <c r="H195" s="8">
        <v>25802</v>
      </c>
      <c r="I195" s="8">
        <f t="shared" si="72"/>
        <v>4282</v>
      </c>
      <c r="J195" s="8">
        <v>164296</v>
      </c>
      <c r="K195" s="8">
        <f t="shared" si="73"/>
        <v>-7211</v>
      </c>
      <c r="L195" s="8">
        <v>190184</v>
      </c>
      <c r="M195" s="8">
        <f t="shared" si="74"/>
        <v>-4799</v>
      </c>
      <c r="N195" s="8">
        <v>-25888</v>
      </c>
      <c r="O195" s="8">
        <f t="shared" si="75"/>
        <v>-2412</v>
      </c>
      <c r="P195" s="8">
        <v>49147</v>
      </c>
      <c r="Q195" s="8">
        <f t="shared" si="76"/>
        <v>-19159</v>
      </c>
      <c r="R195" s="8">
        <v>168512</v>
      </c>
      <c r="S195" s="8">
        <f t="shared" si="77"/>
        <v>-10319</v>
      </c>
      <c r="T195" s="8">
        <v>-119365</v>
      </c>
      <c r="U195" s="8">
        <f t="shared" si="78"/>
        <v>-8840</v>
      </c>
      <c r="W195" s="8">
        <v>224551</v>
      </c>
      <c r="X195" s="8">
        <f t="shared" si="79"/>
        <v>-7049</v>
      </c>
      <c r="Y195" s="8">
        <v>46542</v>
      </c>
      <c r="Z195" s="8">
        <f t="shared" si="80"/>
        <v>1219</v>
      </c>
      <c r="AA195" s="8">
        <v>17721</v>
      </c>
      <c r="AB195" s="8">
        <f t="shared" si="67"/>
        <v>-4738</v>
      </c>
      <c r="AC195" s="8">
        <v>28821</v>
      </c>
      <c r="AD195" s="8">
        <f t="shared" si="67"/>
        <v>5957</v>
      </c>
      <c r="AE195" s="8">
        <v>95014</v>
      </c>
      <c r="AF195" s="8">
        <f t="shared" si="81"/>
        <v>-5277</v>
      </c>
      <c r="AG195" s="8">
        <v>130641</v>
      </c>
      <c r="AH195" s="8">
        <f t="shared" si="82"/>
        <v>1011</v>
      </c>
      <c r="AI195" s="8">
        <v>-35627</v>
      </c>
      <c r="AJ195" s="8">
        <f t="shared" si="83"/>
        <v>-6288</v>
      </c>
      <c r="AK195" s="8">
        <v>84911</v>
      </c>
      <c r="AL195" s="8">
        <f t="shared" si="84"/>
        <v>-5295</v>
      </c>
      <c r="AM195" s="8">
        <v>121138</v>
      </c>
      <c r="AN195" s="8">
        <f t="shared" si="85"/>
        <v>1757</v>
      </c>
      <c r="AO195" s="8">
        <v>-36227</v>
      </c>
      <c r="AP195" s="8">
        <f t="shared" si="86"/>
        <v>-7052</v>
      </c>
      <c r="AR195" s="8">
        <v>1385976</v>
      </c>
      <c r="AS195" s="8">
        <f t="shared" si="87"/>
        <v>-127841</v>
      </c>
      <c r="AT195" s="8">
        <v>185406</v>
      </c>
      <c r="AU195" s="8">
        <f t="shared" si="88"/>
        <v>6673</v>
      </c>
      <c r="AV195" s="8">
        <v>120539</v>
      </c>
      <c r="AW195" s="8">
        <f t="shared" si="89"/>
        <v>-16687</v>
      </c>
      <c r="AX195" s="8">
        <f t="shared" si="64"/>
        <v>64867</v>
      </c>
      <c r="AY195" s="8">
        <f t="shared" si="90"/>
        <v>23360</v>
      </c>
      <c r="AZ195" s="8">
        <v>680282</v>
      </c>
      <c r="BA195" s="8">
        <f t="shared" si="91"/>
        <v>-44414</v>
      </c>
      <c r="BB195" s="8">
        <v>625122</v>
      </c>
      <c r="BC195" s="8">
        <f t="shared" si="92"/>
        <v>-18162</v>
      </c>
      <c r="BD195" s="8">
        <f t="shared" si="65"/>
        <v>55160</v>
      </c>
      <c r="BE195" s="8">
        <f t="shared" si="93"/>
        <v>-26252</v>
      </c>
      <c r="BF195" s="8">
        <v>253296</v>
      </c>
      <c r="BG195" s="8">
        <f t="shared" si="94"/>
        <v>-41127</v>
      </c>
      <c r="BH195" s="8">
        <v>583122</v>
      </c>
      <c r="BI195" s="8">
        <f t="shared" si="95"/>
        <v>-10673</v>
      </c>
      <c r="BJ195" s="8">
        <f t="shared" si="66"/>
        <v>-329826</v>
      </c>
      <c r="BK195" s="8">
        <f t="shared" si="68"/>
        <v>-30454</v>
      </c>
    </row>
    <row r="196" spans="1:63">
      <c r="A196" s="5">
        <v>40239</v>
      </c>
      <c r="B196" s="8">
        <v>318484</v>
      </c>
      <c r="C196" s="8">
        <f t="shared" si="69"/>
        <v>-6495</v>
      </c>
      <c r="D196" s="8">
        <v>46166</v>
      </c>
      <c r="E196" s="8">
        <f t="shared" si="70"/>
        <v>3091</v>
      </c>
      <c r="F196" s="8">
        <v>12362</v>
      </c>
      <c r="G196" s="8">
        <f t="shared" si="71"/>
        <v>-4911</v>
      </c>
      <c r="H196" s="8">
        <v>33804</v>
      </c>
      <c r="I196" s="8">
        <f t="shared" si="72"/>
        <v>8002</v>
      </c>
      <c r="J196" s="8">
        <v>164580</v>
      </c>
      <c r="K196" s="8">
        <f t="shared" si="73"/>
        <v>284</v>
      </c>
      <c r="L196" s="8">
        <v>200606</v>
      </c>
      <c r="M196" s="8">
        <f t="shared" si="74"/>
        <v>10422</v>
      </c>
      <c r="N196" s="8">
        <v>-36026</v>
      </c>
      <c r="O196" s="8">
        <f t="shared" si="75"/>
        <v>-10138</v>
      </c>
      <c r="P196" s="8">
        <v>44716</v>
      </c>
      <c r="Q196" s="8">
        <f t="shared" si="76"/>
        <v>-4431</v>
      </c>
      <c r="R196" s="8">
        <v>182794</v>
      </c>
      <c r="S196" s="8">
        <f t="shared" si="77"/>
        <v>14282</v>
      </c>
      <c r="T196" s="8">
        <v>-138078</v>
      </c>
      <c r="U196" s="8">
        <f t="shared" si="78"/>
        <v>-18713</v>
      </c>
      <c r="W196" s="8">
        <v>221388</v>
      </c>
      <c r="X196" s="8">
        <f t="shared" si="79"/>
        <v>-3163</v>
      </c>
      <c r="Y196" s="8">
        <v>43976</v>
      </c>
      <c r="Z196" s="8">
        <f t="shared" si="80"/>
        <v>-2566</v>
      </c>
      <c r="AA196" s="8">
        <v>20600</v>
      </c>
      <c r="AB196" s="8">
        <f t="shared" si="67"/>
        <v>2879</v>
      </c>
      <c r="AC196" s="8">
        <v>23376</v>
      </c>
      <c r="AD196" s="8">
        <f t="shared" si="67"/>
        <v>-5445</v>
      </c>
      <c r="AE196" s="8">
        <v>94442</v>
      </c>
      <c r="AF196" s="8">
        <f t="shared" si="81"/>
        <v>-572</v>
      </c>
      <c r="AG196" s="8">
        <v>123560</v>
      </c>
      <c r="AH196" s="8">
        <f t="shared" si="82"/>
        <v>-7081</v>
      </c>
      <c r="AI196" s="8">
        <v>-29118</v>
      </c>
      <c r="AJ196" s="8">
        <f t="shared" si="83"/>
        <v>6509</v>
      </c>
      <c r="AK196" s="8">
        <v>83311</v>
      </c>
      <c r="AL196" s="8">
        <f t="shared" si="84"/>
        <v>-1600</v>
      </c>
      <c r="AM196" s="8">
        <v>112598</v>
      </c>
      <c r="AN196" s="8">
        <f t="shared" si="85"/>
        <v>-8540</v>
      </c>
      <c r="AO196" s="8">
        <v>-29287</v>
      </c>
      <c r="AP196" s="8">
        <f t="shared" si="86"/>
        <v>6940</v>
      </c>
      <c r="AR196" s="8">
        <v>1390497</v>
      </c>
      <c r="AS196" s="8">
        <f t="shared" si="87"/>
        <v>4521</v>
      </c>
      <c r="AT196" s="8">
        <v>189891</v>
      </c>
      <c r="AU196" s="8">
        <f t="shared" si="88"/>
        <v>4485</v>
      </c>
      <c r="AV196" s="8">
        <v>101149</v>
      </c>
      <c r="AW196" s="8">
        <f t="shared" si="89"/>
        <v>-19390</v>
      </c>
      <c r="AX196" s="8">
        <f t="shared" ref="AX196:AX259" si="96">AT196-AV196</f>
        <v>88742</v>
      </c>
      <c r="AY196" s="8">
        <f t="shared" si="90"/>
        <v>23875</v>
      </c>
      <c r="AZ196" s="8">
        <v>671114</v>
      </c>
      <c r="BA196" s="8">
        <f t="shared" si="91"/>
        <v>-9168</v>
      </c>
      <c r="BB196" s="8">
        <v>640356</v>
      </c>
      <c r="BC196" s="8">
        <f t="shared" si="92"/>
        <v>15234</v>
      </c>
      <c r="BD196" s="8">
        <f t="shared" ref="BD196:BD259" si="97">AZ196-BB196</f>
        <v>30758</v>
      </c>
      <c r="BE196" s="8">
        <f t="shared" si="93"/>
        <v>-24402</v>
      </c>
      <c r="BF196" s="8">
        <v>235659</v>
      </c>
      <c r="BG196" s="8">
        <f t="shared" si="94"/>
        <v>-17637</v>
      </c>
      <c r="BH196" s="8">
        <v>599080</v>
      </c>
      <c r="BI196" s="8">
        <f t="shared" si="95"/>
        <v>15958</v>
      </c>
      <c r="BJ196" s="8">
        <f t="shared" ref="BJ196:BJ259" si="98">BF196-BH196</f>
        <v>-363421</v>
      </c>
      <c r="BK196" s="8">
        <f t="shared" si="68"/>
        <v>-33595</v>
      </c>
    </row>
    <row r="197" spans="1:63">
      <c r="A197" s="5">
        <v>40246</v>
      </c>
      <c r="B197" s="8">
        <v>324869</v>
      </c>
      <c r="C197" s="8">
        <f t="shared" si="69"/>
        <v>6385</v>
      </c>
      <c r="D197" s="8">
        <v>52552</v>
      </c>
      <c r="E197" s="8">
        <f t="shared" si="70"/>
        <v>6386</v>
      </c>
      <c r="F197" s="8">
        <v>16039</v>
      </c>
      <c r="G197" s="8">
        <f t="shared" si="71"/>
        <v>3677</v>
      </c>
      <c r="H197" s="8">
        <v>36513</v>
      </c>
      <c r="I197" s="8">
        <f t="shared" si="72"/>
        <v>2709</v>
      </c>
      <c r="J197" s="8">
        <v>164855</v>
      </c>
      <c r="K197" s="8">
        <f t="shared" si="73"/>
        <v>275</v>
      </c>
      <c r="L197" s="8">
        <v>201581</v>
      </c>
      <c r="M197" s="8">
        <f t="shared" si="74"/>
        <v>975</v>
      </c>
      <c r="N197" s="8">
        <v>-36726</v>
      </c>
      <c r="O197" s="8">
        <f t="shared" si="75"/>
        <v>-700</v>
      </c>
      <c r="P197" s="8">
        <v>43554</v>
      </c>
      <c r="Q197" s="8">
        <f t="shared" si="76"/>
        <v>-1162</v>
      </c>
      <c r="R197" s="8">
        <v>185505</v>
      </c>
      <c r="S197" s="8">
        <f t="shared" si="77"/>
        <v>2711</v>
      </c>
      <c r="T197" s="8">
        <v>-141951</v>
      </c>
      <c r="U197" s="8">
        <f t="shared" si="78"/>
        <v>-3873</v>
      </c>
      <c r="W197" s="8">
        <v>229233</v>
      </c>
      <c r="X197" s="8">
        <f t="shared" si="79"/>
        <v>7845</v>
      </c>
      <c r="Y197" s="8">
        <v>40258</v>
      </c>
      <c r="Z197" s="8">
        <f t="shared" si="80"/>
        <v>-3718</v>
      </c>
      <c r="AA197" s="8">
        <v>29226</v>
      </c>
      <c r="AB197" s="8">
        <f t="shared" ref="AB197:AD260" si="99">AA197-AA196</f>
        <v>8626</v>
      </c>
      <c r="AC197" s="8">
        <v>11032</v>
      </c>
      <c r="AD197" s="8">
        <f t="shared" si="99"/>
        <v>-12344</v>
      </c>
      <c r="AE197" s="8">
        <v>104838</v>
      </c>
      <c r="AF197" s="8">
        <f t="shared" si="81"/>
        <v>10396</v>
      </c>
      <c r="AG197" s="8">
        <v>114484</v>
      </c>
      <c r="AH197" s="8">
        <f t="shared" si="82"/>
        <v>-9076</v>
      </c>
      <c r="AI197" s="8">
        <v>-9646</v>
      </c>
      <c r="AJ197" s="8">
        <f t="shared" si="83"/>
        <v>19472</v>
      </c>
      <c r="AK197" s="8">
        <v>90225</v>
      </c>
      <c r="AL197" s="8">
        <f t="shared" si="84"/>
        <v>6914</v>
      </c>
      <c r="AM197" s="8">
        <v>103741</v>
      </c>
      <c r="AN197" s="8">
        <f t="shared" si="85"/>
        <v>-8857</v>
      </c>
      <c r="AO197" s="8">
        <v>-13516</v>
      </c>
      <c r="AP197" s="8">
        <f t="shared" si="86"/>
        <v>15771</v>
      </c>
      <c r="AR197" s="8">
        <v>1423552</v>
      </c>
      <c r="AS197" s="8">
        <f t="shared" si="87"/>
        <v>33055</v>
      </c>
      <c r="AT197" s="8">
        <v>189749</v>
      </c>
      <c r="AU197" s="8">
        <f t="shared" si="88"/>
        <v>-142</v>
      </c>
      <c r="AV197" s="8">
        <v>103881</v>
      </c>
      <c r="AW197" s="8">
        <f t="shared" si="89"/>
        <v>2732</v>
      </c>
      <c r="AX197" s="8">
        <f t="shared" si="96"/>
        <v>85868</v>
      </c>
      <c r="AY197" s="8">
        <f t="shared" si="90"/>
        <v>-2874</v>
      </c>
      <c r="AZ197" s="8">
        <v>679700</v>
      </c>
      <c r="BA197" s="8">
        <f t="shared" si="91"/>
        <v>8586</v>
      </c>
      <c r="BB197" s="8">
        <v>642316</v>
      </c>
      <c r="BC197" s="8">
        <f t="shared" si="92"/>
        <v>1960</v>
      </c>
      <c r="BD197" s="8">
        <f t="shared" si="97"/>
        <v>37384</v>
      </c>
      <c r="BE197" s="8">
        <f t="shared" si="93"/>
        <v>6626</v>
      </c>
      <c r="BF197" s="8">
        <v>245091</v>
      </c>
      <c r="BG197" s="8">
        <f t="shared" si="94"/>
        <v>9432</v>
      </c>
      <c r="BH197" s="8">
        <v>598049</v>
      </c>
      <c r="BI197" s="8">
        <f t="shared" si="95"/>
        <v>-1031</v>
      </c>
      <c r="BJ197" s="8">
        <f t="shared" si="98"/>
        <v>-352958</v>
      </c>
      <c r="BK197" s="8">
        <f t="shared" ref="BK197:BK260" si="100">BJ197-BJ196</f>
        <v>10463</v>
      </c>
    </row>
    <row r="198" spans="1:63">
      <c r="A198" s="5">
        <v>40253</v>
      </c>
      <c r="B198" s="8">
        <v>323972</v>
      </c>
      <c r="C198" s="8">
        <f t="shared" si="69"/>
        <v>-897</v>
      </c>
      <c r="D198" s="8">
        <v>46209</v>
      </c>
      <c r="E198" s="8">
        <f t="shared" si="70"/>
        <v>-6343</v>
      </c>
      <c r="F198" s="8">
        <v>15260</v>
      </c>
      <c r="G198" s="8">
        <f t="shared" si="71"/>
        <v>-779</v>
      </c>
      <c r="H198" s="8">
        <v>30949</v>
      </c>
      <c r="I198" s="8">
        <f t="shared" si="72"/>
        <v>-5564</v>
      </c>
      <c r="J198" s="8">
        <v>164538</v>
      </c>
      <c r="K198" s="8">
        <f t="shared" si="73"/>
        <v>-317</v>
      </c>
      <c r="L198" s="8">
        <v>197365</v>
      </c>
      <c r="M198" s="8">
        <f t="shared" si="74"/>
        <v>-4216</v>
      </c>
      <c r="N198" s="8">
        <v>-32827</v>
      </c>
      <c r="O198" s="8">
        <f t="shared" si="75"/>
        <v>3899</v>
      </c>
      <c r="P198" s="8">
        <v>49254</v>
      </c>
      <c r="Q198" s="8">
        <f t="shared" si="76"/>
        <v>5700</v>
      </c>
      <c r="R198" s="8">
        <v>180780</v>
      </c>
      <c r="S198" s="8">
        <f t="shared" si="77"/>
        <v>-4725</v>
      </c>
      <c r="T198" s="8">
        <v>-131526</v>
      </c>
      <c r="U198" s="8">
        <f t="shared" si="78"/>
        <v>10425</v>
      </c>
      <c r="W198" s="8">
        <v>233782</v>
      </c>
      <c r="X198" s="8">
        <f t="shared" si="79"/>
        <v>4549</v>
      </c>
      <c r="Y198" s="8">
        <v>42039</v>
      </c>
      <c r="Z198" s="8">
        <f t="shared" si="80"/>
        <v>1781</v>
      </c>
      <c r="AA198" s="8">
        <v>29414</v>
      </c>
      <c r="AB198" s="8">
        <f t="shared" si="99"/>
        <v>188</v>
      </c>
      <c r="AC198" s="8">
        <v>12625</v>
      </c>
      <c r="AD198" s="8">
        <f t="shared" si="99"/>
        <v>1593</v>
      </c>
      <c r="AE198" s="8">
        <v>101322</v>
      </c>
      <c r="AF198" s="8">
        <f t="shared" si="81"/>
        <v>-3516</v>
      </c>
      <c r="AG198" s="8">
        <v>110302</v>
      </c>
      <c r="AH198" s="8">
        <f t="shared" si="82"/>
        <v>-4182</v>
      </c>
      <c r="AI198" s="8">
        <v>-8980</v>
      </c>
      <c r="AJ198" s="8">
        <f t="shared" si="83"/>
        <v>666</v>
      </c>
      <c r="AK198" s="8">
        <v>84869</v>
      </c>
      <c r="AL198" s="8">
        <f t="shared" si="84"/>
        <v>-5356</v>
      </c>
      <c r="AM198" s="8">
        <v>99305</v>
      </c>
      <c r="AN198" s="8">
        <f t="shared" si="85"/>
        <v>-4436</v>
      </c>
      <c r="AO198" s="8">
        <v>-14436</v>
      </c>
      <c r="AP198" s="8">
        <f t="shared" si="86"/>
        <v>-920</v>
      </c>
      <c r="AR198" s="8">
        <v>1445533</v>
      </c>
      <c r="AS198" s="8">
        <f t="shared" si="87"/>
        <v>21981</v>
      </c>
      <c r="AT198" s="8">
        <v>189033</v>
      </c>
      <c r="AU198" s="8">
        <f t="shared" si="88"/>
        <v>-716</v>
      </c>
      <c r="AV198" s="8">
        <v>133235</v>
      </c>
      <c r="AW198" s="8">
        <f t="shared" si="89"/>
        <v>29354</v>
      </c>
      <c r="AX198" s="8">
        <f t="shared" si="96"/>
        <v>55798</v>
      </c>
      <c r="AY198" s="8">
        <f t="shared" si="90"/>
        <v>-30070</v>
      </c>
      <c r="AZ198" s="8">
        <v>694404</v>
      </c>
      <c r="BA198" s="8">
        <f t="shared" si="91"/>
        <v>14704</v>
      </c>
      <c r="BB198" s="8">
        <v>631240</v>
      </c>
      <c r="BC198" s="8">
        <f t="shared" si="92"/>
        <v>-11076</v>
      </c>
      <c r="BD198" s="8">
        <f t="shared" si="97"/>
        <v>63164</v>
      </c>
      <c r="BE198" s="8">
        <f t="shared" si="93"/>
        <v>25780</v>
      </c>
      <c r="BF198" s="8">
        <v>253647</v>
      </c>
      <c r="BG198" s="8">
        <f t="shared" si="94"/>
        <v>8556</v>
      </c>
      <c r="BH198" s="8">
        <v>583239</v>
      </c>
      <c r="BI198" s="8">
        <f t="shared" si="95"/>
        <v>-14810</v>
      </c>
      <c r="BJ198" s="8">
        <f t="shared" si="98"/>
        <v>-329592</v>
      </c>
      <c r="BK198" s="8">
        <f t="shared" si="100"/>
        <v>23366</v>
      </c>
    </row>
    <row r="199" spans="1:63">
      <c r="A199" s="5">
        <v>40260</v>
      </c>
      <c r="B199" s="8">
        <v>322355</v>
      </c>
      <c r="C199" s="8">
        <f t="shared" si="69"/>
        <v>-1617</v>
      </c>
      <c r="D199" s="8">
        <v>39773</v>
      </c>
      <c r="E199" s="8">
        <f t="shared" si="70"/>
        <v>-6436</v>
      </c>
      <c r="F199" s="8">
        <v>13071</v>
      </c>
      <c r="G199" s="8">
        <f t="shared" si="71"/>
        <v>-2189</v>
      </c>
      <c r="H199" s="8">
        <v>26702</v>
      </c>
      <c r="I199" s="8">
        <f t="shared" si="72"/>
        <v>-4247</v>
      </c>
      <c r="J199" s="8">
        <v>161881</v>
      </c>
      <c r="K199" s="8">
        <f t="shared" si="73"/>
        <v>-2657</v>
      </c>
      <c r="L199" s="8">
        <v>196618</v>
      </c>
      <c r="M199" s="8">
        <f t="shared" si="74"/>
        <v>-747</v>
      </c>
      <c r="N199" s="8">
        <v>-34737</v>
      </c>
      <c r="O199" s="8">
        <f t="shared" si="75"/>
        <v>-1910</v>
      </c>
      <c r="P199" s="8">
        <v>53095</v>
      </c>
      <c r="Q199" s="8">
        <f t="shared" si="76"/>
        <v>3841</v>
      </c>
      <c r="R199" s="8">
        <v>179886</v>
      </c>
      <c r="S199" s="8">
        <f t="shared" si="77"/>
        <v>-894</v>
      </c>
      <c r="T199" s="8">
        <v>-126791</v>
      </c>
      <c r="U199" s="8">
        <f t="shared" si="78"/>
        <v>4735</v>
      </c>
      <c r="W199" s="8">
        <v>225957</v>
      </c>
      <c r="X199" s="8">
        <f t="shared" si="79"/>
        <v>-7825</v>
      </c>
      <c r="Y199" s="8">
        <v>42644</v>
      </c>
      <c r="Z199" s="8">
        <f t="shared" si="80"/>
        <v>605</v>
      </c>
      <c r="AA199" s="8">
        <v>21124</v>
      </c>
      <c r="AB199" s="8">
        <f t="shared" si="99"/>
        <v>-8290</v>
      </c>
      <c r="AC199" s="8">
        <v>21520</v>
      </c>
      <c r="AD199" s="8">
        <f t="shared" si="99"/>
        <v>8895</v>
      </c>
      <c r="AE199" s="8">
        <v>97823</v>
      </c>
      <c r="AF199" s="8">
        <f t="shared" si="81"/>
        <v>-3499</v>
      </c>
      <c r="AG199" s="8">
        <v>116582</v>
      </c>
      <c r="AH199" s="8">
        <f t="shared" si="82"/>
        <v>6280</v>
      </c>
      <c r="AI199" s="8">
        <v>-18759</v>
      </c>
      <c r="AJ199" s="8">
        <f t="shared" si="83"/>
        <v>-9779</v>
      </c>
      <c r="AK199" s="8">
        <v>82674</v>
      </c>
      <c r="AL199" s="8">
        <f t="shared" si="84"/>
        <v>-2195</v>
      </c>
      <c r="AM199" s="8">
        <v>107143</v>
      </c>
      <c r="AN199" s="8">
        <f t="shared" si="85"/>
        <v>7838</v>
      </c>
      <c r="AO199" s="8">
        <v>-24469</v>
      </c>
      <c r="AP199" s="8">
        <f t="shared" si="86"/>
        <v>-10033</v>
      </c>
      <c r="AR199" s="8">
        <v>1483169</v>
      </c>
      <c r="AS199" s="8">
        <f t="shared" si="87"/>
        <v>37636</v>
      </c>
      <c r="AT199" s="8">
        <v>179827</v>
      </c>
      <c r="AU199" s="8">
        <f t="shared" si="88"/>
        <v>-9206</v>
      </c>
      <c r="AV199" s="8">
        <v>150082</v>
      </c>
      <c r="AW199" s="8">
        <f t="shared" si="89"/>
        <v>16847</v>
      </c>
      <c r="AX199" s="8">
        <f t="shared" si="96"/>
        <v>29745</v>
      </c>
      <c r="AY199" s="8">
        <f t="shared" si="90"/>
        <v>-26053</v>
      </c>
      <c r="AZ199" s="8">
        <v>710203</v>
      </c>
      <c r="BA199" s="8">
        <f t="shared" si="91"/>
        <v>15799</v>
      </c>
      <c r="BB199" s="8">
        <v>624814</v>
      </c>
      <c r="BC199" s="8">
        <f t="shared" si="92"/>
        <v>-6426</v>
      </c>
      <c r="BD199" s="8">
        <f t="shared" si="97"/>
        <v>85389</v>
      </c>
      <c r="BE199" s="8">
        <f t="shared" si="93"/>
        <v>22225</v>
      </c>
      <c r="BF199" s="8">
        <v>257727</v>
      </c>
      <c r="BG199" s="8">
        <f t="shared" si="94"/>
        <v>4080</v>
      </c>
      <c r="BH199" s="8">
        <v>571201</v>
      </c>
      <c r="BI199" s="8">
        <f t="shared" si="95"/>
        <v>-12038</v>
      </c>
      <c r="BJ199" s="8">
        <f t="shared" si="98"/>
        <v>-313474</v>
      </c>
      <c r="BK199" s="8">
        <f t="shared" si="100"/>
        <v>16118</v>
      </c>
    </row>
    <row r="200" spans="1:63">
      <c r="A200" s="5">
        <v>40267</v>
      </c>
      <c r="B200" s="8">
        <v>325054</v>
      </c>
      <c r="C200" s="8">
        <f t="shared" ref="C200:C263" si="101">B200-B199</f>
        <v>2699</v>
      </c>
      <c r="D200" s="8">
        <v>32791</v>
      </c>
      <c r="E200" s="8">
        <f t="shared" ref="E200:E263" si="102">D200-D199</f>
        <v>-6982</v>
      </c>
      <c r="F200" s="8">
        <v>18376</v>
      </c>
      <c r="G200" s="8">
        <f t="shared" ref="G200:G263" si="103">F200-F199</f>
        <v>5305</v>
      </c>
      <c r="H200" s="8">
        <v>14415</v>
      </c>
      <c r="I200" s="8">
        <f t="shared" ref="I200:I263" si="104">H200-H199</f>
        <v>-12287</v>
      </c>
      <c r="J200" s="8">
        <v>176245</v>
      </c>
      <c r="K200" s="8">
        <f t="shared" ref="K200:K263" si="105">J200-J199</f>
        <v>14364</v>
      </c>
      <c r="L200" s="8">
        <v>193290</v>
      </c>
      <c r="M200" s="8">
        <f t="shared" ref="M200:M263" si="106">L200-L199</f>
        <v>-3328</v>
      </c>
      <c r="N200" s="8">
        <v>-17045</v>
      </c>
      <c r="O200" s="8">
        <f t="shared" ref="O200:O263" si="107">N200-N199</f>
        <v>17692</v>
      </c>
      <c r="P200" s="8">
        <v>66556</v>
      </c>
      <c r="Q200" s="8">
        <f t="shared" ref="Q200:Q263" si="108">P200-P199</f>
        <v>13461</v>
      </c>
      <c r="R200" s="8">
        <v>174046</v>
      </c>
      <c r="S200" s="8">
        <f t="shared" ref="S200:S263" si="109">R200-R199</f>
        <v>-5840</v>
      </c>
      <c r="T200" s="8">
        <v>-107490</v>
      </c>
      <c r="U200" s="8">
        <f t="shared" ref="U200:U263" si="110">T200-T199</f>
        <v>19301</v>
      </c>
      <c r="W200" s="8">
        <v>228728</v>
      </c>
      <c r="X200" s="8">
        <f t="shared" ref="X200:X263" si="111">W200-W199</f>
        <v>2771</v>
      </c>
      <c r="Y200" s="8">
        <v>46886</v>
      </c>
      <c r="Z200" s="8">
        <f t="shared" ref="Z200:Z263" si="112">Y200-Y199</f>
        <v>4242</v>
      </c>
      <c r="AA200" s="8">
        <v>15537</v>
      </c>
      <c r="AB200" s="8">
        <f t="shared" si="99"/>
        <v>-5587</v>
      </c>
      <c r="AC200" s="8">
        <v>31349</v>
      </c>
      <c r="AD200" s="8">
        <f t="shared" si="99"/>
        <v>9829</v>
      </c>
      <c r="AE200" s="8">
        <v>94910</v>
      </c>
      <c r="AF200" s="8">
        <f t="shared" ref="AF200:AF263" si="113">AE200-AE199</f>
        <v>-2913</v>
      </c>
      <c r="AG200" s="8">
        <v>123540</v>
      </c>
      <c r="AH200" s="8">
        <f t="shared" ref="AH200:AH263" si="114">AG200-AG199</f>
        <v>6958</v>
      </c>
      <c r="AI200" s="8">
        <v>-28630</v>
      </c>
      <c r="AJ200" s="8">
        <f t="shared" ref="AJ200:AJ263" si="115">AI200-AI199</f>
        <v>-9871</v>
      </c>
      <c r="AK200" s="8">
        <v>80249</v>
      </c>
      <c r="AL200" s="8">
        <f t="shared" ref="AL200:AL263" si="116">AK200-AK199</f>
        <v>-2425</v>
      </c>
      <c r="AM200" s="8">
        <v>116275</v>
      </c>
      <c r="AN200" s="8">
        <f t="shared" ref="AN200:AN263" si="117">AM200-AM199</f>
        <v>9132</v>
      </c>
      <c r="AO200" s="8">
        <v>-36026</v>
      </c>
      <c r="AP200" s="8">
        <f t="shared" ref="AP200:AP263" si="118">AO200-AO199</f>
        <v>-11557</v>
      </c>
      <c r="AR200" s="8">
        <v>1520751</v>
      </c>
      <c r="AS200" s="8">
        <f t="shared" ref="AS200:AS263" si="119">AR200-AR199</f>
        <v>37582</v>
      </c>
      <c r="AT200" s="8">
        <v>170022</v>
      </c>
      <c r="AU200" s="8">
        <f t="shared" ref="AU200:AU263" si="120">AT200-AT199</f>
        <v>-9805</v>
      </c>
      <c r="AV200" s="8">
        <v>163163</v>
      </c>
      <c r="AW200" s="8">
        <f t="shared" ref="AW200:AW263" si="121">AV200-AV199</f>
        <v>13081</v>
      </c>
      <c r="AX200" s="8">
        <f t="shared" si="96"/>
        <v>6859</v>
      </c>
      <c r="AY200" s="8">
        <f t="shared" ref="AY200:AY263" si="122">AX200-AX199</f>
        <v>-22886</v>
      </c>
      <c r="AZ200" s="8">
        <v>728883</v>
      </c>
      <c r="BA200" s="8">
        <f t="shared" ref="BA200:BA263" si="123">AZ200-AZ199</f>
        <v>18680</v>
      </c>
      <c r="BB200" s="8">
        <v>606089</v>
      </c>
      <c r="BC200" s="8">
        <f t="shared" ref="BC200:BC263" si="124">BB200-BB199</f>
        <v>-18725</v>
      </c>
      <c r="BD200" s="8">
        <f t="shared" si="97"/>
        <v>122794</v>
      </c>
      <c r="BE200" s="8">
        <f t="shared" ref="BE200:BE263" si="125">BD200-BD199</f>
        <v>37405</v>
      </c>
      <c r="BF200" s="8">
        <v>271966</v>
      </c>
      <c r="BG200" s="8">
        <f t="shared" ref="BG200:BG263" si="126">BF200-BF199</f>
        <v>14239</v>
      </c>
      <c r="BH200" s="8">
        <v>544791</v>
      </c>
      <c r="BI200" s="8">
        <f t="shared" ref="BI200:BI263" si="127">BH200-BH199</f>
        <v>-26410</v>
      </c>
      <c r="BJ200" s="8">
        <f t="shared" si="98"/>
        <v>-272825</v>
      </c>
      <c r="BK200" s="8">
        <f t="shared" si="100"/>
        <v>40649</v>
      </c>
    </row>
    <row r="201" spans="1:63">
      <c r="A201" s="5">
        <v>40274</v>
      </c>
      <c r="B201" s="8">
        <v>338795</v>
      </c>
      <c r="C201" s="8">
        <f t="shared" si="101"/>
        <v>13741</v>
      </c>
      <c r="D201" s="8">
        <v>42910</v>
      </c>
      <c r="E201" s="8">
        <f t="shared" si="102"/>
        <v>10119</v>
      </c>
      <c r="F201" s="8">
        <v>17126</v>
      </c>
      <c r="G201" s="8">
        <f t="shared" si="103"/>
        <v>-1250</v>
      </c>
      <c r="H201" s="8">
        <v>25784</v>
      </c>
      <c r="I201" s="8">
        <f t="shared" si="104"/>
        <v>11369</v>
      </c>
      <c r="J201" s="8">
        <v>173913</v>
      </c>
      <c r="K201" s="8">
        <f t="shared" si="105"/>
        <v>-2332</v>
      </c>
      <c r="L201" s="8">
        <v>203781</v>
      </c>
      <c r="M201" s="8">
        <f t="shared" si="106"/>
        <v>10491</v>
      </c>
      <c r="N201" s="8">
        <v>-29868</v>
      </c>
      <c r="O201" s="8">
        <f t="shared" si="107"/>
        <v>-12823</v>
      </c>
      <c r="P201" s="8">
        <v>63135</v>
      </c>
      <c r="Q201" s="8">
        <f t="shared" si="108"/>
        <v>-3421</v>
      </c>
      <c r="R201" s="8">
        <v>185635</v>
      </c>
      <c r="S201" s="8">
        <f t="shared" si="109"/>
        <v>11589</v>
      </c>
      <c r="T201" s="8">
        <v>-122500</v>
      </c>
      <c r="U201" s="8">
        <f t="shared" si="110"/>
        <v>-15010</v>
      </c>
      <c r="W201" s="8">
        <v>220517</v>
      </c>
      <c r="X201" s="8">
        <f t="shared" si="111"/>
        <v>-8211</v>
      </c>
      <c r="Y201" s="8">
        <v>45039</v>
      </c>
      <c r="Z201" s="8">
        <f t="shared" si="112"/>
        <v>-1847</v>
      </c>
      <c r="AA201" s="8">
        <v>19275</v>
      </c>
      <c r="AB201" s="8">
        <f t="shared" si="99"/>
        <v>3738</v>
      </c>
      <c r="AC201" s="8">
        <v>25764</v>
      </c>
      <c r="AD201" s="8">
        <f t="shared" si="99"/>
        <v>-5585</v>
      </c>
      <c r="AE201" s="8">
        <v>92542</v>
      </c>
      <c r="AF201" s="8">
        <f t="shared" si="113"/>
        <v>-2368</v>
      </c>
      <c r="AG201" s="8">
        <v>112934</v>
      </c>
      <c r="AH201" s="8">
        <f t="shared" si="114"/>
        <v>-10606</v>
      </c>
      <c r="AI201" s="8">
        <v>-20392</v>
      </c>
      <c r="AJ201" s="8">
        <f t="shared" si="115"/>
        <v>8238</v>
      </c>
      <c r="AK201" s="8">
        <v>77089</v>
      </c>
      <c r="AL201" s="8">
        <f t="shared" si="116"/>
        <v>-3160</v>
      </c>
      <c r="AM201" s="8">
        <v>103832</v>
      </c>
      <c r="AN201" s="8">
        <f t="shared" si="117"/>
        <v>-12443</v>
      </c>
      <c r="AO201" s="8">
        <v>-26743</v>
      </c>
      <c r="AP201" s="8">
        <f t="shared" si="118"/>
        <v>9283</v>
      </c>
      <c r="AR201" s="8">
        <v>1522807</v>
      </c>
      <c r="AS201" s="8">
        <f t="shared" si="119"/>
        <v>2056</v>
      </c>
      <c r="AT201" s="8">
        <v>166990</v>
      </c>
      <c r="AU201" s="8">
        <f t="shared" si="120"/>
        <v>-3032</v>
      </c>
      <c r="AV201" s="8">
        <v>185162</v>
      </c>
      <c r="AW201" s="8">
        <f t="shared" si="121"/>
        <v>21999</v>
      </c>
      <c r="AX201" s="8">
        <f t="shared" si="96"/>
        <v>-18172</v>
      </c>
      <c r="AY201" s="8">
        <f t="shared" si="122"/>
        <v>-25031</v>
      </c>
      <c r="AZ201" s="8">
        <v>731819</v>
      </c>
      <c r="BA201" s="8">
        <f t="shared" si="123"/>
        <v>2936</v>
      </c>
      <c r="BB201" s="8">
        <v>589545</v>
      </c>
      <c r="BC201" s="8">
        <f t="shared" si="124"/>
        <v>-16544</v>
      </c>
      <c r="BD201" s="8">
        <f t="shared" si="97"/>
        <v>142274</v>
      </c>
      <c r="BE201" s="8">
        <f t="shared" si="125"/>
        <v>19480</v>
      </c>
      <c r="BF201" s="8">
        <v>279479</v>
      </c>
      <c r="BG201" s="8">
        <f t="shared" si="126"/>
        <v>7513</v>
      </c>
      <c r="BH201" s="8">
        <v>526805</v>
      </c>
      <c r="BI201" s="8">
        <f t="shared" si="127"/>
        <v>-17986</v>
      </c>
      <c r="BJ201" s="8">
        <f t="shared" si="98"/>
        <v>-247326</v>
      </c>
      <c r="BK201" s="8">
        <f t="shared" si="100"/>
        <v>25499</v>
      </c>
    </row>
    <row r="202" spans="1:63">
      <c r="A202" s="5">
        <v>40281</v>
      </c>
      <c r="B202" s="8">
        <v>331537</v>
      </c>
      <c r="C202" s="8">
        <f t="shared" si="101"/>
        <v>-7258</v>
      </c>
      <c r="D202" s="8">
        <v>52709</v>
      </c>
      <c r="E202" s="8">
        <f t="shared" si="102"/>
        <v>9799</v>
      </c>
      <c r="F202" s="8">
        <v>15862</v>
      </c>
      <c r="G202" s="8">
        <f t="shared" si="103"/>
        <v>-1264</v>
      </c>
      <c r="H202" s="8">
        <v>36847</v>
      </c>
      <c r="I202" s="8">
        <f t="shared" si="104"/>
        <v>11063</v>
      </c>
      <c r="J202" s="8">
        <v>163259</v>
      </c>
      <c r="K202" s="8">
        <f t="shared" si="105"/>
        <v>-10654</v>
      </c>
      <c r="L202" s="8">
        <v>206993</v>
      </c>
      <c r="M202" s="8">
        <f t="shared" si="106"/>
        <v>3212</v>
      </c>
      <c r="N202" s="8">
        <v>-43734</v>
      </c>
      <c r="O202" s="8">
        <f t="shared" si="107"/>
        <v>-13866</v>
      </c>
      <c r="P202" s="8">
        <v>52535</v>
      </c>
      <c r="Q202" s="8">
        <f t="shared" si="108"/>
        <v>-10600</v>
      </c>
      <c r="R202" s="8">
        <v>195787</v>
      </c>
      <c r="S202" s="8">
        <f t="shared" si="109"/>
        <v>10152</v>
      </c>
      <c r="T202" s="8">
        <v>-143252</v>
      </c>
      <c r="U202" s="8">
        <f t="shared" si="110"/>
        <v>-20752</v>
      </c>
      <c r="W202" s="8">
        <v>224132</v>
      </c>
      <c r="X202" s="8">
        <f t="shared" si="111"/>
        <v>3615</v>
      </c>
      <c r="Y202" s="8">
        <v>44870</v>
      </c>
      <c r="Z202" s="8">
        <f t="shared" si="112"/>
        <v>-169</v>
      </c>
      <c r="AA202" s="8">
        <v>19593</v>
      </c>
      <c r="AB202" s="8">
        <f t="shared" si="99"/>
        <v>318</v>
      </c>
      <c r="AC202" s="8">
        <v>25277</v>
      </c>
      <c r="AD202" s="8">
        <f t="shared" si="99"/>
        <v>-487</v>
      </c>
      <c r="AE202" s="8">
        <v>91535</v>
      </c>
      <c r="AF202" s="8">
        <f t="shared" si="113"/>
        <v>-1007</v>
      </c>
      <c r="AG202" s="8">
        <v>114268</v>
      </c>
      <c r="AH202" s="8">
        <f t="shared" si="114"/>
        <v>1334</v>
      </c>
      <c r="AI202" s="8">
        <v>-22733</v>
      </c>
      <c r="AJ202" s="8">
        <f t="shared" si="115"/>
        <v>-2341</v>
      </c>
      <c r="AK202" s="8">
        <v>75236</v>
      </c>
      <c r="AL202" s="8">
        <f t="shared" si="116"/>
        <v>-1853</v>
      </c>
      <c r="AM202" s="8">
        <v>104769</v>
      </c>
      <c r="AN202" s="8">
        <f t="shared" si="117"/>
        <v>937</v>
      </c>
      <c r="AO202" s="8">
        <v>-29533</v>
      </c>
      <c r="AP202" s="8">
        <f t="shared" si="118"/>
        <v>-2790</v>
      </c>
      <c r="AR202" s="8">
        <v>1565172</v>
      </c>
      <c r="AS202" s="8">
        <f t="shared" si="119"/>
        <v>42365</v>
      </c>
      <c r="AT202" s="8">
        <v>171468</v>
      </c>
      <c r="AU202" s="8">
        <f t="shared" si="120"/>
        <v>4478</v>
      </c>
      <c r="AV202" s="8">
        <v>190712</v>
      </c>
      <c r="AW202" s="8">
        <f t="shared" si="121"/>
        <v>5550</v>
      </c>
      <c r="AX202" s="8">
        <f t="shared" si="96"/>
        <v>-19244</v>
      </c>
      <c r="AY202" s="8">
        <f t="shared" si="122"/>
        <v>-1072</v>
      </c>
      <c r="AZ202" s="8">
        <v>748797</v>
      </c>
      <c r="BA202" s="8">
        <f t="shared" si="123"/>
        <v>16978</v>
      </c>
      <c r="BB202" s="8">
        <v>609939</v>
      </c>
      <c r="BC202" s="8">
        <f t="shared" si="124"/>
        <v>20394</v>
      </c>
      <c r="BD202" s="8">
        <f t="shared" si="97"/>
        <v>138858</v>
      </c>
      <c r="BE202" s="8">
        <f t="shared" si="125"/>
        <v>-3416</v>
      </c>
      <c r="BF202" s="8">
        <v>292835</v>
      </c>
      <c r="BG202" s="8">
        <f t="shared" si="126"/>
        <v>13356</v>
      </c>
      <c r="BH202" s="8">
        <v>550699</v>
      </c>
      <c r="BI202" s="8">
        <f t="shared" si="127"/>
        <v>23894</v>
      </c>
      <c r="BJ202" s="8">
        <f t="shared" si="98"/>
        <v>-257864</v>
      </c>
      <c r="BK202" s="8">
        <f t="shared" si="100"/>
        <v>-10538</v>
      </c>
    </row>
    <row r="203" spans="1:63">
      <c r="A203" s="5">
        <v>40288</v>
      </c>
      <c r="B203" s="8">
        <v>335659</v>
      </c>
      <c r="C203" s="8">
        <f t="shared" si="101"/>
        <v>4122</v>
      </c>
      <c r="D203" s="8">
        <v>40115</v>
      </c>
      <c r="E203" s="8">
        <f t="shared" si="102"/>
        <v>-12594</v>
      </c>
      <c r="F203" s="8">
        <v>18363</v>
      </c>
      <c r="G203" s="8">
        <f t="shared" si="103"/>
        <v>2501</v>
      </c>
      <c r="H203" s="8">
        <v>21752</v>
      </c>
      <c r="I203" s="8">
        <f t="shared" si="104"/>
        <v>-15095</v>
      </c>
      <c r="J203" s="8">
        <v>173701</v>
      </c>
      <c r="K203" s="8">
        <f t="shared" si="105"/>
        <v>10442</v>
      </c>
      <c r="L203" s="8">
        <v>199563</v>
      </c>
      <c r="M203" s="8">
        <f t="shared" si="106"/>
        <v>-7430</v>
      </c>
      <c r="N203" s="8">
        <v>-25862</v>
      </c>
      <c r="O203" s="8">
        <f t="shared" si="107"/>
        <v>17872</v>
      </c>
      <c r="P203" s="8">
        <v>59453</v>
      </c>
      <c r="Q203" s="8">
        <f t="shared" si="108"/>
        <v>6918</v>
      </c>
      <c r="R203" s="8">
        <v>183652</v>
      </c>
      <c r="S203" s="8">
        <f t="shared" si="109"/>
        <v>-12135</v>
      </c>
      <c r="T203" s="8">
        <v>-124199</v>
      </c>
      <c r="U203" s="8">
        <f t="shared" si="110"/>
        <v>19053</v>
      </c>
      <c r="W203" s="8">
        <v>241328</v>
      </c>
      <c r="X203" s="8">
        <f t="shared" si="111"/>
        <v>17196</v>
      </c>
      <c r="Y203" s="8">
        <v>50685</v>
      </c>
      <c r="Z203" s="8">
        <f t="shared" si="112"/>
        <v>5815</v>
      </c>
      <c r="AA203" s="8">
        <v>16337</v>
      </c>
      <c r="AB203" s="8">
        <f t="shared" si="99"/>
        <v>-3256</v>
      </c>
      <c r="AC203" s="8">
        <v>34348</v>
      </c>
      <c r="AD203" s="8">
        <f t="shared" si="99"/>
        <v>9071</v>
      </c>
      <c r="AE203" s="8">
        <v>96433</v>
      </c>
      <c r="AF203" s="8">
        <f t="shared" si="113"/>
        <v>4898</v>
      </c>
      <c r="AG203" s="8">
        <v>130435</v>
      </c>
      <c r="AH203" s="8">
        <f t="shared" si="114"/>
        <v>16167</v>
      </c>
      <c r="AI203" s="8">
        <v>-34002</v>
      </c>
      <c r="AJ203" s="8">
        <f t="shared" si="115"/>
        <v>-11269</v>
      </c>
      <c r="AK203" s="8">
        <v>79989</v>
      </c>
      <c r="AL203" s="8">
        <f t="shared" si="116"/>
        <v>4753</v>
      </c>
      <c r="AM203" s="8">
        <v>121309</v>
      </c>
      <c r="AN203" s="8">
        <f t="shared" si="117"/>
        <v>16540</v>
      </c>
      <c r="AO203" s="8">
        <v>-41320</v>
      </c>
      <c r="AP203" s="8">
        <f t="shared" si="118"/>
        <v>-11787</v>
      </c>
      <c r="AR203" s="8">
        <v>1576092</v>
      </c>
      <c r="AS203" s="8">
        <f t="shared" si="119"/>
        <v>10920</v>
      </c>
      <c r="AT203" s="8">
        <v>186255</v>
      </c>
      <c r="AU203" s="8">
        <f t="shared" si="120"/>
        <v>14787</v>
      </c>
      <c r="AV203" s="8">
        <v>176479</v>
      </c>
      <c r="AW203" s="8">
        <f t="shared" si="121"/>
        <v>-14233</v>
      </c>
      <c r="AX203" s="8">
        <f t="shared" si="96"/>
        <v>9776</v>
      </c>
      <c r="AY203" s="8">
        <f t="shared" si="122"/>
        <v>29020</v>
      </c>
      <c r="AZ203" s="8">
        <v>753885</v>
      </c>
      <c r="BA203" s="8">
        <f t="shared" si="123"/>
        <v>5088</v>
      </c>
      <c r="BB203" s="8">
        <v>642019</v>
      </c>
      <c r="BC203" s="8">
        <f t="shared" si="124"/>
        <v>32080</v>
      </c>
      <c r="BD203" s="8">
        <f t="shared" si="97"/>
        <v>111866</v>
      </c>
      <c r="BE203" s="8">
        <f t="shared" si="125"/>
        <v>-26992</v>
      </c>
      <c r="BF203" s="8">
        <v>293993</v>
      </c>
      <c r="BG203" s="8">
        <f t="shared" si="126"/>
        <v>1158</v>
      </c>
      <c r="BH203" s="8">
        <v>584064</v>
      </c>
      <c r="BI203" s="8">
        <f t="shared" si="127"/>
        <v>33365</v>
      </c>
      <c r="BJ203" s="8">
        <f t="shared" si="98"/>
        <v>-290071</v>
      </c>
      <c r="BK203" s="8">
        <f t="shared" si="100"/>
        <v>-32207</v>
      </c>
    </row>
    <row r="204" spans="1:63">
      <c r="A204" s="5">
        <v>40295</v>
      </c>
      <c r="B204" s="8">
        <v>309239</v>
      </c>
      <c r="C204" s="8">
        <f t="shared" si="101"/>
        <v>-26420</v>
      </c>
      <c r="D204" s="8">
        <v>32901</v>
      </c>
      <c r="E204" s="8">
        <f t="shared" si="102"/>
        <v>-7214</v>
      </c>
      <c r="F204" s="8">
        <v>18357</v>
      </c>
      <c r="G204" s="8">
        <f t="shared" si="103"/>
        <v>-6</v>
      </c>
      <c r="H204" s="8">
        <v>14544</v>
      </c>
      <c r="I204" s="8">
        <f t="shared" si="104"/>
        <v>-7208</v>
      </c>
      <c r="J204" s="8">
        <v>164747</v>
      </c>
      <c r="K204" s="8">
        <f t="shared" si="105"/>
        <v>-8954</v>
      </c>
      <c r="L204" s="8">
        <v>193855</v>
      </c>
      <c r="M204" s="8">
        <f t="shared" si="106"/>
        <v>-5708</v>
      </c>
      <c r="N204" s="8">
        <v>-29108</v>
      </c>
      <c r="O204" s="8">
        <f t="shared" si="107"/>
        <v>-3246</v>
      </c>
      <c r="P204" s="8">
        <v>54107</v>
      </c>
      <c r="Q204" s="8">
        <f t="shared" si="108"/>
        <v>-5346</v>
      </c>
      <c r="R204" s="8">
        <v>180424</v>
      </c>
      <c r="S204" s="8">
        <f t="shared" si="109"/>
        <v>-3228</v>
      </c>
      <c r="T204" s="8">
        <v>-126317</v>
      </c>
      <c r="U204" s="8">
        <f t="shared" si="110"/>
        <v>-2118</v>
      </c>
      <c r="W204" s="8">
        <v>221547</v>
      </c>
      <c r="X204" s="8">
        <f t="shared" si="111"/>
        <v>-19781</v>
      </c>
      <c r="Y204" s="8">
        <v>58388</v>
      </c>
      <c r="Z204" s="8">
        <f t="shared" si="112"/>
        <v>7703</v>
      </c>
      <c r="AA204" s="8">
        <v>8483</v>
      </c>
      <c r="AB204" s="8">
        <f t="shared" si="99"/>
        <v>-7854</v>
      </c>
      <c r="AC204" s="8">
        <v>49905</v>
      </c>
      <c r="AD204" s="8">
        <f t="shared" si="99"/>
        <v>15557</v>
      </c>
      <c r="AE204" s="8">
        <v>85187</v>
      </c>
      <c r="AF204" s="8">
        <f t="shared" si="113"/>
        <v>-11246</v>
      </c>
      <c r="AG204" s="8">
        <v>134670</v>
      </c>
      <c r="AH204" s="8">
        <f t="shared" si="114"/>
        <v>4235</v>
      </c>
      <c r="AI204" s="8">
        <v>-49483</v>
      </c>
      <c r="AJ204" s="8">
        <f t="shared" si="115"/>
        <v>-15481</v>
      </c>
      <c r="AK204" s="8">
        <v>70969</v>
      </c>
      <c r="AL204" s="8">
        <f t="shared" si="116"/>
        <v>-9020</v>
      </c>
      <c r="AM204" s="8">
        <v>129479</v>
      </c>
      <c r="AN204" s="8">
        <f t="shared" si="117"/>
        <v>8170</v>
      </c>
      <c r="AO204" s="8">
        <v>-58510</v>
      </c>
      <c r="AP204" s="8">
        <f t="shared" si="118"/>
        <v>-17190</v>
      </c>
      <c r="AR204" s="8">
        <v>1490534</v>
      </c>
      <c r="AS204" s="8">
        <f t="shared" si="119"/>
        <v>-85558</v>
      </c>
      <c r="AT204" s="8">
        <v>183998</v>
      </c>
      <c r="AU204" s="8">
        <f t="shared" si="120"/>
        <v>-2257</v>
      </c>
      <c r="AV204" s="8">
        <v>183745</v>
      </c>
      <c r="AW204" s="8">
        <f t="shared" si="121"/>
        <v>7266</v>
      </c>
      <c r="AX204" s="8">
        <f t="shared" si="96"/>
        <v>253</v>
      </c>
      <c r="AY204" s="8">
        <f t="shared" si="122"/>
        <v>-9523</v>
      </c>
      <c r="AZ204" s="8">
        <v>752177</v>
      </c>
      <c r="BA204" s="8">
        <f t="shared" si="123"/>
        <v>-1708</v>
      </c>
      <c r="BB204" s="8">
        <v>640280</v>
      </c>
      <c r="BC204" s="8">
        <f t="shared" si="124"/>
        <v>-1739</v>
      </c>
      <c r="BD204" s="8">
        <f t="shared" si="97"/>
        <v>111897</v>
      </c>
      <c r="BE204" s="8">
        <f t="shared" si="125"/>
        <v>31</v>
      </c>
      <c r="BF204" s="8">
        <v>282582</v>
      </c>
      <c r="BG204" s="8">
        <f t="shared" si="126"/>
        <v>-11411</v>
      </c>
      <c r="BH204" s="8">
        <v>580597</v>
      </c>
      <c r="BI204" s="8">
        <f t="shared" si="127"/>
        <v>-3467</v>
      </c>
      <c r="BJ204" s="8">
        <f t="shared" si="98"/>
        <v>-298015</v>
      </c>
      <c r="BK204" s="8">
        <f t="shared" si="100"/>
        <v>-7944</v>
      </c>
    </row>
    <row r="205" spans="1:63">
      <c r="A205" s="5">
        <v>40302</v>
      </c>
      <c r="B205" s="8">
        <v>311762</v>
      </c>
      <c r="C205" s="8">
        <f t="shared" si="101"/>
        <v>2523</v>
      </c>
      <c r="D205" s="8">
        <v>30202</v>
      </c>
      <c r="E205" s="8">
        <f t="shared" si="102"/>
        <v>-2699</v>
      </c>
      <c r="F205" s="8">
        <v>33296</v>
      </c>
      <c r="G205" s="8">
        <f t="shared" si="103"/>
        <v>14939</v>
      </c>
      <c r="H205" s="8">
        <v>-3094</v>
      </c>
      <c r="I205" s="8">
        <f t="shared" si="104"/>
        <v>-17638</v>
      </c>
      <c r="J205" s="8">
        <v>180384</v>
      </c>
      <c r="K205" s="8">
        <f t="shared" si="105"/>
        <v>15637</v>
      </c>
      <c r="L205" s="8">
        <v>180606</v>
      </c>
      <c r="M205" s="8">
        <f t="shared" si="106"/>
        <v>-13249</v>
      </c>
      <c r="N205" s="8">
        <v>-222</v>
      </c>
      <c r="O205" s="8">
        <f t="shared" si="107"/>
        <v>28886</v>
      </c>
      <c r="P205" s="8">
        <v>69211</v>
      </c>
      <c r="Q205" s="8">
        <f t="shared" si="108"/>
        <v>15104</v>
      </c>
      <c r="R205" s="8">
        <v>167541</v>
      </c>
      <c r="S205" s="8">
        <f t="shared" si="109"/>
        <v>-12883</v>
      </c>
      <c r="T205" s="8">
        <v>-98330</v>
      </c>
      <c r="U205" s="8">
        <f t="shared" si="110"/>
        <v>27987</v>
      </c>
      <c r="W205" s="8">
        <v>216224</v>
      </c>
      <c r="X205" s="8">
        <f t="shared" si="111"/>
        <v>-5323</v>
      </c>
      <c r="Y205" s="8">
        <v>62533</v>
      </c>
      <c r="Z205" s="8">
        <f t="shared" si="112"/>
        <v>4145</v>
      </c>
      <c r="AA205" s="8">
        <v>11481</v>
      </c>
      <c r="AB205" s="8">
        <f t="shared" si="99"/>
        <v>2998</v>
      </c>
      <c r="AC205" s="8">
        <v>51052</v>
      </c>
      <c r="AD205" s="8">
        <f t="shared" si="99"/>
        <v>1147</v>
      </c>
      <c r="AE205" s="8">
        <v>76103</v>
      </c>
      <c r="AF205" s="8">
        <f t="shared" si="113"/>
        <v>-9084</v>
      </c>
      <c r="AG205" s="8">
        <v>128298</v>
      </c>
      <c r="AH205" s="8">
        <f t="shared" si="114"/>
        <v>-6372</v>
      </c>
      <c r="AI205" s="8">
        <v>-52195</v>
      </c>
      <c r="AJ205" s="8">
        <f t="shared" si="115"/>
        <v>-2712</v>
      </c>
      <c r="AK205" s="8">
        <v>62864</v>
      </c>
      <c r="AL205" s="8">
        <f t="shared" si="116"/>
        <v>-8105</v>
      </c>
      <c r="AM205" s="8">
        <v>123779</v>
      </c>
      <c r="AN205" s="8">
        <f t="shared" si="117"/>
        <v>-5700</v>
      </c>
      <c r="AO205" s="8">
        <v>-60915</v>
      </c>
      <c r="AP205" s="8">
        <f t="shared" si="118"/>
        <v>-2405</v>
      </c>
      <c r="AR205" s="8">
        <v>1526170</v>
      </c>
      <c r="AS205" s="8">
        <f t="shared" si="119"/>
        <v>35636</v>
      </c>
      <c r="AT205" s="8">
        <v>202377</v>
      </c>
      <c r="AU205" s="8">
        <f t="shared" si="120"/>
        <v>18379</v>
      </c>
      <c r="AV205" s="8">
        <v>136880</v>
      </c>
      <c r="AW205" s="8">
        <f t="shared" si="121"/>
        <v>-46865</v>
      </c>
      <c r="AX205" s="8">
        <f t="shared" si="96"/>
        <v>65497</v>
      </c>
      <c r="AY205" s="8">
        <f t="shared" si="122"/>
        <v>65244</v>
      </c>
      <c r="AZ205" s="8">
        <v>747049</v>
      </c>
      <c r="BA205" s="8">
        <f t="shared" si="123"/>
        <v>-5128</v>
      </c>
      <c r="BB205" s="8">
        <v>690085</v>
      </c>
      <c r="BC205" s="8">
        <f t="shared" si="124"/>
        <v>49805</v>
      </c>
      <c r="BD205" s="8">
        <f t="shared" si="97"/>
        <v>56964</v>
      </c>
      <c r="BE205" s="8">
        <f t="shared" si="125"/>
        <v>-54933</v>
      </c>
      <c r="BF205" s="8">
        <v>269134</v>
      </c>
      <c r="BG205" s="8">
        <f t="shared" si="126"/>
        <v>-13448</v>
      </c>
      <c r="BH205" s="8">
        <v>624656</v>
      </c>
      <c r="BI205" s="8">
        <f t="shared" si="127"/>
        <v>44059</v>
      </c>
      <c r="BJ205" s="8">
        <f t="shared" si="98"/>
        <v>-355522</v>
      </c>
      <c r="BK205" s="8">
        <f t="shared" si="100"/>
        <v>-57507</v>
      </c>
    </row>
    <row r="206" spans="1:63">
      <c r="A206" s="5">
        <v>40309</v>
      </c>
      <c r="B206" s="8">
        <v>325116</v>
      </c>
      <c r="C206" s="8">
        <f t="shared" si="101"/>
        <v>13354</v>
      </c>
      <c r="D206" s="8">
        <v>33388</v>
      </c>
      <c r="E206" s="8">
        <f t="shared" si="102"/>
        <v>3186</v>
      </c>
      <c r="F206" s="8">
        <v>38674</v>
      </c>
      <c r="G206" s="8">
        <f t="shared" si="103"/>
        <v>5378</v>
      </c>
      <c r="H206" s="8">
        <v>-5286</v>
      </c>
      <c r="I206" s="8">
        <f t="shared" si="104"/>
        <v>-2192</v>
      </c>
      <c r="J206" s="8">
        <v>188306</v>
      </c>
      <c r="K206" s="8">
        <f t="shared" si="105"/>
        <v>7922</v>
      </c>
      <c r="L206" s="8">
        <v>184579</v>
      </c>
      <c r="M206" s="8">
        <f t="shared" si="106"/>
        <v>3973</v>
      </c>
      <c r="N206" s="8">
        <v>3727</v>
      </c>
      <c r="O206" s="8">
        <f t="shared" si="107"/>
        <v>3949</v>
      </c>
      <c r="P206" s="8">
        <v>76669</v>
      </c>
      <c r="Q206" s="8">
        <f t="shared" si="108"/>
        <v>7458</v>
      </c>
      <c r="R206" s="8">
        <v>169000</v>
      </c>
      <c r="S206" s="8">
        <f t="shared" si="109"/>
        <v>1459</v>
      </c>
      <c r="T206" s="8">
        <v>-92331</v>
      </c>
      <c r="U206" s="8">
        <f t="shared" si="110"/>
        <v>5999</v>
      </c>
      <c r="W206" s="8">
        <v>207165</v>
      </c>
      <c r="X206" s="8">
        <f t="shared" si="111"/>
        <v>-9059</v>
      </c>
      <c r="Y206" s="8">
        <v>53574</v>
      </c>
      <c r="Z206" s="8">
        <f t="shared" si="112"/>
        <v>-8959</v>
      </c>
      <c r="AA206" s="8">
        <v>10315</v>
      </c>
      <c r="AB206" s="8">
        <f t="shared" si="99"/>
        <v>-1166</v>
      </c>
      <c r="AC206" s="8">
        <v>43259</v>
      </c>
      <c r="AD206" s="8">
        <f t="shared" si="99"/>
        <v>-7793</v>
      </c>
      <c r="AE206" s="8">
        <v>77234</v>
      </c>
      <c r="AF206" s="8">
        <f t="shared" si="113"/>
        <v>1131</v>
      </c>
      <c r="AG206" s="8">
        <v>122068</v>
      </c>
      <c r="AH206" s="8">
        <f t="shared" si="114"/>
        <v>-6230</v>
      </c>
      <c r="AI206" s="8">
        <v>-44834</v>
      </c>
      <c r="AJ206" s="8">
        <f t="shared" si="115"/>
        <v>7361</v>
      </c>
      <c r="AK206" s="8">
        <v>63326</v>
      </c>
      <c r="AL206" s="8">
        <f t="shared" si="116"/>
        <v>462</v>
      </c>
      <c r="AM206" s="8">
        <v>115232</v>
      </c>
      <c r="AN206" s="8">
        <f t="shared" si="117"/>
        <v>-8547</v>
      </c>
      <c r="AO206" s="8">
        <v>-51906</v>
      </c>
      <c r="AP206" s="8">
        <f t="shared" si="118"/>
        <v>9009</v>
      </c>
      <c r="AR206" s="8">
        <v>1574996</v>
      </c>
      <c r="AS206" s="8">
        <f t="shared" si="119"/>
        <v>48826</v>
      </c>
      <c r="AT206" s="8">
        <v>212745</v>
      </c>
      <c r="AU206" s="8">
        <f t="shared" si="120"/>
        <v>10368</v>
      </c>
      <c r="AV206" s="8">
        <v>125487</v>
      </c>
      <c r="AW206" s="8">
        <f t="shared" si="121"/>
        <v>-11393</v>
      </c>
      <c r="AX206" s="8">
        <f t="shared" si="96"/>
        <v>87258</v>
      </c>
      <c r="AY206" s="8">
        <f t="shared" si="122"/>
        <v>21761</v>
      </c>
      <c r="AZ206" s="8">
        <v>758620</v>
      </c>
      <c r="BA206" s="8">
        <f t="shared" si="123"/>
        <v>11571</v>
      </c>
      <c r="BB206" s="8">
        <v>714985</v>
      </c>
      <c r="BC206" s="8">
        <f t="shared" si="124"/>
        <v>24900</v>
      </c>
      <c r="BD206" s="8">
        <f t="shared" si="97"/>
        <v>43635</v>
      </c>
      <c r="BE206" s="8">
        <f t="shared" si="125"/>
        <v>-13329</v>
      </c>
      <c r="BF206" s="8">
        <v>275374</v>
      </c>
      <c r="BG206" s="8">
        <f t="shared" si="126"/>
        <v>6240</v>
      </c>
      <c r="BH206" s="8">
        <v>639531</v>
      </c>
      <c r="BI206" s="8">
        <f t="shared" si="127"/>
        <v>14875</v>
      </c>
      <c r="BJ206" s="8">
        <f t="shared" si="98"/>
        <v>-364157</v>
      </c>
      <c r="BK206" s="8">
        <f t="shared" si="100"/>
        <v>-8635</v>
      </c>
    </row>
    <row r="207" spans="1:63">
      <c r="A207" s="5">
        <v>40316</v>
      </c>
      <c r="B207" s="8">
        <v>340739</v>
      </c>
      <c r="C207" s="8">
        <f t="shared" si="101"/>
        <v>15623</v>
      </c>
      <c r="D207" s="8">
        <v>29877</v>
      </c>
      <c r="E207" s="8">
        <f t="shared" si="102"/>
        <v>-3511</v>
      </c>
      <c r="F207" s="8">
        <v>49093</v>
      </c>
      <c r="G207" s="8">
        <f t="shared" si="103"/>
        <v>10419</v>
      </c>
      <c r="H207" s="8">
        <v>-19216</v>
      </c>
      <c r="I207" s="8">
        <f t="shared" si="104"/>
        <v>-13930</v>
      </c>
      <c r="J207" s="8">
        <v>200358</v>
      </c>
      <c r="K207" s="8">
        <f t="shared" si="105"/>
        <v>12052</v>
      </c>
      <c r="L207" s="8">
        <v>181306</v>
      </c>
      <c r="M207" s="8">
        <f t="shared" si="106"/>
        <v>-3273</v>
      </c>
      <c r="N207" s="8">
        <v>19052</v>
      </c>
      <c r="O207" s="8">
        <f t="shared" si="107"/>
        <v>15325</v>
      </c>
      <c r="P207" s="8">
        <v>92027</v>
      </c>
      <c r="Q207" s="8">
        <f t="shared" si="108"/>
        <v>15358</v>
      </c>
      <c r="R207" s="8">
        <v>163762</v>
      </c>
      <c r="S207" s="8">
        <f t="shared" si="109"/>
        <v>-5238</v>
      </c>
      <c r="T207" s="8">
        <v>-71735</v>
      </c>
      <c r="U207" s="8">
        <f t="shared" si="110"/>
        <v>20596</v>
      </c>
      <c r="W207" s="8">
        <v>200910</v>
      </c>
      <c r="X207" s="8">
        <f t="shared" si="111"/>
        <v>-6255</v>
      </c>
      <c r="Y207" s="8">
        <v>47271</v>
      </c>
      <c r="Z207" s="8">
        <f t="shared" si="112"/>
        <v>-6303</v>
      </c>
      <c r="AA207" s="8">
        <v>8707</v>
      </c>
      <c r="AB207" s="8">
        <f t="shared" si="99"/>
        <v>-1608</v>
      </c>
      <c r="AC207" s="8">
        <v>38564</v>
      </c>
      <c r="AD207" s="8">
        <f t="shared" si="99"/>
        <v>-4695</v>
      </c>
      <c r="AE207" s="8">
        <v>81096</v>
      </c>
      <c r="AF207" s="8">
        <f t="shared" si="113"/>
        <v>3862</v>
      </c>
      <c r="AG207" s="8">
        <v>120270</v>
      </c>
      <c r="AH207" s="8">
        <f t="shared" si="114"/>
        <v>-1798</v>
      </c>
      <c r="AI207" s="8">
        <v>-39174</v>
      </c>
      <c r="AJ207" s="8">
        <f t="shared" si="115"/>
        <v>5660</v>
      </c>
      <c r="AK207" s="8">
        <v>66285</v>
      </c>
      <c r="AL207" s="8">
        <f t="shared" si="116"/>
        <v>2959</v>
      </c>
      <c r="AM207" s="8">
        <v>112576</v>
      </c>
      <c r="AN207" s="8">
        <f t="shared" si="117"/>
        <v>-2656</v>
      </c>
      <c r="AO207" s="8">
        <v>-46291</v>
      </c>
      <c r="AP207" s="8">
        <f t="shared" si="118"/>
        <v>5615</v>
      </c>
      <c r="AR207" s="8">
        <v>1603124</v>
      </c>
      <c r="AS207" s="8">
        <f t="shared" si="119"/>
        <v>28128</v>
      </c>
      <c r="AT207" s="8">
        <v>215106</v>
      </c>
      <c r="AU207" s="8">
        <f t="shared" si="120"/>
        <v>2361</v>
      </c>
      <c r="AV207" s="8">
        <v>140961</v>
      </c>
      <c r="AW207" s="8">
        <f t="shared" si="121"/>
        <v>15474</v>
      </c>
      <c r="AX207" s="8">
        <f t="shared" si="96"/>
        <v>74145</v>
      </c>
      <c r="AY207" s="8">
        <f t="shared" si="122"/>
        <v>-13113</v>
      </c>
      <c r="AZ207" s="8">
        <v>759372</v>
      </c>
      <c r="BA207" s="8">
        <f t="shared" si="123"/>
        <v>752</v>
      </c>
      <c r="BB207" s="8">
        <v>707301</v>
      </c>
      <c r="BC207" s="8">
        <f t="shared" si="124"/>
        <v>-7684</v>
      </c>
      <c r="BD207" s="8">
        <f t="shared" si="97"/>
        <v>52071</v>
      </c>
      <c r="BE207" s="8">
        <f t="shared" si="125"/>
        <v>8436</v>
      </c>
      <c r="BF207" s="8">
        <v>278790</v>
      </c>
      <c r="BG207" s="8">
        <f t="shared" si="126"/>
        <v>3416</v>
      </c>
      <c r="BH207" s="8">
        <v>635966</v>
      </c>
      <c r="BI207" s="8">
        <f t="shared" si="127"/>
        <v>-3565</v>
      </c>
      <c r="BJ207" s="8">
        <f t="shared" si="98"/>
        <v>-357176</v>
      </c>
      <c r="BK207" s="8">
        <f t="shared" si="100"/>
        <v>6981</v>
      </c>
    </row>
    <row r="208" spans="1:63">
      <c r="A208" s="5">
        <v>40323</v>
      </c>
      <c r="B208" s="8">
        <v>360102</v>
      </c>
      <c r="C208" s="8">
        <f t="shared" si="101"/>
        <v>19363</v>
      </c>
      <c r="D208" s="8">
        <v>28080</v>
      </c>
      <c r="E208" s="8">
        <f t="shared" si="102"/>
        <v>-1797</v>
      </c>
      <c r="F208" s="8">
        <v>59405</v>
      </c>
      <c r="G208" s="8">
        <f t="shared" si="103"/>
        <v>10312</v>
      </c>
      <c r="H208" s="8">
        <v>-31325</v>
      </c>
      <c r="I208" s="8">
        <f t="shared" si="104"/>
        <v>-12109</v>
      </c>
      <c r="J208" s="8">
        <v>209542</v>
      </c>
      <c r="K208" s="8">
        <f t="shared" si="105"/>
        <v>9184</v>
      </c>
      <c r="L208" s="8">
        <v>182869</v>
      </c>
      <c r="M208" s="8">
        <f t="shared" si="106"/>
        <v>1563</v>
      </c>
      <c r="N208" s="8">
        <v>26673</v>
      </c>
      <c r="O208" s="8">
        <f t="shared" si="107"/>
        <v>7621</v>
      </c>
      <c r="P208" s="8">
        <v>95646</v>
      </c>
      <c r="Q208" s="8">
        <f t="shared" si="108"/>
        <v>3619</v>
      </c>
      <c r="R208" s="8">
        <v>165849</v>
      </c>
      <c r="S208" s="8">
        <f t="shared" si="109"/>
        <v>2087</v>
      </c>
      <c r="T208" s="8">
        <v>-70203</v>
      </c>
      <c r="U208" s="8">
        <f t="shared" si="110"/>
        <v>1532</v>
      </c>
      <c r="W208" s="8">
        <v>195487</v>
      </c>
      <c r="X208" s="8">
        <f t="shared" si="111"/>
        <v>-5423</v>
      </c>
      <c r="Y208" s="8">
        <v>40353</v>
      </c>
      <c r="Z208" s="8">
        <f t="shared" si="112"/>
        <v>-6918</v>
      </c>
      <c r="AA208" s="8">
        <v>6750</v>
      </c>
      <c r="AB208" s="8">
        <f t="shared" si="99"/>
        <v>-1957</v>
      </c>
      <c r="AC208" s="8">
        <v>33603</v>
      </c>
      <c r="AD208" s="8">
        <f t="shared" si="99"/>
        <v>-4961</v>
      </c>
      <c r="AE208" s="8">
        <v>82114</v>
      </c>
      <c r="AF208" s="8">
        <f t="shared" si="113"/>
        <v>1018</v>
      </c>
      <c r="AG208" s="8">
        <v>118464</v>
      </c>
      <c r="AH208" s="8">
        <f t="shared" si="114"/>
        <v>-1806</v>
      </c>
      <c r="AI208" s="8">
        <v>-36350</v>
      </c>
      <c r="AJ208" s="8">
        <f t="shared" si="115"/>
        <v>2824</v>
      </c>
      <c r="AK208" s="8">
        <v>67791</v>
      </c>
      <c r="AL208" s="8">
        <f t="shared" si="116"/>
        <v>1506</v>
      </c>
      <c r="AM208" s="8">
        <v>111110</v>
      </c>
      <c r="AN208" s="8">
        <f t="shared" si="117"/>
        <v>-1466</v>
      </c>
      <c r="AO208" s="8">
        <v>-43319</v>
      </c>
      <c r="AP208" s="8">
        <f t="shared" si="118"/>
        <v>2972</v>
      </c>
      <c r="AR208" s="8">
        <v>1595631</v>
      </c>
      <c r="AS208" s="8">
        <f t="shared" si="119"/>
        <v>-7493</v>
      </c>
      <c r="AT208" s="8">
        <v>207752</v>
      </c>
      <c r="AU208" s="8">
        <f t="shared" si="120"/>
        <v>-7354</v>
      </c>
      <c r="AV208" s="8">
        <v>125851</v>
      </c>
      <c r="AW208" s="8">
        <f t="shared" si="121"/>
        <v>-15110</v>
      </c>
      <c r="AX208" s="8">
        <f t="shared" si="96"/>
        <v>81901</v>
      </c>
      <c r="AY208" s="8">
        <f t="shared" si="122"/>
        <v>7756</v>
      </c>
      <c r="AZ208" s="8">
        <v>754158</v>
      </c>
      <c r="BA208" s="8">
        <f t="shared" si="123"/>
        <v>-5214</v>
      </c>
      <c r="BB208" s="8">
        <v>710731</v>
      </c>
      <c r="BC208" s="8">
        <f t="shared" si="124"/>
        <v>3430</v>
      </c>
      <c r="BD208" s="8">
        <f t="shared" si="97"/>
        <v>43427</v>
      </c>
      <c r="BE208" s="8">
        <f t="shared" si="125"/>
        <v>-8644</v>
      </c>
      <c r="BF208" s="8">
        <v>273236</v>
      </c>
      <c r="BG208" s="8">
        <f t="shared" si="126"/>
        <v>-5554</v>
      </c>
      <c r="BH208" s="8">
        <v>636205</v>
      </c>
      <c r="BI208" s="8">
        <f t="shared" si="127"/>
        <v>239</v>
      </c>
      <c r="BJ208" s="8">
        <f t="shared" si="98"/>
        <v>-362969</v>
      </c>
      <c r="BK208" s="8">
        <f t="shared" si="100"/>
        <v>-5793</v>
      </c>
    </row>
    <row r="209" spans="1:63">
      <c r="A209" s="5">
        <v>40330</v>
      </c>
      <c r="B209" s="8">
        <v>370047</v>
      </c>
      <c r="C209" s="8">
        <f t="shared" si="101"/>
        <v>9945</v>
      </c>
      <c r="D209" s="8">
        <v>32322</v>
      </c>
      <c r="E209" s="8">
        <f t="shared" si="102"/>
        <v>4242</v>
      </c>
      <c r="F209" s="8">
        <v>50474</v>
      </c>
      <c r="G209" s="8">
        <f t="shared" si="103"/>
        <v>-8931</v>
      </c>
      <c r="H209" s="8">
        <v>-18152</v>
      </c>
      <c r="I209" s="8">
        <f t="shared" si="104"/>
        <v>13173</v>
      </c>
      <c r="J209" s="8">
        <v>212548</v>
      </c>
      <c r="K209" s="8">
        <f t="shared" si="105"/>
        <v>3006</v>
      </c>
      <c r="L209" s="8">
        <v>196933</v>
      </c>
      <c r="M209" s="8">
        <f t="shared" si="106"/>
        <v>14064</v>
      </c>
      <c r="N209" s="8">
        <v>15615</v>
      </c>
      <c r="O209" s="8">
        <f t="shared" si="107"/>
        <v>-11058</v>
      </c>
      <c r="P209" s="8">
        <v>96453</v>
      </c>
      <c r="Q209" s="8">
        <f t="shared" si="108"/>
        <v>807</v>
      </c>
      <c r="R209" s="8">
        <v>178726</v>
      </c>
      <c r="S209" s="8">
        <f t="shared" si="109"/>
        <v>12877</v>
      </c>
      <c r="T209" s="8">
        <v>-82273</v>
      </c>
      <c r="U209" s="8">
        <f t="shared" si="110"/>
        <v>-12070</v>
      </c>
      <c r="W209" s="8">
        <v>192248</v>
      </c>
      <c r="X209" s="8">
        <f t="shared" si="111"/>
        <v>-3239</v>
      </c>
      <c r="Y209" s="8">
        <v>39516</v>
      </c>
      <c r="Z209" s="8">
        <f t="shared" si="112"/>
        <v>-837</v>
      </c>
      <c r="AA209" s="8">
        <v>7254</v>
      </c>
      <c r="AB209" s="8">
        <f t="shared" si="99"/>
        <v>504</v>
      </c>
      <c r="AC209" s="8">
        <v>32262</v>
      </c>
      <c r="AD209" s="8">
        <f t="shared" si="99"/>
        <v>-1341</v>
      </c>
      <c r="AE209" s="8">
        <v>80633</v>
      </c>
      <c r="AF209" s="8">
        <f t="shared" si="113"/>
        <v>-1481</v>
      </c>
      <c r="AG209" s="8">
        <v>115893</v>
      </c>
      <c r="AH209" s="8">
        <f t="shared" si="114"/>
        <v>-2571</v>
      </c>
      <c r="AI209" s="8">
        <v>-35260</v>
      </c>
      <c r="AJ209" s="8">
        <f t="shared" si="115"/>
        <v>1090</v>
      </c>
      <c r="AK209" s="8">
        <v>65961</v>
      </c>
      <c r="AL209" s="8">
        <f t="shared" si="116"/>
        <v>-1830</v>
      </c>
      <c r="AM209" s="8">
        <v>108205</v>
      </c>
      <c r="AN209" s="8">
        <f t="shared" si="117"/>
        <v>-2905</v>
      </c>
      <c r="AO209" s="8">
        <v>-42244</v>
      </c>
      <c r="AP209" s="8">
        <f t="shared" si="118"/>
        <v>1075</v>
      </c>
      <c r="AR209" s="8">
        <v>1604392</v>
      </c>
      <c r="AS209" s="8">
        <f t="shared" si="119"/>
        <v>8761</v>
      </c>
      <c r="AT209" s="8">
        <v>209224</v>
      </c>
      <c r="AU209" s="8">
        <f t="shared" si="120"/>
        <v>1472</v>
      </c>
      <c r="AV209" s="8">
        <v>128481</v>
      </c>
      <c r="AW209" s="8">
        <f t="shared" si="121"/>
        <v>2630</v>
      </c>
      <c r="AX209" s="8">
        <f t="shared" si="96"/>
        <v>80743</v>
      </c>
      <c r="AY209" s="8">
        <f t="shared" si="122"/>
        <v>-1158</v>
      </c>
      <c r="AZ209" s="8">
        <v>739994</v>
      </c>
      <c r="BA209" s="8">
        <f t="shared" si="123"/>
        <v>-14164</v>
      </c>
      <c r="BB209" s="8">
        <v>675043</v>
      </c>
      <c r="BC209" s="8">
        <f t="shared" si="124"/>
        <v>-35688</v>
      </c>
      <c r="BD209" s="8">
        <f t="shared" si="97"/>
        <v>64951</v>
      </c>
      <c r="BE209" s="8">
        <f t="shared" si="125"/>
        <v>21524</v>
      </c>
      <c r="BF209" s="8">
        <v>257654</v>
      </c>
      <c r="BG209" s="8">
        <f t="shared" si="126"/>
        <v>-15582</v>
      </c>
      <c r="BH209" s="8">
        <v>593694</v>
      </c>
      <c r="BI209" s="8">
        <f t="shared" si="127"/>
        <v>-42511</v>
      </c>
      <c r="BJ209" s="8">
        <f t="shared" si="98"/>
        <v>-336040</v>
      </c>
      <c r="BK209" s="8">
        <f t="shared" si="100"/>
        <v>26929</v>
      </c>
    </row>
    <row r="210" spans="1:63">
      <c r="A210" s="5">
        <v>40337</v>
      </c>
      <c r="B210" s="8">
        <v>386301</v>
      </c>
      <c r="C210" s="8">
        <f t="shared" si="101"/>
        <v>16254</v>
      </c>
      <c r="D210" s="8">
        <v>29902</v>
      </c>
      <c r="E210" s="8">
        <f t="shared" si="102"/>
        <v>-2420</v>
      </c>
      <c r="F210" s="8">
        <v>56537</v>
      </c>
      <c r="G210" s="8">
        <f t="shared" si="103"/>
        <v>6063</v>
      </c>
      <c r="H210" s="8">
        <v>-26635</v>
      </c>
      <c r="I210" s="8">
        <f t="shared" si="104"/>
        <v>-8483</v>
      </c>
      <c r="J210" s="8">
        <v>229908</v>
      </c>
      <c r="K210" s="8">
        <f t="shared" si="105"/>
        <v>17360</v>
      </c>
      <c r="L210" s="8">
        <v>199857</v>
      </c>
      <c r="M210" s="8">
        <f t="shared" si="106"/>
        <v>2924</v>
      </c>
      <c r="N210" s="8">
        <v>30051</v>
      </c>
      <c r="O210" s="8">
        <f t="shared" si="107"/>
        <v>14436</v>
      </c>
      <c r="P210" s="8">
        <v>112259</v>
      </c>
      <c r="Q210" s="8">
        <f t="shared" si="108"/>
        <v>15806</v>
      </c>
      <c r="R210" s="8">
        <v>182085</v>
      </c>
      <c r="S210" s="8">
        <f t="shared" si="109"/>
        <v>3359</v>
      </c>
      <c r="T210" s="8">
        <v>-69826</v>
      </c>
      <c r="U210" s="8">
        <f t="shared" si="110"/>
        <v>12447</v>
      </c>
      <c r="W210" s="8">
        <v>197731</v>
      </c>
      <c r="X210" s="8">
        <f t="shared" si="111"/>
        <v>5483</v>
      </c>
      <c r="Y210" s="8">
        <v>42307</v>
      </c>
      <c r="Z210" s="8">
        <f t="shared" si="112"/>
        <v>2791</v>
      </c>
      <c r="AA210" s="8">
        <v>3630</v>
      </c>
      <c r="AB210" s="8">
        <f t="shared" si="99"/>
        <v>-3624</v>
      </c>
      <c r="AC210" s="8">
        <v>38677</v>
      </c>
      <c r="AD210" s="8">
        <f t="shared" si="99"/>
        <v>6415</v>
      </c>
      <c r="AE210" s="8">
        <v>80492</v>
      </c>
      <c r="AF210" s="8">
        <f t="shared" si="113"/>
        <v>-141</v>
      </c>
      <c r="AG210" s="8">
        <v>125211</v>
      </c>
      <c r="AH210" s="8">
        <f t="shared" si="114"/>
        <v>9318</v>
      </c>
      <c r="AI210" s="8">
        <v>-44719</v>
      </c>
      <c r="AJ210" s="8">
        <f t="shared" si="115"/>
        <v>-9459</v>
      </c>
      <c r="AK210" s="8">
        <v>67101</v>
      </c>
      <c r="AL210" s="8">
        <f t="shared" si="116"/>
        <v>1140</v>
      </c>
      <c r="AM210" s="8">
        <v>118272</v>
      </c>
      <c r="AN210" s="8">
        <f t="shared" si="117"/>
        <v>10067</v>
      </c>
      <c r="AO210" s="8">
        <v>-51171</v>
      </c>
      <c r="AP210" s="8">
        <f t="shared" si="118"/>
        <v>-8927</v>
      </c>
      <c r="AR210" s="8">
        <v>1653962</v>
      </c>
      <c r="AS210" s="8">
        <f t="shared" si="119"/>
        <v>49570</v>
      </c>
      <c r="AT210" s="8">
        <v>199856</v>
      </c>
      <c r="AU210" s="8">
        <f t="shared" si="120"/>
        <v>-9368</v>
      </c>
      <c r="AV210" s="8">
        <v>164330</v>
      </c>
      <c r="AW210" s="8">
        <f t="shared" si="121"/>
        <v>35849</v>
      </c>
      <c r="AX210" s="8">
        <f t="shared" si="96"/>
        <v>35526</v>
      </c>
      <c r="AY210" s="8">
        <f t="shared" si="122"/>
        <v>-45217</v>
      </c>
      <c r="AZ210" s="8">
        <v>760046</v>
      </c>
      <c r="BA210" s="8">
        <f t="shared" si="123"/>
        <v>20052</v>
      </c>
      <c r="BB210" s="8">
        <v>653937</v>
      </c>
      <c r="BC210" s="8">
        <f t="shared" si="124"/>
        <v>-21106</v>
      </c>
      <c r="BD210" s="8">
        <f t="shared" si="97"/>
        <v>106109</v>
      </c>
      <c r="BE210" s="8">
        <f t="shared" si="125"/>
        <v>41158</v>
      </c>
      <c r="BF210" s="8">
        <v>285743</v>
      </c>
      <c r="BG210" s="8">
        <f t="shared" si="126"/>
        <v>28089</v>
      </c>
      <c r="BH210" s="8">
        <v>571651</v>
      </c>
      <c r="BI210" s="8">
        <f t="shared" si="127"/>
        <v>-22043</v>
      </c>
      <c r="BJ210" s="8">
        <f t="shared" si="98"/>
        <v>-285908</v>
      </c>
      <c r="BK210" s="8">
        <f t="shared" si="100"/>
        <v>50132</v>
      </c>
    </row>
    <row r="211" spans="1:63">
      <c r="A211" s="5">
        <v>40344</v>
      </c>
      <c r="B211" s="8">
        <v>381437</v>
      </c>
      <c r="C211" s="8">
        <f t="shared" si="101"/>
        <v>-4864</v>
      </c>
      <c r="D211" s="8">
        <v>32766</v>
      </c>
      <c r="E211" s="8">
        <f t="shared" si="102"/>
        <v>2864</v>
      </c>
      <c r="F211" s="8">
        <v>52020</v>
      </c>
      <c r="G211" s="8">
        <f t="shared" si="103"/>
        <v>-4517</v>
      </c>
      <c r="H211" s="8">
        <v>-19254</v>
      </c>
      <c r="I211" s="8">
        <f t="shared" si="104"/>
        <v>7381</v>
      </c>
      <c r="J211" s="8">
        <v>216576</v>
      </c>
      <c r="K211" s="8">
        <f t="shared" si="105"/>
        <v>-13332</v>
      </c>
      <c r="L211" s="8">
        <v>196622</v>
      </c>
      <c r="M211" s="8">
        <f t="shared" si="106"/>
        <v>-3235</v>
      </c>
      <c r="N211" s="8">
        <v>19954</v>
      </c>
      <c r="O211" s="8">
        <f t="shared" si="107"/>
        <v>-10097</v>
      </c>
      <c r="P211" s="8">
        <v>98402</v>
      </c>
      <c r="Q211" s="8">
        <f t="shared" si="108"/>
        <v>-13857</v>
      </c>
      <c r="R211" s="8">
        <v>183104</v>
      </c>
      <c r="S211" s="8">
        <f t="shared" si="109"/>
        <v>1019</v>
      </c>
      <c r="T211" s="8">
        <v>-84702</v>
      </c>
      <c r="U211" s="8">
        <f t="shared" si="110"/>
        <v>-14876</v>
      </c>
      <c r="W211" s="8">
        <v>214638</v>
      </c>
      <c r="X211" s="8">
        <f t="shared" si="111"/>
        <v>16907</v>
      </c>
      <c r="Y211" s="8">
        <v>54935</v>
      </c>
      <c r="Z211" s="8">
        <f t="shared" si="112"/>
        <v>12628</v>
      </c>
      <c r="AA211" s="8">
        <v>6377</v>
      </c>
      <c r="AB211" s="8">
        <f t="shared" si="99"/>
        <v>2747</v>
      </c>
      <c r="AC211" s="8">
        <v>48558</v>
      </c>
      <c r="AD211" s="8">
        <f t="shared" si="99"/>
        <v>9881</v>
      </c>
      <c r="AE211" s="8">
        <v>83489</v>
      </c>
      <c r="AF211" s="8">
        <f t="shared" si="113"/>
        <v>2997</v>
      </c>
      <c r="AG211" s="8">
        <v>143719</v>
      </c>
      <c r="AH211" s="8">
        <f t="shared" si="114"/>
        <v>18508</v>
      </c>
      <c r="AI211" s="8">
        <v>-60230</v>
      </c>
      <c r="AJ211" s="8">
        <f t="shared" si="115"/>
        <v>-15511</v>
      </c>
      <c r="AK211" s="8">
        <v>70448</v>
      </c>
      <c r="AL211" s="8">
        <f t="shared" si="116"/>
        <v>3347</v>
      </c>
      <c r="AM211" s="8">
        <v>137375</v>
      </c>
      <c r="AN211" s="8">
        <f t="shared" si="117"/>
        <v>19103</v>
      </c>
      <c r="AO211" s="8">
        <v>-66927</v>
      </c>
      <c r="AP211" s="8">
        <f t="shared" si="118"/>
        <v>-15756</v>
      </c>
      <c r="AR211" s="8">
        <v>1626988</v>
      </c>
      <c r="AS211" s="8">
        <f t="shared" si="119"/>
        <v>-26974</v>
      </c>
      <c r="AT211" s="8">
        <v>212703</v>
      </c>
      <c r="AU211" s="8">
        <f t="shared" si="120"/>
        <v>12847</v>
      </c>
      <c r="AV211" s="8">
        <v>180075</v>
      </c>
      <c r="AW211" s="8">
        <f t="shared" si="121"/>
        <v>15745</v>
      </c>
      <c r="AX211" s="8">
        <f t="shared" si="96"/>
        <v>32628</v>
      </c>
      <c r="AY211" s="8">
        <f t="shared" si="122"/>
        <v>-2898</v>
      </c>
      <c r="AZ211" s="8">
        <v>725549</v>
      </c>
      <c r="BA211" s="8">
        <f t="shared" si="123"/>
        <v>-34497</v>
      </c>
      <c r="BB211" s="8">
        <v>630450</v>
      </c>
      <c r="BC211" s="8">
        <f t="shared" si="124"/>
        <v>-23487</v>
      </c>
      <c r="BD211" s="8">
        <f t="shared" si="97"/>
        <v>95099</v>
      </c>
      <c r="BE211" s="8">
        <f t="shared" si="125"/>
        <v>-11010</v>
      </c>
      <c r="BF211" s="8">
        <v>268782</v>
      </c>
      <c r="BG211" s="8">
        <f t="shared" si="126"/>
        <v>-16961</v>
      </c>
      <c r="BH211" s="8">
        <v>563248</v>
      </c>
      <c r="BI211" s="8">
        <f t="shared" si="127"/>
        <v>-8403</v>
      </c>
      <c r="BJ211" s="8">
        <f t="shared" si="98"/>
        <v>-294466</v>
      </c>
      <c r="BK211" s="8">
        <f t="shared" si="100"/>
        <v>-8558</v>
      </c>
    </row>
    <row r="212" spans="1:63">
      <c r="A212" s="5">
        <v>40351</v>
      </c>
      <c r="B212" s="8">
        <v>363873</v>
      </c>
      <c r="C212" s="8">
        <f t="shared" si="101"/>
        <v>-17564</v>
      </c>
      <c r="D212" s="8">
        <v>33003</v>
      </c>
      <c r="E212" s="8">
        <f t="shared" si="102"/>
        <v>237</v>
      </c>
      <c r="F212" s="8">
        <v>42604</v>
      </c>
      <c r="G212" s="8">
        <f t="shared" si="103"/>
        <v>-9416</v>
      </c>
      <c r="H212" s="8">
        <v>-9601</v>
      </c>
      <c r="I212" s="8">
        <f t="shared" si="104"/>
        <v>9653</v>
      </c>
      <c r="J212" s="8">
        <v>210622</v>
      </c>
      <c r="K212" s="8">
        <f t="shared" si="105"/>
        <v>-5954</v>
      </c>
      <c r="L212" s="8">
        <v>196977</v>
      </c>
      <c r="M212" s="8">
        <f t="shared" si="106"/>
        <v>355</v>
      </c>
      <c r="N212" s="8">
        <v>13645</v>
      </c>
      <c r="O212" s="8">
        <f t="shared" si="107"/>
        <v>-6309</v>
      </c>
      <c r="P212" s="8">
        <v>91266</v>
      </c>
      <c r="Q212" s="8">
        <f t="shared" si="108"/>
        <v>-7136</v>
      </c>
      <c r="R212" s="8">
        <v>182715</v>
      </c>
      <c r="S212" s="8">
        <f t="shared" si="109"/>
        <v>-389</v>
      </c>
      <c r="T212" s="8">
        <v>-91449</v>
      </c>
      <c r="U212" s="8">
        <f t="shared" si="110"/>
        <v>-6747</v>
      </c>
      <c r="W212" s="8">
        <v>227092</v>
      </c>
      <c r="X212" s="8">
        <f t="shared" si="111"/>
        <v>12454</v>
      </c>
      <c r="Y212" s="8">
        <v>59297</v>
      </c>
      <c r="Z212" s="8">
        <f t="shared" si="112"/>
        <v>4362</v>
      </c>
      <c r="AA212" s="8">
        <v>8245</v>
      </c>
      <c r="AB212" s="8">
        <f t="shared" si="99"/>
        <v>1868</v>
      </c>
      <c r="AC212" s="8">
        <v>51052</v>
      </c>
      <c r="AD212" s="8">
        <f t="shared" si="99"/>
        <v>2494</v>
      </c>
      <c r="AE212" s="8">
        <v>86143</v>
      </c>
      <c r="AF212" s="8">
        <f t="shared" si="113"/>
        <v>2654</v>
      </c>
      <c r="AG212" s="8">
        <v>151241</v>
      </c>
      <c r="AH212" s="8">
        <f t="shared" si="114"/>
        <v>7522</v>
      </c>
      <c r="AI212" s="8">
        <v>-65098</v>
      </c>
      <c r="AJ212" s="8">
        <f t="shared" si="115"/>
        <v>-4868</v>
      </c>
      <c r="AK212" s="8">
        <v>72481</v>
      </c>
      <c r="AL212" s="8">
        <f t="shared" si="116"/>
        <v>2033</v>
      </c>
      <c r="AM212" s="8">
        <v>144383</v>
      </c>
      <c r="AN212" s="8">
        <f t="shared" si="117"/>
        <v>7008</v>
      </c>
      <c r="AO212" s="8">
        <v>-71902</v>
      </c>
      <c r="AP212" s="8">
        <f t="shared" si="118"/>
        <v>-4975</v>
      </c>
      <c r="AR212" s="8">
        <v>1614651</v>
      </c>
      <c r="AS212" s="8">
        <f t="shared" si="119"/>
        <v>-12337</v>
      </c>
      <c r="AT212" s="8">
        <v>205674</v>
      </c>
      <c r="AU212" s="8">
        <f t="shared" si="120"/>
        <v>-7029</v>
      </c>
      <c r="AV212" s="8">
        <v>136461</v>
      </c>
      <c r="AW212" s="8">
        <f t="shared" si="121"/>
        <v>-43614</v>
      </c>
      <c r="AX212" s="8">
        <f t="shared" si="96"/>
        <v>69213</v>
      </c>
      <c r="AY212" s="8">
        <f t="shared" si="122"/>
        <v>36585</v>
      </c>
      <c r="AZ212" s="8">
        <v>726402</v>
      </c>
      <c r="BA212" s="8">
        <f t="shared" si="123"/>
        <v>853</v>
      </c>
      <c r="BB212" s="8">
        <v>656518</v>
      </c>
      <c r="BC212" s="8">
        <f t="shared" si="124"/>
        <v>26068</v>
      </c>
      <c r="BD212" s="8">
        <f t="shared" si="97"/>
        <v>69884</v>
      </c>
      <c r="BE212" s="8">
        <f t="shared" si="125"/>
        <v>-25215</v>
      </c>
      <c r="BF212" s="8">
        <v>255479</v>
      </c>
      <c r="BG212" s="8">
        <f t="shared" si="126"/>
        <v>-13303</v>
      </c>
      <c r="BH212" s="8">
        <v>585857</v>
      </c>
      <c r="BI212" s="8">
        <f t="shared" si="127"/>
        <v>22609</v>
      </c>
      <c r="BJ212" s="8">
        <f t="shared" si="98"/>
        <v>-330378</v>
      </c>
      <c r="BK212" s="8">
        <f t="shared" si="100"/>
        <v>-35912</v>
      </c>
    </row>
    <row r="213" spans="1:63">
      <c r="A213" s="5">
        <v>40358</v>
      </c>
      <c r="B213" s="8">
        <v>335813</v>
      </c>
      <c r="C213" s="8">
        <f t="shared" si="101"/>
        <v>-28060</v>
      </c>
      <c r="D213" s="8">
        <v>26147</v>
      </c>
      <c r="E213" s="8">
        <f t="shared" si="102"/>
        <v>-6856</v>
      </c>
      <c r="F213" s="8">
        <v>57235</v>
      </c>
      <c r="G213" s="8">
        <f t="shared" si="103"/>
        <v>14631</v>
      </c>
      <c r="H213" s="8">
        <v>-31088</v>
      </c>
      <c r="I213" s="8">
        <f t="shared" si="104"/>
        <v>-21487</v>
      </c>
      <c r="J213" s="8">
        <v>203418</v>
      </c>
      <c r="K213" s="8">
        <f t="shared" si="105"/>
        <v>-7204</v>
      </c>
      <c r="L213" s="8">
        <v>168658</v>
      </c>
      <c r="M213" s="8">
        <f t="shared" si="106"/>
        <v>-28319</v>
      </c>
      <c r="N213" s="8">
        <v>34760</v>
      </c>
      <c r="O213" s="8">
        <f t="shared" si="107"/>
        <v>21115</v>
      </c>
      <c r="P213" s="8">
        <v>86997</v>
      </c>
      <c r="Q213" s="8">
        <f t="shared" si="108"/>
        <v>-4269</v>
      </c>
      <c r="R213" s="8">
        <v>155695</v>
      </c>
      <c r="S213" s="8">
        <f t="shared" si="109"/>
        <v>-27020</v>
      </c>
      <c r="T213" s="8">
        <v>-68698</v>
      </c>
      <c r="U213" s="8">
        <f t="shared" si="110"/>
        <v>22751</v>
      </c>
      <c r="W213" s="8">
        <v>212042</v>
      </c>
      <c r="X213" s="8">
        <f t="shared" si="111"/>
        <v>-15050</v>
      </c>
      <c r="Y213" s="8">
        <v>62341</v>
      </c>
      <c r="Z213" s="8">
        <f t="shared" si="112"/>
        <v>3044</v>
      </c>
      <c r="AA213" s="8">
        <v>7020</v>
      </c>
      <c r="AB213" s="8">
        <f t="shared" si="99"/>
        <v>-1225</v>
      </c>
      <c r="AC213" s="8">
        <v>55321</v>
      </c>
      <c r="AD213" s="8">
        <f t="shared" si="99"/>
        <v>4269</v>
      </c>
      <c r="AE213" s="8">
        <v>79148</v>
      </c>
      <c r="AF213" s="8">
        <f t="shared" si="113"/>
        <v>-6995</v>
      </c>
      <c r="AG213" s="8">
        <v>144186</v>
      </c>
      <c r="AH213" s="8">
        <f t="shared" si="114"/>
        <v>-7055</v>
      </c>
      <c r="AI213" s="8">
        <v>-65038</v>
      </c>
      <c r="AJ213" s="8">
        <f t="shared" si="115"/>
        <v>60</v>
      </c>
      <c r="AK213" s="8">
        <v>65841</v>
      </c>
      <c r="AL213" s="8">
        <f t="shared" si="116"/>
        <v>-6640</v>
      </c>
      <c r="AM213" s="8">
        <v>139496</v>
      </c>
      <c r="AN213" s="8">
        <f t="shared" si="117"/>
        <v>-4887</v>
      </c>
      <c r="AO213" s="8">
        <v>-73655</v>
      </c>
      <c r="AP213" s="8">
        <f t="shared" si="118"/>
        <v>-1753</v>
      </c>
      <c r="AR213" s="8">
        <v>1458113</v>
      </c>
      <c r="AS213" s="8">
        <f t="shared" si="119"/>
        <v>-156538</v>
      </c>
      <c r="AT213" s="8">
        <v>184706</v>
      </c>
      <c r="AU213" s="8">
        <f t="shared" si="120"/>
        <v>-20968</v>
      </c>
      <c r="AV213" s="8">
        <v>171661</v>
      </c>
      <c r="AW213" s="8">
        <f t="shared" si="121"/>
        <v>35200</v>
      </c>
      <c r="AX213" s="8">
        <f t="shared" si="96"/>
        <v>13045</v>
      </c>
      <c r="AY213" s="8">
        <f t="shared" si="122"/>
        <v>-56168</v>
      </c>
      <c r="AZ213" s="8">
        <v>697269</v>
      </c>
      <c r="BA213" s="8">
        <f t="shared" si="123"/>
        <v>-29133</v>
      </c>
      <c r="BB213" s="8">
        <v>578879</v>
      </c>
      <c r="BC213" s="8">
        <f t="shared" si="124"/>
        <v>-77639</v>
      </c>
      <c r="BD213" s="8">
        <f t="shared" si="97"/>
        <v>118390</v>
      </c>
      <c r="BE213" s="8">
        <f t="shared" si="125"/>
        <v>48506</v>
      </c>
      <c r="BF213" s="8">
        <v>250824</v>
      </c>
      <c r="BG213" s="8">
        <f t="shared" si="126"/>
        <v>-4655</v>
      </c>
      <c r="BH213" s="8">
        <v>529958</v>
      </c>
      <c r="BI213" s="8">
        <f t="shared" si="127"/>
        <v>-55899</v>
      </c>
      <c r="BJ213" s="8">
        <f t="shared" si="98"/>
        <v>-279134</v>
      </c>
      <c r="BK213" s="8">
        <f t="shared" si="100"/>
        <v>51244</v>
      </c>
    </row>
    <row r="214" spans="1:63">
      <c r="A214" s="5">
        <v>40365</v>
      </c>
      <c r="B214" s="8">
        <v>340049</v>
      </c>
      <c r="C214" s="8">
        <f t="shared" si="101"/>
        <v>4236</v>
      </c>
      <c r="D214" s="8">
        <v>24580</v>
      </c>
      <c r="E214" s="8">
        <f t="shared" si="102"/>
        <v>-1567</v>
      </c>
      <c r="F214" s="8">
        <v>65588</v>
      </c>
      <c r="G214" s="8">
        <f t="shared" si="103"/>
        <v>8353</v>
      </c>
      <c r="H214" s="8">
        <v>-41008</v>
      </c>
      <c r="I214" s="8">
        <f t="shared" si="104"/>
        <v>-9920</v>
      </c>
      <c r="J214" s="8">
        <v>208240</v>
      </c>
      <c r="K214" s="8">
        <f t="shared" si="105"/>
        <v>4822</v>
      </c>
      <c r="L214" s="8">
        <v>164853</v>
      </c>
      <c r="M214" s="8">
        <f t="shared" si="106"/>
        <v>-3805</v>
      </c>
      <c r="N214" s="8">
        <v>43387</v>
      </c>
      <c r="O214" s="8">
        <f t="shared" si="107"/>
        <v>8627</v>
      </c>
      <c r="P214" s="8">
        <v>96298</v>
      </c>
      <c r="Q214" s="8">
        <f t="shared" si="108"/>
        <v>9301</v>
      </c>
      <c r="R214" s="8">
        <v>152149</v>
      </c>
      <c r="S214" s="8">
        <f t="shared" si="109"/>
        <v>-3546</v>
      </c>
      <c r="T214" s="8">
        <v>-55851</v>
      </c>
      <c r="U214" s="8">
        <f t="shared" si="110"/>
        <v>12847</v>
      </c>
      <c r="W214" s="8">
        <v>210512</v>
      </c>
      <c r="X214" s="8">
        <f t="shared" si="111"/>
        <v>-1530</v>
      </c>
      <c r="Y214" s="8">
        <v>56160</v>
      </c>
      <c r="Z214" s="8">
        <f t="shared" si="112"/>
        <v>-6181</v>
      </c>
      <c r="AA214" s="8">
        <v>8006</v>
      </c>
      <c r="AB214" s="8">
        <f t="shared" si="99"/>
        <v>986</v>
      </c>
      <c r="AC214" s="8">
        <v>48154</v>
      </c>
      <c r="AD214" s="8">
        <f t="shared" si="99"/>
        <v>-7167</v>
      </c>
      <c r="AE214" s="8">
        <v>82260</v>
      </c>
      <c r="AF214" s="8">
        <f t="shared" si="113"/>
        <v>3112</v>
      </c>
      <c r="AG214" s="8">
        <v>142337</v>
      </c>
      <c r="AH214" s="8">
        <f t="shared" si="114"/>
        <v>-1849</v>
      </c>
      <c r="AI214" s="8">
        <v>-60077</v>
      </c>
      <c r="AJ214" s="8">
        <f t="shared" si="115"/>
        <v>4961</v>
      </c>
      <c r="AK214" s="8">
        <v>69778</v>
      </c>
      <c r="AL214" s="8">
        <f t="shared" si="116"/>
        <v>3937</v>
      </c>
      <c r="AM214" s="8">
        <v>138508</v>
      </c>
      <c r="AN214" s="8">
        <f t="shared" si="117"/>
        <v>-988</v>
      </c>
      <c r="AO214" s="8">
        <v>-68730</v>
      </c>
      <c r="AP214" s="8">
        <f t="shared" si="118"/>
        <v>4925</v>
      </c>
      <c r="AR214" s="8">
        <v>1442318</v>
      </c>
      <c r="AS214" s="8">
        <f t="shared" si="119"/>
        <v>-15795</v>
      </c>
      <c r="AT214" s="8">
        <v>202194</v>
      </c>
      <c r="AU214" s="8">
        <f t="shared" si="120"/>
        <v>17488</v>
      </c>
      <c r="AV214" s="8">
        <v>122445</v>
      </c>
      <c r="AW214" s="8">
        <f t="shared" si="121"/>
        <v>-49216</v>
      </c>
      <c r="AX214" s="8">
        <f t="shared" si="96"/>
        <v>79749</v>
      </c>
      <c r="AY214" s="8">
        <f t="shared" si="122"/>
        <v>66704</v>
      </c>
      <c r="AZ214" s="8">
        <v>666117</v>
      </c>
      <c r="BA214" s="8">
        <f t="shared" si="123"/>
        <v>-31152</v>
      </c>
      <c r="BB214" s="8">
        <v>601314</v>
      </c>
      <c r="BC214" s="8">
        <f t="shared" si="124"/>
        <v>22435</v>
      </c>
      <c r="BD214" s="8">
        <f t="shared" si="97"/>
        <v>64803</v>
      </c>
      <c r="BE214" s="8">
        <f t="shared" si="125"/>
        <v>-53587</v>
      </c>
      <c r="BF214" s="8">
        <v>220754</v>
      </c>
      <c r="BG214" s="8">
        <f t="shared" si="126"/>
        <v>-30070</v>
      </c>
      <c r="BH214" s="8">
        <v>559721</v>
      </c>
      <c r="BI214" s="8">
        <f t="shared" si="127"/>
        <v>29763</v>
      </c>
      <c r="BJ214" s="8">
        <f t="shared" si="98"/>
        <v>-338967</v>
      </c>
      <c r="BK214" s="8">
        <f t="shared" si="100"/>
        <v>-59833</v>
      </c>
    </row>
    <row r="215" spans="1:63">
      <c r="A215" s="5">
        <v>40372</v>
      </c>
      <c r="B215" s="8">
        <v>333110</v>
      </c>
      <c r="C215" s="8">
        <f t="shared" si="101"/>
        <v>-6939</v>
      </c>
      <c r="D215" s="8">
        <v>34635</v>
      </c>
      <c r="E215" s="8">
        <f t="shared" si="102"/>
        <v>10055</v>
      </c>
      <c r="F215" s="8">
        <v>53289</v>
      </c>
      <c r="G215" s="8">
        <f t="shared" si="103"/>
        <v>-12299</v>
      </c>
      <c r="H215" s="8">
        <v>-18654</v>
      </c>
      <c r="I215" s="8">
        <f t="shared" si="104"/>
        <v>22354</v>
      </c>
      <c r="J215" s="8">
        <v>186217</v>
      </c>
      <c r="K215" s="8">
        <f t="shared" si="105"/>
        <v>-22023</v>
      </c>
      <c r="L215" s="8">
        <v>168372</v>
      </c>
      <c r="M215" s="8">
        <f t="shared" si="106"/>
        <v>3519</v>
      </c>
      <c r="N215" s="8">
        <v>17845</v>
      </c>
      <c r="O215" s="8">
        <f t="shared" si="107"/>
        <v>-25542</v>
      </c>
      <c r="P215" s="8">
        <v>75935</v>
      </c>
      <c r="Q215" s="8">
        <f t="shared" si="108"/>
        <v>-20363</v>
      </c>
      <c r="R215" s="8">
        <v>156637</v>
      </c>
      <c r="S215" s="8">
        <f t="shared" si="109"/>
        <v>4488</v>
      </c>
      <c r="T215" s="8">
        <v>-80702</v>
      </c>
      <c r="U215" s="8">
        <f t="shared" si="110"/>
        <v>-24851</v>
      </c>
      <c r="W215" s="8">
        <v>219145</v>
      </c>
      <c r="X215" s="8">
        <f t="shared" si="111"/>
        <v>8633</v>
      </c>
      <c r="Y215" s="8">
        <v>65839</v>
      </c>
      <c r="Z215" s="8">
        <f t="shared" si="112"/>
        <v>9679</v>
      </c>
      <c r="AA215" s="8">
        <v>4113</v>
      </c>
      <c r="AB215" s="8">
        <f t="shared" si="99"/>
        <v>-3893</v>
      </c>
      <c r="AC215" s="8">
        <v>61726</v>
      </c>
      <c r="AD215" s="8">
        <f t="shared" si="99"/>
        <v>13572</v>
      </c>
      <c r="AE215" s="8">
        <v>77971</v>
      </c>
      <c r="AF215" s="8">
        <f t="shared" si="113"/>
        <v>-4289</v>
      </c>
      <c r="AG215" s="8">
        <v>153258</v>
      </c>
      <c r="AH215" s="8">
        <f t="shared" si="114"/>
        <v>10921</v>
      </c>
      <c r="AI215" s="8">
        <v>-75287</v>
      </c>
      <c r="AJ215" s="8">
        <f t="shared" si="115"/>
        <v>-15210</v>
      </c>
      <c r="AK215" s="8">
        <v>66204</v>
      </c>
      <c r="AL215" s="8">
        <f t="shared" si="116"/>
        <v>-3574</v>
      </c>
      <c r="AM215" s="8">
        <v>149392</v>
      </c>
      <c r="AN215" s="8">
        <f t="shared" si="117"/>
        <v>10884</v>
      </c>
      <c r="AO215" s="8">
        <v>-83188</v>
      </c>
      <c r="AP215" s="8">
        <f t="shared" si="118"/>
        <v>-14458</v>
      </c>
      <c r="AR215" s="8">
        <v>1482277</v>
      </c>
      <c r="AS215" s="8">
        <f t="shared" si="119"/>
        <v>39959</v>
      </c>
      <c r="AT215" s="8">
        <v>242558</v>
      </c>
      <c r="AU215" s="8">
        <f t="shared" si="120"/>
        <v>40364</v>
      </c>
      <c r="AV215" s="8">
        <v>84491</v>
      </c>
      <c r="AW215" s="8">
        <f t="shared" si="121"/>
        <v>-37954</v>
      </c>
      <c r="AX215" s="8">
        <f t="shared" si="96"/>
        <v>158067</v>
      </c>
      <c r="AY215" s="8">
        <f t="shared" si="122"/>
        <v>78318</v>
      </c>
      <c r="AZ215" s="8">
        <v>651064</v>
      </c>
      <c r="BA215" s="8">
        <f t="shared" si="123"/>
        <v>-15053</v>
      </c>
      <c r="BB215" s="8">
        <v>654583</v>
      </c>
      <c r="BC215" s="8">
        <f t="shared" si="124"/>
        <v>53269</v>
      </c>
      <c r="BD215" s="8">
        <f t="shared" si="97"/>
        <v>-3519</v>
      </c>
      <c r="BE215" s="8">
        <f t="shared" si="125"/>
        <v>-68322</v>
      </c>
      <c r="BF215" s="8">
        <v>210554</v>
      </c>
      <c r="BG215" s="8">
        <f t="shared" si="126"/>
        <v>-10200</v>
      </c>
      <c r="BH215" s="8">
        <v>613725</v>
      </c>
      <c r="BI215" s="8">
        <f t="shared" si="127"/>
        <v>54004</v>
      </c>
      <c r="BJ215" s="8">
        <f t="shared" si="98"/>
        <v>-403171</v>
      </c>
      <c r="BK215" s="8">
        <f t="shared" si="100"/>
        <v>-64204</v>
      </c>
    </row>
    <row r="216" spans="1:63">
      <c r="A216" s="5">
        <v>40379</v>
      </c>
      <c r="B216" s="8">
        <v>330238</v>
      </c>
      <c r="C216" s="8">
        <f t="shared" si="101"/>
        <v>-2872</v>
      </c>
      <c r="D216" s="8">
        <v>36313</v>
      </c>
      <c r="E216" s="8">
        <f t="shared" si="102"/>
        <v>1678</v>
      </c>
      <c r="F216" s="8">
        <v>40380</v>
      </c>
      <c r="G216" s="8">
        <f t="shared" si="103"/>
        <v>-12909</v>
      </c>
      <c r="H216" s="8">
        <v>-4067</v>
      </c>
      <c r="I216" s="8">
        <f t="shared" si="104"/>
        <v>14587</v>
      </c>
      <c r="J216" s="8">
        <v>179391</v>
      </c>
      <c r="K216" s="8">
        <f t="shared" si="105"/>
        <v>-6826</v>
      </c>
      <c r="L216" s="8">
        <v>172758</v>
      </c>
      <c r="M216" s="8">
        <f t="shared" si="106"/>
        <v>4386</v>
      </c>
      <c r="N216" s="8">
        <v>6633</v>
      </c>
      <c r="O216" s="8">
        <f t="shared" si="107"/>
        <v>-11212</v>
      </c>
      <c r="P216" s="8">
        <v>67373</v>
      </c>
      <c r="Q216" s="8">
        <f t="shared" si="108"/>
        <v>-8562</v>
      </c>
      <c r="R216" s="8">
        <v>158947</v>
      </c>
      <c r="S216" s="8">
        <f t="shared" si="109"/>
        <v>2310</v>
      </c>
      <c r="T216" s="8">
        <v>-91574</v>
      </c>
      <c r="U216" s="8">
        <f t="shared" si="110"/>
        <v>-10872</v>
      </c>
      <c r="W216" s="8">
        <v>229129</v>
      </c>
      <c r="X216" s="8">
        <f t="shared" si="111"/>
        <v>9984</v>
      </c>
      <c r="Y216" s="8">
        <v>69725</v>
      </c>
      <c r="Z216" s="8">
        <f t="shared" si="112"/>
        <v>3886</v>
      </c>
      <c r="AA216" s="8">
        <v>7566</v>
      </c>
      <c r="AB216" s="8">
        <f t="shared" si="99"/>
        <v>3453</v>
      </c>
      <c r="AC216" s="8">
        <v>62159</v>
      </c>
      <c r="AD216" s="8">
        <f t="shared" si="99"/>
        <v>433</v>
      </c>
      <c r="AE216" s="8">
        <v>81603</v>
      </c>
      <c r="AF216" s="8">
        <f t="shared" si="113"/>
        <v>3632</v>
      </c>
      <c r="AG216" s="8">
        <v>158936</v>
      </c>
      <c r="AH216" s="8">
        <f t="shared" si="114"/>
        <v>5678</v>
      </c>
      <c r="AI216" s="8">
        <v>-77333</v>
      </c>
      <c r="AJ216" s="8">
        <f t="shared" si="115"/>
        <v>-2046</v>
      </c>
      <c r="AK216" s="8">
        <v>69246</v>
      </c>
      <c r="AL216" s="8">
        <f t="shared" si="116"/>
        <v>3042</v>
      </c>
      <c r="AM216" s="8">
        <v>154978</v>
      </c>
      <c r="AN216" s="8">
        <f t="shared" si="117"/>
        <v>5586</v>
      </c>
      <c r="AO216" s="8">
        <v>-85732</v>
      </c>
      <c r="AP216" s="8">
        <f t="shared" si="118"/>
        <v>-2544</v>
      </c>
      <c r="AR216" s="8">
        <v>1559644</v>
      </c>
      <c r="AS216" s="8">
        <f t="shared" si="119"/>
        <v>77367</v>
      </c>
      <c r="AT216" s="8">
        <v>261105</v>
      </c>
      <c r="AU216" s="8">
        <f t="shared" si="120"/>
        <v>18547</v>
      </c>
      <c r="AV216" s="8">
        <v>64443</v>
      </c>
      <c r="AW216" s="8">
        <f t="shared" si="121"/>
        <v>-20048</v>
      </c>
      <c r="AX216" s="8">
        <f t="shared" si="96"/>
        <v>196662</v>
      </c>
      <c r="AY216" s="8">
        <f t="shared" si="122"/>
        <v>38595</v>
      </c>
      <c r="AZ216" s="8">
        <v>683530</v>
      </c>
      <c r="BA216" s="8">
        <f t="shared" si="123"/>
        <v>32466</v>
      </c>
      <c r="BB216" s="8">
        <v>715314</v>
      </c>
      <c r="BC216" s="8">
        <f t="shared" si="124"/>
        <v>60731</v>
      </c>
      <c r="BD216" s="8">
        <f t="shared" si="97"/>
        <v>-31784</v>
      </c>
      <c r="BE216" s="8">
        <f t="shared" si="125"/>
        <v>-28265</v>
      </c>
      <c r="BF216" s="8">
        <v>225046</v>
      </c>
      <c r="BG216" s="8">
        <f t="shared" si="126"/>
        <v>14492</v>
      </c>
      <c r="BH216" s="8">
        <v>673529</v>
      </c>
      <c r="BI216" s="8">
        <f t="shared" si="127"/>
        <v>59804</v>
      </c>
      <c r="BJ216" s="8">
        <f t="shared" si="98"/>
        <v>-448483</v>
      </c>
      <c r="BK216" s="8">
        <f t="shared" si="100"/>
        <v>-45312</v>
      </c>
    </row>
    <row r="217" spans="1:63">
      <c r="A217" s="5">
        <v>40386</v>
      </c>
      <c r="B217" s="8">
        <v>327045</v>
      </c>
      <c r="C217" s="8">
        <f t="shared" si="101"/>
        <v>-3193</v>
      </c>
      <c r="D217" s="8">
        <v>40964</v>
      </c>
      <c r="E217" s="8">
        <f t="shared" si="102"/>
        <v>4651</v>
      </c>
      <c r="F217" s="8">
        <v>31103</v>
      </c>
      <c r="G217" s="8">
        <f t="shared" si="103"/>
        <v>-9277</v>
      </c>
      <c r="H217" s="8">
        <v>9861</v>
      </c>
      <c r="I217" s="8">
        <f t="shared" si="104"/>
        <v>13928</v>
      </c>
      <c r="J217" s="8">
        <v>173432</v>
      </c>
      <c r="K217" s="8">
        <f t="shared" si="105"/>
        <v>-5959</v>
      </c>
      <c r="L217" s="8">
        <v>180946</v>
      </c>
      <c r="M217" s="8">
        <f t="shared" si="106"/>
        <v>8188</v>
      </c>
      <c r="N217" s="8">
        <v>-7514</v>
      </c>
      <c r="O217" s="8">
        <f t="shared" si="107"/>
        <v>-14147</v>
      </c>
      <c r="P217" s="8">
        <v>61446</v>
      </c>
      <c r="Q217" s="8">
        <f t="shared" si="108"/>
        <v>-5927</v>
      </c>
      <c r="R217" s="8">
        <v>167175</v>
      </c>
      <c r="S217" s="8">
        <f t="shared" si="109"/>
        <v>8228</v>
      </c>
      <c r="T217" s="8">
        <v>-105729</v>
      </c>
      <c r="U217" s="8">
        <f t="shared" si="110"/>
        <v>-14155</v>
      </c>
      <c r="W217" s="8">
        <v>215673</v>
      </c>
      <c r="X217" s="8">
        <f t="shared" si="111"/>
        <v>-13456</v>
      </c>
      <c r="Y217" s="8">
        <v>68721</v>
      </c>
      <c r="Z217" s="8">
        <f t="shared" si="112"/>
        <v>-1004</v>
      </c>
      <c r="AA217" s="8">
        <v>6098</v>
      </c>
      <c r="AB217" s="8">
        <f t="shared" si="99"/>
        <v>-1468</v>
      </c>
      <c r="AC217" s="8">
        <v>62623</v>
      </c>
      <c r="AD217" s="8">
        <f t="shared" si="99"/>
        <v>464</v>
      </c>
      <c r="AE217" s="8">
        <v>76721</v>
      </c>
      <c r="AF217" s="8">
        <f t="shared" si="113"/>
        <v>-4882</v>
      </c>
      <c r="AG217" s="8">
        <v>151918</v>
      </c>
      <c r="AH217" s="8">
        <f t="shared" si="114"/>
        <v>-7018</v>
      </c>
      <c r="AI217" s="8">
        <v>-75197</v>
      </c>
      <c r="AJ217" s="8">
        <f t="shared" si="115"/>
        <v>2136</v>
      </c>
      <c r="AK217" s="8">
        <v>65089</v>
      </c>
      <c r="AL217" s="8">
        <f t="shared" si="116"/>
        <v>-4157</v>
      </c>
      <c r="AM217" s="8">
        <v>147786</v>
      </c>
      <c r="AN217" s="8">
        <f t="shared" si="117"/>
        <v>-7192</v>
      </c>
      <c r="AO217" s="8">
        <v>-82697</v>
      </c>
      <c r="AP217" s="8">
        <f t="shared" si="118"/>
        <v>3035</v>
      </c>
      <c r="AR217" s="8">
        <v>1591725</v>
      </c>
      <c r="AS217" s="8">
        <f t="shared" si="119"/>
        <v>32081</v>
      </c>
      <c r="AT217" s="8">
        <v>271640</v>
      </c>
      <c r="AU217" s="8">
        <f t="shared" si="120"/>
        <v>10535</v>
      </c>
      <c r="AV217" s="8">
        <v>78192</v>
      </c>
      <c r="AW217" s="8">
        <f t="shared" si="121"/>
        <v>13749</v>
      </c>
      <c r="AX217" s="8">
        <f t="shared" si="96"/>
        <v>193448</v>
      </c>
      <c r="AY217" s="8">
        <f t="shared" si="122"/>
        <v>-3214</v>
      </c>
      <c r="AZ217" s="8">
        <v>697441</v>
      </c>
      <c r="BA217" s="8">
        <f t="shared" si="123"/>
        <v>13911</v>
      </c>
      <c r="BB217" s="8">
        <v>718530</v>
      </c>
      <c r="BC217" s="8">
        <f t="shared" si="124"/>
        <v>3216</v>
      </c>
      <c r="BD217" s="8">
        <f t="shared" si="97"/>
        <v>-21089</v>
      </c>
      <c r="BE217" s="8">
        <f t="shared" si="125"/>
        <v>10695</v>
      </c>
      <c r="BF217" s="8">
        <v>229349</v>
      </c>
      <c r="BG217" s="8">
        <f t="shared" si="126"/>
        <v>4303</v>
      </c>
      <c r="BH217" s="8">
        <v>676247</v>
      </c>
      <c r="BI217" s="8">
        <f t="shared" si="127"/>
        <v>2718</v>
      </c>
      <c r="BJ217" s="8">
        <f t="shared" si="98"/>
        <v>-446898</v>
      </c>
      <c r="BK217" s="8">
        <f t="shared" si="100"/>
        <v>1585</v>
      </c>
    </row>
    <row r="218" spans="1:63">
      <c r="A218" s="5">
        <v>40393</v>
      </c>
      <c r="B218" s="8">
        <v>348204</v>
      </c>
      <c r="C218" s="8">
        <f t="shared" si="101"/>
        <v>21159</v>
      </c>
      <c r="D218" s="8">
        <v>57221</v>
      </c>
      <c r="E218" s="8">
        <f t="shared" si="102"/>
        <v>16257</v>
      </c>
      <c r="F218" s="8">
        <v>21699</v>
      </c>
      <c r="G218" s="8">
        <f t="shared" si="103"/>
        <v>-9404</v>
      </c>
      <c r="H218" s="8">
        <v>35522</v>
      </c>
      <c r="I218" s="8">
        <f t="shared" si="104"/>
        <v>25661</v>
      </c>
      <c r="J218" s="8">
        <v>167664</v>
      </c>
      <c r="K218" s="8">
        <f t="shared" si="105"/>
        <v>-5768</v>
      </c>
      <c r="L218" s="8">
        <v>201858</v>
      </c>
      <c r="M218" s="8">
        <f t="shared" si="106"/>
        <v>20912</v>
      </c>
      <c r="N218" s="8">
        <v>-34194</v>
      </c>
      <c r="O218" s="8">
        <f t="shared" si="107"/>
        <v>-26680</v>
      </c>
      <c r="P218" s="8">
        <v>52166</v>
      </c>
      <c r="Q218" s="8">
        <f t="shared" si="108"/>
        <v>-9280</v>
      </c>
      <c r="R218" s="8">
        <v>188382</v>
      </c>
      <c r="S218" s="8">
        <f t="shared" si="109"/>
        <v>21207</v>
      </c>
      <c r="T218" s="8">
        <v>-136216</v>
      </c>
      <c r="U218" s="8">
        <f t="shared" si="110"/>
        <v>-30487</v>
      </c>
      <c r="W218" s="8">
        <v>215277</v>
      </c>
      <c r="X218" s="8">
        <f t="shared" si="111"/>
        <v>-396</v>
      </c>
      <c r="Y218" s="8">
        <v>71229</v>
      </c>
      <c r="Z218" s="8">
        <f t="shared" si="112"/>
        <v>2508</v>
      </c>
      <c r="AA218" s="8">
        <v>5649</v>
      </c>
      <c r="AB218" s="8">
        <f t="shared" si="99"/>
        <v>-449</v>
      </c>
      <c r="AC218" s="8">
        <v>65580</v>
      </c>
      <c r="AD218" s="8">
        <f t="shared" si="99"/>
        <v>2957</v>
      </c>
      <c r="AE218" s="8">
        <v>72004</v>
      </c>
      <c r="AF218" s="8">
        <f t="shared" si="113"/>
        <v>-4717</v>
      </c>
      <c r="AG218" s="8">
        <v>152627</v>
      </c>
      <c r="AH218" s="8">
        <f t="shared" si="114"/>
        <v>709</v>
      </c>
      <c r="AI218" s="8">
        <v>-80623</v>
      </c>
      <c r="AJ218" s="8">
        <f t="shared" si="115"/>
        <v>-5426</v>
      </c>
      <c r="AK218" s="8">
        <v>60309</v>
      </c>
      <c r="AL218" s="8">
        <f t="shared" si="116"/>
        <v>-4780</v>
      </c>
      <c r="AM218" s="8">
        <v>148812</v>
      </c>
      <c r="AN218" s="8">
        <f t="shared" si="117"/>
        <v>1026</v>
      </c>
      <c r="AO218" s="8">
        <v>-88503</v>
      </c>
      <c r="AP218" s="8">
        <f t="shared" si="118"/>
        <v>-5806</v>
      </c>
      <c r="AR218" s="8">
        <v>1671881</v>
      </c>
      <c r="AS218" s="8">
        <f t="shared" si="119"/>
        <v>80156</v>
      </c>
      <c r="AT218" s="8">
        <v>307303</v>
      </c>
      <c r="AU218" s="8">
        <f t="shared" si="120"/>
        <v>35663</v>
      </c>
      <c r="AV218" s="8">
        <v>59304</v>
      </c>
      <c r="AW218" s="8">
        <f t="shared" si="121"/>
        <v>-18888</v>
      </c>
      <c r="AX218" s="8">
        <f t="shared" si="96"/>
        <v>247999</v>
      </c>
      <c r="AY218" s="8">
        <f t="shared" si="122"/>
        <v>54551</v>
      </c>
      <c r="AZ218" s="8">
        <v>696306</v>
      </c>
      <c r="BA218" s="8">
        <f t="shared" si="123"/>
        <v>-1135</v>
      </c>
      <c r="BB218" s="8">
        <v>785890</v>
      </c>
      <c r="BC218" s="8">
        <f t="shared" si="124"/>
        <v>67360</v>
      </c>
      <c r="BD218" s="8">
        <f t="shared" si="97"/>
        <v>-89584</v>
      </c>
      <c r="BE218" s="8">
        <f t="shared" si="125"/>
        <v>-68495</v>
      </c>
      <c r="BF218" s="8">
        <v>215302</v>
      </c>
      <c r="BG218" s="8">
        <f t="shared" si="126"/>
        <v>-14047</v>
      </c>
      <c r="BH218" s="8">
        <v>740264</v>
      </c>
      <c r="BI218" s="8">
        <f t="shared" si="127"/>
        <v>64017</v>
      </c>
      <c r="BJ218" s="8">
        <f t="shared" si="98"/>
        <v>-524962</v>
      </c>
      <c r="BK218" s="8">
        <f t="shared" si="100"/>
        <v>-78064</v>
      </c>
    </row>
    <row r="219" spans="1:63">
      <c r="A219" s="5">
        <v>40400</v>
      </c>
      <c r="B219" s="8">
        <v>373184</v>
      </c>
      <c r="C219" s="8">
        <f t="shared" si="101"/>
        <v>24980</v>
      </c>
      <c r="D219" s="8">
        <v>65750</v>
      </c>
      <c r="E219" s="8">
        <f t="shared" si="102"/>
        <v>8529</v>
      </c>
      <c r="F219" s="8">
        <v>21433</v>
      </c>
      <c r="G219" s="8">
        <f t="shared" si="103"/>
        <v>-266</v>
      </c>
      <c r="H219" s="8">
        <v>44317</v>
      </c>
      <c r="I219" s="8">
        <f t="shared" si="104"/>
        <v>8795</v>
      </c>
      <c r="J219" s="8">
        <v>167484</v>
      </c>
      <c r="K219" s="8">
        <f t="shared" si="105"/>
        <v>-180</v>
      </c>
      <c r="L219" s="8">
        <v>216854</v>
      </c>
      <c r="M219" s="8">
        <f t="shared" si="106"/>
        <v>14996</v>
      </c>
      <c r="N219" s="8">
        <v>-49370</v>
      </c>
      <c r="O219" s="8">
        <f t="shared" si="107"/>
        <v>-15176</v>
      </c>
      <c r="P219" s="8">
        <v>52305</v>
      </c>
      <c r="Q219" s="8">
        <f t="shared" si="108"/>
        <v>139</v>
      </c>
      <c r="R219" s="8">
        <v>204993</v>
      </c>
      <c r="S219" s="8">
        <f t="shared" si="109"/>
        <v>16611</v>
      </c>
      <c r="T219" s="8">
        <v>-152688</v>
      </c>
      <c r="U219" s="8">
        <f t="shared" si="110"/>
        <v>-16472</v>
      </c>
      <c r="W219" s="8">
        <v>222805</v>
      </c>
      <c r="X219" s="8">
        <f t="shared" si="111"/>
        <v>7528</v>
      </c>
      <c r="Y219" s="8">
        <v>73125</v>
      </c>
      <c r="Z219" s="8">
        <f t="shared" si="112"/>
        <v>1896</v>
      </c>
      <c r="AA219" s="8">
        <v>5927</v>
      </c>
      <c r="AB219" s="8">
        <f t="shared" si="99"/>
        <v>278</v>
      </c>
      <c r="AC219" s="8">
        <v>67198</v>
      </c>
      <c r="AD219" s="8">
        <f t="shared" si="99"/>
        <v>1618</v>
      </c>
      <c r="AE219" s="8">
        <v>73924</v>
      </c>
      <c r="AF219" s="8">
        <f t="shared" si="113"/>
        <v>1920</v>
      </c>
      <c r="AG219" s="8">
        <v>159699</v>
      </c>
      <c r="AH219" s="8">
        <f t="shared" si="114"/>
        <v>7072</v>
      </c>
      <c r="AI219" s="8">
        <v>-85775</v>
      </c>
      <c r="AJ219" s="8">
        <f t="shared" si="115"/>
        <v>-5152</v>
      </c>
      <c r="AK219" s="8">
        <v>61862</v>
      </c>
      <c r="AL219" s="8">
        <f t="shared" si="116"/>
        <v>1553</v>
      </c>
      <c r="AM219" s="8">
        <v>156740</v>
      </c>
      <c r="AN219" s="8">
        <f t="shared" si="117"/>
        <v>7928</v>
      </c>
      <c r="AO219" s="8">
        <v>-94878</v>
      </c>
      <c r="AP219" s="8">
        <f t="shared" si="118"/>
        <v>-6375</v>
      </c>
      <c r="AR219" s="8">
        <v>1763632</v>
      </c>
      <c r="AS219" s="8">
        <f t="shared" si="119"/>
        <v>91751</v>
      </c>
      <c r="AT219" s="8">
        <v>339181</v>
      </c>
      <c r="AU219" s="8">
        <f t="shared" si="120"/>
        <v>31878</v>
      </c>
      <c r="AV219" s="8">
        <v>38153</v>
      </c>
      <c r="AW219" s="8">
        <f t="shared" si="121"/>
        <v>-21151</v>
      </c>
      <c r="AX219" s="8">
        <f t="shared" si="96"/>
        <v>301028</v>
      </c>
      <c r="AY219" s="8">
        <f t="shared" si="122"/>
        <v>53029</v>
      </c>
      <c r="AZ219" s="8">
        <v>708711</v>
      </c>
      <c r="BA219" s="8">
        <f t="shared" si="123"/>
        <v>12405</v>
      </c>
      <c r="BB219" s="8">
        <v>851558</v>
      </c>
      <c r="BC219" s="8">
        <f t="shared" si="124"/>
        <v>65668</v>
      </c>
      <c r="BD219" s="8">
        <f t="shared" si="97"/>
        <v>-142847</v>
      </c>
      <c r="BE219" s="8">
        <f t="shared" si="125"/>
        <v>-53263</v>
      </c>
      <c r="BF219" s="8">
        <v>219114</v>
      </c>
      <c r="BG219" s="8">
        <f t="shared" si="126"/>
        <v>3812</v>
      </c>
      <c r="BH219" s="8">
        <v>804658</v>
      </c>
      <c r="BI219" s="8">
        <f t="shared" si="127"/>
        <v>64394</v>
      </c>
      <c r="BJ219" s="8">
        <f t="shared" si="98"/>
        <v>-585544</v>
      </c>
      <c r="BK219" s="8">
        <f t="shared" si="100"/>
        <v>-60582</v>
      </c>
    </row>
    <row r="220" spans="1:63">
      <c r="A220" s="5">
        <v>40407</v>
      </c>
      <c r="B220" s="8">
        <v>378961</v>
      </c>
      <c r="C220" s="8">
        <f t="shared" si="101"/>
        <v>5777</v>
      </c>
      <c r="D220" s="8">
        <v>71360</v>
      </c>
      <c r="E220" s="8">
        <f t="shared" si="102"/>
        <v>5610</v>
      </c>
      <c r="F220" s="8">
        <v>16314</v>
      </c>
      <c r="G220" s="8">
        <f t="shared" si="103"/>
        <v>-5119</v>
      </c>
      <c r="H220" s="8">
        <v>55046</v>
      </c>
      <c r="I220" s="8">
        <f t="shared" si="104"/>
        <v>10729</v>
      </c>
      <c r="J220" s="8">
        <v>162784</v>
      </c>
      <c r="K220" s="8">
        <f t="shared" si="105"/>
        <v>-4700</v>
      </c>
      <c r="L220" s="8">
        <v>226277</v>
      </c>
      <c r="M220" s="8">
        <f t="shared" si="106"/>
        <v>9423</v>
      </c>
      <c r="N220" s="8">
        <v>-63493</v>
      </c>
      <c r="O220" s="8">
        <f t="shared" si="107"/>
        <v>-14123</v>
      </c>
      <c r="P220" s="8">
        <v>54398</v>
      </c>
      <c r="Q220" s="8">
        <f t="shared" si="108"/>
        <v>2093</v>
      </c>
      <c r="R220" s="8">
        <v>215460</v>
      </c>
      <c r="S220" s="8">
        <f t="shared" si="109"/>
        <v>10467</v>
      </c>
      <c r="T220" s="8">
        <v>-161062</v>
      </c>
      <c r="U220" s="8">
        <f t="shared" si="110"/>
        <v>-8374</v>
      </c>
      <c r="W220" s="8">
        <v>233051</v>
      </c>
      <c r="X220" s="8">
        <f t="shared" si="111"/>
        <v>10246</v>
      </c>
      <c r="Y220" s="8">
        <v>77474</v>
      </c>
      <c r="Z220" s="8">
        <f t="shared" si="112"/>
        <v>4349</v>
      </c>
      <c r="AA220" s="8">
        <v>6185</v>
      </c>
      <c r="AB220" s="8">
        <f t="shared" si="99"/>
        <v>258</v>
      </c>
      <c r="AC220" s="8">
        <v>71289</v>
      </c>
      <c r="AD220" s="8">
        <f t="shared" si="99"/>
        <v>4091</v>
      </c>
      <c r="AE220" s="8">
        <v>76057</v>
      </c>
      <c r="AF220" s="8">
        <f t="shared" si="113"/>
        <v>2133</v>
      </c>
      <c r="AG220" s="8">
        <v>164689</v>
      </c>
      <c r="AH220" s="8">
        <f t="shared" si="114"/>
        <v>4990</v>
      </c>
      <c r="AI220" s="8">
        <v>-88632</v>
      </c>
      <c r="AJ220" s="8">
        <f t="shared" si="115"/>
        <v>-2857</v>
      </c>
      <c r="AK220" s="8">
        <v>59872</v>
      </c>
      <c r="AL220" s="8">
        <f t="shared" si="116"/>
        <v>-1990</v>
      </c>
      <c r="AM220" s="8">
        <v>162600</v>
      </c>
      <c r="AN220" s="8">
        <f t="shared" si="117"/>
        <v>5860</v>
      </c>
      <c r="AO220" s="8">
        <v>-102728</v>
      </c>
      <c r="AP220" s="8">
        <f t="shared" si="118"/>
        <v>-7850</v>
      </c>
      <c r="AR220" s="8">
        <v>1877911</v>
      </c>
      <c r="AS220" s="8">
        <f t="shared" si="119"/>
        <v>114279</v>
      </c>
      <c r="AT220" s="8">
        <v>365484</v>
      </c>
      <c r="AU220" s="8">
        <f t="shared" si="120"/>
        <v>26303</v>
      </c>
      <c r="AV220" s="8">
        <v>31681</v>
      </c>
      <c r="AW220" s="8">
        <f t="shared" si="121"/>
        <v>-6472</v>
      </c>
      <c r="AX220" s="8">
        <f t="shared" si="96"/>
        <v>333803</v>
      </c>
      <c r="AY220" s="8">
        <f t="shared" si="122"/>
        <v>32775</v>
      </c>
      <c r="AZ220" s="8">
        <v>704806</v>
      </c>
      <c r="BA220" s="8">
        <f t="shared" si="123"/>
        <v>-3905</v>
      </c>
      <c r="BB220" s="8">
        <v>902619</v>
      </c>
      <c r="BC220" s="8">
        <f t="shared" si="124"/>
        <v>51061</v>
      </c>
      <c r="BD220" s="8">
        <f t="shared" si="97"/>
        <v>-197813</v>
      </c>
      <c r="BE220" s="8">
        <f t="shared" si="125"/>
        <v>-54966</v>
      </c>
      <c r="BF220" s="8">
        <v>210926</v>
      </c>
      <c r="BG220" s="8">
        <f t="shared" si="126"/>
        <v>-8188</v>
      </c>
      <c r="BH220" s="8">
        <v>850043</v>
      </c>
      <c r="BI220" s="8">
        <f t="shared" si="127"/>
        <v>45385</v>
      </c>
      <c r="BJ220" s="8">
        <f t="shared" si="98"/>
        <v>-639117</v>
      </c>
      <c r="BK220" s="8">
        <f t="shared" si="100"/>
        <v>-53573</v>
      </c>
    </row>
    <row r="221" spans="1:63">
      <c r="A221" s="5">
        <v>40414</v>
      </c>
      <c r="B221" s="8">
        <v>333593</v>
      </c>
      <c r="C221" s="8">
        <f t="shared" si="101"/>
        <v>-45368</v>
      </c>
      <c r="D221" s="8">
        <v>53427</v>
      </c>
      <c r="E221" s="8">
        <f t="shared" si="102"/>
        <v>-17933</v>
      </c>
      <c r="F221" s="8">
        <v>17318</v>
      </c>
      <c r="G221" s="8">
        <f t="shared" si="103"/>
        <v>1004</v>
      </c>
      <c r="H221" s="8">
        <v>36109</v>
      </c>
      <c r="I221" s="8">
        <f t="shared" si="104"/>
        <v>-18937</v>
      </c>
      <c r="J221" s="8">
        <v>157665</v>
      </c>
      <c r="K221" s="8">
        <f t="shared" si="105"/>
        <v>-5119</v>
      </c>
      <c r="L221" s="8">
        <v>201500</v>
      </c>
      <c r="M221" s="8">
        <f t="shared" si="106"/>
        <v>-24777</v>
      </c>
      <c r="N221" s="8">
        <v>-43835</v>
      </c>
      <c r="O221" s="8">
        <f t="shared" si="107"/>
        <v>19658</v>
      </c>
      <c r="P221" s="8">
        <v>63583</v>
      </c>
      <c r="Q221" s="8">
        <f t="shared" si="108"/>
        <v>9185</v>
      </c>
      <c r="R221" s="8">
        <v>190756</v>
      </c>
      <c r="S221" s="8">
        <f t="shared" si="109"/>
        <v>-24704</v>
      </c>
      <c r="T221" s="8">
        <v>-127173</v>
      </c>
      <c r="U221" s="8">
        <f t="shared" si="110"/>
        <v>33889</v>
      </c>
      <c r="W221" s="8">
        <v>228579</v>
      </c>
      <c r="X221" s="8">
        <f t="shared" si="111"/>
        <v>-4472</v>
      </c>
      <c r="Y221" s="8">
        <v>72157</v>
      </c>
      <c r="Z221" s="8">
        <f t="shared" si="112"/>
        <v>-5317</v>
      </c>
      <c r="AA221" s="8">
        <v>4980</v>
      </c>
      <c r="AB221" s="8">
        <f t="shared" si="99"/>
        <v>-1205</v>
      </c>
      <c r="AC221" s="8">
        <v>67177</v>
      </c>
      <c r="AD221" s="8">
        <f t="shared" si="99"/>
        <v>-4112</v>
      </c>
      <c r="AE221" s="8">
        <v>78222</v>
      </c>
      <c r="AF221" s="8">
        <f t="shared" si="113"/>
        <v>2165</v>
      </c>
      <c r="AG221" s="8">
        <v>164076</v>
      </c>
      <c r="AH221" s="8">
        <f t="shared" si="114"/>
        <v>-613</v>
      </c>
      <c r="AI221" s="8">
        <v>-85854</v>
      </c>
      <c r="AJ221" s="8">
        <f t="shared" si="115"/>
        <v>2778</v>
      </c>
      <c r="AK221" s="8">
        <v>62838</v>
      </c>
      <c r="AL221" s="8">
        <f t="shared" si="116"/>
        <v>2966</v>
      </c>
      <c r="AM221" s="8">
        <v>161929</v>
      </c>
      <c r="AN221" s="8">
        <f t="shared" si="117"/>
        <v>-671</v>
      </c>
      <c r="AO221" s="8">
        <v>-99091</v>
      </c>
      <c r="AP221" s="8">
        <f t="shared" si="118"/>
        <v>3637</v>
      </c>
      <c r="AR221" s="8">
        <v>1874004</v>
      </c>
      <c r="AS221" s="8">
        <f t="shared" si="119"/>
        <v>-3907</v>
      </c>
      <c r="AT221" s="8">
        <v>373262</v>
      </c>
      <c r="AU221" s="8">
        <f t="shared" si="120"/>
        <v>7778</v>
      </c>
      <c r="AV221" s="8">
        <v>27903</v>
      </c>
      <c r="AW221" s="8">
        <f t="shared" si="121"/>
        <v>-3778</v>
      </c>
      <c r="AX221" s="8">
        <f t="shared" si="96"/>
        <v>345359</v>
      </c>
      <c r="AY221" s="8">
        <f t="shared" si="122"/>
        <v>11556</v>
      </c>
      <c r="AZ221" s="8">
        <v>701370</v>
      </c>
      <c r="BA221" s="8">
        <f t="shared" si="123"/>
        <v>-3436</v>
      </c>
      <c r="BB221" s="8">
        <v>908316</v>
      </c>
      <c r="BC221" s="8">
        <f t="shared" si="124"/>
        <v>5697</v>
      </c>
      <c r="BD221" s="8">
        <f t="shared" si="97"/>
        <v>-206946</v>
      </c>
      <c r="BE221" s="8">
        <f t="shared" si="125"/>
        <v>-9133</v>
      </c>
      <c r="BF221" s="8">
        <v>211801</v>
      </c>
      <c r="BG221" s="8">
        <f t="shared" si="126"/>
        <v>875</v>
      </c>
      <c r="BH221" s="8">
        <v>851698</v>
      </c>
      <c r="BI221" s="8">
        <f t="shared" si="127"/>
        <v>1655</v>
      </c>
      <c r="BJ221" s="8">
        <f t="shared" si="98"/>
        <v>-639897</v>
      </c>
      <c r="BK221" s="8">
        <f t="shared" si="100"/>
        <v>-780</v>
      </c>
    </row>
    <row r="222" spans="1:63">
      <c r="A222" s="5">
        <v>40421</v>
      </c>
      <c r="B222" s="8">
        <v>313603</v>
      </c>
      <c r="C222" s="8">
        <f t="shared" si="101"/>
        <v>-19990</v>
      </c>
      <c r="D222" s="8">
        <v>45248</v>
      </c>
      <c r="E222" s="8">
        <f t="shared" si="102"/>
        <v>-8179</v>
      </c>
      <c r="F222" s="8">
        <v>21956</v>
      </c>
      <c r="G222" s="8">
        <f t="shared" si="103"/>
        <v>4638</v>
      </c>
      <c r="H222" s="8">
        <v>23292</v>
      </c>
      <c r="I222" s="8">
        <f t="shared" si="104"/>
        <v>-12817</v>
      </c>
      <c r="J222" s="8">
        <v>160625</v>
      </c>
      <c r="K222" s="8">
        <f t="shared" si="105"/>
        <v>2960</v>
      </c>
      <c r="L222" s="8">
        <v>192000</v>
      </c>
      <c r="M222" s="8">
        <f t="shared" si="106"/>
        <v>-9500</v>
      </c>
      <c r="N222" s="8">
        <v>-31375</v>
      </c>
      <c r="O222" s="8">
        <f t="shared" si="107"/>
        <v>12460</v>
      </c>
      <c r="P222" s="8">
        <v>67512</v>
      </c>
      <c r="Q222" s="8">
        <f t="shared" si="108"/>
        <v>3929</v>
      </c>
      <c r="R222" s="8">
        <v>180596</v>
      </c>
      <c r="S222" s="8">
        <f t="shared" si="109"/>
        <v>-10160</v>
      </c>
      <c r="T222" s="8">
        <v>-113084</v>
      </c>
      <c r="U222" s="8">
        <f t="shared" si="110"/>
        <v>14089</v>
      </c>
      <c r="W222" s="8">
        <v>234433</v>
      </c>
      <c r="X222" s="8">
        <f t="shared" si="111"/>
        <v>5854</v>
      </c>
      <c r="Y222" s="8">
        <v>79980</v>
      </c>
      <c r="Z222" s="8">
        <f t="shared" si="112"/>
        <v>7823</v>
      </c>
      <c r="AA222" s="8">
        <v>7571</v>
      </c>
      <c r="AB222" s="8">
        <f t="shared" si="99"/>
        <v>2591</v>
      </c>
      <c r="AC222" s="8">
        <v>72409</v>
      </c>
      <c r="AD222" s="8">
        <f t="shared" si="99"/>
        <v>5232</v>
      </c>
      <c r="AE222" s="8">
        <v>78080</v>
      </c>
      <c r="AF222" s="8">
        <f t="shared" si="113"/>
        <v>-142</v>
      </c>
      <c r="AG222" s="8">
        <v>166038</v>
      </c>
      <c r="AH222" s="8">
        <f t="shared" si="114"/>
        <v>1962</v>
      </c>
      <c r="AI222" s="8">
        <v>-87958</v>
      </c>
      <c r="AJ222" s="8">
        <f t="shared" si="115"/>
        <v>-2104</v>
      </c>
      <c r="AK222" s="8">
        <v>60757</v>
      </c>
      <c r="AL222" s="8">
        <f t="shared" si="116"/>
        <v>-2081</v>
      </c>
      <c r="AM222" s="8">
        <v>164335</v>
      </c>
      <c r="AN222" s="8">
        <f t="shared" si="117"/>
        <v>2406</v>
      </c>
      <c r="AO222" s="8">
        <v>-103578</v>
      </c>
      <c r="AP222" s="8">
        <f t="shared" si="118"/>
        <v>-4487</v>
      </c>
      <c r="AR222" s="8">
        <v>1822805</v>
      </c>
      <c r="AS222" s="8">
        <f t="shared" si="119"/>
        <v>-51199</v>
      </c>
      <c r="AT222" s="8">
        <v>399828</v>
      </c>
      <c r="AU222" s="8">
        <f t="shared" si="120"/>
        <v>26566</v>
      </c>
      <c r="AV222" s="8">
        <v>21291</v>
      </c>
      <c r="AW222" s="8">
        <f t="shared" si="121"/>
        <v>-6612</v>
      </c>
      <c r="AX222" s="8">
        <f t="shared" si="96"/>
        <v>378537</v>
      </c>
      <c r="AY222" s="8">
        <f t="shared" si="122"/>
        <v>33178</v>
      </c>
      <c r="AZ222" s="8">
        <v>666703</v>
      </c>
      <c r="BA222" s="8">
        <f t="shared" si="123"/>
        <v>-34667</v>
      </c>
      <c r="BB222" s="8">
        <v>908106</v>
      </c>
      <c r="BC222" s="8">
        <f t="shared" si="124"/>
        <v>-210</v>
      </c>
      <c r="BD222" s="8">
        <f t="shared" si="97"/>
        <v>-241403</v>
      </c>
      <c r="BE222" s="8">
        <f t="shared" si="125"/>
        <v>-34457</v>
      </c>
      <c r="BF222" s="8">
        <v>188736</v>
      </c>
      <c r="BG222" s="8">
        <f t="shared" si="126"/>
        <v>-23065</v>
      </c>
      <c r="BH222" s="8">
        <v>854175</v>
      </c>
      <c r="BI222" s="8">
        <f t="shared" si="127"/>
        <v>2477</v>
      </c>
      <c r="BJ222" s="8">
        <f t="shared" si="98"/>
        <v>-665439</v>
      </c>
      <c r="BK222" s="8">
        <f t="shared" si="100"/>
        <v>-25542</v>
      </c>
    </row>
    <row r="223" spans="1:63">
      <c r="A223" s="5">
        <v>40428</v>
      </c>
      <c r="B223" s="8">
        <v>324673</v>
      </c>
      <c r="C223" s="8">
        <f t="shared" si="101"/>
        <v>11070</v>
      </c>
      <c r="D223" s="8">
        <v>49491</v>
      </c>
      <c r="E223" s="8">
        <f t="shared" si="102"/>
        <v>4243</v>
      </c>
      <c r="F223" s="8">
        <v>22256</v>
      </c>
      <c r="G223" s="8">
        <f t="shared" si="103"/>
        <v>300</v>
      </c>
      <c r="H223" s="8">
        <v>27235</v>
      </c>
      <c r="I223" s="8">
        <f t="shared" si="104"/>
        <v>3943</v>
      </c>
      <c r="J223" s="8">
        <v>161499</v>
      </c>
      <c r="K223" s="8">
        <f t="shared" si="105"/>
        <v>874</v>
      </c>
      <c r="L223" s="8">
        <v>199827</v>
      </c>
      <c r="M223" s="8">
        <f t="shared" si="106"/>
        <v>7827</v>
      </c>
      <c r="N223" s="8">
        <v>-38328</v>
      </c>
      <c r="O223" s="8">
        <f t="shared" si="107"/>
        <v>-6953</v>
      </c>
      <c r="P223" s="8">
        <v>68338</v>
      </c>
      <c r="Q223" s="8">
        <f t="shared" si="108"/>
        <v>826</v>
      </c>
      <c r="R223" s="8">
        <v>186729</v>
      </c>
      <c r="S223" s="8">
        <f t="shared" si="109"/>
        <v>6133</v>
      </c>
      <c r="T223" s="8">
        <v>-118391</v>
      </c>
      <c r="U223" s="8">
        <f t="shared" si="110"/>
        <v>-5307</v>
      </c>
      <c r="W223" s="8">
        <v>241088</v>
      </c>
      <c r="X223" s="8">
        <f t="shared" si="111"/>
        <v>6655</v>
      </c>
      <c r="Y223" s="8">
        <v>80944</v>
      </c>
      <c r="Z223" s="8">
        <f t="shared" si="112"/>
        <v>964</v>
      </c>
      <c r="AA223" s="8">
        <v>7629</v>
      </c>
      <c r="AB223" s="8">
        <f t="shared" si="99"/>
        <v>58</v>
      </c>
      <c r="AC223" s="8">
        <v>73315</v>
      </c>
      <c r="AD223" s="8">
        <f t="shared" si="99"/>
        <v>906</v>
      </c>
      <c r="AE223" s="8">
        <v>79238</v>
      </c>
      <c r="AF223" s="8">
        <f t="shared" si="113"/>
        <v>1158</v>
      </c>
      <c r="AG223" s="8">
        <v>173832</v>
      </c>
      <c r="AH223" s="8">
        <f t="shared" si="114"/>
        <v>7794</v>
      </c>
      <c r="AI223" s="8">
        <v>-94594</v>
      </c>
      <c r="AJ223" s="8">
        <f t="shared" si="115"/>
        <v>-6636</v>
      </c>
      <c r="AK223" s="8">
        <v>60509</v>
      </c>
      <c r="AL223" s="8">
        <f t="shared" si="116"/>
        <v>-248</v>
      </c>
      <c r="AM223" s="8">
        <v>172003</v>
      </c>
      <c r="AN223" s="8">
        <f t="shared" si="117"/>
        <v>7668</v>
      </c>
      <c r="AO223" s="8">
        <v>-111494</v>
      </c>
      <c r="AP223" s="8">
        <f t="shared" si="118"/>
        <v>-7916</v>
      </c>
      <c r="AR223" s="8">
        <v>1926178</v>
      </c>
      <c r="AS223" s="8">
        <f t="shared" si="119"/>
        <v>103373</v>
      </c>
      <c r="AT223" s="8">
        <v>419087</v>
      </c>
      <c r="AU223" s="8">
        <f t="shared" si="120"/>
        <v>19259</v>
      </c>
      <c r="AV223" s="8">
        <v>17203</v>
      </c>
      <c r="AW223" s="8">
        <f t="shared" si="121"/>
        <v>-4088</v>
      </c>
      <c r="AX223" s="8">
        <f t="shared" si="96"/>
        <v>401884</v>
      </c>
      <c r="AY223" s="8">
        <f t="shared" si="122"/>
        <v>23347</v>
      </c>
      <c r="AZ223" s="8">
        <v>685474</v>
      </c>
      <c r="BA223" s="8">
        <f t="shared" si="123"/>
        <v>18771</v>
      </c>
      <c r="BB223" s="8">
        <v>973085</v>
      </c>
      <c r="BC223" s="8">
        <f t="shared" si="124"/>
        <v>64979</v>
      </c>
      <c r="BD223" s="8">
        <f t="shared" si="97"/>
        <v>-287611</v>
      </c>
      <c r="BE223" s="8">
        <f t="shared" si="125"/>
        <v>-46208</v>
      </c>
      <c r="BF223" s="8">
        <v>197689</v>
      </c>
      <c r="BG223" s="8">
        <f t="shared" si="126"/>
        <v>8953</v>
      </c>
      <c r="BH223" s="8">
        <v>908994</v>
      </c>
      <c r="BI223" s="8">
        <f t="shared" si="127"/>
        <v>54819</v>
      </c>
      <c r="BJ223" s="8">
        <f t="shared" si="98"/>
        <v>-711305</v>
      </c>
      <c r="BK223" s="8">
        <f t="shared" si="100"/>
        <v>-45866</v>
      </c>
    </row>
    <row r="224" spans="1:63">
      <c r="A224" s="5">
        <v>40435</v>
      </c>
      <c r="B224" s="8">
        <v>344716</v>
      </c>
      <c r="C224" s="8">
        <f t="shared" si="101"/>
        <v>20043</v>
      </c>
      <c r="D224" s="8">
        <v>57917</v>
      </c>
      <c r="E224" s="8">
        <f t="shared" si="102"/>
        <v>8426</v>
      </c>
      <c r="F224" s="8">
        <v>16835</v>
      </c>
      <c r="G224" s="8">
        <f t="shared" si="103"/>
        <v>-5421</v>
      </c>
      <c r="H224" s="8">
        <v>41082</v>
      </c>
      <c r="I224" s="8">
        <f t="shared" si="104"/>
        <v>13847</v>
      </c>
      <c r="J224" s="8">
        <v>165287</v>
      </c>
      <c r="K224" s="8">
        <f t="shared" si="105"/>
        <v>3788</v>
      </c>
      <c r="L224" s="8">
        <v>219252</v>
      </c>
      <c r="M224" s="8">
        <f t="shared" si="106"/>
        <v>19425</v>
      </c>
      <c r="N224" s="8">
        <v>-53965</v>
      </c>
      <c r="O224" s="8">
        <f t="shared" si="107"/>
        <v>-15637</v>
      </c>
      <c r="P224" s="8">
        <v>69278</v>
      </c>
      <c r="Q224" s="8">
        <f t="shared" si="108"/>
        <v>940</v>
      </c>
      <c r="R224" s="8">
        <v>202913</v>
      </c>
      <c r="S224" s="8">
        <f t="shared" si="109"/>
        <v>16184</v>
      </c>
      <c r="T224" s="8">
        <v>-133635</v>
      </c>
      <c r="U224" s="8">
        <f t="shared" si="110"/>
        <v>-15244</v>
      </c>
      <c r="W224" s="8">
        <v>233291</v>
      </c>
      <c r="X224" s="8">
        <f t="shared" si="111"/>
        <v>-7797</v>
      </c>
      <c r="Y224" s="8">
        <v>71717</v>
      </c>
      <c r="Z224" s="8">
        <f t="shared" si="112"/>
        <v>-9227</v>
      </c>
      <c r="AA224" s="8">
        <v>5560</v>
      </c>
      <c r="AB224" s="8">
        <f t="shared" si="99"/>
        <v>-2069</v>
      </c>
      <c r="AC224" s="8">
        <v>66157</v>
      </c>
      <c r="AD224" s="8">
        <f t="shared" si="99"/>
        <v>-7158</v>
      </c>
      <c r="AE224" s="8">
        <v>85088</v>
      </c>
      <c r="AF224" s="8">
        <f t="shared" si="113"/>
        <v>5850</v>
      </c>
      <c r="AG224" s="8">
        <v>169666</v>
      </c>
      <c r="AH224" s="8">
        <f t="shared" si="114"/>
        <v>-4166</v>
      </c>
      <c r="AI224" s="8">
        <v>-84578</v>
      </c>
      <c r="AJ224" s="8">
        <f t="shared" si="115"/>
        <v>10016</v>
      </c>
      <c r="AK224" s="8">
        <v>66209</v>
      </c>
      <c r="AL224" s="8">
        <f t="shared" si="116"/>
        <v>5700</v>
      </c>
      <c r="AM224" s="8">
        <v>168406</v>
      </c>
      <c r="AN224" s="8">
        <f t="shared" si="117"/>
        <v>-3597</v>
      </c>
      <c r="AO224" s="8">
        <v>-102197</v>
      </c>
      <c r="AP224" s="8">
        <f t="shared" si="118"/>
        <v>9297</v>
      </c>
      <c r="AR224" s="8">
        <v>1999764</v>
      </c>
      <c r="AS224" s="8">
        <f t="shared" si="119"/>
        <v>73586</v>
      </c>
      <c r="AT224" s="8">
        <v>427941</v>
      </c>
      <c r="AU224" s="8">
        <f t="shared" si="120"/>
        <v>8854</v>
      </c>
      <c r="AV224" s="8">
        <v>16091</v>
      </c>
      <c r="AW224" s="8">
        <f t="shared" si="121"/>
        <v>-1112</v>
      </c>
      <c r="AX224" s="8">
        <f t="shared" si="96"/>
        <v>411850</v>
      </c>
      <c r="AY224" s="8">
        <f t="shared" si="122"/>
        <v>9966</v>
      </c>
      <c r="AZ224" s="8">
        <v>684607</v>
      </c>
      <c r="BA224" s="8">
        <f t="shared" si="123"/>
        <v>-867</v>
      </c>
      <c r="BB224" s="8">
        <v>994743</v>
      </c>
      <c r="BC224" s="8">
        <f t="shared" si="124"/>
        <v>21658</v>
      </c>
      <c r="BD224" s="8">
        <f t="shared" si="97"/>
        <v>-310136</v>
      </c>
      <c r="BE224" s="8">
        <f t="shared" si="125"/>
        <v>-22525</v>
      </c>
      <c r="BF224" s="8">
        <v>212204</v>
      </c>
      <c r="BG224" s="8">
        <f t="shared" si="126"/>
        <v>14515</v>
      </c>
      <c r="BH224" s="8">
        <v>919763</v>
      </c>
      <c r="BI224" s="8">
        <f t="shared" si="127"/>
        <v>10769</v>
      </c>
      <c r="BJ224" s="8">
        <f t="shared" si="98"/>
        <v>-707559</v>
      </c>
      <c r="BK224" s="8">
        <f t="shared" si="100"/>
        <v>3746</v>
      </c>
    </row>
    <row r="225" spans="1:63">
      <c r="A225" s="5">
        <v>40442</v>
      </c>
      <c r="B225" s="8">
        <v>344716</v>
      </c>
      <c r="C225" s="8">
        <f t="shared" si="101"/>
        <v>0</v>
      </c>
      <c r="D225" s="8">
        <v>57917</v>
      </c>
      <c r="E225" s="8">
        <f t="shared" si="102"/>
        <v>0</v>
      </c>
      <c r="F225" s="8">
        <v>16835</v>
      </c>
      <c r="G225" s="8">
        <f t="shared" si="103"/>
        <v>0</v>
      </c>
      <c r="H225" s="8">
        <v>41082</v>
      </c>
      <c r="I225" s="8">
        <f t="shared" si="104"/>
        <v>0</v>
      </c>
      <c r="J225" s="8">
        <v>165287</v>
      </c>
      <c r="K225" s="8">
        <f t="shared" si="105"/>
        <v>0</v>
      </c>
      <c r="L225" s="8">
        <v>219252</v>
      </c>
      <c r="M225" s="8">
        <f t="shared" si="106"/>
        <v>0</v>
      </c>
      <c r="N225" s="8">
        <v>-53965</v>
      </c>
      <c r="O225" s="8">
        <f t="shared" si="107"/>
        <v>0</v>
      </c>
      <c r="P225" s="8">
        <v>69278</v>
      </c>
      <c r="Q225" s="8">
        <f t="shared" si="108"/>
        <v>0</v>
      </c>
      <c r="R225" s="8">
        <v>202913</v>
      </c>
      <c r="S225" s="8">
        <f t="shared" si="109"/>
        <v>0</v>
      </c>
      <c r="T225" s="8">
        <v>-133635</v>
      </c>
      <c r="U225" s="8">
        <f t="shared" si="110"/>
        <v>0</v>
      </c>
      <c r="W225" s="8">
        <v>233291</v>
      </c>
      <c r="X225" s="8">
        <f t="shared" si="111"/>
        <v>0</v>
      </c>
      <c r="Y225" s="8">
        <v>77419</v>
      </c>
      <c r="Z225" s="8">
        <f t="shared" si="112"/>
        <v>5702</v>
      </c>
      <c r="AA225" s="8">
        <v>6111</v>
      </c>
      <c r="AB225" s="8">
        <f t="shared" si="99"/>
        <v>551</v>
      </c>
      <c r="AC225" s="8">
        <v>71308</v>
      </c>
      <c r="AD225" s="8">
        <f t="shared" si="99"/>
        <v>5151</v>
      </c>
      <c r="AE225" s="8">
        <v>85088</v>
      </c>
      <c r="AF225" s="8">
        <f t="shared" si="113"/>
        <v>0</v>
      </c>
      <c r="AG225" s="8">
        <v>169666</v>
      </c>
      <c r="AH225" s="8">
        <f t="shared" si="114"/>
        <v>0</v>
      </c>
      <c r="AI225" s="8">
        <v>-84578</v>
      </c>
      <c r="AJ225" s="8">
        <f t="shared" si="115"/>
        <v>0</v>
      </c>
      <c r="AK225" s="8">
        <v>66209</v>
      </c>
      <c r="AL225" s="8">
        <f t="shared" si="116"/>
        <v>0</v>
      </c>
      <c r="AM225" s="8">
        <v>168406</v>
      </c>
      <c r="AN225" s="8">
        <f t="shared" si="117"/>
        <v>0</v>
      </c>
      <c r="AO225" s="8">
        <v>-102197</v>
      </c>
      <c r="AP225" s="8">
        <f t="shared" si="118"/>
        <v>0</v>
      </c>
      <c r="AR225" s="8">
        <v>1999764</v>
      </c>
      <c r="AS225" s="8">
        <f t="shared" si="119"/>
        <v>0</v>
      </c>
      <c r="AT225" s="8">
        <v>425845</v>
      </c>
      <c r="AU225" s="8">
        <f t="shared" si="120"/>
        <v>-2096</v>
      </c>
      <c r="AV225" s="8">
        <v>12753</v>
      </c>
      <c r="AW225" s="8">
        <f t="shared" si="121"/>
        <v>-3338</v>
      </c>
      <c r="AX225" s="8">
        <f t="shared" si="96"/>
        <v>413092</v>
      </c>
      <c r="AY225" s="8">
        <f t="shared" si="122"/>
        <v>1242</v>
      </c>
      <c r="AZ225" s="8">
        <v>684607</v>
      </c>
      <c r="BA225" s="8">
        <f t="shared" si="123"/>
        <v>0</v>
      </c>
      <c r="BB225" s="8">
        <v>994743</v>
      </c>
      <c r="BC225" s="8">
        <f t="shared" si="124"/>
        <v>0</v>
      </c>
      <c r="BD225" s="8">
        <f t="shared" si="97"/>
        <v>-310136</v>
      </c>
      <c r="BE225" s="8">
        <f t="shared" si="125"/>
        <v>0</v>
      </c>
      <c r="BF225" s="8">
        <v>212204</v>
      </c>
      <c r="BG225" s="8">
        <f t="shared" si="126"/>
        <v>0</v>
      </c>
      <c r="BH225" s="8">
        <v>919763</v>
      </c>
      <c r="BI225" s="8">
        <f t="shared" si="127"/>
        <v>0</v>
      </c>
      <c r="BJ225" s="8">
        <f t="shared" si="98"/>
        <v>-707559</v>
      </c>
      <c r="BK225" s="8">
        <f t="shared" si="100"/>
        <v>0</v>
      </c>
    </row>
    <row r="226" spans="1:63">
      <c r="A226" s="5">
        <v>40449</v>
      </c>
      <c r="B226" s="8">
        <v>396789</v>
      </c>
      <c r="C226" s="8">
        <f t="shared" si="101"/>
        <v>52073</v>
      </c>
      <c r="D226" s="8">
        <v>84610</v>
      </c>
      <c r="E226" s="8">
        <f t="shared" si="102"/>
        <v>26693</v>
      </c>
      <c r="F226" s="8">
        <v>15408</v>
      </c>
      <c r="G226" s="8">
        <f t="shared" si="103"/>
        <v>-1427</v>
      </c>
      <c r="H226" s="8">
        <v>69202</v>
      </c>
      <c r="I226" s="8">
        <f t="shared" si="104"/>
        <v>28120</v>
      </c>
      <c r="J226" s="8">
        <v>167546</v>
      </c>
      <c r="K226" s="8">
        <f t="shared" si="105"/>
        <v>2259</v>
      </c>
      <c r="L226" s="8">
        <v>261645</v>
      </c>
      <c r="M226" s="8">
        <f t="shared" si="106"/>
        <v>42393</v>
      </c>
      <c r="N226" s="8">
        <v>-94099</v>
      </c>
      <c r="O226" s="8">
        <f t="shared" si="107"/>
        <v>-40134</v>
      </c>
      <c r="P226" s="8">
        <v>70041</v>
      </c>
      <c r="Q226" s="8">
        <f t="shared" si="108"/>
        <v>763</v>
      </c>
      <c r="R226" s="8">
        <v>243048</v>
      </c>
      <c r="S226" s="8">
        <f t="shared" si="109"/>
        <v>40135</v>
      </c>
      <c r="T226" s="8">
        <v>-173007</v>
      </c>
      <c r="U226" s="8">
        <f t="shared" si="110"/>
        <v>-39372</v>
      </c>
      <c r="W226" s="8">
        <v>239829</v>
      </c>
      <c r="X226" s="8">
        <f t="shared" si="111"/>
        <v>6538</v>
      </c>
      <c r="Y226" s="8">
        <v>74186</v>
      </c>
      <c r="Z226" s="8">
        <f t="shared" si="112"/>
        <v>-3233</v>
      </c>
      <c r="AA226" s="8">
        <v>8047</v>
      </c>
      <c r="AB226" s="8">
        <f t="shared" si="99"/>
        <v>1936</v>
      </c>
      <c r="AC226" s="8">
        <v>66139</v>
      </c>
      <c r="AD226" s="8">
        <f t="shared" si="99"/>
        <v>-5169</v>
      </c>
      <c r="AE226" s="8">
        <v>80840</v>
      </c>
      <c r="AF226" s="8">
        <f t="shared" si="113"/>
        <v>-4248</v>
      </c>
      <c r="AG226" s="8">
        <v>167791</v>
      </c>
      <c r="AH226" s="8">
        <f t="shared" si="114"/>
        <v>-1875</v>
      </c>
      <c r="AI226" s="8">
        <v>-86951</v>
      </c>
      <c r="AJ226" s="8">
        <f t="shared" si="115"/>
        <v>-2373</v>
      </c>
      <c r="AK226" s="8">
        <v>62302</v>
      </c>
      <c r="AL226" s="8">
        <f t="shared" si="116"/>
        <v>-3907</v>
      </c>
      <c r="AM226" s="8">
        <v>165205</v>
      </c>
      <c r="AN226" s="8">
        <f t="shared" si="117"/>
        <v>-3201</v>
      </c>
      <c r="AO226" s="8">
        <v>-102903</v>
      </c>
      <c r="AP226" s="8">
        <f t="shared" si="118"/>
        <v>-706</v>
      </c>
      <c r="AR226" s="8">
        <v>2096043</v>
      </c>
      <c r="AS226" s="8">
        <f t="shared" si="119"/>
        <v>96279</v>
      </c>
      <c r="AT226" s="8">
        <v>441653</v>
      </c>
      <c r="AU226" s="8">
        <f t="shared" si="120"/>
        <v>15808</v>
      </c>
      <c r="AV226" s="8">
        <v>12464</v>
      </c>
      <c r="AW226" s="8">
        <f t="shared" si="121"/>
        <v>-289</v>
      </c>
      <c r="AX226" s="8">
        <f t="shared" si="96"/>
        <v>429189</v>
      </c>
      <c r="AY226" s="8">
        <f t="shared" si="122"/>
        <v>16097</v>
      </c>
      <c r="AZ226" s="8">
        <v>710990</v>
      </c>
      <c r="BA226" s="8">
        <f t="shared" si="123"/>
        <v>26383</v>
      </c>
      <c r="BB226" s="8">
        <v>1067469</v>
      </c>
      <c r="BC226" s="8">
        <f t="shared" si="124"/>
        <v>72726</v>
      </c>
      <c r="BD226" s="8">
        <f t="shared" si="97"/>
        <v>-356479</v>
      </c>
      <c r="BE226" s="8">
        <f t="shared" si="125"/>
        <v>-46343</v>
      </c>
      <c r="BF226" s="8">
        <v>234403</v>
      </c>
      <c r="BG226" s="8">
        <f t="shared" si="126"/>
        <v>22199</v>
      </c>
      <c r="BH226" s="8">
        <v>982962</v>
      </c>
      <c r="BI226" s="8">
        <f t="shared" si="127"/>
        <v>63199</v>
      </c>
      <c r="BJ226" s="8">
        <f t="shared" si="98"/>
        <v>-748559</v>
      </c>
      <c r="BK226" s="8">
        <f t="shared" si="100"/>
        <v>-41000</v>
      </c>
    </row>
    <row r="227" spans="1:63">
      <c r="A227" s="5">
        <v>40456</v>
      </c>
      <c r="B227" s="8">
        <v>383139</v>
      </c>
      <c r="C227" s="8">
        <f t="shared" si="101"/>
        <v>-13650</v>
      </c>
      <c r="D227" s="8">
        <v>91076</v>
      </c>
      <c r="E227" s="8">
        <f t="shared" si="102"/>
        <v>6466</v>
      </c>
      <c r="F227" s="8">
        <v>11695</v>
      </c>
      <c r="G227" s="8">
        <f t="shared" si="103"/>
        <v>-3713</v>
      </c>
      <c r="H227" s="8">
        <v>79381</v>
      </c>
      <c r="I227" s="8">
        <f t="shared" si="104"/>
        <v>10179</v>
      </c>
      <c r="J227" s="8">
        <v>158895</v>
      </c>
      <c r="K227" s="8">
        <f t="shared" si="105"/>
        <v>-8651</v>
      </c>
      <c r="L227" s="8">
        <v>264732</v>
      </c>
      <c r="M227" s="8">
        <f t="shared" si="106"/>
        <v>3087</v>
      </c>
      <c r="N227" s="8">
        <v>-105837</v>
      </c>
      <c r="O227" s="8">
        <f t="shared" si="107"/>
        <v>-11738</v>
      </c>
      <c r="P227" s="8">
        <v>60860</v>
      </c>
      <c r="Q227" s="8">
        <f t="shared" si="108"/>
        <v>-9181</v>
      </c>
      <c r="R227" s="8">
        <v>248615</v>
      </c>
      <c r="S227" s="8">
        <f t="shared" si="109"/>
        <v>5567</v>
      </c>
      <c r="T227" s="8">
        <v>-187755</v>
      </c>
      <c r="U227" s="8">
        <f t="shared" si="110"/>
        <v>-14748</v>
      </c>
      <c r="W227" s="8">
        <v>221179</v>
      </c>
      <c r="X227" s="8">
        <f t="shared" si="111"/>
        <v>-18650</v>
      </c>
      <c r="Y227" s="8">
        <v>56945</v>
      </c>
      <c r="Z227" s="8">
        <f t="shared" si="112"/>
        <v>-17241</v>
      </c>
      <c r="AA227" s="8">
        <v>11214</v>
      </c>
      <c r="AB227" s="8">
        <f t="shared" si="99"/>
        <v>3167</v>
      </c>
      <c r="AC227" s="8">
        <v>45731</v>
      </c>
      <c r="AD227" s="8">
        <f t="shared" si="99"/>
        <v>-20408</v>
      </c>
      <c r="AE227" s="8">
        <v>86747</v>
      </c>
      <c r="AF227" s="8">
        <f t="shared" si="113"/>
        <v>5907</v>
      </c>
      <c r="AG227" s="8">
        <v>149137</v>
      </c>
      <c r="AH227" s="8">
        <f t="shared" si="114"/>
        <v>-18654</v>
      </c>
      <c r="AI227" s="8">
        <v>-62390</v>
      </c>
      <c r="AJ227" s="8">
        <f t="shared" si="115"/>
        <v>24561</v>
      </c>
      <c r="AK227" s="8">
        <v>68225</v>
      </c>
      <c r="AL227" s="8">
        <f t="shared" si="116"/>
        <v>5923</v>
      </c>
      <c r="AM227" s="8">
        <v>146536</v>
      </c>
      <c r="AN227" s="8">
        <f t="shared" si="117"/>
        <v>-18669</v>
      </c>
      <c r="AO227" s="8">
        <v>-78311</v>
      </c>
      <c r="AP227" s="8">
        <f t="shared" si="118"/>
        <v>24592</v>
      </c>
      <c r="AR227" s="8">
        <v>2110788</v>
      </c>
      <c r="AS227" s="8">
        <f t="shared" si="119"/>
        <v>14745</v>
      </c>
      <c r="AT227" s="8">
        <v>414661</v>
      </c>
      <c r="AU227" s="8">
        <f t="shared" si="120"/>
        <v>-26992</v>
      </c>
      <c r="AV227" s="8">
        <v>13535</v>
      </c>
      <c r="AW227" s="8">
        <f t="shared" si="121"/>
        <v>1071</v>
      </c>
      <c r="AX227" s="8">
        <f t="shared" si="96"/>
        <v>401126</v>
      </c>
      <c r="AY227" s="8">
        <f t="shared" si="122"/>
        <v>-28063</v>
      </c>
      <c r="AZ227" s="8">
        <v>718408</v>
      </c>
      <c r="BA227" s="8">
        <f t="shared" si="123"/>
        <v>7418</v>
      </c>
      <c r="BB227" s="8">
        <v>1051933</v>
      </c>
      <c r="BC227" s="8">
        <f t="shared" si="124"/>
        <v>-15536</v>
      </c>
      <c r="BD227" s="8">
        <f t="shared" si="97"/>
        <v>-333525</v>
      </c>
      <c r="BE227" s="8">
        <f t="shared" si="125"/>
        <v>22954</v>
      </c>
      <c r="BF227" s="8">
        <v>252450</v>
      </c>
      <c r="BG227" s="8">
        <f t="shared" si="126"/>
        <v>18047</v>
      </c>
      <c r="BH227" s="8">
        <v>968676</v>
      </c>
      <c r="BI227" s="8">
        <f t="shared" si="127"/>
        <v>-14286</v>
      </c>
      <c r="BJ227" s="8">
        <f t="shared" si="98"/>
        <v>-716226</v>
      </c>
      <c r="BK227" s="8">
        <f t="shared" si="100"/>
        <v>32333</v>
      </c>
    </row>
    <row r="228" spans="1:63">
      <c r="A228" s="5">
        <v>40463</v>
      </c>
      <c r="B228" s="8">
        <v>407654</v>
      </c>
      <c r="C228" s="8">
        <f t="shared" si="101"/>
        <v>24515</v>
      </c>
      <c r="D228" s="8">
        <v>83365</v>
      </c>
      <c r="E228" s="8">
        <f t="shared" si="102"/>
        <v>-7711</v>
      </c>
      <c r="F228" s="8">
        <v>9088</v>
      </c>
      <c r="G228" s="8">
        <f t="shared" si="103"/>
        <v>-2607</v>
      </c>
      <c r="H228" s="8">
        <v>74277</v>
      </c>
      <c r="I228" s="8">
        <f t="shared" si="104"/>
        <v>-5104</v>
      </c>
      <c r="J228" s="8">
        <v>172831</v>
      </c>
      <c r="K228" s="8">
        <f t="shared" si="105"/>
        <v>13936</v>
      </c>
      <c r="L228" s="8">
        <v>273832</v>
      </c>
      <c r="M228" s="8">
        <f t="shared" si="106"/>
        <v>9100</v>
      </c>
      <c r="N228" s="8">
        <v>-101001</v>
      </c>
      <c r="O228" s="8">
        <f t="shared" si="107"/>
        <v>4836</v>
      </c>
      <c r="P228" s="8">
        <v>69499</v>
      </c>
      <c r="Q228" s="8">
        <f t="shared" si="108"/>
        <v>8639</v>
      </c>
      <c r="R228" s="8">
        <v>251674</v>
      </c>
      <c r="S228" s="8">
        <f t="shared" si="109"/>
        <v>3059</v>
      </c>
      <c r="T228" s="8">
        <v>-182175</v>
      </c>
      <c r="U228" s="8">
        <f t="shared" si="110"/>
        <v>5580</v>
      </c>
      <c r="W228" s="8">
        <v>233016</v>
      </c>
      <c r="X228" s="8">
        <f t="shared" si="111"/>
        <v>11837</v>
      </c>
      <c r="Y228" s="8">
        <v>56659</v>
      </c>
      <c r="Z228" s="8">
        <f t="shared" si="112"/>
        <v>-286</v>
      </c>
      <c r="AA228" s="8">
        <v>10043</v>
      </c>
      <c r="AB228" s="8">
        <f t="shared" si="99"/>
        <v>-1171</v>
      </c>
      <c r="AC228" s="8">
        <v>46616</v>
      </c>
      <c r="AD228" s="8">
        <f t="shared" si="99"/>
        <v>885</v>
      </c>
      <c r="AE228" s="8">
        <v>90134</v>
      </c>
      <c r="AF228" s="8">
        <f t="shared" si="113"/>
        <v>3387</v>
      </c>
      <c r="AG228" s="8">
        <v>159129</v>
      </c>
      <c r="AH228" s="8">
        <f t="shared" si="114"/>
        <v>9992</v>
      </c>
      <c r="AI228" s="8">
        <v>-68995</v>
      </c>
      <c r="AJ228" s="8">
        <f t="shared" si="115"/>
        <v>-6605</v>
      </c>
      <c r="AK228" s="8">
        <v>70326</v>
      </c>
      <c r="AL228" s="8">
        <f t="shared" si="116"/>
        <v>2101</v>
      </c>
      <c r="AM228" s="8">
        <v>155585</v>
      </c>
      <c r="AN228" s="8">
        <f t="shared" si="117"/>
        <v>9049</v>
      </c>
      <c r="AO228" s="8">
        <v>-85259</v>
      </c>
      <c r="AP228" s="8">
        <f t="shared" si="118"/>
        <v>-6948</v>
      </c>
      <c r="AR228" s="8">
        <v>2357123</v>
      </c>
      <c r="AS228" s="8">
        <f t="shared" si="119"/>
        <v>246335</v>
      </c>
      <c r="AT228" s="8">
        <v>421798</v>
      </c>
      <c r="AU228" s="8">
        <f t="shared" si="120"/>
        <v>7137</v>
      </c>
      <c r="AV228" s="8">
        <v>11359</v>
      </c>
      <c r="AW228" s="8">
        <f t="shared" si="121"/>
        <v>-2176</v>
      </c>
      <c r="AX228" s="8">
        <f t="shared" si="96"/>
        <v>410439</v>
      </c>
      <c r="AY228" s="8">
        <f t="shared" si="122"/>
        <v>9313</v>
      </c>
      <c r="AZ228" s="8">
        <v>768431</v>
      </c>
      <c r="BA228" s="8">
        <f t="shared" si="123"/>
        <v>50023</v>
      </c>
      <c r="BB228" s="8">
        <v>1134977</v>
      </c>
      <c r="BC228" s="8">
        <f t="shared" si="124"/>
        <v>83044</v>
      </c>
      <c r="BD228" s="8">
        <f t="shared" si="97"/>
        <v>-366546</v>
      </c>
      <c r="BE228" s="8">
        <f t="shared" si="125"/>
        <v>-33021</v>
      </c>
      <c r="BF228" s="8">
        <v>290558</v>
      </c>
      <c r="BG228" s="8">
        <f t="shared" si="126"/>
        <v>38108</v>
      </c>
      <c r="BH228" s="8">
        <v>1037690</v>
      </c>
      <c r="BI228" s="8">
        <f t="shared" si="127"/>
        <v>69014</v>
      </c>
      <c r="BJ228" s="8">
        <f t="shared" si="98"/>
        <v>-747132</v>
      </c>
      <c r="BK228" s="8">
        <f t="shared" si="100"/>
        <v>-30906</v>
      </c>
    </row>
    <row r="229" spans="1:63">
      <c r="A229" s="5">
        <v>40470</v>
      </c>
      <c r="B229" s="8">
        <v>424199</v>
      </c>
      <c r="C229" s="8">
        <f t="shared" si="101"/>
        <v>16545</v>
      </c>
      <c r="D229" s="8">
        <v>84123</v>
      </c>
      <c r="E229" s="8">
        <f t="shared" si="102"/>
        <v>758</v>
      </c>
      <c r="F229" s="8">
        <v>9787</v>
      </c>
      <c r="G229" s="8">
        <f t="shared" si="103"/>
        <v>699</v>
      </c>
      <c r="H229" s="8">
        <v>74336</v>
      </c>
      <c r="I229" s="8">
        <f t="shared" si="104"/>
        <v>59</v>
      </c>
      <c r="J229" s="8">
        <v>181585</v>
      </c>
      <c r="K229" s="8">
        <f t="shared" si="105"/>
        <v>8754</v>
      </c>
      <c r="L229" s="8">
        <v>280066</v>
      </c>
      <c r="M229" s="8">
        <f t="shared" si="106"/>
        <v>6234</v>
      </c>
      <c r="N229" s="8">
        <v>-98481</v>
      </c>
      <c r="O229" s="8">
        <f t="shared" si="107"/>
        <v>2520</v>
      </c>
      <c r="P229" s="8">
        <v>69961</v>
      </c>
      <c r="Q229" s="8">
        <f t="shared" si="108"/>
        <v>462</v>
      </c>
      <c r="R229" s="8">
        <v>251158</v>
      </c>
      <c r="S229" s="8">
        <f t="shared" si="109"/>
        <v>-516</v>
      </c>
      <c r="T229" s="8">
        <v>-181197</v>
      </c>
      <c r="U229" s="8">
        <f t="shared" si="110"/>
        <v>978</v>
      </c>
      <c r="W229" s="8">
        <v>241723</v>
      </c>
      <c r="X229" s="8">
        <f t="shared" si="111"/>
        <v>8707</v>
      </c>
      <c r="Y229" s="8">
        <v>56856</v>
      </c>
      <c r="Z229" s="8">
        <f t="shared" si="112"/>
        <v>197</v>
      </c>
      <c r="AA229" s="8">
        <v>10353</v>
      </c>
      <c r="AB229" s="8">
        <f t="shared" si="99"/>
        <v>310</v>
      </c>
      <c r="AC229" s="8">
        <v>46503</v>
      </c>
      <c r="AD229" s="8">
        <f t="shared" si="99"/>
        <v>-113</v>
      </c>
      <c r="AE229" s="8">
        <v>94872</v>
      </c>
      <c r="AF229" s="8">
        <f t="shared" si="113"/>
        <v>4738</v>
      </c>
      <c r="AG229" s="8">
        <v>166617</v>
      </c>
      <c r="AH229" s="8">
        <f t="shared" si="114"/>
        <v>7488</v>
      </c>
      <c r="AI229" s="8">
        <v>-71745</v>
      </c>
      <c r="AJ229" s="8">
        <f t="shared" si="115"/>
        <v>-2750</v>
      </c>
      <c r="AK229" s="8">
        <v>74958</v>
      </c>
      <c r="AL229" s="8">
        <f t="shared" si="116"/>
        <v>4632</v>
      </c>
      <c r="AM229" s="8">
        <v>163369</v>
      </c>
      <c r="AN229" s="8">
        <f t="shared" si="117"/>
        <v>7784</v>
      </c>
      <c r="AO229" s="8">
        <v>-88411</v>
      </c>
      <c r="AP229" s="8">
        <f t="shared" si="118"/>
        <v>-3152</v>
      </c>
      <c r="AR229" s="8">
        <v>2380072</v>
      </c>
      <c r="AS229" s="8">
        <f t="shared" si="119"/>
        <v>22949</v>
      </c>
      <c r="AT229" s="8">
        <v>426708</v>
      </c>
      <c r="AU229" s="8">
        <f t="shared" si="120"/>
        <v>4910</v>
      </c>
      <c r="AV229" s="8">
        <v>14113</v>
      </c>
      <c r="AW229" s="8">
        <f t="shared" si="121"/>
        <v>2754</v>
      </c>
      <c r="AX229" s="8">
        <f t="shared" si="96"/>
        <v>412595</v>
      </c>
      <c r="AY229" s="8">
        <f t="shared" si="122"/>
        <v>2156</v>
      </c>
      <c r="AZ229" s="8">
        <v>794902</v>
      </c>
      <c r="BA229" s="8">
        <f t="shared" si="123"/>
        <v>26471</v>
      </c>
      <c r="BB229" s="8">
        <v>1146192</v>
      </c>
      <c r="BC229" s="8">
        <f t="shared" si="124"/>
        <v>11215</v>
      </c>
      <c r="BD229" s="8">
        <f t="shared" si="97"/>
        <v>-351290</v>
      </c>
      <c r="BE229" s="8">
        <f t="shared" si="125"/>
        <v>15256</v>
      </c>
      <c r="BF229" s="8">
        <v>307988</v>
      </c>
      <c r="BG229" s="8">
        <f t="shared" si="126"/>
        <v>17430</v>
      </c>
      <c r="BH229" s="8">
        <v>1039998</v>
      </c>
      <c r="BI229" s="8">
        <f t="shared" si="127"/>
        <v>2308</v>
      </c>
      <c r="BJ229" s="8">
        <f t="shared" si="98"/>
        <v>-732010</v>
      </c>
      <c r="BK229" s="8">
        <f t="shared" si="100"/>
        <v>15122</v>
      </c>
    </row>
    <row r="230" spans="1:63">
      <c r="A230" s="5">
        <v>40477</v>
      </c>
      <c r="B230" s="8">
        <v>447561</v>
      </c>
      <c r="C230" s="8">
        <f t="shared" si="101"/>
        <v>23362</v>
      </c>
      <c r="D230" s="8">
        <v>80507</v>
      </c>
      <c r="E230" s="8">
        <f t="shared" si="102"/>
        <v>-3616</v>
      </c>
      <c r="F230" s="8">
        <v>10570</v>
      </c>
      <c r="G230" s="8">
        <f t="shared" si="103"/>
        <v>783</v>
      </c>
      <c r="H230" s="8">
        <v>69937</v>
      </c>
      <c r="I230" s="8">
        <f t="shared" si="104"/>
        <v>-4399</v>
      </c>
      <c r="J230" s="8">
        <v>195208</v>
      </c>
      <c r="K230" s="8">
        <f t="shared" si="105"/>
        <v>13623</v>
      </c>
      <c r="L230" s="8">
        <v>296439</v>
      </c>
      <c r="M230" s="8">
        <f t="shared" si="106"/>
        <v>16373</v>
      </c>
      <c r="N230" s="8">
        <v>-101231</v>
      </c>
      <c r="O230" s="8">
        <f t="shared" si="107"/>
        <v>-2750</v>
      </c>
      <c r="P230" s="8">
        <v>80522</v>
      </c>
      <c r="Q230" s="8">
        <f t="shared" si="108"/>
        <v>10561</v>
      </c>
      <c r="R230" s="8">
        <v>263553</v>
      </c>
      <c r="S230" s="8">
        <f t="shared" si="109"/>
        <v>12395</v>
      </c>
      <c r="T230" s="8">
        <v>-183031</v>
      </c>
      <c r="U230" s="8">
        <f t="shared" si="110"/>
        <v>-1834</v>
      </c>
      <c r="W230" s="8">
        <v>244638</v>
      </c>
      <c r="X230" s="8">
        <f t="shared" si="111"/>
        <v>2915</v>
      </c>
      <c r="Y230" s="8">
        <v>52855</v>
      </c>
      <c r="Z230" s="8">
        <f t="shared" si="112"/>
        <v>-4001</v>
      </c>
      <c r="AA230" s="8">
        <v>9254</v>
      </c>
      <c r="AB230" s="8">
        <f t="shared" si="99"/>
        <v>-1099</v>
      </c>
      <c r="AC230" s="8">
        <v>43601</v>
      </c>
      <c r="AD230" s="8">
        <f t="shared" si="99"/>
        <v>-2902</v>
      </c>
      <c r="AE230" s="8">
        <v>94170</v>
      </c>
      <c r="AF230" s="8">
        <f t="shared" si="113"/>
        <v>-702</v>
      </c>
      <c r="AG230" s="8">
        <v>167848</v>
      </c>
      <c r="AH230" s="8">
        <f t="shared" si="114"/>
        <v>1231</v>
      </c>
      <c r="AI230" s="8">
        <v>-73678</v>
      </c>
      <c r="AJ230" s="8">
        <f t="shared" si="115"/>
        <v>-1933</v>
      </c>
      <c r="AK230" s="8">
        <v>73437</v>
      </c>
      <c r="AL230" s="8">
        <f t="shared" si="116"/>
        <v>-1521</v>
      </c>
      <c r="AM230" s="8">
        <v>164101</v>
      </c>
      <c r="AN230" s="8">
        <f t="shared" si="117"/>
        <v>732</v>
      </c>
      <c r="AO230" s="8">
        <v>-90664</v>
      </c>
      <c r="AP230" s="8">
        <f t="shared" si="118"/>
        <v>-2253</v>
      </c>
      <c r="AR230" s="8">
        <v>2431281</v>
      </c>
      <c r="AS230" s="8">
        <f t="shared" si="119"/>
        <v>51209</v>
      </c>
      <c r="AT230" s="8">
        <v>423841</v>
      </c>
      <c r="AU230" s="8">
        <f t="shared" si="120"/>
        <v>-2867</v>
      </c>
      <c r="AV230" s="8">
        <v>17398</v>
      </c>
      <c r="AW230" s="8">
        <f t="shared" si="121"/>
        <v>3285</v>
      </c>
      <c r="AX230" s="8">
        <f t="shared" si="96"/>
        <v>406443</v>
      </c>
      <c r="AY230" s="8">
        <f t="shared" si="122"/>
        <v>-6152</v>
      </c>
      <c r="AZ230" s="8">
        <v>824032</v>
      </c>
      <c r="BA230" s="8">
        <f t="shared" si="123"/>
        <v>29130</v>
      </c>
      <c r="BB230" s="8">
        <v>1181003</v>
      </c>
      <c r="BC230" s="8">
        <f t="shared" si="124"/>
        <v>34811</v>
      </c>
      <c r="BD230" s="8">
        <f t="shared" si="97"/>
        <v>-356971</v>
      </c>
      <c r="BE230" s="8">
        <f t="shared" si="125"/>
        <v>-5681</v>
      </c>
      <c r="BF230" s="8">
        <v>337547</v>
      </c>
      <c r="BG230" s="8">
        <f t="shared" si="126"/>
        <v>29559</v>
      </c>
      <c r="BH230" s="8">
        <v>1044001</v>
      </c>
      <c r="BI230" s="8">
        <f t="shared" si="127"/>
        <v>4003</v>
      </c>
      <c r="BJ230" s="8">
        <f t="shared" si="98"/>
        <v>-706454</v>
      </c>
      <c r="BK230" s="8">
        <f t="shared" si="100"/>
        <v>25556</v>
      </c>
    </row>
    <row r="231" spans="1:63">
      <c r="A231" s="5">
        <v>40484</v>
      </c>
      <c r="B231" s="8">
        <v>467877</v>
      </c>
      <c r="C231" s="8">
        <f t="shared" si="101"/>
        <v>20316</v>
      </c>
      <c r="D231" s="8">
        <v>83275</v>
      </c>
      <c r="E231" s="8">
        <f t="shared" si="102"/>
        <v>2768</v>
      </c>
      <c r="F231" s="8">
        <v>11836</v>
      </c>
      <c r="G231" s="8">
        <f t="shared" si="103"/>
        <v>1266</v>
      </c>
      <c r="H231" s="8">
        <v>71439</v>
      </c>
      <c r="I231" s="8">
        <f t="shared" si="104"/>
        <v>1502</v>
      </c>
      <c r="J231" s="8">
        <v>210918</v>
      </c>
      <c r="K231" s="8">
        <f t="shared" si="105"/>
        <v>15710</v>
      </c>
      <c r="L231" s="8">
        <v>305184</v>
      </c>
      <c r="M231" s="8">
        <f t="shared" si="106"/>
        <v>8745</v>
      </c>
      <c r="N231" s="8">
        <v>-94266</v>
      </c>
      <c r="O231" s="8">
        <f t="shared" si="107"/>
        <v>6965</v>
      </c>
      <c r="P231" s="8">
        <v>90962</v>
      </c>
      <c r="Q231" s="8">
        <f t="shared" si="108"/>
        <v>10440</v>
      </c>
      <c r="R231" s="8">
        <v>272717</v>
      </c>
      <c r="S231" s="8">
        <f t="shared" si="109"/>
        <v>9164</v>
      </c>
      <c r="T231" s="8">
        <v>-181755</v>
      </c>
      <c r="U231" s="8">
        <f t="shared" si="110"/>
        <v>1276</v>
      </c>
      <c r="W231" s="8">
        <v>248875</v>
      </c>
      <c r="X231" s="8">
        <f t="shared" si="111"/>
        <v>4237</v>
      </c>
      <c r="Y231" s="8">
        <v>52783</v>
      </c>
      <c r="Z231" s="8">
        <f t="shared" si="112"/>
        <v>-72</v>
      </c>
      <c r="AA231" s="8">
        <v>10499</v>
      </c>
      <c r="AB231" s="8">
        <f t="shared" si="99"/>
        <v>1245</v>
      </c>
      <c r="AC231" s="8">
        <v>42284</v>
      </c>
      <c r="AD231" s="8">
        <f t="shared" si="99"/>
        <v>-1317</v>
      </c>
      <c r="AE231" s="8">
        <v>97648</v>
      </c>
      <c r="AF231" s="8">
        <f t="shared" si="113"/>
        <v>3478</v>
      </c>
      <c r="AG231" s="8">
        <v>170173</v>
      </c>
      <c r="AH231" s="8">
        <f t="shared" si="114"/>
        <v>2325</v>
      </c>
      <c r="AI231" s="8">
        <v>-72525</v>
      </c>
      <c r="AJ231" s="8">
        <f t="shared" si="115"/>
        <v>1153</v>
      </c>
      <c r="AK231" s="8">
        <v>75035</v>
      </c>
      <c r="AL231" s="8">
        <f t="shared" si="116"/>
        <v>1598</v>
      </c>
      <c r="AM231" s="8">
        <v>165516</v>
      </c>
      <c r="AN231" s="8">
        <f t="shared" si="117"/>
        <v>1415</v>
      </c>
      <c r="AO231" s="8">
        <v>-90481</v>
      </c>
      <c r="AP231" s="8">
        <f t="shared" si="118"/>
        <v>183</v>
      </c>
      <c r="AR231" s="8">
        <v>2491349</v>
      </c>
      <c r="AS231" s="8">
        <f t="shared" si="119"/>
        <v>60068</v>
      </c>
      <c r="AT231" s="8">
        <v>429434</v>
      </c>
      <c r="AU231" s="8">
        <f t="shared" si="120"/>
        <v>5593</v>
      </c>
      <c r="AV231" s="8">
        <v>26900</v>
      </c>
      <c r="AW231" s="8">
        <f t="shared" si="121"/>
        <v>9502</v>
      </c>
      <c r="AX231" s="8">
        <f t="shared" si="96"/>
        <v>402534</v>
      </c>
      <c r="AY231" s="8">
        <f t="shared" si="122"/>
        <v>-3909</v>
      </c>
      <c r="AZ231" s="8">
        <v>844294</v>
      </c>
      <c r="BA231" s="8">
        <f t="shared" si="123"/>
        <v>20262</v>
      </c>
      <c r="BB231" s="8">
        <v>1208314</v>
      </c>
      <c r="BC231" s="8">
        <f t="shared" si="124"/>
        <v>27311</v>
      </c>
      <c r="BD231" s="8">
        <f t="shared" si="97"/>
        <v>-364020</v>
      </c>
      <c r="BE231" s="8">
        <f t="shared" si="125"/>
        <v>-7049</v>
      </c>
      <c r="BF231" s="8">
        <v>353122</v>
      </c>
      <c r="BG231" s="8">
        <f t="shared" si="126"/>
        <v>15575</v>
      </c>
      <c r="BH231" s="8">
        <v>1055572</v>
      </c>
      <c r="BI231" s="8">
        <f t="shared" si="127"/>
        <v>11571</v>
      </c>
      <c r="BJ231" s="8">
        <f t="shared" si="98"/>
        <v>-702450</v>
      </c>
      <c r="BK231" s="8">
        <f t="shared" si="100"/>
        <v>4004</v>
      </c>
    </row>
    <row r="232" spans="1:63">
      <c r="A232" s="5">
        <v>40491</v>
      </c>
      <c r="B232" s="8">
        <v>497696</v>
      </c>
      <c r="C232" s="8">
        <f t="shared" si="101"/>
        <v>29819</v>
      </c>
      <c r="D232" s="8">
        <v>74843</v>
      </c>
      <c r="E232" s="8">
        <f t="shared" si="102"/>
        <v>-8432</v>
      </c>
      <c r="F232" s="8">
        <v>14448</v>
      </c>
      <c r="G232" s="8">
        <f t="shared" si="103"/>
        <v>2612</v>
      </c>
      <c r="H232" s="8">
        <v>60395</v>
      </c>
      <c r="I232" s="8">
        <f t="shared" si="104"/>
        <v>-11044</v>
      </c>
      <c r="J232" s="8">
        <v>231246</v>
      </c>
      <c r="K232" s="8">
        <f t="shared" si="105"/>
        <v>20328</v>
      </c>
      <c r="L232" s="8">
        <v>319175</v>
      </c>
      <c r="M232" s="8">
        <f t="shared" si="106"/>
        <v>13991</v>
      </c>
      <c r="N232" s="8">
        <v>-87929</v>
      </c>
      <c r="O232" s="8">
        <f t="shared" si="107"/>
        <v>6337</v>
      </c>
      <c r="P232" s="8">
        <v>110864</v>
      </c>
      <c r="Q232" s="8">
        <f t="shared" si="108"/>
        <v>19902</v>
      </c>
      <c r="R232" s="8">
        <v>287404</v>
      </c>
      <c r="S232" s="8">
        <f t="shared" si="109"/>
        <v>14687</v>
      </c>
      <c r="T232" s="8">
        <v>-176540</v>
      </c>
      <c r="U232" s="8">
        <f t="shared" si="110"/>
        <v>5215</v>
      </c>
      <c r="W232" s="8">
        <v>251173</v>
      </c>
      <c r="X232" s="8">
        <f t="shared" si="111"/>
        <v>2298</v>
      </c>
      <c r="Y232" s="8">
        <v>51656</v>
      </c>
      <c r="Z232" s="8">
        <f t="shared" si="112"/>
        <v>-1127</v>
      </c>
      <c r="AA232" s="8">
        <v>4858</v>
      </c>
      <c r="AB232" s="8">
        <f t="shared" si="99"/>
        <v>-5641</v>
      </c>
      <c r="AC232" s="8">
        <v>46798</v>
      </c>
      <c r="AD232" s="8">
        <f t="shared" si="99"/>
        <v>4514</v>
      </c>
      <c r="AE232" s="8">
        <v>98816</v>
      </c>
      <c r="AF232" s="8">
        <f t="shared" si="113"/>
        <v>1168</v>
      </c>
      <c r="AG232" s="8">
        <v>176416</v>
      </c>
      <c r="AH232" s="8">
        <f t="shared" si="114"/>
        <v>6243</v>
      </c>
      <c r="AI232" s="8">
        <v>-77600</v>
      </c>
      <c r="AJ232" s="8">
        <f t="shared" si="115"/>
        <v>-5075</v>
      </c>
      <c r="AK232" s="8">
        <v>76671</v>
      </c>
      <c r="AL232" s="8">
        <f t="shared" si="116"/>
        <v>1636</v>
      </c>
      <c r="AM232" s="8">
        <v>173166</v>
      </c>
      <c r="AN232" s="8">
        <f t="shared" si="117"/>
        <v>7650</v>
      </c>
      <c r="AO232" s="8">
        <v>-96495</v>
      </c>
      <c r="AP232" s="8">
        <f t="shared" si="118"/>
        <v>-6014</v>
      </c>
      <c r="AR232" s="8">
        <v>2572723</v>
      </c>
      <c r="AS232" s="8">
        <f t="shared" si="119"/>
        <v>81374</v>
      </c>
      <c r="AT232" s="8">
        <v>422155</v>
      </c>
      <c r="AU232" s="8">
        <f t="shared" si="120"/>
        <v>-7279</v>
      </c>
      <c r="AV232" s="8">
        <v>28666</v>
      </c>
      <c r="AW232" s="8">
        <f t="shared" si="121"/>
        <v>1766</v>
      </c>
      <c r="AX232" s="8">
        <f t="shared" si="96"/>
        <v>393489</v>
      </c>
      <c r="AY232" s="8">
        <f t="shared" si="122"/>
        <v>-9045</v>
      </c>
      <c r="AZ232" s="8">
        <v>871299</v>
      </c>
      <c r="BA232" s="8">
        <f t="shared" si="123"/>
        <v>27005</v>
      </c>
      <c r="BB232" s="8">
        <v>1236594</v>
      </c>
      <c r="BC232" s="8">
        <f t="shared" si="124"/>
        <v>28280</v>
      </c>
      <c r="BD232" s="8">
        <f t="shared" si="97"/>
        <v>-365295</v>
      </c>
      <c r="BE232" s="8">
        <f t="shared" si="125"/>
        <v>-1275</v>
      </c>
      <c r="BF232" s="8">
        <v>381952</v>
      </c>
      <c r="BG232" s="8">
        <f t="shared" si="126"/>
        <v>28830</v>
      </c>
      <c r="BH232" s="8">
        <v>1061714</v>
      </c>
      <c r="BI232" s="8">
        <f t="shared" si="127"/>
        <v>6142</v>
      </c>
      <c r="BJ232" s="8">
        <f t="shared" si="98"/>
        <v>-679762</v>
      </c>
      <c r="BK232" s="8">
        <f t="shared" si="100"/>
        <v>22688</v>
      </c>
    </row>
    <row r="233" spans="1:63">
      <c r="A233" s="5">
        <v>40498</v>
      </c>
      <c r="B233" s="8">
        <v>480888</v>
      </c>
      <c r="C233" s="8">
        <f t="shared" si="101"/>
        <v>-16808</v>
      </c>
      <c r="D233" s="8">
        <v>62615</v>
      </c>
      <c r="E233" s="8">
        <f t="shared" si="102"/>
        <v>-12228</v>
      </c>
      <c r="F233" s="8">
        <v>11337</v>
      </c>
      <c r="G233" s="8">
        <f t="shared" si="103"/>
        <v>-3111</v>
      </c>
      <c r="H233" s="8">
        <v>51278</v>
      </c>
      <c r="I233" s="8">
        <f t="shared" si="104"/>
        <v>-9117</v>
      </c>
      <c r="J233" s="8">
        <v>245115</v>
      </c>
      <c r="K233" s="8">
        <f t="shared" si="105"/>
        <v>13869</v>
      </c>
      <c r="L233" s="8">
        <v>311564</v>
      </c>
      <c r="M233" s="8">
        <f t="shared" si="106"/>
        <v>-7611</v>
      </c>
      <c r="N233" s="8">
        <v>-66449</v>
      </c>
      <c r="O233" s="8">
        <f t="shared" si="107"/>
        <v>21480</v>
      </c>
      <c r="P233" s="8">
        <v>126096</v>
      </c>
      <c r="Q233" s="8">
        <f t="shared" si="108"/>
        <v>15232</v>
      </c>
      <c r="R233" s="8">
        <v>276839</v>
      </c>
      <c r="S233" s="8">
        <f t="shared" si="109"/>
        <v>-10565</v>
      </c>
      <c r="T233" s="8">
        <v>-150743</v>
      </c>
      <c r="U233" s="8">
        <f t="shared" si="110"/>
        <v>25797</v>
      </c>
      <c r="W233" s="8">
        <v>244567</v>
      </c>
      <c r="X233" s="8">
        <f t="shared" si="111"/>
        <v>-6606</v>
      </c>
      <c r="Y233" s="8">
        <v>40946</v>
      </c>
      <c r="Z233" s="8">
        <f t="shared" si="112"/>
        <v>-10710</v>
      </c>
      <c r="AA233" s="8">
        <v>6901</v>
      </c>
      <c r="AB233" s="8">
        <f t="shared" si="99"/>
        <v>2043</v>
      </c>
      <c r="AC233" s="8">
        <v>34045</v>
      </c>
      <c r="AD233" s="8">
        <f t="shared" si="99"/>
        <v>-12753</v>
      </c>
      <c r="AE233" s="8">
        <v>108478</v>
      </c>
      <c r="AF233" s="8">
        <f t="shared" si="113"/>
        <v>9662</v>
      </c>
      <c r="AG233" s="8">
        <v>168155</v>
      </c>
      <c r="AH233" s="8">
        <f t="shared" si="114"/>
        <v>-8261</v>
      </c>
      <c r="AI233" s="8">
        <v>-59677</v>
      </c>
      <c r="AJ233" s="8">
        <f t="shared" si="115"/>
        <v>17923</v>
      </c>
      <c r="AK233" s="8">
        <v>88907</v>
      </c>
      <c r="AL233" s="8">
        <f t="shared" si="116"/>
        <v>12236</v>
      </c>
      <c r="AM233" s="8">
        <v>164683</v>
      </c>
      <c r="AN233" s="8">
        <f t="shared" si="117"/>
        <v>-8483</v>
      </c>
      <c r="AO233" s="8">
        <v>-75776</v>
      </c>
      <c r="AP233" s="8">
        <f t="shared" si="118"/>
        <v>20719</v>
      </c>
      <c r="AR233" s="8">
        <v>2485904</v>
      </c>
      <c r="AS233" s="8">
        <f t="shared" si="119"/>
        <v>-86819</v>
      </c>
      <c r="AT233" s="8">
        <v>379435</v>
      </c>
      <c r="AU233" s="8">
        <f t="shared" si="120"/>
        <v>-42720</v>
      </c>
      <c r="AV233" s="8">
        <v>27508</v>
      </c>
      <c r="AW233" s="8">
        <f t="shared" si="121"/>
        <v>-1158</v>
      </c>
      <c r="AX233" s="8">
        <f t="shared" si="96"/>
        <v>351927</v>
      </c>
      <c r="AY233" s="8">
        <f t="shared" si="122"/>
        <v>-41562</v>
      </c>
      <c r="AZ233" s="8">
        <v>888810</v>
      </c>
      <c r="BA233" s="8">
        <f t="shared" si="123"/>
        <v>17511</v>
      </c>
      <c r="BB233" s="8">
        <v>1191561</v>
      </c>
      <c r="BC233" s="8">
        <f t="shared" si="124"/>
        <v>-45033</v>
      </c>
      <c r="BD233" s="8">
        <f t="shared" si="97"/>
        <v>-302751</v>
      </c>
      <c r="BE233" s="8">
        <f t="shared" si="125"/>
        <v>62544</v>
      </c>
      <c r="BF233" s="8">
        <v>387134</v>
      </c>
      <c r="BG233" s="8">
        <f t="shared" si="126"/>
        <v>5182</v>
      </c>
      <c r="BH233" s="8">
        <v>1013169</v>
      </c>
      <c r="BI233" s="8">
        <f t="shared" si="127"/>
        <v>-48545</v>
      </c>
      <c r="BJ233" s="8">
        <f t="shared" si="98"/>
        <v>-626035</v>
      </c>
      <c r="BK233" s="8">
        <f t="shared" si="100"/>
        <v>53727</v>
      </c>
    </row>
    <row r="234" spans="1:63">
      <c r="A234" s="5">
        <v>40505</v>
      </c>
      <c r="B234" s="8">
        <v>479154</v>
      </c>
      <c r="C234" s="8">
        <f t="shared" si="101"/>
        <v>-1734</v>
      </c>
      <c r="D234" s="8">
        <v>55375</v>
      </c>
      <c r="E234" s="8">
        <f t="shared" si="102"/>
        <v>-7240</v>
      </c>
      <c r="F234" s="8">
        <v>10490</v>
      </c>
      <c r="G234" s="8">
        <f t="shared" si="103"/>
        <v>-847</v>
      </c>
      <c r="H234" s="8">
        <v>44885</v>
      </c>
      <c r="I234" s="8">
        <f t="shared" si="104"/>
        <v>-6393</v>
      </c>
      <c r="J234" s="8">
        <v>244422</v>
      </c>
      <c r="K234" s="8">
        <f t="shared" si="105"/>
        <v>-693</v>
      </c>
      <c r="L234" s="8">
        <v>299575</v>
      </c>
      <c r="M234" s="8">
        <f t="shared" si="106"/>
        <v>-11989</v>
      </c>
      <c r="N234" s="8">
        <v>-55153</v>
      </c>
      <c r="O234" s="8">
        <f t="shared" si="107"/>
        <v>11296</v>
      </c>
      <c r="P234" s="8">
        <v>129441</v>
      </c>
      <c r="Q234" s="8">
        <f t="shared" si="108"/>
        <v>3345</v>
      </c>
      <c r="R234" s="8">
        <v>268239</v>
      </c>
      <c r="S234" s="8">
        <f t="shared" si="109"/>
        <v>-8600</v>
      </c>
      <c r="T234" s="8">
        <v>-138798</v>
      </c>
      <c r="U234" s="8">
        <f t="shared" si="110"/>
        <v>11945</v>
      </c>
      <c r="W234" s="8">
        <v>256737</v>
      </c>
      <c r="X234" s="8">
        <f t="shared" si="111"/>
        <v>12170</v>
      </c>
      <c r="Y234" s="8">
        <v>42497</v>
      </c>
      <c r="Z234" s="8">
        <f t="shared" si="112"/>
        <v>1551</v>
      </c>
      <c r="AA234" s="8">
        <v>7700</v>
      </c>
      <c r="AB234" s="8">
        <f t="shared" si="99"/>
        <v>799</v>
      </c>
      <c r="AC234" s="8">
        <v>34797</v>
      </c>
      <c r="AD234" s="8">
        <f t="shared" si="99"/>
        <v>752</v>
      </c>
      <c r="AE234" s="8">
        <v>113201</v>
      </c>
      <c r="AF234" s="8">
        <f t="shared" si="113"/>
        <v>4723</v>
      </c>
      <c r="AG234" s="8">
        <v>174341</v>
      </c>
      <c r="AH234" s="8">
        <f t="shared" si="114"/>
        <v>6186</v>
      </c>
      <c r="AI234" s="8">
        <v>-61140</v>
      </c>
      <c r="AJ234" s="8">
        <f t="shared" si="115"/>
        <v>-1463</v>
      </c>
      <c r="AK234" s="8">
        <v>92024</v>
      </c>
      <c r="AL234" s="8">
        <f t="shared" si="116"/>
        <v>3117</v>
      </c>
      <c r="AM234" s="8">
        <v>170881</v>
      </c>
      <c r="AN234" s="8">
        <f t="shared" si="117"/>
        <v>6198</v>
      </c>
      <c r="AO234" s="8">
        <v>-78857</v>
      </c>
      <c r="AP234" s="8">
        <f t="shared" si="118"/>
        <v>-3081</v>
      </c>
      <c r="AR234" s="8">
        <v>2473822</v>
      </c>
      <c r="AS234" s="8">
        <f t="shared" si="119"/>
        <v>-12082</v>
      </c>
      <c r="AT234" s="8">
        <v>366946</v>
      </c>
      <c r="AU234" s="8">
        <f t="shared" si="120"/>
        <v>-12489</v>
      </c>
      <c r="AV234" s="8">
        <v>26228</v>
      </c>
      <c r="AW234" s="8">
        <f t="shared" si="121"/>
        <v>-1280</v>
      </c>
      <c r="AX234" s="8">
        <f t="shared" si="96"/>
        <v>340718</v>
      </c>
      <c r="AY234" s="8">
        <f t="shared" si="122"/>
        <v>-11209</v>
      </c>
      <c r="AZ234" s="8">
        <v>878460</v>
      </c>
      <c r="BA234" s="8">
        <f t="shared" si="123"/>
        <v>-10350</v>
      </c>
      <c r="BB234" s="8">
        <v>1175811</v>
      </c>
      <c r="BC234" s="8">
        <f t="shared" si="124"/>
        <v>-15750</v>
      </c>
      <c r="BD234" s="8">
        <f t="shared" si="97"/>
        <v>-297351</v>
      </c>
      <c r="BE234" s="8">
        <f t="shared" si="125"/>
        <v>5400</v>
      </c>
      <c r="BF234" s="8">
        <v>395907</v>
      </c>
      <c r="BG234" s="8">
        <f t="shared" si="126"/>
        <v>8773</v>
      </c>
      <c r="BH234" s="8">
        <v>999829</v>
      </c>
      <c r="BI234" s="8">
        <f t="shared" si="127"/>
        <v>-13340</v>
      </c>
      <c r="BJ234" s="8">
        <f t="shared" si="98"/>
        <v>-603922</v>
      </c>
      <c r="BK234" s="8">
        <f t="shared" si="100"/>
        <v>22113</v>
      </c>
    </row>
    <row r="235" spans="1:63">
      <c r="A235" s="5">
        <v>40512</v>
      </c>
      <c r="B235" s="8">
        <v>398807</v>
      </c>
      <c r="C235" s="8">
        <f t="shared" si="101"/>
        <v>-80347</v>
      </c>
      <c r="D235" s="8">
        <v>54324</v>
      </c>
      <c r="E235" s="8">
        <f t="shared" si="102"/>
        <v>-1051</v>
      </c>
      <c r="F235" s="8">
        <v>10460</v>
      </c>
      <c r="G235" s="8">
        <f t="shared" si="103"/>
        <v>-30</v>
      </c>
      <c r="H235" s="8">
        <v>43864</v>
      </c>
      <c r="I235" s="8">
        <f t="shared" si="104"/>
        <v>-1021</v>
      </c>
      <c r="J235" s="8">
        <v>196754</v>
      </c>
      <c r="K235" s="8">
        <f t="shared" si="105"/>
        <v>-47668</v>
      </c>
      <c r="L235" s="8">
        <v>253389</v>
      </c>
      <c r="M235" s="8">
        <f t="shared" si="106"/>
        <v>-46186</v>
      </c>
      <c r="N235" s="8">
        <v>-56635</v>
      </c>
      <c r="O235" s="8">
        <f t="shared" si="107"/>
        <v>-1482</v>
      </c>
      <c r="P235" s="8">
        <v>102123</v>
      </c>
      <c r="Q235" s="8">
        <f t="shared" si="108"/>
        <v>-27318</v>
      </c>
      <c r="R235" s="8">
        <v>239897</v>
      </c>
      <c r="S235" s="8">
        <f t="shared" si="109"/>
        <v>-28342</v>
      </c>
      <c r="T235" s="8">
        <v>-137774</v>
      </c>
      <c r="U235" s="8">
        <f t="shared" si="110"/>
        <v>1024</v>
      </c>
      <c r="W235" s="8">
        <v>227793</v>
      </c>
      <c r="X235" s="8">
        <f t="shared" si="111"/>
        <v>-28944</v>
      </c>
      <c r="Y235" s="8">
        <v>41557</v>
      </c>
      <c r="Z235" s="8">
        <f t="shared" si="112"/>
        <v>-940</v>
      </c>
      <c r="AA235" s="8">
        <v>8003</v>
      </c>
      <c r="AB235" s="8">
        <f t="shared" si="99"/>
        <v>303</v>
      </c>
      <c r="AC235" s="8">
        <v>33554</v>
      </c>
      <c r="AD235" s="8">
        <f t="shared" si="99"/>
        <v>-1243</v>
      </c>
      <c r="AE235" s="8">
        <v>102285</v>
      </c>
      <c r="AF235" s="8">
        <f t="shared" si="113"/>
        <v>-10916</v>
      </c>
      <c r="AG235" s="8">
        <v>160095</v>
      </c>
      <c r="AH235" s="8">
        <f t="shared" si="114"/>
        <v>-14246</v>
      </c>
      <c r="AI235" s="8">
        <v>-57810</v>
      </c>
      <c r="AJ235" s="8">
        <f t="shared" si="115"/>
        <v>3330</v>
      </c>
      <c r="AK235" s="8">
        <v>83311</v>
      </c>
      <c r="AL235" s="8">
        <f t="shared" si="116"/>
        <v>-8713</v>
      </c>
      <c r="AM235" s="8">
        <v>157018</v>
      </c>
      <c r="AN235" s="8">
        <f t="shared" si="117"/>
        <v>-13863</v>
      </c>
      <c r="AO235" s="8">
        <v>-73707</v>
      </c>
      <c r="AP235" s="8">
        <f t="shared" si="118"/>
        <v>5150</v>
      </c>
      <c r="AR235" s="8">
        <v>2043404</v>
      </c>
      <c r="AS235" s="8">
        <f t="shared" si="119"/>
        <v>-430418</v>
      </c>
      <c r="AT235" s="8">
        <v>358433</v>
      </c>
      <c r="AU235" s="8">
        <f t="shared" si="120"/>
        <v>-8513</v>
      </c>
      <c r="AV235" s="8">
        <v>27145</v>
      </c>
      <c r="AW235" s="8">
        <f t="shared" si="121"/>
        <v>917</v>
      </c>
      <c r="AX235" s="8">
        <f t="shared" si="96"/>
        <v>331288</v>
      </c>
      <c r="AY235" s="8">
        <f t="shared" si="122"/>
        <v>-9430</v>
      </c>
      <c r="AZ235" s="8">
        <v>766630</v>
      </c>
      <c r="BA235" s="8">
        <f t="shared" si="123"/>
        <v>-111830</v>
      </c>
      <c r="BB235" s="8">
        <v>1059712</v>
      </c>
      <c r="BC235" s="8">
        <f t="shared" si="124"/>
        <v>-116099</v>
      </c>
      <c r="BD235" s="8">
        <f t="shared" si="97"/>
        <v>-293082</v>
      </c>
      <c r="BE235" s="8">
        <f t="shared" si="125"/>
        <v>4269</v>
      </c>
      <c r="BF235" s="8">
        <v>333975</v>
      </c>
      <c r="BG235" s="8">
        <f t="shared" si="126"/>
        <v>-61932</v>
      </c>
      <c r="BH235" s="8">
        <v>928701</v>
      </c>
      <c r="BI235" s="8">
        <f t="shared" si="127"/>
        <v>-71128</v>
      </c>
      <c r="BJ235" s="8">
        <f t="shared" si="98"/>
        <v>-594726</v>
      </c>
      <c r="BK235" s="8">
        <f t="shared" si="100"/>
        <v>9196</v>
      </c>
    </row>
    <row r="236" spans="1:63">
      <c r="A236" s="5">
        <v>40519</v>
      </c>
      <c r="B236" s="8">
        <v>424594</v>
      </c>
      <c r="C236" s="8">
        <f t="shared" si="101"/>
        <v>25787</v>
      </c>
      <c r="D236" s="8">
        <v>61503</v>
      </c>
      <c r="E236" s="8">
        <f t="shared" si="102"/>
        <v>7179</v>
      </c>
      <c r="F236" s="8">
        <v>12781</v>
      </c>
      <c r="G236" s="8">
        <f t="shared" si="103"/>
        <v>2321</v>
      </c>
      <c r="H236" s="8">
        <v>48722</v>
      </c>
      <c r="I236" s="8">
        <f t="shared" si="104"/>
        <v>4858</v>
      </c>
      <c r="J236" s="8">
        <v>202348</v>
      </c>
      <c r="K236" s="8">
        <f t="shared" si="105"/>
        <v>5594</v>
      </c>
      <c r="L236" s="8">
        <v>270472</v>
      </c>
      <c r="M236" s="8">
        <f t="shared" si="106"/>
        <v>17083</v>
      </c>
      <c r="N236" s="8">
        <v>-68124</v>
      </c>
      <c r="O236" s="8">
        <f t="shared" si="107"/>
        <v>-11489</v>
      </c>
      <c r="P236" s="8">
        <v>105505</v>
      </c>
      <c r="Q236" s="8">
        <f t="shared" si="108"/>
        <v>3382</v>
      </c>
      <c r="R236" s="8">
        <v>260246</v>
      </c>
      <c r="S236" s="8">
        <f t="shared" si="109"/>
        <v>20349</v>
      </c>
      <c r="T236" s="8">
        <v>-154741</v>
      </c>
      <c r="U236" s="8">
        <f t="shared" si="110"/>
        <v>-16967</v>
      </c>
      <c r="W236" s="8">
        <v>228589</v>
      </c>
      <c r="X236" s="8">
        <f t="shared" si="111"/>
        <v>796</v>
      </c>
      <c r="Y236" s="8">
        <v>42166</v>
      </c>
      <c r="Z236" s="8">
        <f t="shared" si="112"/>
        <v>609</v>
      </c>
      <c r="AA236" s="8">
        <v>9267</v>
      </c>
      <c r="AB236" s="8">
        <f t="shared" si="99"/>
        <v>1264</v>
      </c>
      <c r="AC236" s="8">
        <v>32899</v>
      </c>
      <c r="AD236" s="8">
        <f t="shared" si="99"/>
        <v>-655</v>
      </c>
      <c r="AE236" s="8">
        <v>100034</v>
      </c>
      <c r="AF236" s="8">
        <f t="shared" si="113"/>
        <v>-2251</v>
      </c>
      <c r="AG236" s="8">
        <v>161382</v>
      </c>
      <c r="AH236" s="8">
        <f t="shared" si="114"/>
        <v>1287</v>
      </c>
      <c r="AI236" s="8">
        <v>-61348</v>
      </c>
      <c r="AJ236" s="8">
        <f t="shared" si="115"/>
        <v>-3538</v>
      </c>
      <c r="AK236" s="8">
        <v>81420</v>
      </c>
      <c r="AL236" s="8">
        <f t="shared" si="116"/>
        <v>-1891</v>
      </c>
      <c r="AM236" s="8">
        <v>158009</v>
      </c>
      <c r="AN236" s="8">
        <f t="shared" si="117"/>
        <v>991</v>
      </c>
      <c r="AO236" s="8">
        <v>-76589</v>
      </c>
      <c r="AP236" s="8">
        <f t="shared" si="118"/>
        <v>-2882</v>
      </c>
      <c r="AR236" s="8">
        <v>2081663</v>
      </c>
      <c r="AS236" s="8">
        <f t="shared" si="119"/>
        <v>38259</v>
      </c>
      <c r="AT236" s="8">
        <v>366446</v>
      </c>
      <c r="AU236" s="8">
        <f t="shared" si="120"/>
        <v>8013</v>
      </c>
      <c r="AV236" s="8">
        <v>30557</v>
      </c>
      <c r="AW236" s="8">
        <f t="shared" si="121"/>
        <v>3412</v>
      </c>
      <c r="AX236" s="8">
        <f t="shared" si="96"/>
        <v>335889</v>
      </c>
      <c r="AY236" s="8">
        <f t="shared" si="122"/>
        <v>4601</v>
      </c>
      <c r="AZ236" s="8">
        <v>778748</v>
      </c>
      <c r="BA236" s="8">
        <f t="shared" si="123"/>
        <v>12118</v>
      </c>
      <c r="BB236" s="8">
        <v>1074293</v>
      </c>
      <c r="BC236" s="8">
        <f t="shared" si="124"/>
        <v>14581</v>
      </c>
      <c r="BD236" s="8">
        <f t="shared" si="97"/>
        <v>-295545</v>
      </c>
      <c r="BE236" s="8">
        <f t="shared" si="125"/>
        <v>-2463</v>
      </c>
      <c r="BF236" s="8">
        <v>341786</v>
      </c>
      <c r="BG236" s="8">
        <f t="shared" si="126"/>
        <v>7811</v>
      </c>
      <c r="BH236" s="8">
        <v>942657</v>
      </c>
      <c r="BI236" s="8">
        <f t="shared" si="127"/>
        <v>13956</v>
      </c>
      <c r="BJ236" s="8">
        <f t="shared" si="98"/>
        <v>-600871</v>
      </c>
      <c r="BK236" s="8">
        <f t="shared" si="100"/>
        <v>-6145</v>
      </c>
    </row>
    <row r="237" spans="1:63">
      <c r="A237" s="5">
        <v>40526</v>
      </c>
      <c r="B237" s="8">
        <v>439474</v>
      </c>
      <c r="C237" s="8">
        <f t="shared" si="101"/>
        <v>14880</v>
      </c>
      <c r="D237" s="8">
        <v>66660</v>
      </c>
      <c r="E237" s="8">
        <f t="shared" si="102"/>
        <v>5157</v>
      </c>
      <c r="F237" s="8">
        <v>12247</v>
      </c>
      <c r="G237" s="8">
        <f t="shared" si="103"/>
        <v>-534</v>
      </c>
      <c r="H237" s="8">
        <v>54413</v>
      </c>
      <c r="I237" s="8">
        <f t="shared" si="104"/>
        <v>5691</v>
      </c>
      <c r="J237" s="8">
        <v>211647</v>
      </c>
      <c r="K237" s="8">
        <f t="shared" si="105"/>
        <v>9299</v>
      </c>
      <c r="L237" s="8">
        <v>285250</v>
      </c>
      <c r="M237" s="8">
        <f t="shared" si="106"/>
        <v>14778</v>
      </c>
      <c r="N237" s="8">
        <v>-73603</v>
      </c>
      <c r="O237" s="8">
        <f t="shared" si="107"/>
        <v>-5479</v>
      </c>
      <c r="P237" s="8">
        <v>100739</v>
      </c>
      <c r="Q237" s="8">
        <f t="shared" si="108"/>
        <v>-4766</v>
      </c>
      <c r="R237" s="8">
        <v>271275</v>
      </c>
      <c r="S237" s="8">
        <f t="shared" si="109"/>
        <v>11029</v>
      </c>
      <c r="T237" s="8">
        <v>-170536</v>
      </c>
      <c r="U237" s="8">
        <f t="shared" si="110"/>
        <v>-15795</v>
      </c>
      <c r="W237" s="8">
        <v>228335</v>
      </c>
      <c r="X237" s="8">
        <f t="shared" si="111"/>
        <v>-254</v>
      </c>
      <c r="Y237" s="8">
        <v>41611</v>
      </c>
      <c r="Z237" s="8">
        <f t="shared" si="112"/>
        <v>-555</v>
      </c>
      <c r="AA237" s="8">
        <v>9687</v>
      </c>
      <c r="AB237" s="8">
        <f t="shared" si="99"/>
        <v>420</v>
      </c>
      <c r="AC237" s="8">
        <v>31924</v>
      </c>
      <c r="AD237" s="8">
        <f t="shared" si="99"/>
        <v>-975</v>
      </c>
      <c r="AE237" s="8">
        <v>101433</v>
      </c>
      <c r="AF237" s="8">
        <f t="shared" si="113"/>
        <v>1399</v>
      </c>
      <c r="AG237" s="8">
        <v>162432</v>
      </c>
      <c r="AH237" s="8">
        <f t="shared" si="114"/>
        <v>1050</v>
      </c>
      <c r="AI237" s="8">
        <v>-60999</v>
      </c>
      <c r="AJ237" s="8">
        <f t="shared" si="115"/>
        <v>349</v>
      </c>
      <c r="AK237" s="8">
        <v>82133</v>
      </c>
      <c r="AL237" s="8">
        <f t="shared" si="116"/>
        <v>713</v>
      </c>
      <c r="AM237" s="8">
        <v>159971</v>
      </c>
      <c r="AN237" s="8">
        <f t="shared" si="117"/>
        <v>1962</v>
      </c>
      <c r="AO237" s="8">
        <v>-77838</v>
      </c>
      <c r="AP237" s="8">
        <f t="shared" si="118"/>
        <v>-1249</v>
      </c>
      <c r="AR237" s="8">
        <v>2118708</v>
      </c>
      <c r="AS237" s="8">
        <f t="shared" si="119"/>
        <v>37045</v>
      </c>
      <c r="AT237" s="8">
        <v>390119</v>
      </c>
      <c r="AU237" s="8">
        <f t="shared" si="120"/>
        <v>23673</v>
      </c>
      <c r="AV237" s="8">
        <v>30893</v>
      </c>
      <c r="AW237" s="8">
        <f t="shared" si="121"/>
        <v>336</v>
      </c>
      <c r="AX237" s="8">
        <f t="shared" si="96"/>
        <v>359226</v>
      </c>
      <c r="AY237" s="8">
        <f t="shared" si="122"/>
        <v>23337</v>
      </c>
      <c r="AZ237" s="8">
        <v>791966</v>
      </c>
      <c r="BA237" s="8">
        <f t="shared" si="123"/>
        <v>13218</v>
      </c>
      <c r="BB237" s="8">
        <v>1101788</v>
      </c>
      <c r="BC237" s="8">
        <f t="shared" si="124"/>
        <v>27495</v>
      </c>
      <c r="BD237" s="8">
        <f t="shared" si="97"/>
        <v>-309822</v>
      </c>
      <c r="BE237" s="8">
        <f t="shared" si="125"/>
        <v>-14277</v>
      </c>
      <c r="BF237" s="8">
        <v>340984</v>
      </c>
      <c r="BG237" s="8">
        <f t="shared" si="126"/>
        <v>-802</v>
      </c>
      <c r="BH237" s="8">
        <v>962611</v>
      </c>
      <c r="BI237" s="8">
        <f t="shared" si="127"/>
        <v>19954</v>
      </c>
      <c r="BJ237" s="8">
        <f t="shared" si="98"/>
        <v>-621627</v>
      </c>
      <c r="BK237" s="8">
        <f t="shared" si="100"/>
        <v>-20756</v>
      </c>
    </row>
    <row r="238" spans="1:63">
      <c r="A238" s="5">
        <v>40533</v>
      </c>
      <c r="B238" s="8">
        <v>443967</v>
      </c>
      <c r="C238" s="8">
        <f t="shared" si="101"/>
        <v>4493</v>
      </c>
      <c r="D238" s="8">
        <v>68421</v>
      </c>
      <c r="E238" s="8">
        <f t="shared" si="102"/>
        <v>1761</v>
      </c>
      <c r="F238" s="8">
        <v>11380</v>
      </c>
      <c r="G238" s="8">
        <f t="shared" si="103"/>
        <v>-867</v>
      </c>
      <c r="H238" s="8">
        <v>57041</v>
      </c>
      <c r="I238" s="8">
        <f t="shared" si="104"/>
        <v>2628</v>
      </c>
      <c r="J238" s="8">
        <v>209603</v>
      </c>
      <c r="K238" s="8">
        <f t="shared" si="105"/>
        <v>-2044</v>
      </c>
      <c r="L238" s="8">
        <v>288906</v>
      </c>
      <c r="M238" s="8">
        <f t="shared" si="106"/>
        <v>3656</v>
      </c>
      <c r="N238" s="8">
        <v>-79303</v>
      </c>
      <c r="O238" s="8">
        <f t="shared" si="107"/>
        <v>-5700</v>
      </c>
      <c r="P238" s="8">
        <v>98025</v>
      </c>
      <c r="Q238" s="8">
        <f t="shared" si="108"/>
        <v>-2714</v>
      </c>
      <c r="R238" s="8">
        <v>276583</v>
      </c>
      <c r="S238" s="8">
        <f t="shared" si="109"/>
        <v>5308</v>
      </c>
      <c r="T238" s="8">
        <v>-178558</v>
      </c>
      <c r="U238" s="8">
        <f t="shared" si="110"/>
        <v>-8022</v>
      </c>
      <c r="W238" s="8">
        <v>231389</v>
      </c>
      <c r="X238" s="8">
        <f t="shared" si="111"/>
        <v>3054</v>
      </c>
      <c r="Y238" s="8">
        <v>47495</v>
      </c>
      <c r="Z238" s="8">
        <f t="shared" si="112"/>
        <v>5884</v>
      </c>
      <c r="AA238" s="8">
        <v>8841</v>
      </c>
      <c r="AB238" s="8">
        <f t="shared" si="99"/>
        <v>-846</v>
      </c>
      <c r="AC238" s="8">
        <v>38654</v>
      </c>
      <c r="AD238" s="8">
        <f t="shared" si="99"/>
        <v>6730</v>
      </c>
      <c r="AE238" s="8">
        <v>94521</v>
      </c>
      <c r="AF238" s="8">
        <f t="shared" si="113"/>
        <v>-6912</v>
      </c>
      <c r="AG238" s="8">
        <v>161452</v>
      </c>
      <c r="AH238" s="8">
        <f t="shared" si="114"/>
        <v>-980</v>
      </c>
      <c r="AI238" s="8">
        <v>-66931</v>
      </c>
      <c r="AJ238" s="8">
        <f t="shared" si="115"/>
        <v>-5932</v>
      </c>
      <c r="AK238" s="8">
        <v>75010</v>
      </c>
      <c r="AL238" s="8">
        <f t="shared" si="116"/>
        <v>-7123</v>
      </c>
      <c r="AM238" s="8">
        <v>158182</v>
      </c>
      <c r="AN238" s="8">
        <f t="shared" si="117"/>
        <v>-1789</v>
      </c>
      <c r="AO238" s="8">
        <v>-83172</v>
      </c>
      <c r="AP238" s="8">
        <f t="shared" si="118"/>
        <v>-5334</v>
      </c>
      <c r="AR238" s="8">
        <v>2198012</v>
      </c>
      <c r="AS238" s="8">
        <f t="shared" si="119"/>
        <v>79304</v>
      </c>
      <c r="AT238" s="8">
        <v>411110</v>
      </c>
      <c r="AU238" s="8">
        <f t="shared" si="120"/>
        <v>20991</v>
      </c>
      <c r="AV238" s="8">
        <v>30415</v>
      </c>
      <c r="AW238" s="8">
        <f t="shared" si="121"/>
        <v>-478</v>
      </c>
      <c r="AX238" s="8">
        <f t="shared" si="96"/>
        <v>380695</v>
      </c>
      <c r="AY238" s="8">
        <f t="shared" si="122"/>
        <v>21469</v>
      </c>
      <c r="AZ238" s="8">
        <v>823012</v>
      </c>
      <c r="BA238" s="8">
        <f t="shared" si="123"/>
        <v>31046</v>
      </c>
      <c r="BB238" s="8">
        <v>1153796</v>
      </c>
      <c r="BC238" s="8">
        <f t="shared" si="124"/>
        <v>52008</v>
      </c>
      <c r="BD238" s="8">
        <f t="shared" si="97"/>
        <v>-330784</v>
      </c>
      <c r="BE238" s="8">
        <f t="shared" si="125"/>
        <v>-20962</v>
      </c>
      <c r="BF238" s="8">
        <v>355127</v>
      </c>
      <c r="BG238" s="8">
        <f t="shared" si="126"/>
        <v>14143</v>
      </c>
      <c r="BH238" s="8">
        <v>1002388</v>
      </c>
      <c r="BI238" s="8">
        <f t="shared" si="127"/>
        <v>39777</v>
      </c>
      <c r="BJ238" s="8">
        <f t="shared" si="98"/>
        <v>-647261</v>
      </c>
      <c r="BK238" s="8">
        <f t="shared" si="100"/>
        <v>-25634</v>
      </c>
    </row>
    <row r="239" spans="1:63">
      <c r="A239" s="5">
        <v>40540</v>
      </c>
      <c r="B239" s="8">
        <v>429409</v>
      </c>
      <c r="C239" s="8">
        <f t="shared" si="101"/>
        <v>-14558</v>
      </c>
      <c r="D239" s="8">
        <v>67584</v>
      </c>
      <c r="E239" s="8">
        <f t="shared" si="102"/>
        <v>-837</v>
      </c>
      <c r="F239" s="8">
        <v>10623</v>
      </c>
      <c r="G239" s="8">
        <f t="shared" si="103"/>
        <v>-757</v>
      </c>
      <c r="H239" s="8">
        <v>56961</v>
      </c>
      <c r="I239" s="8">
        <f t="shared" si="104"/>
        <v>-80</v>
      </c>
      <c r="J239" s="8">
        <v>211710</v>
      </c>
      <c r="K239" s="8">
        <f t="shared" si="105"/>
        <v>2107</v>
      </c>
      <c r="L239" s="8">
        <v>291428</v>
      </c>
      <c r="M239" s="8">
        <f t="shared" si="106"/>
        <v>2522</v>
      </c>
      <c r="N239" s="8">
        <v>-79718</v>
      </c>
      <c r="O239" s="8">
        <f t="shared" si="107"/>
        <v>-415</v>
      </c>
      <c r="P239" s="8">
        <v>97738</v>
      </c>
      <c r="Q239" s="8">
        <f t="shared" si="108"/>
        <v>-287</v>
      </c>
      <c r="R239" s="8">
        <v>280451</v>
      </c>
      <c r="S239" s="8">
        <f t="shared" si="109"/>
        <v>3868</v>
      </c>
      <c r="T239" s="8">
        <v>-182713</v>
      </c>
      <c r="U239" s="8">
        <f t="shared" si="110"/>
        <v>-4155</v>
      </c>
      <c r="W239" s="8">
        <v>232577</v>
      </c>
      <c r="X239" s="8">
        <f t="shared" si="111"/>
        <v>1188</v>
      </c>
      <c r="Y239" s="8">
        <v>48956</v>
      </c>
      <c r="Z239" s="8">
        <f t="shared" si="112"/>
        <v>1461</v>
      </c>
      <c r="AA239" s="8">
        <v>8827</v>
      </c>
      <c r="AB239" s="8">
        <f t="shared" si="99"/>
        <v>-14</v>
      </c>
      <c r="AC239" s="8">
        <v>40129</v>
      </c>
      <c r="AD239" s="8">
        <f t="shared" si="99"/>
        <v>1475</v>
      </c>
      <c r="AE239" s="8">
        <v>96675</v>
      </c>
      <c r="AF239" s="8">
        <f t="shared" si="113"/>
        <v>2154</v>
      </c>
      <c r="AG239" s="8">
        <v>162211</v>
      </c>
      <c r="AH239" s="8">
        <f t="shared" si="114"/>
        <v>759</v>
      </c>
      <c r="AI239" s="8">
        <v>-65536</v>
      </c>
      <c r="AJ239" s="8">
        <f t="shared" si="115"/>
        <v>1395</v>
      </c>
      <c r="AK239" s="8">
        <v>74537</v>
      </c>
      <c r="AL239" s="8">
        <f t="shared" si="116"/>
        <v>-473</v>
      </c>
      <c r="AM239" s="8">
        <v>159015</v>
      </c>
      <c r="AN239" s="8">
        <f t="shared" si="117"/>
        <v>833</v>
      </c>
      <c r="AO239" s="8">
        <v>-84478</v>
      </c>
      <c r="AP239" s="8">
        <f t="shared" si="118"/>
        <v>-1306</v>
      </c>
      <c r="AR239" s="8">
        <v>2220581</v>
      </c>
      <c r="AS239" s="8">
        <f t="shared" si="119"/>
        <v>22569</v>
      </c>
      <c r="AT239" s="8">
        <v>425074</v>
      </c>
      <c r="AU239" s="8">
        <f t="shared" si="120"/>
        <v>13964</v>
      </c>
      <c r="AV239" s="8">
        <v>28292</v>
      </c>
      <c r="AW239" s="8">
        <f t="shared" si="121"/>
        <v>-2123</v>
      </c>
      <c r="AX239" s="8">
        <f t="shared" si="96"/>
        <v>396782</v>
      </c>
      <c r="AY239" s="8">
        <f t="shared" si="122"/>
        <v>16087</v>
      </c>
      <c r="AZ239" s="8">
        <v>834252</v>
      </c>
      <c r="BA239" s="8">
        <f t="shared" si="123"/>
        <v>11240</v>
      </c>
      <c r="BB239" s="8">
        <v>1182111</v>
      </c>
      <c r="BC239" s="8">
        <f t="shared" si="124"/>
        <v>28315</v>
      </c>
      <c r="BD239" s="8">
        <f t="shared" si="97"/>
        <v>-347859</v>
      </c>
      <c r="BE239" s="8">
        <f t="shared" si="125"/>
        <v>-17075</v>
      </c>
      <c r="BF239" s="8">
        <v>361506</v>
      </c>
      <c r="BG239" s="8">
        <f t="shared" si="126"/>
        <v>6379</v>
      </c>
      <c r="BH239" s="8">
        <v>1025874</v>
      </c>
      <c r="BI239" s="8">
        <f t="shared" si="127"/>
        <v>23486</v>
      </c>
      <c r="BJ239" s="8">
        <f t="shared" si="98"/>
        <v>-664368</v>
      </c>
      <c r="BK239" s="8">
        <f t="shared" si="100"/>
        <v>-17107</v>
      </c>
    </row>
    <row r="240" spans="1:63">
      <c r="A240" s="5">
        <v>40547</v>
      </c>
      <c r="B240" s="8">
        <v>438899</v>
      </c>
      <c r="C240" s="8">
        <f t="shared" si="101"/>
        <v>9490</v>
      </c>
      <c r="D240" s="8">
        <v>67123</v>
      </c>
      <c r="E240" s="8">
        <f t="shared" si="102"/>
        <v>-461</v>
      </c>
      <c r="F240" s="8">
        <v>10964</v>
      </c>
      <c r="G240" s="8">
        <f t="shared" si="103"/>
        <v>341</v>
      </c>
      <c r="H240" s="8">
        <v>56159</v>
      </c>
      <c r="I240" s="8">
        <f t="shared" si="104"/>
        <v>-802</v>
      </c>
      <c r="J240" s="8">
        <v>218741</v>
      </c>
      <c r="K240" s="8">
        <f t="shared" si="105"/>
        <v>7031</v>
      </c>
      <c r="L240" s="8">
        <v>299955</v>
      </c>
      <c r="M240" s="8">
        <f t="shared" si="106"/>
        <v>8527</v>
      </c>
      <c r="N240" s="8">
        <v>-81214</v>
      </c>
      <c r="O240" s="8">
        <f t="shared" si="107"/>
        <v>-1496</v>
      </c>
      <c r="P240" s="8">
        <v>103423</v>
      </c>
      <c r="Q240" s="8">
        <f t="shared" si="108"/>
        <v>5685</v>
      </c>
      <c r="R240" s="8">
        <v>289166</v>
      </c>
      <c r="S240" s="8">
        <f t="shared" si="109"/>
        <v>8715</v>
      </c>
      <c r="T240" s="8">
        <v>-185743</v>
      </c>
      <c r="U240" s="8">
        <f t="shared" si="110"/>
        <v>-3030</v>
      </c>
      <c r="W240" s="8">
        <v>227659</v>
      </c>
      <c r="X240" s="8">
        <f t="shared" si="111"/>
        <v>-4918</v>
      </c>
      <c r="Y240" s="8">
        <v>49576</v>
      </c>
      <c r="Z240" s="8">
        <f t="shared" si="112"/>
        <v>620</v>
      </c>
      <c r="AA240" s="8">
        <v>8571</v>
      </c>
      <c r="AB240" s="8">
        <f t="shared" si="99"/>
        <v>-256</v>
      </c>
      <c r="AC240" s="8">
        <v>41005</v>
      </c>
      <c r="AD240" s="8">
        <f t="shared" si="99"/>
        <v>876</v>
      </c>
      <c r="AE240" s="8">
        <v>93217</v>
      </c>
      <c r="AF240" s="8">
        <f t="shared" si="113"/>
        <v>-3458</v>
      </c>
      <c r="AG240" s="8">
        <v>162567</v>
      </c>
      <c r="AH240" s="8">
        <f t="shared" si="114"/>
        <v>356</v>
      </c>
      <c r="AI240" s="8">
        <v>-69350</v>
      </c>
      <c r="AJ240" s="8">
        <f t="shared" si="115"/>
        <v>-3814</v>
      </c>
      <c r="AK240" s="8">
        <v>70819</v>
      </c>
      <c r="AL240" s="8">
        <f t="shared" si="116"/>
        <v>-3718</v>
      </c>
      <c r="AM240" s="8">
        <v>158645</v>
      </c>
      <c r="AN240" s="8">
        <f t="shared" si="117"/>
        <v>-370</v>
      </c>
      <c r="AO240" s="8">
        <v>-87826</v>
      </c>
      <c r="AP240" s="8">
        <f t="shared" si="118"/>
        <v>-3348</v>
      </c>
      <c r="AR240" s="8">
        <v>2225065</v>
      </c>
      <c r="AS240" s="8">
        <f t="shared" si="119"/>
        <v>4484</v>
      </c>
      <c r="AT240" s="8">
        <v>400500</v>
      </c>
      <c r="AU240" s="8">
        <f t="shared" si="120"/>
        <v>-24574</v>
      </c>
      <c r="AV240" s="8">
        <v>26501</v>
      </c>
      <c r="AW240" s="8">
        <f t="shared" si="121"/>
        <v>-1791</v>
      </c>
      <c r="AX240" s="8">
        <f t="shared" si="96"/>
        <v>373999</v>
      </c>
      <c r="AY240" s="8">
        <f t="shared" si="122"/>
        <v>-22783</v>
      </c>
      <c r="AZ240" s="8">
        <v>851013</v>
      </c>
      <c r="BA240" s="8">
        <f t="shared" si="123"/>
        <v>16761</v>
      </c>
      <c r="BB240" s="8">
        <v>1169185</v>
      </c>
      <c r="BC240" s="8">
        <f t="shared" si="124"/>
        <v>-12926</v>
      </c>
      <c r="BD240" s="8">
        <f t="shared" si="97"/>
        <v>-318172</v>
      </c>
      <c r="BE240" s="8">
        <f t="shared" si="125"/>
        <v>29687</v>
      </c>
      <c r="BF240" s="8">
        <v>374469</v>
      </c>
      <c r="BG240" s="8">
        <f t="shared" si="126"/>
        <v>12963</v>
      </c>
      <c r="BH240" s="8">
        <v>1015613</v>
      </c>
      <c r="BI240" s="8">
        <f t="shared" si="127"/>
        <v>-10261</v>
      </c>
      <c r="BJ240" s="8">
        <f t="shared" si="98"/>
        <v>-641144</v>
      </c>
      <c r="BK240" s="8">
        <f t="shared" si="100"/>
        <v>23224</v>
      </c>
    </row>
    <row r="241" spans="1:63">
      <c r="A241" s="5">
        <v>40554</v>
      </c>
      <c r="B241" s="8">
        <v>448075</v>
      </c>
      <c r="C241" s="8">
        <f t="shared" si="101"/>
        <v>9176</v>
      </c>
      <c r="D241" s="8">
        <v>68126</v>
      </c>
      <c r="E241" s="8">
        <f t="shared" si="102"/>
        <v>1003</v>
      </c>
      <c r="F241" s="8">
        <v>10975</v>
      </c>
      <c r="G241" s="8">
        <f t="shared" si="103"/>
        <v>11</v>
      </c>
      <c r="H241" s="8">
        <v>57151</v>
      </c>
      <c r="I241" s="8">
        <f t="shared" si="104"/>
        <v>992</v>
      </c>
      <c r="J241" s="8">
        <v>229146</v>
      </c>
      <c r="K241" s="8">
        <f t="shared" si="105"/>
        <v>10405</v>
      </c>
      <c r="L241" s="8">
        <v>308219</v>
      </c>
      <c r="M241" s="8">
        <f t="shared" si="106"/>
        <v>8264</v>
      </c>
      <c r="N241" s="8">
        <v>-79073</v>
      </c>
      <c r="O241" s="8">
        <f t="shared" si="107"/>
        <v>2141</v>
      </c>
      <c r="P241" s="8">
        <v>119083</v>
      </c>
      <c r="Q241" s="8">
        <f t="shared" si="108"/>
        <v>15660</v>
      </c>
      <c r="R241" s="8">
        <v>298008</v>
      </c>
      <c r="S241" s="8">
        <f t="shared" si="109"/>
        <v>8842</v>
      </c>
      <c r="T241" s="8">
        <v>-178925</v>
      </c>
      <c r="U241" s="8">
        <f t="shared" si="110"/>
        <v>6818</v>
      </c>
      <c r="W241" s="8">
        <v>233313</v>
      </c>
      <c r="X241" s="8">
        <f t="shared" si="111"/>
        <v>5654</v>
      </c>
      <c r="Y241" s="8">
        <v>49952</v>
      </c>
      <c r="Z241" s="8">
        <f t="shared" si="112"/>
        <v>376</v>
      </c>
      <c r="AA241" s="8">
        <v>8951</v>
      </c>
      <c r="AB241" s="8">
        <f t="shared" si="99"/>
        <v>380</v>
      </c>
      <c r="AC241" s="8">
        <v>41001</v>
      </c>
      <c r="AD241" s="8">
        <f t="shared" si="99"/>
        <v>-4</v>
      </c>
      <c r="AE241" s="8">
        <v>96682</v>
      </c>
      <c r="AF241" s="8">
        <f t="shared" si="113"/>
        <v>3465</v>
      </c>
      <c r="AG241" s="8">
        <v>165287</v>
      </c>
      <c r="AH241" s="8">
        <f t="shared" si="114"/>
        <v>2720</v>
      </c>
      <c r="AI241" s="8">
        <v>-68605</v>
      </c>
      <c r="AJ241" s="8">
        <f t="shared" si="115"/>
        <v>745</v>
      </c>
      <c r="AK241" s="8">
        <v>73608</v>
      </c>
      <c r="AL241" s="8">
        <f t="shared" si="116"/>
        <v>2789</v>
      </c>
      <c r="AM241" s="8">
        <v>161601</v>
      </c>
      <c r="AN241" s="8">
        <f t="shared" si="117"/>
        <v>2956</v>
      </c>
      <c r="AO241" s="8">
        <v>-87993</v>
      </c>
      <c r="AP241" s="8">
        <f t="shared" si="118"/>
        <v>-167</v>
      </c>
      <c r="AR241" s="8">
        <v>2293704</v>
      </c>
      <c r="AS241" s="8">
        <f t="shared" si="119"/>
        <v>68639</v>
      </c>
      <c r="AT241" s="8">
        <v>397580</v>
      </c>
      <c r="AU241" s="8">
        <f t="shared" si="120"/>
        <v>-2920</v>
      </c>
      <c r="AV241" s="8">
        <v>21606</v>
      </c>
      <c r="AW241" s="8">
        <f t="shared" si="121"/>
        <v>-4895</v>
      </c>
      <c r="AX241" s="8">
        <f t="shared" si="96"/>
        <v>375974</v>
      </c>
      <c r="AY241" s="8">
        <f t="shared" si="122"/>
        <v>1975</v>
      </c>
      <c r="AZ241" s="8">
        <v>860945</v>
      </c>
      <c r="BA241" s="8">
        <f t="shared" si="123"/>
        <v>9932</v>
      </c>
      <c r="BB241" s="8">
        <v>1177448</v>
      </c>
      <c r="BC241" s="8">
        <f t="shared" si="124"/>
        <v>8263</v>
      </c>
      <c r="BD241" s="8">
        <f t="shared" si="97"/>
        <v>-316503</v>
      </c>
      <c r="BE241" s="8">
        <f t="shared" si="125"/>
        <v>1669</v>
      </c>
      <c r="BF241" s="8">
        <v>409198</v>
      </c>
      <c r="BG241" s="8">
        <f t="shared" si="126"/>
        <v>34729</v>
      </c>
      <c r="BH241" s="8">
        <v>1030279</v>
      </c>
      <c r="BI241" s="8">
        <f t="shared" si="127"/>
        <v>14666</v>
      </c>
      <c r="BJ241" s="8">
        <f t="shared" si="98"/>
        <v>-621081</v>
      </c>
      <c r="BK241" s="8">
        <f t="shared" si="100"/>
        <v>20063</v>
      </c>
    </row>
    <row r="242" spans="1:63">
      <c r="A242" s="5">
        <v>40561</v>
      </c>
      <c r="B242" s="8">
        <v>460591</v>
      </c>
      <c r="C242" s="8">
        <f t="shared" si="101"/>
        <v>12516</v>
      </c>
      <c r="D242" s="8">
        <v>71852</v>
      </c>
      <c r="E242" s="8">
        <f t="shared" si="102"/>
        <v>3726</v>
      </c>
      <c r="F242" s="8">
        <v>10699</v>
      </c>
      <c r="G242" s="8">
        <f t="shared" si="103"/>
        <v>-276</v>
      </c>
      <c r="H242" s="8">
        <v>61153</v>
      </c>
      <c r="I242" s="8">
        <f t="shared" si="104"/>
        <v>4002</v>
      </c>
      <c r="J242" s="8">
        <v>235616</v>
      </c>
      <c r="K242" s="8">
        <f t="shared" si="105"/>
        <v>6470</v>
      </c>
      <c r="L242" s="8">
        <v>315665</v>
      </c>
      <c r="M242" s="8">
        <f t="shared" si="106"/>
        <v>7446</v>
      </c>
      <c r="N242" s="8">
        <v>-80049</v>
      </c>
      <c r="O242" s="8">
        <f t="shared" si="107"/>
        <v>-976</v>
      </c>
      <c r="P242" s="8">
        <v>128111</v>
      </c>
      <c r="Q242" s="8">
        <f t="shared" si="108"/>
        <v>9028</v>
      </c>
      <c r="R242" s="8">
        <v>302903</v>
      </c>
      <c r="S242" s="8">
        <f t="shared" si="109"/>
        <v>4895</v>
      </c>
      <c r="T242" s="8">
        <v>-174792</v>
      </c>
      <c r="U242" s="8">
        <f t="shared" si="110"/>
        <v>4133</v>
      </c>
      <c r="W242" s="8">
        <v>251314</v>
      </c>
      <c r="X242" s="8">
        <f t="shared" si="111"/>
        <v>18001</v>
      </c>
      <c r="Y242" s="8">
        <v>51056</v>
      </c>
      <c r="Z242" s="8">
        <f t="shared" si="112"/>
        <v>1104</v>
      </c>
      <c r="AA242" s="8">
        <v>7811</v>
      </c>
      <c r="AB242" s="8">
        <f t="shared" si="99"/>
        <v>-1140</v>
      </c>
      <c r="AC242" s="8">
        <v>43245</v>
      </c>
      <c r="AD242" s="8">
        <f t="shared" si="99"/>
        <v>2244</v>
      </c>
      <c r="AE242" s="8">
        <v>103511</v>
      </c>
      <c r="AF242" s="8">
        <f t="shared" si="113"/>
        <v>6829</v>
      </c>
      <c r="AG242" s="8">
        <v>173213</v>
      </c>
      <c r="AH242" s="8">
        <f t="shared" si="114"/>
        <v>7926</v>
      </c>
      <c r="AI242" s="8">
        <v>-69702</v>
      </c>
      <c r="AJ242" s="8">
        <f t="shared" si="115"/>
        <v>-1097</v>
      </c>
      <c r="AK242" s="8">
        <v>79003</v>
      </c>
      <c r="AL242" s="8">
        <f t="shared" si="116"/>
        <v>5395</v>
      </c>
      <c r="AM242" s="8">
        <v>169187</v>
      </c>
      <c r="AN242" s="8">
        <f t="shared" si="117"/>
        <v>7586</v>
      </c>
      <c r="AO242" s="8">
        <v>-90184</v>
      </c>
      <c r="AP242" s="8">
        <f t="shared" si="118"/>
        <v>-2191</v>
      </c>
      <c r="AR242" s="8">
        <v>2441969</v>
      </c>
      <c r="AS242" s="8">
        <f t="shared" si="119"/>
        <v>148265</v>
      </c>
      <c r="AT242" s="8">
        <v>434298</v>
      </c>
      <c r="AU242" s="8">
        <f t="shared" si="120"/>
        <v>36718</v>
      </c>
      <c r="AV242" s="8">
        <v>25444</v>
      </c>
      <c r="AW242" s="8">
        <f t="shared" si="121"/>
        <v>3838</v>
      </c>
      <c r="AX242" s="8">
        <f t="shared" si="96"/>
        <v>408854</v>
      </c>
      <c r="AY242" s="8">
        <f t="shared" si="122"/>
        <v>32880</v>
      </c>
      <c r="AZ242" s="8">
        <v>873896</v>
      </c>
      <c r="BA242" s="8">
        <f t="shared" si="123"/>
        <v>12951</v>
      </c>
      <c r="BB242" s="8">
        <v>1229558</v>
      </c>
      <c r="BC242" s="8">
        <f t="shared" si="124"/>
        <v>52110</v>
      </c>
      <c r="BD242" s="8">
        <f t="shared" si="97"/>
        <v>-355662</v>
      </c>
      <c r="BE242" s="8">
        <f t="shared" si="125"/>
        <v>-39159</v>
      </c>
      <c r="BF242" s="8">
        <v>410427</v>
      </c>
      <c r="BG242" s="8">
        <f t="shared" si="126"/>
        <v>1229</v>
      </c>
      <c r="BH242" s="8">
        <v>1057903</v>
      </c>
      <c r="BI242" s="8">
        <f t="shared" si="127"/>
        <v>27624</v>
      </c>
      <c r="BJ242" s="8">
        <f t="shared" si="98"/>
        <v>-647476</v>
      </c>
      <c r="BK242" s="8">
        <f t="shared" si="100"/>
        <v>-26395</v>
      </c>
    </row>
    <row r="243" spans="1:63">
      <c r="A243" s="5">
        <v>40568</v>
      </c>
      <c r="B243" s="8">
        <v>466701</v>
      </c>
      <c r="C243" s="8">
        <f t="shared" si="101"/>
        <v>6110</v>
      </c>
      <c r="D243" s="8">
        <v>63573</v>
      </c>
      <c r="E243" s="8">
        <f t="shared" si="102"/>
        <v>-8279</v>
      </c>
      <c r="F243" s="8">
        <v>14226</v>
      </c>
      <c r="G243" s="8">
        <f t="shared" si="103"/>
        <v>3527</v>
      </c>
      <c r="H243" s="8">
        <v>49347</v>
      </c>
      <c r="I243" s="8">
        <f t="shared" si="104"/>
        <v>-11806</v>
      </c>
      <c r="J243" s="8">
        <v>248065</v>
      </c>
      <c r="K243" s="8">
        <f t="shared" si="105"/>
        <v>12449</v>
      </c>
      <c r="L243" s="8">
        <v>313315</v>
      </c>
      <c r="M243" s="8">
        <f t="shared" si="106"/>
        <v>-2350</v>
      </c>
      <c r="N243" s="8">
        <v>-65250</v>
      </c>
      <c r="O243" s="8">
        <f t="shared" si="107"/>
        <v>14799</v>
      </c>
      <c r="P243" s="8">
        <v>141743</v>
      </c>
      <c r="Q243" s="8">
        <f t="shared" si="108"/>
        <v>13632</v>
      </c>
      <c r="R243" s="8">
        <v>296521</v>
      </c>
      <c r="S243" s="8">
        <f t="shared" si="109"/>
        <v>-6382</v>
      </c>
      <c r="T243" s="8">
        <v>-154778</v>
      </c>
      <c r="U243" s="8">
        <f t="shared" si="110"/>
        <v>20014</v>
      </c>
      <c r="W243" s="8">
        <v>251553</v>
      </c>
      <c r="X243" s="8">
        <f t="shared" si="111"/>
        <v>239</v>
      </c>
      <c r="Y243" s="8">
        <v>50559</v>
      </c>
      <c r="Z243" s="8">
        <f t="shared" si="112"/>
        <v>-497</v>
      </c>
      <c r="AA243" s="8">
        <v>10449</v>
      </c>
      <c r="AB243" s="8">
        <f t="shared" si="99"/>
        <v>2638</v>
      </c>
      <c r="AC243" s="8">
        <v>40110</v>
      </c>
      <c r="AD243" s="8">
        <f t="shared" si="99"/>
        <v>-3135</v>
      </c>
      <c r="AE243" s="8">
        <v>105709</v>
      </c>
      <c r="AF243" s="8">
        <f t="shared" si="113"/>
        <v>2198</v>
      </c>
      <c r="AG243" s="8">
        <v>169799</v>
      </c>
      <c r="AH243" s="8">
        <f t="shared" si="114"/>
        <v>-3414</v>
      </c>
      <c r="AI243" s="8">
        <v>-64090</v>
      </c>
      <c r="AJ243" s="8">
        <f t="shared" si="115"/>
        <v>5612</v>
      </c>
      <c r="AK243" s="8">
        <v>80520</v>
      </c>
      <c r="AL243" s="8">
        <f t="shared" si="116"/>
        <v>1517</v>
      </c>
      <c r="AM243" s="8">
        <v>165279</v>
      </c>
      <c r="AN243" s="8">
        <f t="shared" si="117"/>
        <v>-3908</v>
      </c>
      <c r="AO243" s="8">
        <v>-84759</v>
      </c>
      <c r="AP243" s="8">
        <f t="shared" si="118"/>
        <v>5425</v>
      </c>
      <c r="AR243" s="8">
        <v>2381171</v>
      </c>
      <c r="AS243" s="8">
        <f t="shared" si="119"/>
        <v>-60798</v>
      </c>
      <c r="AT243" s="8">
        <v>409235</v>
      </c>
      <c r="AU243" s="8">
        <f t="shared" si="120"/>
        <v>-25063</v>
      </c>
      <c r="AV243" s="8">
        <v>30121</v>
      </c>
      <c r="AW243" s="8">
        <f t="shared" si="121"/>
        <v>4677</v>
      </c>
      <c r="AX243" s="8">
        <f t="shared" si="96"/>
        <v>379114</v>
      </c>
      <c r="AY243" s="8">
        <f t="shared" si="122"/>
        <v>-29740</v>
      </c>
      <c r="AZ243" s="8">
        <v>866466</v>
      </c>
      <c r="BA243" s="8">
        <f t="shared" si="123"/>
        <v>-7430</v>
      </c>
      <c r="BB243" s="8">
        <v>1195964</v>
      </c>
      <c r="BC243" s="8">
        <f t="shared" si="124"/>
        <v>-33594</v>
      </c>
      <c r="BD243" s="8">
        <f t="shared" si="97"/>
        <v>-329498</v>
      </c>
      <c r="BE243" s="8">
        <f t="shared" si="125"/>
        <v>26164</v>
      </c>
      <c r="BF243" s="8">
        <v>414255</v>
      </c>
      <c r="BG243" s="8">
        <f t="shared" si="126"/>
        <v>3828</v>
      </c>
      <c r="BH243" s="8">
        <v>1026673</v>
      </c>
      <c r="BI243" s="8">
        <f t="shared" si="127"/>
        <v>-31230</v>
      </c>
      <c r="BJ243" s="8">
        <f t="shared" si="98"/>
        <v>-612418</v>
      </c>
      <c r="BK243" s="8">
        <f t="shared" si="100"/>
        <v>35058</v>
      </c>
    </row>
    <row r="244" spans="1:63">
      <c r="A244" s="5">
        <v>40575</v>
      </c>
      <c r="B244" s="8">
        <v>491175</v>
      </c>
      <c r="C244" s="8">
        <f t="shared" si="101"/>
        <v>24474</v>
      </c>
      <c r="D244" s="8">
        <v>80962</v>
      </c>
      <c r="E244" s="8">
        <f t="shared" si="102"/>
        <v>17389</v>
      </c>
      <c r="F244" s="8">
        <v>10066</v>
      </c>
      <c r="G244" s="8">
        <f t="shared" si="103"/>
        <v>-4160</v>
      </c>
      <c r="H244" s="8">
        <v>70896</v>
      </c>
      <c r="I244" s="8">
        <f t="shared" si="104"/>
        <v>21549</v>
      </c>
      <c r="J244" s="8">
        <v>237823</v>
      </c>
      <c r="K244" s="8">
        <f t="shared" si="105"/>
        <v>-10242</v>
      </c>
      <c r="L244" s="8">
        <v>333746</v>
      </c>
      <c r="M244" s="8">
        <f t="shared" si="106"/>
        <v>20431</v>
      </c>
      <c r="N244" s="8">
        <v>-95923</v>
      </c>
      <c r="O244" s="8">
        <f t="shared" si="107"/>
        <v>-30673</v>
      </c>
      <c r="P244" s="8">
        <v>131366</v>
      </c>
      <c r="Q244" s="8">
        <f t="shared" si="108"/>
        <v>-10377</v>
      </c>
      <c r="R244" s="8">
        <v>316189</v>
      </c>
      <c r="S244" s="8">
        <f t="shared" si="109"/>
        <v>19668</v>
      </c>
      <c r="T244" s="8">
        <v>-184823</v>
      </c>
      <c r="U244" s="8">
        <f t="shared" si="110"/>
        <v>-30045</v>
      </c>
      <c r="W244" s="8">
        <v>262275</v>
      </c>
      <c r="X244" s="8">
        <f t="shared" si="111"/>
        <v>10722</v>
      </c>
      <c r="Y244" s="8">
        <v>54805</v>
      </c>
      <c r="Z244" s="8">
        <f t="shared" si="112"/>
        <v>4246</v>
      </c>
      <c r="AA244" s="8">
        <v>9366</v>
      </c>
      <c r="AB244" s="8">
        <f t="shared" si="99"/>
        <v>-1083</v>
      </c>
      <c r="AC244" s="8">
        <v>45439</v>
      </c>
      <c r="AD244" s="8">
        <f t="shared" si="99"/>
        <v>5329</v>
      </c>
      <c r="AE244" s="8">
        <v>100562</v>
      </c>
      <c r="AF244" s="8">
        <f t="shared" si="113"/>
        <v>-5147</v>
      </c>
      <c r="AG244" s="8">
        <v>176931</v>
      </c>
      <c r="AH244" s="8">
        <f t="shared" si="114"/>
        <v>7132</v>
      </c>
      <c r="AI244" s="8">
        <v>-76369</v>
      </c>
      <c r="AJ244" s="8">
        <f t="shared" si="115"/>
        <v>-12279</v>
      </c>
      <c r="AK244" s="8">
        <v>77242</v>
      </c>
      <c r="AL244" s="8">
        <f t="shared" si="116"/>
        <v>-3278</v>
      </c>
      <c r="AM244" s="8">
        <v>170562</v>
      </c>
      <c r="AN244" s="8">
        <f t="shared" si="117"/>
        <v>5283</v>
      </c>
      <c r="AO244" s="8">
        <v>-93320</v>
      </c>
      <c r="AP244" s="8">
        <f t="shared" si="118"/>
        <v>-8561</v>
      </c>
      <c r="AR244" s="8">
        <v>2463395</v>
      </c>
      <c r="AS244" s="8">
        <f t="shared" si="119"/>
        <v>82224</v>
      </c>
      <c r="AT244" s="8">
        <v>427538</v>
      </c>
      <c r="AU244" s="8">
        <f t="shared" si="120"/>
        <v>18303</v>
      </c>
      <c r="AV244" s="8">
        <v>29382</v>
      </c>
      <c r="AW244" s="8">
        <f t="shared" si="121"/>
        <v>-739</v>
      </c>
      <c r="AX244" s="8">
        <f t="shared" si="96"/>
        <v>398156</v>
      </c>
      <c r="AY244" s="8">
        <f t="shared" si="122"/>
        <v>19042</v>
      </c>
      <c r="AZ244" s="8">
        <v>883899</v>
      </c>
      <c r="BA244" s="8">
        <f t="shared" si="123"/>
        <v>17433</v>
      </c>
      <c r="BB244" s="8">
        <v>1234084</v>
      </c>
      <c r="BC244" s="8">
        <f t="shared" si="124"/>
        <v>38120</v>
      </c>
      <c r="BD244" s="8">
        <f t="shared" si="97"/>
        <v>-350185</v>
      </c>
      <c r="BE244" s="8">
        <f t="shared" si="125"/>
        <v>-20687</v>
      </c>
      <c r="BF244" s="8">
        <v>422795</v>
      </c>
      <c r="BG244" s="8">
        <f t="shared" si="126"/>
        <v>8540</v>
      </c>
      <c r="BH244" s="8">
        <v>1053269</v>
      </c>
      <c r="BI244" s="8">
        <f t="shared" si="127"/>
        <v>26596</v>
      </c>
      <c r="BJ244" s="8">
        <f t="shared" si="98"/>
        <v>-630474</v>
      </c>
      <c r="BK244" s="8">
        <f t="shared" si="100"/>
        <v>-18056</v>
      </c>
    </row>
    <row r="245" spans="1:63">
      <c r="A245" s="5">
        <v>40582</v>
      </c>
      <c r="B245" s="8">
        <v>503024</v>
      </c>
      <c r="C245" s="8">
        <f t="shared" si="101"/>
        <v>11849</v>
      </c>
      <c r="D245" s="8">
        <v>87386</v>
      </c>
      <c r="E245" s="8">
        <f t="shared" si="102"/>
        <v>6424</v>
      </c>
      <c r="F245" s="8">
        <v>9511</v>
      </c>
      <c r="G245" s="8">
        <f t="shared" si="103"/>
        <v>-555</v>
      </c>
      <c r="H245" s="8">
        <v>77875</v>
      </c>
      <c r="I245" s="8">
        <f t="shared" si="104"/>
        <v>6979</v>
      </c>
      <c r="J245" s="8">
        <v>232282</v>
      </c>
      <c r="K245" s="8">
        <f t="shared" si="105"/>
        <v>-5541</v>
      </c>
      <c r="L245" s="8">
        <v>340787</v>
      </c>
      <c r="M245" s="8">
        <f t="shared" si="106"/>
        <v>7041</v>
      </c>
      <c r="N245" s="8">
        <v>-108505</v>
      </c>
      <c r="O245" s="8">
        <f t="shared" si="107"/>
        <v>-12582</v>
      </c>
      <c r="P245" s="8">
        <v>126801</v>
      </c>
      <c r="Q245" s="8">
        <f t="shared" si="108"/>
        <v>-4565</v>
      </c>
      <c r="R245" s="8">
        <v>325210</v>
      </c>
      <c r="S245" s="8">
        <f t="shared" si="109"/>
        <v>9021</v>
      </c>
      <c r="T245" s="8">
        <v>-198409</v>
      </c>
      <c r="U245" s="8">
        <f t="shared" si="110"/>
        <v>-13586</v>
      </c>
      <c r="W245" s="8">
        <v>265189</v>
      </c>
      <c r="X245" s="8">
        <f t="shared" si="111"/>
        <v>2914</v>
      </c>
      <c r="Y245" s="8">
        <v>54292</v>
      </c>
      <c r="Z245" s="8">
        <f t="shared" si="112"/>
        <v>-513</v>
      </c>
      <c r="AA245" s="8">
        <v>10233</v>
      </c>
      <c r="AB245" s="8">
        <f t="shared" si="99"/>
        <v>867</v>
      </c>
      <c r="AC245" s="8">
        <v>44059</v>
      </c>
      <c r="AD245" s="8">
        <f t="shared" si="99"/>
        <v>-1380</v>
      </c>
      <c r="AE245" s="8">
        <v>100336</v>
      </c>
      <c r="AF245" s="8">
        <f t="shared" si="113"/>
        <v>-226</v>
      </c>
      <c r="AG245" s="8">
        <v>173375</v>
      </c>
      <c r="AH245" s="8">
        <f t="shared" si="114"/>
        <v>-3556</v>
      </c>
      <c r="AI245" s="8">
        <v>-73039</v>
      </c>
      <c r="AJ245" s="8">
        <f t="shared" si="115"/>
        <v>3330</v>
      </c>
      <c r="AK245" s="8">
        <v>77613</v>
      </c>
      <c r="AL245" s="8">
        <f t="shared" si="116"/>
        <v>371</v>
      </c>
      <c r="AM245" s="8">
        <v>167741</v>
      </c>
      <c r="AN245" s="8">
        <f t="shared" si="117"/>
        <v>-2821</v>
      </c>
      <c r="AO245" s="8">
        <v>-90128</v>
      </c>
      <c r="AP245" s="8">
        <f t="shared" si="118"/>
        <v>3192</v>
      </c>
      <c r="AR245" s="8">
        <v>2510643</v>
      </c>
      <c r="AS245" s="8">
        <f t="shared" si="119"/>
        <v>47248</v>
      </c>
      <c r="AT245" s="8">
        <v>428600</v>
      </c>
      <c r="AU245" s="8">
        <f t="shared" si="120"/>
        <v>1062</v>
      </c>
      <c r="AV245" s="8">
        <v>34072</v>
      </c>
      <c r="AW245" s="8">
        <f t="shared" si="121"/>
        <v>4690</v>
      </c>
      <c r="AX245" s="8">
        <f t="shared" si="96"/>
        <v>394528</v>
      </c>
      <c r="AY245" s="8">
        <f t="shared" si="122"/>
        <v>-3628</v>
      </c>
      <c r="AZ245" s="8">
        <v>909365</v>
      </c>
      <c r="BA245" s="8">
        <f t="shared" si="123"/>
        <v>25466</v>
      </c>
      <c r="BB245" s="8">
        <v>1263059</v>
      </c>
      <c r="BC245" s="8">
        <f t="shared" si="124"/>
        <v>28975</v>
      </c>
      <c r="BD245" s="8">
        <f t="shared" si="97"/>
        <v>-353694</v>
      </c>
      <c r="BE245" s="8">
        <f t="shared" si="125"/>
        <v>-3509</v>
      </c>
      <c r="BF245" s="8">
        <v>445937</v>
      </c>
      <c r="BG245" s="8">
        <f t="shared" si="126"/>
        <v>23142</v>
      </c>
      <c r="BH245" s="8">
        <v>1069312</v>
      </c>
      <c r="BI245" s="8">
        <f t="shared" si="127"/>
        <v>16043</v>
      </c>
      <c r="BJ245" s="8">
        <f t="shared" si="98"/>
        <v>-623375</v>
      </c>
      <c r="BK245" s="8">
        <f t="shared" si="100"/>
        <v>7099</v>
      </c>
    </row>
    <row r="246" spans="1:63">
      <c r="A246" s="5">
        <v>40589</v>
      </c>
      <c r="B246" s="8">
        <v>490148</v>
      </c>
      <c r="C246" s="8">
        <f t="shared" si="101"/>
        <v>-12876</v>
      </c>
      <c r="D246" s="8">
        <v>77394</v>
      </c>
      <c r="E246" s="8">
        <f t="shared" si="102"/>
        <v>-9992</v>
      </c>
      <c r="F246" s="8">
        <v>14919</v>
      </c>
      <c r="G246" s="8">
        <f t="shared" si="103"/>
        <v>5408</v>
      </c>
      <c r="H246" s="8">
        <v>62475</v>
      </c>
      <c r="I246" s="8">
        <f t="shared" si="104"/>
        <v>-15400</v>
      </c>
      <c r="J246" s="8">
        <v>240071</v>
      </c>
      <c r="K246" s="8">
        <f t="shared" si="105"/>
        <v>7789</v>
      </c>
      <c r="L246" s="8">
        <v>317402</v>
      </c>
      <c r="M246" s="8">
        <f t="shared" si="106"/>
        <v>-23385</v>
      </c>
      <c r="N246" s="8">
        <v>-77331</v>
      </c>
      <c r="O246" s="8">
        <f t="shared" si="107"/>
        <v>31174</v>
      </c>
      <c r="P246" s="8">
        <v>130826</v>
      </c>
      <c r="Q246" s="8">
        <f t="shared" si="108"/>
        <v>4025</v>
      </c>
      <c r="R246" s="8">
        <v>299364</v>
      </c>
      <c r="S246" s="8">
        <f t="shared" si="109"/>
        <v>-25846</v>
      </c>
      <c r="T246" s="8">
        <v>-168538</v>
      </c>
      <c r="U246" s="8">
        <f t="shared" si="110"/>
        <v>29871</v>
      </c>
      <c r="W246" s="8">
        <v>263524</v>
      </c>
      <c r="X246" s="8">
        <f t="shared" si="111"/>
        <v>-1665</v>
      </c>
      <c r="Y246" s="8">
        <v>48090</v>
      </c>
      <c r="Z246" s="8">
        <f t="shared" si="112"/>
        <v>-6202</v>
      </c>
      <c r="AA246" s="8">
        <v>13430</v>
      </c>
      <c r="AB246" s="8">
        <f t="shared" si="99"/>
        <v>3197</v>
      </c>
      <c r="AC246" s="8">
        <v>34660</v>
      </c>
      <c r="AD246" s="8">
        <f t="shared" si="99"/>
        <v>-9399</v>
      </c>
      <c r="AE246" s="8">
        <v>110989</v>
      </c>
      <c r="AF246" s="8">
        <f t="shared" si="113"/>
        <v>10653</v>
      </c>
      <c r="AG246" s="8">
        <v>168765</v>
      </c>
      <c r="AH246" s="8">
        <f t="shared" si="114"/>
        <v>-4610</v>
      </c>
      <c r="AI246" s="8">
        <v>-57776</v>
      </c>
      <c r="AJ246" s="8">
        <f t="shared" si="115"/>
        <v>15263</v>
      </c>
      <c r="AK246" s="8">
        <v>87176</v>
      </c>
      <c r="AL246" s="8">
        <f t="shared" si="116"/>
        <v>9563</v>
      </c>
      <c r="AM246" s="8">
        <v>157330</v>
      </c>
      <c r="AN246" s="8">
        <f t="shared" si="117"/>
        <v>-10411</v>
      </c>
      <c r="AO246" s="8">
        <v>-70154</v>
      </c>
      <c r="AP246" s="8">
        <f t="shared" si="118"/>
        <v>19974</v>
      </c>
      <c r="AR246" s="8">
        <v>2573509</v>
      </c>
      <c r="AS246" s="8">
        <f t="shared" si="119"/>
        <v>62866</v>
      </c>
      <c r="AT246" s="8">
        <v>414215</v>
      </c>
      <c r="AU246" s="8">
        <f t="shared" si="120"/>
        <v>-14385</v>
      </c>
      <c r="AV246" s="8">
        <v>32993</v>
      </c>
      <c r="AW246" s="8">
        <f t="shared" si="121"/>
        <v>-1079</v>
      </c>
      <c r="AX246" s="8">
        <f t="shared" si="96"/>
        <v>381222</v>
      </c>
      <c r="AY246" s="8">
        <f t="shared" si="122"/>
        <v>-13306</v>
      </c>
      <c r="AZ246" s="8">
        <v>935581</v>
      </c>
      <c r="BA246" s="8">
        <f t="shared" si="123"/>
        <v>26216</v>
      </c>
      <c r="BB246" s="8">
        <v>1280827</v>
      </c>
      <c r="BC246" s="8">
        <f t="shared" si="124"/>
        <v>17768</v>
      </c>
      <c r="BD246" s="8">
        <f t="shared" si="97"/>
        <v>-345246</v>
      </c>
      <c r="BE246" s="8">
        <f t="shared" si="125"/>
        <v>8448</v>
      </c>
      <c r="BF246" s="8">
        <v>467329</v>
      </c>
      <c r="BG246" s="8">
        <f t="shared" si="126"/>
        <v>21392</v>
      </c>
      <c r="BH246" s="8">
        <v>1078702</v>
      </c>
      <c r="BI246" s="8">
        <f t="shared" si="127"/>
        <v>9390</v>
      </c>
      <c r="BJ246" s="8">
        <f t="shared" si="98"/>
        <v>-611373</v>
      </c>
      <c r="BK246" s="8">
        <f t="shared" si="100"/>
        <v>12002</v>
      </c>
    </row>
    <row r="247" spans="1:63">
      <c r="A247" s="5">
        <v>40596</v>
      </c>
      <c r="B247" s="8">
        <v>439190</v>
      </c>
      <c r="C247" s="8">
        <f t="shared" si="101"/>
        <v>-50958</v>
      </c>
      <c r="D247" s="8">
        <v>66879</v>
      </c>
      <c r="E247" s="8">
        <f t="shared" si="102"/>
        <v>-10515</v>
      </c>
      <c r="F247" s="8">
        <v>18501</v>
      </c>
      <c r="G247" s="8">
        <f t="shared" si="103"/>
        <v>3582</v>
      </c>
      <c r="H247" s="8">
        <v>48378</v>
      </c>
      <c r="I247" s="8">
        <f t="shared" si="104"/>
        <v>-14097</v>
      </c>
      <c r="J247" s="8">
        <v>227510</v>
      </c>
      <c r="K247" s="8">
        <f t="shared" si="105"/>
        <v>-12561</v>
      </c>
      <c r="L247" s="8">
        <v>286857</v>
      </c>
      <c r="M247" s="8">
        <f t="shared" si="106"/>
        <v>-30545</v>
      </c>
      <c r="N247" s="8">
        <v>-59347</v>
      </c>
      <c r="O247" s="8">
        <f t="shared" si="107"/>
        <v>17984</v>
      </c>
      <c r="P247" s="8">
        <v>124232</v>
      </c>
      <c r="Q247" s="8">
        <f t="shared" si="108"/>
        <v>-6594</v>
      </c>
      <c r="R247" s="8">
        <v>274329</v>
      </c>
      <c r="S247" s="8">
        <f t="shared" si="109"/>
        <v>-25035</v>
      </c>
      <c r="T247" s="8">
        <v>-150097</v>
      </c>
      <c r="U247" s="8">
        <f t="shared" si="110"/>
        <v>18441</v>
      </c>
      <c r="W247" s="8">
        <v>241659</v>
      </c>
      <c r="X247" s="8">
        <f t="shared" si="111"/>
        <v>-21865</v>
      </c>
      <c r="Y247" s="8">
        <v>42773</v>
      </c>
      <c r="Z247" s="8">
        <f t="shared" si="112"/>
        <v>-5317</v>
      </c>
      <c r="AA247" s="8">
        <v>17895</v>
      </c>
      <c r="AB247" s="8">
        <f t="shared" si="99"/>
        <v>4465</v>
      </c>
      <c r="AC247" s="8">
        <v>24878</v>
      </c>
      <c r="AD247" s="8">
        <f t="shared" si="99"/>
        <v>-9782</v>
      </c>
      <c r="AE247" s="8">
        <v>109023</v>
      </c>
      <c r="AF247" s="8">
        <f t="shared" si="113"/>
        <v>-1966</v>
      </c>
      <c r="AG247" s="8">
        <v>151414</v>
      </c>
      <c r="AH247" s="8">
        <f t="shared" si="114"/>
        <v>-17351</v>
      </c>
      <c r="AI247" s="8">
        <v>-42391</v>
      </c>
      <c r="AJ247" s="8">
        <f t="shared" si="115"/>
        <v>15385</v>
      </c>
      <c r="AK247" s="8">
        <v>86198</v>
      </c>
      <c r="AL247" s="8">
        <f t="shared" si="116"/>
        <v>-978</v>
      </c>
      <c r="AM247" s="8">
        <v>139999</v>
      </c>
      <c r="AN247" s="8">
        <f t="shared" si="117"/>
        <v>-17331</v>
      </c>
      <c r="AO247" s="8">
        <v>-53801</v>
      </c>
      <c r="AP247" s="8">
        <f t="shared" si="118"/>
        <v>16353</v>
      </c>
      <c r="AR247" s="8">
        <v>2342713</v>
      </c>
      <c r="AS247" s="8">
        <f t="shared" si="119"/>
        <v>-230796</v>
      </c>
      <c r="AT247" s="8">
        <v>403194</v>
      </c>
      <c r="AU247" s="8">
        <f t="shared" si="120"/>
        <v>-11021</v>
      </c>
      <c r="AV247" s="8">
        <v>28667</v>
      </c>
      <c r="AW247" s="8">
        <f t="shared" si="121"/>
        <v>-4326</v>
      </c>
      <c r="AX247" s="8">
        <f t="shared" si="96"/>
        <v>374527</v>
      </c>
      <c r="AY247" s="8">
        <f t="shared" si="122"/>
        <v>-6695</v>
      </c>
      <c r="AZ247" s="8">
        <v>912533</v>
      </c>
      <c r="BA247" s="8">
        <f t="shared" si="123"/>
        <v>-23048</v>
      </c>
      <c r="BB247" s="8">
        <v>1245958</v>
      </c>
      <c r="BC247" s="8">
        <f t="shared" si="124"/>
        <v>-34869</v>
      </c>
      <c r="BD247" s="8">
        <f t="shared" si="97"/>
        <v>-333425</v>
      </c>
      <c r="BE247" s="8">
        <f t="shared" si="125"/>
        <v>11821</v>
      </c>
      <c r="BF247" s="8">
        <v>449686</v>
      </c>
      <c r="BG247" s="8">
        <f t="shared" si="126"/>
        <v>-17643</v>
      </c>
      <c r="BH247" s="8">
        <v>1065885</v>
      </c>
      <c r="BI247" s="8">
        <f t="shared" si="127"/>
        <v>-12817</v>
      </c>
      <c r="BJ247" s="8">
        <f t="shared" si="98"/>
        <v>-616199</v>
      </c>
      <c r="BK247" s="8">
        <f t="shared" si="100"/>
        <v>-4826</v>
      </c>
    </row>
    <row r="248" spans="1:63">
      <c r="A248" s="5">
        <v>40603</v>
      </c>
      <c r="B248" s="8">
        <v>439456</v>
      </c>
      <c r="C248" s="8">
        <f t="shared" si="101"/>
        <v>266</v>
      </c>
      <c r="D248" s="8">
        <v>75092</v>
      </c>
      <c r="E248" s="8">
        <f t="shared" si="102"/>
        <v>8213</v>
      </c>
      <c r="F248" s="8">
        <v>15447</v>
      </c>
      <c r="G248" s="8">
        <f t="shared" si="103"/>
        <v>-3054</v>
      </c>
      <c r="H248" s="8">
        <v>59645</v>
      </c>
      <c r="I248" s="8">
        <f t="shared" si="104"/>
        <v>11267</v>
      </c>
      <c r="J248" s="8">
        <v>215333</v>
      </c>
      <c r="K248" s="8">
        <f t="shared" si="105"/>
        <v>-12177</v>
      </c>
      <c r="L248" s="8">
        <v>290827</v>
      </c>
      <c r="M248" s="8">
        <f t="shared" si="106"/>
        <v>3970</v>
      </c>
      <c r="N248" s="8">
        <v>-75494</v>
      </c>
      <c r="O248" s="8">
        <f t="shared" si="107"/>
        <v>-16147</v>
      </c>
      <c r="P248" s="8">
        <v>110469</v>
      </c>
      <c r="Q248" s="8">
        <f t="shared" si="108"/>
        <v>-13763</v>
      </c>
      <c r="R248" s="8">
        <v>271231</v>
      </c>
      <c r="S248" s="8">
        <f t="shared" si="109"/>
        <v>-3098</v>
      </c>
      <c r="T248" s="8">
        <v>-160762</v>
      </c>
      <c r="U248" s="8">
        <f t="shared" si="110"/>
        <v>-10665</v>
      </c>
      <c r="W248" s="8">
        <v>245781</v>
      </c>
      <c r="X248" s="8">
        <f t="shared" si="111"/>
        <v>4122</v>
      </c>
      <c r="Y248" s="8">
        <v>40039</v>
      </c>
      <c r="Z248" s="8">
        <f t="shared" si="112"/>
        <v>-2734</v>
      </c>
      <c r="AA248" s="8">
        <v>18095</v>
      </c>
      <c r="AB248" s="8">
        <f t="shared" si="99"/>
        <v>200</v>
      </c>
      <c r="AC248" s="8">
        <v>21944</v>
      </c>
      <c r="AD248" s="8">
        <f t="shared" si="99"/>
        <v>-2934</v>
      </c>
      <c r="AE248" s="8">
        <v>109352</v>
      </c>
      <c r="AF248" s="8">
        <f t="shared" si="113"/>
        <v>329</v>
      </c>
      <c r="AG248" s="8">
        <v>146637</v>
      </c>
      <c r="AH248" s="8">
        <f t="shared" si="114"/>
        <v>-4777</v>
      </c>
      <c r="AI248" s="8">
        <v>-37285</v>
      </c>
      <c r="AJ248" s="8">
        <f t="shared" si="115"/>
        <v>5106</v>
      </c>
      <c r="AK248" s="8">
        <v>87501</v>
      </c>
      <c r="AL248" s="8">
        <f t="shared" si="116"/>
        <v>1303</v>
      </c>
      <c r="AM248" s="8">
        <v>135751</v>
      </c>
      <c r="AN248" s="8">
        <f t="shared" si="117"/>
        <v>-4248</v>
      </c>
      <c r="AO248" s="8">
        <v>-48250</v>
      </c>
      <c r="AP248" s="8">
        <f t="shared" si="118"/>
        <v>5551</v>
      </c>
      <c r="AR248" s="8">
        <v>2334568</v>
      </c>
      <c r="AS248" s="8">
        <f t="shared" si="119"/>
        <v>-8145</v>
      </c>
      <c r="AT248" s="8">
        <v>407230</v>
      </c>
      <c r="AU248" s="8">
        <f t="shared" si="120"/>
        <v>4036</v>
      </c>
      <c r="AV248" s="8">
        <v>22407</v>
      </c>
      <c r="AW248" s="8">
        <f t="shared" si="121"/>
        <v>-6260</v>
      </c>
      <c r="AX248" s="8">
        <f t="shared" si="96"/>
        <v>384823</v>
      </c>
      <c r="AY248" s="8">
        <f t="shared" si="122"/>
        <v>10296</v>
      </c>
      <c r="AZ248" s="8">
        <v>898086</v>
      </c>
      <c r="BA248" s="8">
        <f t="shared" si="123"/>
        <v>-14447</v>
      </c>
      <c r="BB248" s="8">
        <v>1237506</v>
      </c>
      <c r="BC248" s="8">
        <f t="shared" si="124"/>
        <v>-8452</v>
      </c>
      <c r="BD248" s="8">
        <f t="shared" si="97"/>
        <v>-339420</v>
      </c>
      <c r="BE248" s="8">
        <f t="shared" si="125"/>
        <v>-5995</v>
      </c>
      <c r="BF248" s="8">
        <v>424829</v>
      </c>
      <c r="BG248" s="8">
        <f t="shared" si="126"/>
        <v>-24857</v>
      </c>
      <c r="BH248" s="8">
        <v>1047857</v>
      </c>
      <c r="BI248" s="8">
        <f t="shared" si="127"/>
        <v>-18028</v>
      </c>
      <c r="BJ248" s="8">
        <f t="shared" si="98"/>
        <v>-623028</v>
      </c>
      <c r="BK248" s="8">
        <f t="shared" si="100"/>
        <v>-6829</v>
      </c>
    </row>
    <row r="249" spans="1:63">
      <c r="A249" s="5">
        <v>40610</v>
      </c>
      <c r="B249" s="8">
        <v>447828</v>
      </c>
      <c r="C249" s="8">
        <f t="shared" si="101"/>
        <v>8372</v>
      </c>
      <c r="D249" s="8">
        <v>75972</v>
      </c>
      <c r="E249" s="8">
        <f t="shared" si="102"/>
        <v>880</v>
      </c>
      <c r="F249" s="8">
        <v>10799</v>
      </c>
      <c r="G249" s="8">
        <f t="shared" si="103"/>
        <v>-4648</v>
      </c>
      <c r="H249" s="8">
        <v>65173</v>
      </c>
      <c r="I249" s="8">
        <f t="shared" si="104"/>
        <v>5528</v>
      </c>
      <c r="J249" s="8">
        <v>214289</v>
      </c>
      <c r="K249" s="8">
        <f t="shared" si="105"/>
        <v>-1044</v>
      </c>
      <c r="L249" s="8">
        <v>299022</v>
      </c>
      <c r="M249" s="8">
        <f t="shared" si="106"/>
        <v>8195</v>
      </c>
      <c r="N249" s="8">
        <v>-84733</v>
      </c>
      <c r="O249" s="8">
        <f t="shared" si="107"/>
        <v>-9239</v>
      </c>
      <c r="P249" s="8">
        <v>106432</v>
      </c>
      <c r="Q249" s="8">
        <f t="shared" si="108"/>
        <v>-4037</v>
      </c>
      <c r="R249" s="8">
        <v>277102</v>
      </c>
      <c r="S249" s="8">
        <f t="shared" si="109"/>
        <v>5871</v>
      </c>
      <c r="T249" s="8">
        <v>-170670</v>
      </c>
      <c r="U249" s="8">
        <f t="shared" si="110"/>
        <v>-9908</v>
      </c>
      <c r="W249" s="8">
        <v>250287</v>
      </c>
      <c r="X249" s="8">
        <f t="shared" si="111"/>
        <v>4506</v>
      </c>
      <c r="Y249" s="8">
        <v>36487</v>
      </c>
      <c r="Z249" s="8">
        <f t="shared" si="112"/>
        <v>-3552</v>
      </c>
      <c r="AA249" s="8">
        <v>17041</v>
      </c>
      <c r="AB249" s="8">
        <f t="shared" si="99"/>
        <v>-1054</v>
      </c>
      <c r="AC249" s="8">
        <v>19446</v>
      </c>
      <c r="AD249" s="8">
        <f t="shared" si="99"/>
        <v>-2498</v>
      </c>
      <c r="AE249" s="8">
        <v>112189</v>
      </c>
      <c r="AF249" s="8">
        <f t="shared" si="113"/>
        <v>2837</v>
      </c>
      <c r="AG249" s="8">
        <v>149290</v>
      </c>
      <c r="AH249" s="8">
        <f t="shared" si="114"/>
        <v>2653</v>
      </c>
      <c r="AI249" s="8">
        <v>-37101</v>
      </c>
      <c r="AJ249" s="8">
        <f t="shared" si="115"/>
        <v>184</v>
      </c>
      <c r="AK249" s="8">
        <v>89400</v>
      </c>
      <c r="AL249" s="8">
        <f t="shared" si="116"/>
        <v>1899</v>
      </c>
      <c r="AM249" s="8">
        <v>138941</v>
      </c>
      <c r="AN249" s="8">
        <f t="shared" si="117"/>
        <v>3190</v>
      </c>
      <c r="AO249" s="8">
        <v>-49541</v>
      </c>
      <c r="AP249" s="8">
        <f t="shared" si="118"/>
        <v>-1291</v>
      </c>
      <c r="AR249" s="8">
        <v>2322358</v>
      </c>
      <c r="AS249" s="8">
        <f t="shared" si="119"/>
        <v>-12210</v>
      </c>
      <c r="AT249" s="8">
        <v>382510</v>
      </c>
      <c r="AU249" s="8">
        <f t="shared" si="120"/>
        <v>-24720</v>
      </c>
      <c r="AV249" s="8">
        <v>24199</v>
      </c>
      <c r="AW249" s="8">
        <f t="shared" si="121"/>
        <v>1792</v>
      </c>
      <c r="AX249" s="8">
        <f t="shared" si="96"/>
        <v>358311</v>
      </c>
      <c r="AY249" s="8">
        <f t="shared" si="122"/>
        <v>-26512</v>
      </c>
      <c r="AZ249" s="8">
        <v>904438</v>
      </c>
      <c r="BA249" s="8">
        <f t="shared" si="123"/>
        <v>6352</v>
      </c>
      <c r="BB249" s="8">
        <v>1216851</v>
      </c>
      <c r="BC249" s="8">
        <f t="shared" si="124"/>
        <v>-20655</v>
      </c>
      <c r="BD249" s="8">
        <f t="shared" si="97"/>
        <v>-312413</v>
      </c>
      <c r="BE249" s="8">
        <f t="shared" si="125"/>
        <v>27007</v>
      </c>
      <c r="BF249" s="8">
        <v>428075</v>
      </c>
      <c r="BG249" s="8">
        <f t="shared" si="126"/>
        <v>3246</v>
      </c>
      <c r="BH249" s="8">
        <v>1024923</v>
      </c>
      <c r="BI249" s="8">
        <f t="shared" si="127"/>
        <v>-22934</v>
      </c>
      <c r="BJ249" s="8">
        <f t="shared" si="98"/>
        <v>-596848</v>
      </c>
      <c r="BK249" s="8">
        <f t="shared" si="100"/>
        <v>26180</v>
      </c>
    </row>
    <row r="250" spans="1:63">
      <c r="A250" s="5">
        <v>40617</v>
      </c>
      <c r="B250" s="8">
        <v>465171</v>
      </c>
      <c r="C250" s="8">
        <f t="shared" si="101"/>
        <v>17343</v>
      </c>
      <c r="D250" s="8">
        <v>58516</v>
      </c>
      <c r="E250" s="8">
        <f t="shared" si="102"/>
        <v>-17456</v>
      </c>
      <c r="F250" s="8">
        <v>15071</v>
      </c>
      <c r="G250" s="8">
        <f t="shared" si="103"/>
        <v>4272</v>
      </c>
      <c r="H250" s="8">
        <v>43445</v>
      </c>
      <c r="I250" s="8">
        <f t="shared" si="104"/>
        <v>-21728</v>
      </c>
      <c r="J250" s="8">
        <v>227565</v>
      </c>
      <c r="K250" s="8">
        <f t="shared" si="105"/>
        <v>13276</v>
      </c>
      <c r="L250" s="8">
        <v>279346</v>
      </c>
      <c r="M250" s="8">
        <f t="shared" si="106"/>
        <v>-19676</v>
      </c>
      <c r="N250" s="8">
        <v>-51781</v>
      </c>
      <c r="O250" s="8">
        <f t="shared" si="107"/>
        <v>32952</v>
      </c>
      <c r="P250" s="8">
        <v>125283</v>
      </c>
      <c r="Q250" s="8">
        <f t="shared" si="108"/>
        <v>18851</v>
      </c>
      <c r="R250" s="8">
        <v>258007</v>
      </c>
      <c r="S250" s="8">
        <f t="shared" si="109"/>
        <v>-19095</v>
      </c>
      <c r="T250" s="8">
        <v>-132724</v>
      </c>
      <c r="U250" s="8">
        <f t="shared" si="110"/>
        <v>37946</v>
      </c>
      <c r="W250" s="8">
        <v>254072</v>
      </c>
      <c r="X250" s="8">
        <f t="shared" si="111"/>
        <v>3785</v>
      </c>
      <c r="Y250" s="8">
        <v>36344</v>
      </c>
      <c r="Z250" s="8">
        <f t="shared" si="112"/>
        <v>-143</v>
      </c>
      <c r="AA250" s="8">
        <v>19701</v>
      </c>
      <c r="AB250" s="8">
        <f t="shared" si="99"/>
        <v>2660</v>
      </c>
      <c r="AC250" s="8">
        <v>16643</v>
      </c>
      <c r="AD250" s="8">
        <f t="shared" si="99"/>
        <v>-2803</v>
      </c>
      <c r="AE250" s="8">
        <v>119471</v>
      </c>
      <c r="AF250" s="8">
        <f t="shared" si="113"/>
        <v>7282</v>
      </c>
      <c r="AG250" s="8">
        <v>148827</v>
      </c>
      <c r="AH250" s="8">
        <f t="shared" si="114"/>
        <v>-463</v>
      </c>
      <c r="AI250" s="8">
        <v>-29356</v>
      </c>
      <c r="AJ250" s="8">
        <f t="shared" si="115"/>
        <v>7745</v>
      </c>
      <c r="AK250" s="8">
        <v>95345</v>
      </c>
      <c r="AL250" s="8">
        <f t="shared" si="116"/>
        <v>5945</v>
      </c>
      <c r="AM250" s="8">
        <v>140357</v>
      </c>
      <c r="AN250" s="8">
        <f t="shared" si="117"/>
        <v>1416</v>
      </c>
      <c r="AO250" s="8">
        <v>-45012</v>
      </c>
      <c r="AP250" s="8">
        <f t="shared" si="118"/>
        <v>4529</v>
      </c>
      <c r="AR250" s="8">
        <v>2326505</v>
      </c>
      <c r="AS250" s="8">
        <f t="shared" si="119"/>
        <v>4147</v>
      </c>
      <c r="AT250" s="8">
        <v>333082</v>
      </c>
      <c r="AU250" s="8">
        <f t="shared" si="120"/>
        <v>-49428</v>
      </c>
      <c r="AV250" s="8">
        <v>35686</v>
      </c>
      <c r="AW250" s="8">
        <f t="shared" si="121"/>
        <v>11487</v>
      </c>
      <c r="AX250" s="8">
        <f t="shared" si="96"/>
        <v>297396</v>
      </c>
      <c r="AY250" s="8">
        <f t="shared" si="122"/>
        <v>-60915</v>
      </c>
      <c r="AZ250" s="8">
        <v>941882</v>
      </c>
      <c r="BA250" s="8">
        <f t="shared" si="123"/>
        <v>37444</v>
      </c>
      <c r="BB250" s="8">
        <v>1199387</v>
      </c>
      <c r="BC250" s="8">
        <f t="shared" si="124"/>
        <v>-17464</v>
      </c>
      <c r="BD250" s="8">
        <f t="shared" si="97"/>
        <v>-257505</v>
      </c>
      <c r="BE250" s="8">
        <f t="shared" si="125"/>
        <v>54908</v>
      </c>
      <c r="BF250" s="8">
        <v>468542</v>
      </c>
      <c r="BG250" s="8">
        <f t="shared" si="126"/>
        <v>40467</v>
      </c>
      <c r="BH250" s="8">
        <v>990584</v>
      </c>
      <c r="BI250" s="8">
        <f t="shared" si="127"/>
        <v>-34339</v>
      </c>
      <c r="BJ250" s="8">
        <f t="shared" si="98"/>
        <v>-522042</v>
      </c>
      <c r="BK250" s="8">
        <f t="shared" si="100"/>
        <v>74806</v>
      </c>
    </row>
    <row r="251" spans="1:63">
      <c r="A251" s="5">
        <v>40624</v>
      </c>
      <c r="B251" s="8">
        <v>432544</v>
      </c>
      <c r="C251" s="8">
        <f t="shared" si="101"/>
        <v>-32627</v>
      </c>
      <c r="D251" s="8">
        <v>58541</v>
      </c>
      <c r="E251" s="8">
        <f t="shared" si="102"/>
        <v>25</v>
      </c>
      <c r="F251" s="8">
        <v>15174</v>
      </c>
      <c r="G251" s="8">
        <f t="shared" si="103"/>
        <v>103</v>
      </c>
      <c r="H251" s="8">
        <v>43367</v>
      </c>
      <c r="I251" s="8">
        <f t="shared" si="104"/>
        <v>-78</v>
      </c>
      <c r="J251" s="8">
        <v>213817</v>
      </c>
      <c r="K251" s="8">
        <f t="shared" si="105"/>
        <v>-13748</v>
      </c>
      <c r="L251" s="8">
        <v>271197</v>
      </c>
      <c r="M251" s="8">
        <f t="shared" si="106"/>
        <v>-8149</v>
      </c>
      <c r="N251" s="8">
        <v>-57380</v>
      </c>
      <c r="O251" s="8">
        <f t="shared" si="107"/>
        <v>-5599</v>
      </c>
      <c r="P251" s="8">
        <v>116879</v>
      </c>
      <c r="Q251" s="8">
        <f t="shared" si="108"/>
        <v>-8404</v>
      </c>
      <c r="R251" s="8">
        <v>250443</v>
      </c>
      <c r="S251" s="8">
        <f t="shared" si="109"/>
        <v>-7564</v>
      </c>
      <c r="T251" s="8">
        <v>-133564</v>
      </c>
      <c r="U251" s="8">
        <f t="shared" si="110"/>
        <v>-840</v>
      </c>
      <c r="W251" s="8">
        <v>253049</v>
      </c>
      <c r="X251" s="8">
        <f t="shared" si="111"/>
        <v>-1023</v>
      </c>
      <c r="Y251" s="8">
        <v>44314</v>
      </c>
      <c r="Z251" s="8">
        <f t="shared" si="112"/>
        <v>7970</v>
      </c>
      <c r="AA251" s="8">
        <v>17497</v>
      </c>
      <c r="AB251" s="8">
        <f t="shared" si="99"/>
        <v>-2204</v>
      </c>
      <c r="AC251" s="8">
        <v>26817</v>
      </c>
      <c r="AD251" s="8">
        <f t="shared" si="99"/>
        <v>10174</v>
      </c>
      <c r="AE251" s="8">
        <v>111425</v>
      </c>
      <c r="AF251" s="8">
        <f t="shared" si="113"/>
        <v>-8046</v>
      </c>
      <c r="AG251" s="8">
        <v>158002</v>
      </c>
      <c r="AH251" s="8">
        <f t="shared" si="114"/>
        <v>9175</v>
      </c>
      <c r="AI251" s="8">
        <v>-46577</v>
      </c>
      <c r="AJ251" s="8">
        <f t="shared" si="115"/>
        <v>-17221</v>
      </c>
      <c r="AK251" s="8">
        <v>86653</v>
      </c>
      <c r="AL251" s="8">
        <f t="shared" si="116"/>
        <v>-8692</v>
      </c>
      <c r="AM251" s="8">
        <v>149502</v>
      </c>
      <c r="AN251" s="8">
        <f t="shared" si="117"/>
        <v>9145</v>
      </c>
      <c r="AO251" s="8">
        <v>-62849</v>
      </c>
      <c r="AP251" s="8">
        <f t="shared" si="118"/>
        <v>-17837</v>
      </c>
      <c r="AR251" s="8">
        <v>2328827</v>
      </c>
      <c r="AS251" s="8">
        <f t="shared" si="119"/>
        <v>2322</v>
      </c>
      <c r="AT251" s="8">
        <v>313462</v>
      </c>
      <c r="AU251" s="8">
        <f t="shared" si="120"/>
        <v>-19620</v>
      </c>
      <c r="AV251" s="8">
        <v>33811</v>
      </c>
      <c r="AW251" s="8">
        <f t="shared" si="121"/>
        <v>-1875</v>
      </c>
      <c r="AX251" s="8">
        <f t="shared" si="96"/>
        <v>279651</v>
      </c>
      <c r="AY251" s="8">
        <f t="shared" si="122"/>
        <v>-17745</v>
      </c>
      <c r="AZ251" s="8">
        <v>955632</v>
      </c>
      <c r="BA251" s="8">
        <f t="shared" si="123"/>
        <v>13750</v>
      </c>
      <c r="BB251" s="8">
        <v>1182017</v>
      </c>
      <c r="BC251" s="8">
        <f t="shared" si="124"/>
        <v>-17370</v>
      </c>
      <c r="BD251" s="8">
        <f t="shared" si="97"/>
        <v>-226385</v>
      </c>
      <c r="BE251" s="8">
        <f t="shared" si="125"/>
        <v>31120</v>
      </c>
      <c r="BF251" s="8">
        <v>466054</v>
      </c>
      <c r="BG251" s="8">
        <f t="shared" si="126"/>
        <v>-2488</v>
      </c>
      <c r="BH251" s="8">
        <v>962395</v>
      </c>
      <c r="BI251" s="8">
        <f t="shared" si="127"/>
        <v>-28189</v>
      </c>
      <c r="BJ251" s="8">
        <f t="shared" si="98"/>
        <v>-496341</v>
      </c>
      <c r="BK251" s="8">
        <f t="shared" si="100"/>
        <v>25701</v>
      </c>
    </row>
    <row r="252" spans="1:63">
      <c r="A252" s="5">
        <v>40631</v>
      </c>
      <c r="B252" s="8">
        <v>445532</v>
      </c>
      <c r="C252" s="8">
        <f t="shared" si="101"/>
        <v>12988</v>
      </c>
      <c r="D252" s="8">
        <v>62789</v>
      </c>
      <c r="E252" s="8">
        <f t="shared" si="102"/>
        <v>4248</v>
      </c>
      <c r="F252" s="8">
        <v>12914</v>
      </c>
      <c r="G252" s="8">
        <f t="shared" si="103"/>
        <v>-2260</v>
      </c>
      <c r="H252" s="8">
        <v>49875</v>
      </c>
      <c r="I252" s="8">
        <f t="shared" si="104"/>
        <v>6508</v>
      </c>
      <c r="J252" s="8">
        <v>214336</v>
      </c>
      <c r="K252" s="8">
        <f t="shared" si="105"/>
        <v>519</v>
      </c>
      <c r="L252" s="8">
        <v>279710</v>
      </c>
      <c r="M252" s="8">
        <f t="shared" si="106"/>
        <v>8513</v>
      </c>
      <c r="N252" s="8">
        <v>-65374</v>
      </c>
      <c r="O252" s="8">
        <f t="shared" si="107"/>
        <v>-7994</v>
      </c>
      <c r="P252" s="8">
        <v>115102</v>
      </c>
      <c r="Q252" s="8">
        <f t="shared" si="108"/>
        <v>-1777</v>
      </c>
      <c r="R252" s="8">
        <v>258385</v>
      </c>
      <c r="S252" s="8">
        <f t="shared" si="109"/>
        <v>7942</v>
      </c>
      <c r="T252" s="8">
        <v>-143283</v>
      </c>
      <c r="U252" s="8">
        <f t="shared" si="110"/>
        <v>-9719</v>
      </c>
      <c r="W252" s="8">
        <v>251646</v>
      </c>
      <c r="X252" s="8">
        <f t="shared" si="111"/>
        <v>-1403</v>
      </c>
      <c r="Y252" s="8">
        <v>43214</v>
      </c>
      <c r="Z252" s="8">
        <f t="shared" si="112"/>
        <v>-1100</v>
      </c>
      <c r="AA252" s="8">
        <v>18532</v>
      </c>
      <c r="AB252" s="8">
        <f t="shared" si="99"/>
        <v>1035</v>
      </c>
      <c r="AC252" s="8">
        <v>24682</v>
      </c>
      <c r="AD252" s="8">
        <f t="shared" si="99"/>
        <v>-2135</v>
      </c>
      <c r="AE252" s="8">
        <v>108783</v>
      </c>
      <c r="AF252" s="8">
        <f t="shared" si="113"/>
        <v>-2642</v>
      </c>
      <c r="AG252" s="8">
        <v>153927</v>
      </c>
      <c r="AH252" s="8">
        <f t="shared" si="114"/>
        <v>-4075</v>
      </c>
      <c r="AI252" s="8">
        <v>-45144</v>
      </c>
      <c r="AJ252" s="8">
        <f t="shared" si="115"/>
        <v>1433</v>
      </c>
      <c r="AK252" s="8">
        <v>83069</v>
      </c>
      <c r="AL252" s="8">
        <f t="shared" si="116"/>
        <v>-3584</v>
      </c>
      <c r="AM252" s="8">
        <v>144670</v>
      </c>
      <c r="AN252" s="8">
        <f t="shared" si="117"/>
        <v>-4832</v>
      </c>
      <c r="AO252" s="8">
        <v>-61601</v>
      </c>
      <c r="AP252" s="8">
        <f t="shared" si="118"/>
        <v>1248</v>
      </c>
      <c r="AR252" s="8">
        <v>2248933</v>
      </c>
      <c r="AS252" s="8">
        <f t="shared" si="119"/>
        <v>-79894</v>
      </c>
      <c r="AT252" s="8">
        <v>317211</v>
      </c>
      <c r="AU252" s="8">
        <f t="shared" si="120"/>
        <v>3749</v>
      </c>
      <c r="AV252" s="8">
        <v>34392</v>
      </c>
      <c r="AW252" s="8">
        <f t="shared" si="121"/>
        <v>581</v>
      </c>
      <c r="AX252" s="8">
        <f t="shared" si="96"/>
        <v>282819</v>
      </c>
      <c r="AY252" s="8">
        <f t="shared" si="122"/>
        <v>3168</v>
      </c>
      <c r="AZ252" s="8">
        <v>923150</v>
      </c>
      <c r="BA252" s="8">
        <f t="shared" si="123"/>
        <v>-32482</v>
      </c>
      <c r="BB252" s="8">
        <v>1159244</v>
      </c>
      <c r="BC252" s="8">
        <f t="shared" si="124"/>
        <v>-22773</v>
      </c>
      <c r="BD252" s="8">
        <f t="shared" si="97"/>
        <v>-236094</v>
      </c>
      <c r="BE252" s="8">
        <f t="shared" si="125"/>
        <v>-9709</v>
      </c>
      <c r="BF252" s="8">
        <v>439886</v>
      </c>
      <c r="BG252" s="8">
        <f t="shared" si="126"/>
        <v>-26168</v>
      </c>
      <c r="BH252" s="8">
        <v>950719</v>
      </c>
      <c r="BI252" s="8">
        <f t="shared" si="127"/>
        <v>-11676</v>
      </c>
      <c r="BJ252" s="8">
        <f t="shared" si="98"/>
        <v>-510833</v>
      </c>
      <c r="BK252" s="8">
        <f t="shared" si="100"/>
        <v>-14492</v>
      </c>
    </row>
    <row r="253" spans="1:63">
      <c r="A253" s="5">
        <v>40638</v>
      </c>
      <c r="B253" s="8">
        <v>470843</v>
      </c>
      <c r="C253" s="8">
        <f t="shared" si="101"/>
        <v>25311</v>
      </c>
      <c r="D253" s="8">
        <v>77127</v>
      </c>
      <c r="E253" s="8">
        <f t="shared" si="102"/>
        <v>14338</v>
      </c>
      <c r="F253" s="8">
        <v>14686</v>
      </c>
      <c r="G253" s="8">
        <f t="shared" si="103"/>
        <v>1772</v>
      </c>
      <c r="H253" s="8">
        <v>62441</v>
      </c>
      <c r="I253" s="8">
        <f t="shared" si="104"/>
        <v>12566</v>
      </c>
      <c r="J253" s="8">
        <v>213401</v>
      </c>
      <c r="K253" s="8">
        <f t="shared" si="105"/>
        <v>-935</v>
      </c>
      <c r="L253" s="8">
        <v>292855</v>
      </c>
      <c r="M253" s="8">
        <f t="shared" si="106"/>
        <v>13145</v>
      </c>
      <c r="N253" s="8">
        <v>-79454</v>
      </c>
      <c r="O253" s="8">
        <f t="shared" si="107"/>
        <v>-14080</v>
      </c>
      <c r="P253" s="8">
        <v>113904</v>
      </c>
      <c r="Q253" s="8">
        <f t="shared" si="108"/>
        <v>-1198</v>
      </c>
      <c r="R253" s="8">
        <v>271079</v>
      </c>
      <c r="S253" s="8">
        <f t="shared" si="109"/>
        <v>12694</v>
      </c>
      <c r="T253" s="8">
        <v>-157175</v>
      </c>
      <c r="U253" s="8">
        <f t="shared" si="110"/>
        <v>-13892</v>
      </c>
      <c r="W253" s="8">
        <v>256611</v>
      </c>
      <c r="X253" s="8">
        <f t="shared" si="111"/>
        <v>4965</v>
      </c>
      <c r="Y253" s="8">
        <v>42976</v>
      </c>
      <c r="Z253" s="8">
        <f t="shared" si="112"/>
        <v>-238</v>
      </c>
      <c r="AA253" s="8">
        <v>21313</v>
      </c>
      <c r="AB253" s="8">
        <f t="shared" si="99"/>
        <v>2781</v>
      </c>
      <c r="AC253" s="8">
        <v>21663</v>
      </c>
      <c r="AD253" s="8">
        <f t="shared" si="99"/>
        <v>-3019</v>
      </c>
      <c r="AE253" s="8">
        <v>113670</v>
      </c>
      <c r="AF253" s="8">
        <f t="shared" si="113"/>
        <v>4887</v>
      </c>
      <c r="AG253" s="8">
        <v>153941</v>
      </c>
      <c r="AH253" s="8">
        <f t="shared" si="114"/>
        <v>14</v>
      </c>
      <c r="AI253" s="8">
        <v>-40271</v>
      </c>
      <c r="AJ253" s="8">
        <f t="shared" si="115"/>
        <v>4873</v>
      </c>
      <c r="AK253" s="8">
        <v>88444</v>
      </c>
      <c r="AL253" s="8">
        <f t="shared" si="116"/>
        <v>5375</v>
      </c>
      <c r="AM253" s="8">
        <v>143655</v>
      </c>
      <c r="AN253" s="8">
        <f t="shared" si="117"/>
        <v>-1015</v>
      </c>
      <c r="AO253" s="8">
        <v>-55211</v>
      </c>
      <c r="AP253" s="8">
        <f t="shared" si="118"/>
        <v>6390</v>
      </c>
      <c r="AR253" s="8">
        <v>2455167</v>
      </c>
      <c r="AS253" s="8">
        <f t="shared" si="119"/>
        <v>206234</v>
      </c>
      <c r="AT253" s="8">
        <v>359216</v>
      </c>
      <c r="AU253" s="8">
        <f t="shared" si="120"/>
        <v>42005</v>
      </c>
      <c r="AV253" s="8">
        <v>37147</v>
      </c>
      <c r="AW253" s="8">
        <f t="shared" si="121"/>
        <v>2755</v>
      </c>
      <c r="AX253" s="8">
        <f t="shared" si="96"/>
        <v>322069</v>
      </c>
      <c r="AY253" s="8">
        <f t="shared" si="122"/>
        <v>39250</v>
      </c>
      <c r="AZ253" s="8">
        <v>960865</v>
      </c>
      <c r="BA253" s="8">
        <f t="shared" si="123"/>
        <v>37715</v>
      </c>
      <c r="BB253" s="8">
        <v>1225937</v>
      </c>
      <c r="BC253" s="8">
        <f t="shared" si="124"/>
        <v>66693</v>
      </c>
      <c r="BD253" s="8">
        <f t="shared" si="97"/>
        <v>-265072</v>
      </c>
      <c r="BE253" s="8">
        <f t="shared" si="125"/>
        <v>-28978</v>
      </c>
      <c r="BF253" s="8">
        <v>459198</v>
      </c>
      <c r="BG253" s="8">
        <f t="shared" si="126"/>
        <v>19312</v>
      </c>
      <c r="BH253" s="8">
        <v>996846</v>
      </c>
      <c r="BI253" s="8">
        <f t="shared" si="127"/>
        <v>46127</v>
      </c>
      <c r="BJ253" s="8">
        <f t="shared" si="98"/>
        <v>-537648</v>
      </c>
      <c r="BK253" s="8">
        <f t="shared" si="100"/>
        <v>-26815</v>
      </c>
    </row>
    <row r="254" spans="1:63">
      <c r="A254" s="5">
        <v>40645</v>
      </c>
      <c r="B254" s="8">
        <v>460522</v>
      </c>
      <c r="C254" s="8">
        <f t="shared" si="101"/>
        <v>-10321</v>
      </c>
      <c r="D254" s="8">
        <v>72243</v>
      </c>
      <c r="E254" s="8">
        <f t="shared" si="102"/>
        <v>-4884</v>
      </c>
      <c r="F254" s="8">
        <v>14407</v>
      </c>
      <c r="G254" s="8">
        <f t="shared" si="103"/>
        <v>-279</v>
      </c>
      <c r="H254" s="8">
        <v>57836</v>
      </c>
      <c r="I254" s="8">
        <f t="shared" si="104"/>
        <v>-4605</v>
      </c>
      <c r="J254" s="8">
        <v>208272</v>
      </c>
      <c r="K254" s="8">
        <f t="shared" si="105"/>
        <v>-5129</v>
      </c>
      <c r="L254" s="8">
        <v>281702</v>
      </c>
      <c r="M254" s="8">
        <f t="shared" si="106"/>
        <v>-11153</v>
      </c>
      <c r="N254" s="8">
        <v>-73430</v>
      </c>
      <c r="O254" s="8">
        <f t="shared" si="107"/>
        <v>6024</v>
      </c>
      <c r="P254" s="8">
        <v>111912</v>
      </c>
      <c r="Q254" s="8">
        <f t="shared" si="108"/>
        <v>-1992</v>
      </c>
      <c r="R254" s="8">
        <v>260424</v>
      </c>
      <c r="S254" s="8">
        <f t="shared" si="109"/>
        <v>-10655</v>
      </c>
      <c r="T254" s="8">
        <v>-148512</v>
      </c>
      <c r="U254" s="8">
        <f t="shared" si="110"/>
        <v>8663</v>
      </c>
      <c r="W254" s="8">
        <v>259923</v>
      </c>
      <c r="X254" s="8">
        <f t="shared" si="111"/>
        <v>3312</v>
      </c>
      <c r="Y254" s="8">
        <v>39982</v>
      </c>
      <c r="Z254" s="8">
        <f t="shared" si="112"/>
        <v>-2994</v>
      </c>
      <c r="AA254" s="8">
        <v>27263</v>
      </c>
      <c r="AB254" s="8">
        <f t="shared" si="99"/>
        <v>5950</v>
      </c>
      <c r="AC254" s="8">
        <v>12719</v>
      </c>
      <c r="AD254" s="8">
        <f t="shared" si="99"/>
        <v>-8944</v>
      </c>
      <c r="AE254" s="8">
        <v>120998</v>
      </c>
      <c r="AF254" s="8">
        <f t="shared" si="113"/>
        <v>7328</v>
      </c>
      <c r="AG254" s="8">
        <v>148035</v>
      </c>
      <c r="AH254" s="8">
        <f t="shared" si="114"/>
        <v>-5906</v>
      </c>
      <c r="AI254" s="8">
        <v>-27037</v>
      </c>
      <c r="AJ254" s="8">
        <f t="shared" si="115"/>
        <v>13234</v>
      </c>
      <c r="AK254" s="8">
        <v>95368</v>
      </c>
      <c r="AL254" s="8">
        <f t="shared" si="116"/>
        <v>6924</v>
      </c>
      <c r="AM254" s="8">
        <v>138414</v>
      </c>
      <c r="AN254" s="8">
        <f t="shared" si="117"/>
        <v>-5241</v>
      </c>
      <c r="AO254" s="8">
        <v>-43046</v>
      </c>
      <c r="AP254" s="8">
        <f t="shared" si="118"/>
        <v>12165</v>
      </c>
      <c r="AR254" s="8">
        <v>2487515</v>
      </c>
      <c r="AS254" s="8">
        <f t="shared" si="119"/>
        <v>32348</v>
      </c>
      <c r="AT254" s="8">
        <v>378352</v>
      </c>
      <c r="AU254" s="8">
        <f t="shared" si="120"/>
        <v>19136</v>
      </c>
      <c r="AV254" s="8">
        <v>30729</v>
      </c>
      <c r="AW254" s="8">
        <f t="shared" si="121"/>
        <v>-6418</v>
      </c>
      <c r="AX254" s="8">
        <f t="shared" si="96"/>
        <v>347623</v>
      </c>
      <c r="AY254" s="8">
        <f t="shared" si="122"/>
        <v>25554</v>
      </c>
      <c r="AZ254" s="8">
        <v>938508</v>
      </c>
      <c r="BA254" s="8">
        <f t="shared" si="123"/>
        <v>-22357</v>
      </c>
      <c r="BB254" s="8">
        <v>1235668</v>
      </c>
      <c r="BC254" s="8">
        <f t="shared" si="124"/>
        <v>9731</v>
      </c>
      <c r="BD254" s="8">
        <f t="shared" si="97"/>
        <v>-297160</v>
      </c>
      <c r="BE254" s="8">
        <f t="shared" si="125"/>
        <v>-32088</v>
      </c>
      <c r="BF254" s="8">
        <v>445965</v>
      </c>
      <c r="BG254" s="8">
        <f t="shared" si="126"/>
        <v>-13233</v>
      </c>
      <c r="BH254" s="8">
        <v>1018848</v>
      </c>
      <c r="BI254" s="8">
        <f t="shared" si="127"/>
        <v>22002</v>
      </c>
      <c r="BJ254" s="8">
        <f t="shared" si="98"/>
        <v>-572883</v>
      </c>
      <c r="BK254" s="8">
        <f t="shared" si="100"/>
        <v>-35235</v>
      </c>
    </row>
    <row r="255" spans="1:63">
      <c r="A255" s="5">
        <v>40652</v>
      </c>
      <c r="B255" s="8">
        <v>442448</v>
      </c>
      <c r="C255" s="8">
        <f t="shared" si="101"/>
        <v>-18074</v>
      </c>
      <c r="D255" s="8">
        <v>70528</v>
      </c>
      <c r="E255" s="8">
        <f t="shared" si="102"/>
        <v>-1715</v>
      </c>
      <c r="F255" s="8">
        <v>13830</v>
      </c>
      <c r="G255" s="8">
        <f t="shared" si="103"/>
        <v>-577</v>
      </c>
      <c r="H255" s="8">
        <v>56698</v>
      </c>
      <c r="I255" s="8">
        <f t="shared" si="104"/>
        <v>-1138</v>
      </c>
      <c r="J255" s="8">
        <v>198849</v>
      </c>
      <c r="K255" s="8">
        <f t="shared" si="105"/>
        <v>-9423</v>
      </c>
      <c r="L255" s="8">
        <v>278914</v>
      </c>
      <c r="M255" s="8">
        <f t="shared" si="106"/>
        <v>-2788</v>
      </c>
      <c r="N255" s="8">
        <v>-80065</v>
      </c>
      <c r="O255" s="8">
        <f t="shared" si="107"/>
        <v>-6635</v>
      </c>
      <c r="P255" s="8">
        <v>104599</v>
      </c>
      <c r="Q255" s="8">
        <f t="shared" si="108"/>
        <v>-7313</v>
      </c>
      <c r="R255" s="8">
        <v>256738</v>
      </c>
      <c r="S255" s="8">
        <f t="shared" si="109"/>
        <v>-3686</v>
      </c>
      <c r="T255" s="8">
        <v>-152139</v>
      </c>
      <c r="U255" s="8">
        <f t="shared" si="110"/>
        <v>-3627</v>
      </c>
      <c r="W255" s="8">
        <v>270799</v>
      </c>
      <c r="X255" s="8">
        <f t="shared" si="111"/>
        <v>10876</v>
      </c>
      <c r="Y255" s="8">
        <v>37405</v>
      </c>
      <c r="Z255" s="8">
        <f t="shared" si="112"/>
        <v>-2577</v>
      </c>
      <c r="AA255" s="8">
        <v>28620</v>
      </c>
      <c r="AB255" s="8">
        <f t="shared" si="99"/>
        <v>1357</v>
      </c>
      <c r="AC255" s="8">
        <v>8785</v>
      </c>
      <c r="AD255" s="8">
        <f t="shared" si="99"/>
        <v>-3934</v>
      </c>
      <c r="AE255" s="8">
        <v>129255</v>
      </c>
      <c r="AF255" s="8">
        <f t="shared" si="113"/>
        <v>8257</v>
      </c>
      <c r="AG255" s="8">
        <v>149924</v>
      </c>
      <c r="AH255" s="8">
        <f t="shared" si="114"/>
        <v>1889</v>
      </c>
      <c r="AI255" s="8">
        <v>-20669</v>
      </c>
      <c r="AJ255" s="8">
        <f t="shared" si="115"/>
        <v>6368</v>
      </c>
      <c r="AK255" s="8">
        <v>103705</v>
      </c>
      <c r="AL255" s="8">
        <f t="shared" si="116"/>
        <v>8337</v>
      </c>
      <c r="AM255" s="8">
        <v>139452</v>
      </c>
      <c r="AN255" s="8">
        <f t="shared" si="117"/>
        <v>1038</v>
      </c>
      <c r="AO255" s="8">
        <v>-35747</v>
      </c>
      <c r="AP255" s="8">
        <f t="shared" si="118"/>
        <v>7299</v>
      </c>
      <c r="AR255" s="8">
        <v>2481319</v>
      </c>
      <c r="AS255" s="8">
        <f t="shared" si="119"/>
        <v>-6196</v>
      </c>
      <c r="AT255" s="8">
        <v>395251</v>
      </c>
      <c r="AU255" s="8">
        <f t="shared" si="120"/>
        <v>16899</v>
      </c>
      <c r="AV255" s="8">
        <v>29803</v>
      </c>
      <c r="AW255" s="8">
        <f t="shared" si="121"/>
        <v>-926</v>
      </c>
      <c r="AX255" s="8">
        <f t="shared" si="96"/>
        <v>365448</v>
      </c>
      <c r="AY255" s="8">
        <f t="shared" si="122"/>
        <v>17825</v>
      </c>
      <c r="AZ255" s="8">
        <v>904354</v>
      </c>
      <c r="BA255" s="8">
        <f t="shared" si="123"/>
        <v>-34154</v>
      </c>
      <c r="BB255" s="8">
        <v>1234862</v>
      </c>
      <c r="BC255" s="8">
        <f t="shared" si="124"/>
        <v>-806</v>
      </c>
      <c r="BD255" s="8">
        <f t="shared" si="97"/>
        <v>-330508</v>
      </c>
      <c r="BE255" s="8">
        <f t="shared" si="125"/>
        <v>-33348</v>
      </c>
      <c r="BF255" s="8">
        <v>404874</v>
      </c>
      <c r="BG255" s="8">
        <f t="shared" si="126"/>
        <v>-41091</v>
      </c>
      <c r="BH255" s="8">
        <v>1004734</v>
      </c>
      <c r="BI255" s="8">
        <f t="shared" si="127"/>
        <v>-14114</v>
      </c>
      <c r="BJ255" s="8">
        <f t="shared" si="98"/>
        <v>-599860</v>
      </c>
      <c r="BK255" s="8">
        <f t="shared" si="100"/>
        <v>-26977</v>
      </c>
    </row>
    <row r="256" spans="1:63">
      <c r="A256" s="5">
        <v>40659</v>
      </c>
      <c r="B256" s="8">
        <v>409262</v>
      </c>
      <c r="C256" s="8">
        <f t="shared" si="101"/>
        <v>-33186</v>
      </c>
      <c r="D256" s="8">
        <v>71784</v>
      </c>
      <c r="E256" s="8">
        <f t="shared" si="102"/>
        <v>1256</v>
      </c>
      <c r="F256" s="8">
        <v>14759</v>
      </c>
      <c r="G256" s="8">
        <f t="shared" si="103"/>
        <v>929</v>
      </c>
      <c r="H256" s="8">
        <v>57025</v>
      </c>
      <c r="I256" s="8">
        <f t="shared" si="104"/>
        <v>327</v>
      </c>
      <c r="J256" s="8">
        <v>183969</v>
      </c>
      <c r="K256" s="8">
        <f t="shared" si="105"/>
        <v>-14880</v>
      </c>
      <c r="L256" s="8">
        <v>258807</v>
      </c>
      <c r="M256" s="8">
        <f t="shared" si="106"/>
        <v>-20107</v>
      </c>
      <c r="N256" s="8">
        <v>-74838</v>
      </c>
      <c r="O256" s="8">
        <f t="shared" si="107"/>
        <v>5227</v>
      </c>
      <c r="P256" s="8">
        <v>90768</v>
      </c>
      <c r="Q256" s="8">
        <f t="shared" si="108"/>
        <v>-13831</v>
      </c>
      <c r="R256" s="8">
        <v>241215</v>
      </c>
      <c r="S256" s="8">
        <f t="shared" si="109"/>
        <v>-15523</v>
      </c>
      <c r="T256" s="8">
        <v>-150447</v>
      </c>
      <c r="U256" s="8">
        <f t="shared" si="110"/>
        <v>1692</v>
      </c>
      <c r="W256" s="8">
        <v>260056</v>
      </c>
      <c r="X256" s="8">
        <f t="shared" si="111"/>
        <v>-10743</v>
      </c>
      <c r="Y256" s="8">
        <v>41665</v>
      </c>
      <c r="Z256" s="8">
        <f t="shared" si="112"/>
        <v>4260</v>
      </c>
      <c r="AA256" s="8">
        <v>22005</v>
      </c>
      <c r="AB256" s="8">
        <f t="shared" si="99"/>
        <v>-6615</v>
      </c>
      <c r="AC256" s="8">
        <v>19660</v>
      </c>
      <c r="AD256" s="8">
        <f t="shared" si="99"/>
        <v>10875</v>
      </c>
      <c r="AE256" s="8">
        <v>117523</v>
      </c>
      <c r="AF256" s="8">
        <f t="shared" si="113"/>
        <v>-11732</v>
      </c>
      <c r="AG256" s="8">
        <v>154159</v>
      </c>
      <c r="AH256" s="8">
        <f t="shared" si="114"/>
        <v>4235</v>
      </c>
      <c r="AI256" s="8">
        <v>-36636</v>
      </c>
      <c r="AJ256" s="8">
        <f t="shared" si="115"/>
        <v>-15967</v>
      </c>
      <c r="AK256" s="8">
        <v>92402</v>
      </c>
      <c r="AL256" s="8">
        <f t="shared" si="116"/>
        <v>-11303</v>
      </c>
      <c r="AM256" s="8">
        <v>143915</v>
      </c>
      <c r="AN256" s="8">
        <f t="shared" si="117"/>
        <v>4463</v>
      </c>
      <c r="AO256" s="8">
        <v>-51513</v>
      </c>
      <c r="AP256" s="8">
        <f t="shared" si="118"/>
        <v>-15766</v>
      </c>
      <c r="AR256" s="8">
        <v>2297491</v>
      </c>
      <c r="AS256" s="8">
        <f t="shared" si="119"/>
        <v>-183828</v>
      </c>
      <c r="AT256" s="8">
        <v>391590</v>
      </c>
      <c r="AU256" s="8">
        <f t="shared" si="120"/>
        <v>-3661</v>
      </c>
      <c r="AV256" s="8">
        <v>30236</v>
      </c>
      <c r="AW256" s="8">
        <f t="shared" si="121"/>
        <v>433</v>
      </c>
      <c r="AX256" s="8">
        <f t="shared" si="96"/>
        <v>361354</v>
      </c>
      <c r="AY256" s="8">
        <f t="shared" si="122"/>
        <v>-4094</v>
      </c>
      <c r="AZ256" s="8">
        <v>839755</v>
      </c>
      <c r="BA256" s="8">
        <f t="shared" si="123"/>
        <v>-64599</v>
      </c>
      <c r="BB256" s="8">
        <v>1179934</v>
      </c>
      <c r="BC256" s="8">
        <f t="shared" si="124"/>
        <v>-54928</v>
      </c>
      <c r="BD256" s="8">
        <f t="shared" si="97"/>
        <v>-340179</v>
      </c>
      <c r="BE256" s="8">
        <f t="shared" si="125"/>
        <v>-9671</v>
      </c>
      <c r="BF256" s="8">
        <v>363488</v>
      </c>
      <c r="BG256" s="8">
        <f t="shared" si="126"/>
        <v>-41386</v>
      </c>
      <c r="BH256" s="8">
        <v>973360</v>
      </c>
      <c r="BI256" s="8">
        <f t="shared" si="127"/>
        <v>-31374</v>
      </c>
      <c r="BJ256" s="8">
        <f t="shared" si="98"/>
        <v>-609872</v>
      </c>
      <c r="BK256" s="8">
        <f t="shared" si="100"/>
        <v>-10012</v>
      </c>
    </row>
    <row r="257" spans="1:63">
      <c r="A257" s="5">
        <v>40666</v>
      </c>
      <c r="B257" s="8">
        <v>393035</v>
      </c>
      <c r="C257" s="8">
        <f t="shared" si="101"/>
        <v>-16227</v>
      </c>
      <c r="D257" s="8">
        <v>67069</v>
      </c>
      <c r="E257" s="8">
        <f t="shared" si="102"/>
        <v>-4715</v>
      </c>
      <c r="F257" s="8">
        <v>17030</v>
      </c>
      <c r="G257" s="8">
        <f t="shared" si="103"/>
        <v>2271</v>
      </c>
      <c r="H257" s="8">
        <v>50039</v>
      </c>
      <c r="I257" s="8">
        <f t="shared" si="104"/>
        <v>-6986</v>
      </c>
      <c r="J257" s="8">
        <v>180807</v>
      </c>
      <c r="K257" s="8">
        <f t="shared" si="105"/>
        <v>-3162</v>
      </c>
      <c r="L257" s="8">
        <v>245610</v>
      </c>
      <c r="M257" s="8">
        <f t="shared" si="106"/>
        <v>-13197</v>
      </c>
      <c r="N257" s="8">
        <v>-64803</v>
      </c>
      <c r="O257" s="8">
        <f t="shared" si="107"/>
        <v>10035</v>
      </c>
      <c r="P257" s="8">
        <v>87161</v>
      </c>
      <c r="Q257" s="8">
        <f t="shared" si="108"/>
        <v>-3607</v>
      </c>
      <c r="R257" s="8">
        <v>226253</v>
      </c>
      <c r="S257" s="8">
        <f t="shared" si="109"/>
        <v>-14962</v>
      </c>
      <c r="T257" s="8">
        <v>-139092</v>
      </c>
      <c r="U257" s="8">
        <f t="shared" si="110"/>
        <v>11355</v>
      </c>
      <c r="W257" s="8">
        <v>258810</v>
      </c>
      <c r="X257" s="8">
        <f t="shared" si="111"/>
        <v>-1246</v>
      </c>
      <c r="Y257" s="8">
        <v>38950</v>
      </c>
      <c r="Z257" s="8">
        <f t="shared" si="112"/>
        <v>-2715</v>
      </c>
      <c r="AA257" s="8">
        <v>19659</v>
      </c>
      <c r="AB257" s="8">
        <f t="shared" si="99"/>
        <v>-2346</v>
      </c>
      <c r="AC257" s="8">
        <v>19291</v>
      </c>
      <c r="AD257" s="8">
        <f t="shared" si="99"/>
        <v>-369</v>
      </c>
      <c r="AE257" s="8">
        <v>116738</v>
      </c>
      <c r="AF257" s="8">
        <f t="shared" si="113"/>
        <v>-785</v>
      </c>
      <c r="AG257" s="8">
        <v>151277</v>
      </c>
      <c r="AH257" s="8">
        <f t="shared" si="114"/>
        <v>-2882</v>
      </c>
      <c r="AI257" s="8">
        <v>-34539</v>
      </c>
      <c r="AJ257" s="8">
        <f t="shared" si="115"/>
        <v>2097</v>
      </c>
      <c r="AK257" s="8">
        <v>90037</v>
      </c>
      <c r="AL257" s="8">
        <f t="shared" si="116"/>
        <v>-2365</v>
      </c>
      <c r="AM257" s="8">
        <v>140983</v>
      </c>
      <c r="AN257" s="8">
        <f t="shared" si="117"/>
        <v>-2932</v>
      </c>
      <c r="AO257" s="8">
        <v>-50946</v>
      </c>
      <c r="AP257" s="8">
        <f t="shared" si="118"/>
        <v>567</v>
      </c>
      <c r="AR257" s="8">
        <v>2180458</v>
      </c>
      <c r="AS257" s="8">
        <f t="shared" si="119"/>
        <v>-117033</v>
      </c>
      <c r="AT257" s="8">
        <v>365105</v>
      </c>
      <c r="AU257" s="8">
        <f t="shared" si="120"/>
        <v>-26485</v>
      </c>
      <c r="AV257" s="8">
        <v>36270</v>
      </c>
      <c r="AW257" s="8">
        <f t="shared" si="121"/>
        <v>6034</v>
      </c>
      <c r="AX257" s="8">
        <f t="shared" si="96"/>
        <v>328835</v>
      </c>
      <c r="AY257" s="8">
        <f t="shared" si="122"/>
        <v>-32519</v>
      </c>
      <c r="AZ257" s="8">
        <v>821097</v>
      </c>
      <c r="BA257" s="8">
        <f t="shared" si="123"/>
        <v>-18658</v>
      </c>
      <c r="BB257" s="8">
        <v>1128604</v>
      </c>
      <c r="BC257" s="8">
        <f t="shared" si="124"/>
        <v>-51330</v>
      </c>
      <c r="BD257" s="8">
        <f t="shared" si="97"/>
        <v>-307507</v>
      </c>
      <c r="BE257" s="8">
        <f t="shared" si="125"/>
        <v>32672</v>
      </c>
      <c r="BF257" s="8">
        <v>354239</v>
      </c>
      <c r="BG257" s="8">
        <f t="shared" si="126"/>
        <v>-9249</v>
      </c>
      <c r="BH257" s="8">
        <v>929050</v>
      </c>
      <c r="BI257" s="8">
        <f t="shared" si="127"/>
        <v>-44310</v>
      </c>
      <c r="BJ257" s="8">
        <f t="shared" si="98"/>
        <v>-574811</v>
      </c>
      <c r="BK257" s="8">
        <f t="shared" si="100"/>
        <v>35061</v>
      </c>
    </row>
    <row r="258" spans="1:63">
      <c r="A258" s="5">
        <v>40673</v>
      </c>
      <c r="B258" s="8">
        <v>383144</v>
      </c>
      <c r="C258" s="8">
        <f t="shared" si="101"/>
        <v>-9891</v>
      </c>
      <c r="D258" s="8">
        <v>51801</v>
      </c>
      <c r="E258" s="8">
        <f t="shared" si="102"/>
        <v>-15268</v>
      </c>
      <c r="F258" s="8">
        <v>20812</v>
      </c>
      <c r="G258" s="8">
        <f t="shared" si="103"/>
        <v>3782</v>
      </c>
      <c r="H258" s="8">
        <v>30989</v>
      </c>
      <c r="I258" s="8">
        <f t="shared" si="104"/>
        <v>-19050</v>
      </c>
      <c r="J258" s="8">
        <v>188857</v>
      </c>
      <c r="K258" s="8">
        <f t="shared" si="105"/>
        <v>8050</v>
      </c>
      <c r="L258" s="8">
        <v>230476</v>
      </c>
      <c r="M258" s="8">
        <f t="shared" si="106"/>
        <v>-15134</v>
      </c>
      <c r="N258" s="8">
        <v>-41619</v>
      </c>
      <c r="O258" s="8">
        <f t="shared" si="107"/>
        <v>23184</v>
      </c>
      <c r="P258" s="8">
        <v>95058</v>
      </c>
      <c r="Q258" s="8">
        <f t="shared" si="108"/>
        <v>7897</v>
      </c>
      <c r="R258" s="8">
        <v>212079</v>
      </c>
      <c r="S258" s="8">
        <f t="shared" si="109"/>
        <v>-14174</v>
      </c>
      <c r="T258" s="8">
        <v>-117021</v>
      </c>
      <c r="U258" s="8">
        <f t="shared" si="110"/>
        <v>22071</v>
      </c>
      <c r="W258" s="8">
        <v>263054</v>
      </c>
      <c r="X258" s="8">
        <f t="shared" si="111"/>
        <v>4244</v>
      </c>
      <c r="Y258" s="8">
        <v>36570</v>
      </c>
      <c r="Z258" s="8">
        <f t="shared" si="112"/>
        <v>-2380</v>
      </c>
      <c r="AA258" s="8">
        <v>18890</v>
      </c>
      <c r="AB258" s="8">
        <f t="shared" si="99"/>
        <v>-769</v>
      </c>
      <c r="AC258" s="8">
        <v>17680</v>
      </c>
      <c r="AD258" s="8">
        <f t="shared" si="99"/>
        <v>-1611</v>
      </c>
      <c r="AE258" s="8">
        <v>121971</v>
      </c>
      <c r="AF258" s="8">
        <f t="shared" si="113"/>
        <v>5233</v>
      </c>
      <c r="AG258" s="8">
        <v>153598</v>
      </c>
      <c r="AH258" s="8">
        <f t="shared" si="114"/>
        <v>2321</v>
      </c>
      <c r="AI258" s="8">
        <v>-31627</v>
      </c>
      <c r="AJ258" s="8">
        <f t="shared" si="115"/>
        <v>2912</v>
      </c>
      <c r="AK258" s="8">
        <v>92885</v>
      </c>
      <c r="AL258" s="8">
        <f t="shared" si="116"/>
        <v>2848</v>
      </c>
      <c r="AM258" s="8">
        <v>142939</v>
      </c>
      <c r="AN258" s="8">
        <f t="shared" si="117"/>
        <v>1956</v>
      </c>
      <c r="AO258" s="8">
        <v>-50054</v>
      </c>
      <c r="AP258" s="8">
        <f t="shared" si="118"/>
        <v>892</v>
      </c>
      <c r="AR258" s="8">
        <v>2154362</v>
      </c>
      <c r="AS258" s="8">
        <f t="shared" si="119"/>
        <v>-26096</v>
      </c>
      <c r="AT258" s="8">
        <v>340095</v>
      </c>
      <c r="AU258" s="8">
        <f t="shared" si="120"/>
        <v>-25010</v>
      </c>
      <c r="AV258" s="8">
        <v>38093</v>
      </c>
      <c r="AW258" s="8">
        <f t="shared" si="121"/>
        <v>1823</v>
      </c>
      <c r="AX258" s="8">
        <f t="shared" si="96"/>
        <v>302002</v>
      </c>
      <c r="AY258" s="8">
        <f t="shared" si="122"/>
        <v>-26833</v>
      </c>
      <c r="AZ258" s="8">
        <v>814339</v>
      </c>
      <c r="BA258" s="8">
        <f t="shared" si="123"/>
        <v>-6758</v>
      </c>
      <c r="BB258" s="8">
        <v>1086098</v>
      </c>
      <c r="BC258" s="8">
        <f t="shared" si="124"/>
        <v>-42506</v>
      </c>
      <c r="BD258" s="8">
        <f t="shared" si="97"/>
        <v>-271759</v>
      </c>
      <c r="BE258" s="8">
        <f t="shared" si="125"/>
        <v>35748</v>
      </c>
      <c r="BF258" s="8">
        <v>371403</v>
      </c>
      <c r="BG258" s="8">
        <f t="shared" si="126"/>
        <v>17164</v>
      </c>
      <c r="BH258" s="8">
        <v>896215</v>
      </c>
      <c r="BI258" s="8">
        <f t="shared" si="127"/>
        <v>-32835</v>
      </c>
      <c r="BJ258" s="8">
        <f t="shared" si="98"/>
        <v>-524812</v>
      </c>
      <c r="BK258" s="8">
        <f t="shared" si="100"/>
        <v>49999</v>
      </c>
    </row>
    <row r="259" spans="1:63">
      <c r="A259" s="5">
        <v>40680</v>
      </c>
      <c r="B259" s="8">
        <v>387293</v>
      </c>
      <c r="C259" s="8">
        <f t="shared" si="101"/>
        <v>4149</v>
      </c>
      <c r="D259" s="8">
        <v>50064</v>
      </c>
      <c r="E259" s="8">
        <f t="shared" si="102"/>
        <v>-1737</v>
      </c>
      <c r="F259" s="8">
        <v>23666</v>
      </c>
      <c r="G259" s="8">
        <f t="shared" si="103"/>
        <v>2854</v>
      </c>
      <c r="H259" s="8">
        <v>26398</v>
      </c>
      <c r="I259" s="8">
        <f t="shared" si="104"/>
        <v>-4591</v>
      </c>
      <c r="J259" s="8">
        <v>196850</v>
      </c>
      <c r="K259" s="8">
        <f t="shared" si="105"/>
        <v>7993</v>
      </c>
      <c r="L259" s="8">
        <v>229716</v>
      </c>
      <c r="M259" s="8">
        <f t="shared" si="106"/>
        <v>-760</v>
      </c>
      <c r="N259" s="8">
        <v>-32866</v>
      </c>
      <c r="O259" s="8">
        <f t="shared" si="107"/>
        <v>8753</v>
      </c>
      <c r="P259" s="8">
        <v>104669</v>
      </c>
      <c r="Q259" s="8">
        <f t="shared" si="108"/>
        <v>9611</v>
      </c>
      <c r="R259" s="8">
        <v>210836</v>
      </c>
      <c r="S259" s="8">
        <f t="shared" si="109"/>
        <v>-1243</v>
      </c>
      <c r="T259" s="8">
        <v>-106167</v>
      </c>
      <c r="U259" s="8">
        <f t="shared" si="110"/>
        <v>10854</v>
      </c>
      <c r="W259" s="8">
        <v>260765</v>
      </c>
      <c r="X259" s="8">
        <f t="shared" si="111"/>
        <v>-2289</v>
      </c>
      <c r="Y259" s="8">
        <v>34714</v>
      </c>
      <c r="Z259" s="8">
        <f t="shared" si="112"/>
        <v>-1856</v>
      </c>
      <c r="AA259" s="8">
        <v>18506</v>
      </c>
      <c r="AB259" s="8">
        <f t="shared" si="99"/>
        <v>-384</v>
      </c>
      <c r="AC259" s="8">
        <v>16208</v>
      </c>
      <c r="AD259" s="8">
        <f t="shared" si="99"/>
        <v>-1472</v>
      </c>
      <c r="AE259" s="8">
        <v>121035</v>
      </c>
      <c r="AF259" s="8">
        <f t="shared" si="113"/>
        <v>-936</v>
      </c>
      <c r="AG259" s="8">
        <v>150916</v>
      </c>
      <c r="AH259" s="8">
        <f t="shared" si="114"/>
        <v>-2682</v>
      </c>
      <c r="AI259" s="8">
        <v>-29881</v>
      </c>
      <c r="AJ259" s="8">
        <f t="shared" si="115"/>
        <v>1746</v>
      </c>
      <c r="AK259" s="8">
        <v>90981</v>
      </c>
      <c r="AL259" s="8">
        <f t="shared" si="116"/>
        <v>-1904</v>
      </c>
      <c r="AM259" s="8">
        <v>140449</v>
      </c>
      <c r="AN259" s="8">
        <f t="shared" si="117"/>
        <v>-2490</v>
      </c>
      <c r="AO259" s="8">
        <v>-49468</v>
      </c>
      <c r="AP259" s="8">
        <f t="shared" si="118"/>
        <v>586</v>
      </c>
      <c r="AR259" s="8">
        <v>2128708</v>
      </c>
      <c r="AS259" s="8">
        <f t="shared" si="119"/>
        <v>-25654</v>
      </c>
      <c r="AT259" s="8">
        <v>333432</v>
      </c>
      <c r="AU259" s="8">
        <f t="shared" si="120"/>
        <v>-6663</v>
      </c>
      <c r="AV259" s="8">
        <v>44393</v>
      </c>
      <c r="AW259" s="8">
        <f t="shared" si="121"/>
        <v>6300</v>
      </c>
      <c r="AX259" s="8">
        <f t="shared" si="96"/>
        <v>289039</v>
      </c>
      <c r="AY259" s="8">
        <f t="shared" si="122"/>
        <v>-12963</v>
      </c>
      <c r="AZ259" s="8">
        <v>802115</v>
      </c>
      <c r="BA259" s="8">
        <f t="shared" si="123"/>
        <v>-12224</v>
      </c>
      <c r="BB259" s="8">
        <v>1060545</v>
      </c>
      <c r="BC259" s="8">
        <f t="shared" si="124"/>
        <v>-25553</v>
      </c>
      <c r="BD259" s="8">
        <f t="shared" si="97"/>
        <v>-258430</v>
      </c>
      <c r="BE259" s="8">
        <f t="shared" si="125"/>
        <v>13329</v>
      </c>
      <c r="BF259" s="8">
        <v>358977</v>
      </c>
      <c r="BG259" s="8">
        <f t="shared" si="126"/>
        <v>-12426</v>
      </c>
      <c r="BH259" s="8">
        <v>864583</v>
      </c>
      <c r="BI259" s="8">
        <f t="shared" si="127"/>
        <v>-31632</v>
      </c>
      <c r="BJ259" s="8">
        <f t="shared" si="98"/>
        <v>-505606</v>
      </c>
      <c r="BK259" s="8">
        <f t="shared" si="100"/>
        <v>19206</v>
      </c>
    </row>
    <row r="260" spans="1:63">
      <c r="A260" s="5">
        <v>40687</v>
      </c>
      <c r="B260" s="8">
        <v>389434</v>
      </c>
      <c r="C260" s="8">
        <f t="shared" si="101"/>
        <v>2141</v>
      </c>
      <c r="D260" s="8">
        <v>59479</v>
      </c>
      <c r="E260" s="8">
        <f t="shared" si="102"/>
        <v>9415</v>
      </c>
      <c r="F260" s="8">
        <v>17912</v>
      </c>
      <c r="G260" s="8">
        <f t="shared" si="103"/>
        <v>-5754</v>
      </c>
      <c r="H260" s="8">
        <v>41567</v>
      </c>
      <c r="I260" s="8">
        <f t="shared" si="104"/>
        <v>15169</v>
      </c>
      <c r="J260" s="8">
        <v>182574</v>
      </c>
      <c r="K260" s="8">
        <f t="shared" si="105"/>
        <v>-14276</v>
      </c>
      <c r="L260" s="8">
        <v>237801</v>
      </c>
      <c r="M260" s="8">
        <f t="shared" si="106"/>
        <v>8085</v>
      </c>
      <c r="N260" s="8">
        <v>-55227</v>
      </c>
      <c r="O260" s="8">
        <f t="shared" si="107"/>
        <v>-22361</v>
      </c>
      <c r="P260" s="8">
        <v>90273</v>
      </c>
      <c r="Q260" s="8">
        <f t="shared" si="108"/>
        <v>-14396</v>
      </c>
      <c r="R260" s="8">
        <v>222152</v>
      </c>
      <c r="S260" s="8">
        <f t="shared" si="109"/>
        <v>11316</v>
      </c>
      <c r="T260" s="8">
        <v>-131879</v>
      </c>
      <c r="U260" s="8">
        <f t="shared" si="110"/>
        <v>-25712</v>
      </c>
      <c r="W260" s="8">
        <v>260987</v>
      </c>
      <c r="X260" s="8">
        <f t="shared" si="111"/>
        <v>222</v>
      </c>
      <c r="Y260" s="8">
        <v>41714</v>
      </c>
      <c r="Z260" s="8">
        <f t="shared" si="112"/>
        <v>7000</v>
      </c>
      <c r="AA260" s="8">
        <v>14902</v>
      </c>
      <c r="AB260" s="8">
        <f t="shared" si="99"/>
        <v>-3604</v>
      </c>
      <c r="AC260" s="8">
        <v>26812</v>
      </c>
      <c r="AD260" s="8">
        <f t="shared" si="99"/>
        <v>10604</v>
      </c>
      <c r="AE260" s="8">
        <v>108860</v>
      </c>
      <c r="AF260" s="8">
        <f t="shared" si="113"/>
        <v>-12175</v>
      </c>
      <c r="AG260" s="8">
        <v>153901</v>
      </c>
      <c r="AH260" s="8">
        <f t="shared" si="114"/>
        <v>2985</v>
      </c>
      <c r="AI260" s="8">
        <v>-45041</v>
      </c>
      <c r="AJ260" s="8">
        <f t="shared" si="115"/>
        <v>-15160</v>
      </c>
      <c r="AK260" s="8">
        <v>81497</v>
      </c>
      <c r="AL260" s="8">
        <f t="shared" si="116"/>
        <v>-9484</v>
      </c>
      <c r="AM260" s="8">
        <v>142853</v>
      </c>
      <c r="AN260" s="8">
        <f t="shared" si="117"/>
        <v>2404</v>
      </c>
      <c r="AO260" s="8">
        <v>-61356</v>
      </c>
      <c r="AP260" s="8">
        <f t="shared" si="118"/>
        <v>-11888</v>
      </c>
      <c r="AR260" s="8">
        <v>2094720</v>
      </c>
      <c r="AS260" s="8">
        <f t="shared" si="119"/>
        <v>-33988</v>
      </c>
      <c r="AT260" s="8">
        <v>341688</v>
      </c>
      <c r="AU260" s="8">
        <f t="shared" si="120"/>
        <v>8256</v>
      </c>
      <c r="AV260" s="8">
        <v>31158</v>
      </c>
      <c r="AW260" s="8">
        <f t="shared" si="121"/>
        <v>-13235</v>
      </c>
      <c r="AX260" s="8">
        <f t="shared" ref="AX260:AX323" si="128">AT260-AV260</f>
        <v>310530</v>
      </c>
      <c r="AY260" s="8">
        <f t="shared" si="122"/>
        <v>21491</v>
      </c>
      <c r="AZ260" s="8">
        <v>786241</v>
      </c>
      <c r="BA260" s="8">
        <f t="shared" si="123"/>
        <v>-15874</v>
      </c>
      <c r="BB260" s="8">
        <v>1076573</v>
      </c>
      <c r="BC260" s="8">
        <f t="shared" si="124"/>
        <v>16028</v>
      </c>
      <c r="BD260" s="8">
        <f t="shared" ref="BD260:BD323" si="129">AZ260-BB260</f>
        <v>-290332</v>
      </c>
      <c r="BE260" s="8">
        <f t="shared" si="125"/>
        <v>-31902</v>
      </c>
      <c r="BF260" s="8">
        <v>335947</v>
      </c>
      <c r="BG260" s="8">
        <f t="shared" si="126"/>
        <v>-23030</v>
      </c>
      <c r="BH260" s="8">
        <v>873226</v>
      </c>
      <c r="BI260" s="8">
        <f t="shared" si="127"/>
        <v>8643</v>
      </c>
      <c r="BJ260" s="8">
        <f t="shared" ref="BJ260:BJ323" si="130">BF260-BH260</f>
        <v>-537279</v>
      </c>
      <c r="BK260" s="8">
        <f t="shared" si="100"/>
        <v>-31673</v>
      </c>
    </row>
    <row r="261" spans="1:63">
      <c r="A261" s="5">
        <v>40694</v>
      </c>
      <c r="B261" s="8">
        <v>394319</v>
      </c>
      <c r="C261" s="8">
        <f t="shared" si="101"/>
        <v>4885</v>
      </c>
      <c r="D261" s="8">
        <v>67671</v>
      </c>
      <c r="E261" s="8">
        <f t="shared" si="102"/>
        <v>8192</v>
      </c>
      <c r="F261" s="8">
        <v>13546</v>
      </c>
      <c r="G261" s="8">
        <f t="shared" si="103"/>
        <v>-4366</v>
      </c>
      <c r="H261" s="8">
        <v>54125</v>
      </c>
      <c r="I261" s="8">
        <f t="shared" si="104"/>
        <v>12558</v>
      </c>
      <c r="J261" s="8">
        <v>174965</v>
      </c>
      <c r="K261" s="8">
        <f t="shared" si="105"/>
        <v>-7609</v>
      </c>
      <c r="L261" s="8">
        <v>246856</v>
      </c>
      <c r="M261" s="8">
        <f t="shared" si="106"/>
        <v>9055</v>
      </c>
      <c r="N261" s="8">
        <v>-71891</v>
      </c>
      <c r="O261" s="8">
        <f t="shared" si="107"/>
        <v>-16664</v>
      </c>
      <c r="P261" s="8">
        <v>82067</v>
      </c>
      <c r="Q261" s="8">
        <f t="shared" si="108"/>
        <v>-8206</v>
      </c>
      <c r="R261" s="8">
        <v>232111</v>
      </c>
      <c r="S261" s="8">
        <f t="shared" si="109"/>
        <v>9959</v>
      </c>
      <c r="T261" s="8">
        <v>-150044</v>
      </c>
      <c r="U261" s="8">
        <f t="shared" si="110"/>
        <v>-18165</v>
      </c>
      <c r="W261" s="8">
        <v>259345</v>
      </c>
      <c r="X261" s="8">
        <f t="shared" si="111"/>
        <v>-1642</v>
      </c>
      <c r="Y261" s="8">
        <v>40881</v>
      </c>
      <c r="Z261" s="8">
        <f t="shared" si="112"/>
        <v>-833</v>
      </c>
      <c r="AA261" s="8">
        <v>17637</v>
      </c>
      <c r="AB261" s="8">
        <f t="shared" ref="AB261:AD324" si="131">AA261-AA260</f>
        <v>2735</v>
      </c>
      <c r="AC261" s="8">
        <v>23244</v>
      </c>
      <c r="AD261" s="8">
        <f t="shared" si="131"/>
        <v>-3568</v>
      </c>
      <c r="AE261" s="8">
        <v>107249</v>
      </c>
      <c r="AF261" s="8">
        <f t="shared" si="113"/>
        <v>-1611</v>
      </c>
      <c r="AG261" s="8">
        <v>146288</v>
      </c>
      <c r="AH261" s="8">
        <f t="shared" si="114"/>
        <v>-7613</v>
      </c>
      <c r="AI261" s="8">
        <v>-39039</v>
      </c>
      <c r="AJ261" s="8">
        <f t="shared" si="115"/>
        <v>6002</v>
      </c>
      <c r="AK261" s="8">
        <v>80429</v>
      </c>
      <c r="AL261" s="8">
        <f t="shared" si="116"/>
        <v>-1068</v>
      </c>
      <c r="AM261" s="8">
        <v>135752</v>
      </c>
      <c r="AN261" s="8">
        <f t="shared" si="117"/>
        <v>-7101</v>
      </c>
      <c r="AO261" s="8">
        <v>-55323</v>
      </c>
      <c r="AP261" s="8">
        <f t="shared" si="118"/>
        <v>6033</v>
      </c>
      <c r="AR261" s="8">
        <v>2146889</v>
      </c>
      <c r="AS261" s="8">
        <f t="shared" si="119"/>
        <v>52169</v>
      </c>
      <c r="AT261" s="8">
        <v>356005</v>
      </c>
      <c r="AU261" s="8">
        <f t="shared" si="120"/>
        <v>14317</v>
      </c>
      <c r="AV261" s="8">
        <v>27893</v>
      </c>
      <c r="AW261" s="8">
        <f t="shared" si="121"/>
        <v>-3265</v>
      </c>
      <c r="AX261" s="8">
        <f t="shared" si="128"/>
        <v>328112</v>
      </c>
      <c r="AY261" s="8">
        <f t="shared" si="122"/>
        <v>17582</v>
      </c>
      <c r="AZ261" s="8">
        <v>785737</v>
      </c>
      <c r="BA261" s="8">
        <f t="shared" si="123"/>
        <v>-504</v>
      </c>
      <c r="BB261" s="8">
        <v>1094524</v>
      </c>
      <c r="BC261" s="8">
        <f t="shared" si="124"/>
        <v>17951</v>
      </c>
      <c r="BD261" s="8">
        <f t="shared" si="129"/>
        <v>-308787</v>
      </c>
      <c r="BE261" s="8">
        <f t="shared" si="125"/>
        <v>-18455</v>
      </c>
      <c r="BF261" s="8">
        <v>330451</v>
      </c>
      <c r="BG261" s="8">
        <f t="shared" si="126"/>
        <v>-5496</v>
      </c>
      <c r="BH261" s="8">
        <v>885205</v>
      </c>
      <c r="BI261" s="8">
        <f t="shared" si="127"/>
        <v>11979</v>
      </c>
      <c r="BJ261" s="8">
        <f t="shared" si="130"/>
        <v>-554754</v>
      </c>
      <c r="BK261" s="8">
        <f t="shared" ref="BK261:BK324" si="132">BJ261-BJ260</f>
        <v>-17475</v>
      </c>
    </row>
    <row r="262" spans="1:63">
      <c r="A262" s="5">
        <v>40701</v>
      </c>
      <c r="B262" s="8">
        <v>403818</v>
      </c>
      <c r="C262" s="8">
        <f t="shared" si="101"/>
        <v>9499</v>
      </c>
      <c r="D262" s="8">
        <v>75472</v>
      </c>
      <c r="E262" s="8">
        <f t="shared" si="102"/>
        <v>7801</v>
      </c>
      <c r="F262" s="8">
        <v>12771</v>
      </c>
      <c r="G262" s="8">
        <f t="shared" si="103"/>
        <v>-775</v>
      </c>
      <c r="H262" s="8">
        <v>62701</v>
      </c>
      <c r="I262" s="8">
        <f t="shared" si="104"/>
        <v>8576</v>
      </c>
      <c r="J262" s="8">
        <v>173271</v>
      </c>
      <c r="K262" s="8">
        <f t="shared" si="105"/>
        <v>-1694</v>
      </c>
      <c r="L262" s="8">
        <v>257821</v>
      </c>
      <c r="M262" s="8">
        <f t="shared" si="106"/>
        <v>10965</v>
      </c>
      <c r="N262" s="8">
        <v>-84550</v>
      </c>
      <c r="O262" s="8">
        <f t="shared" si="107"/>
        <v>-12659</v>
      </c>
      <c r="P262" s="8">
        <v>82533</v>
      </c>
      <c r="Q262" s="8">
        <f t="shared" si="108"/>
        <v>466</v>
      </c>
      <c r="R262" s="8">
        <v>244053</v>
      </c>
      <c r="S262" s="8">
        <f t="shared" si="109"/>
        <v>11942</v>
      </c>
      <c r="T262" s="8">
        <v>-161520</v>
      </c>
      <c r="U262" s="8">
        <f t="shared" si="110"/>
        <v>-11476</v>
      </c>
      <c r="W262" s="8">
        <v>270638</v>
      </c>
      <c r="X262" s="8">
        <f t="shared" si="111"/>
        <v>11293</v>
      </c>
      <c r="Y262" s="8">
        <v>48759</v>
      </c>
      <c r="Z262" s="8">
        <f t="shared" si="112"/>
        <v>7878</v>
      </c>
      <c r="AA262" s="8">
        <v>11693</v>
      </c>
      <c r="AB262" s="8">
        <f t="shared" si="131"/>
        <v>-5944</v>
      </c>
      <c r="AC262" s="8">
        <v>37066</v>
      </c>
      <c r="AD262" s="8">
        <f t="shared" si="131"/>
        <v>13822</v>
      </c>
      <c r="AE262" s="8">
        <v>101957</v>
      </c>
      <c r="AF262" s="8">
        <f t="shared" si="113"/>
        <v>-5292</v>
      </c>
      <c r="AG262" s="8">
        <v>161534</v>
      </c>
      <c r="AH262" s="8">
        <f t="shared" si="114"/>
        <v>15246</v>
      </c>
      <c r="AI262" s="8">
        <v>-59577</v>
      </c>
      <c r="AJ262" s="8">
        <f t="shared" si="115"/>
        <v>-20538</v>
      </c>
      <c r="AK262" s="8">
        <v>77302</v>
      </c>
      <c r="AL262" s="8">
        <f t="shared" si="116"/>
        <v>-3127</v>
      </c>
      <c r="AM262" s="8">
        <v>151429</v>
      </c>
      <c r="AN262" s="8">
        <f t="shared" si="117"/>
        <v>15677</v>
      </c>
      <c r="AO262" s="8">
        <v>-74127</v>
      </c>
      <c r="AP262" s="8">
        <f t="shared" si="118"/>
        <v>-18804</v>
      </c>
      <c r="AR262" s="8">
        <v>2174051</v>
      </c>
      <c r="AS262" s="8">
        <f t="shared" si="119"/>
        <v>27162</v>
      </c>
      <c r="AT262" s="8">
        <v>347524</v>
      </c>
      <c r="AU262" s="8">
        <f t="shared" si="120"/>
        <v>-8481</v>
      </c>
      <c r="AV262" s="8">
        <v>28436</v>
      </c>
      <c r="AW262" s="8">
        <f t="shared" si="121"/>
        <v>543</v>
      </c>
      <c r="AX262" s="8">
        <f t="shared" si="128"/>
        <v>319088</v>
      </c>
      <c r="AY262" s="8">
        <f t="shared" si="122"/>
        <v>-9024</v>
      </c>
      <c r="AZ262" s="8">
        <v>787755</v>
      </c>
      <c r="BA262" s="8">
        <f t="shared" si="123"/>
        <v>2018</v>
      </c>
      <c r="BB262" s="8">
        <v>1084168</v>
      </c>
      <c r="BC262" s="8">
        <f t="shared" si="124"/>
        <v>-10356</v>
      </c>
      <c r="BD262" s="8">
        <f t="shared" si="129"/>
        <v>-296413</v>
      </c>
      <c r="BE262" s="8">
        <f t="shared" si="125"/>
        <v>12374</v>
      </c>
      <c r="BF262" s="8">
        <v>339486</v>
      </c>
      <c r="BG262" s="8">
        <f t="shared" si="126"/>
        <v>9035</v>
      </c>
      <c r="BH262" s="8">
        <v>873788</v>
      </c>
      <c r="BI262" s="8">
        <f t="shared" si="127"/>
        <v>-11417</v>
      </c>
      <c r="BJ262" s="8">
        <f t="shared" si="130"/>
        <v>-534302</v>
      </c>
      <c r="BK262" s="8">
        <f t="shared" si="132"/>
        <v>20452</v>
      </c>
    </row>
    <row r="263" spans="1:63">
      <c r="A263" s="5">
        <v>40708</v>
      </c>
      <c r="B263" s="8">
        <v>397121</v>
      </c>
      <c r="C263" s="8">
        <f t="shared" si="101"/>
        <v>-6697</v>
      </c>
      <c r="D263" s="8">
        <v>65678</v>
      </c>
      <c r="E263" s="8">
        <f t="shared" si="102"/>
        <v>-9794</v>
      </c>
      <c r="F263" s="8">
        <v>20581</v>
      </c>
      <c r="G263" s="8">
        <f t="shared" si="103"/>
        <v>7810</v>
      </c>
      <c r="H263" s="8">
        <v>45097</v>
      </c>
      <c r="I263" s="8">
        <f t="shared" si="104"/>
        <v>-17604</v>
      </c>
      <c r="J263" s="8">
        <v>185352</v>
      </c>
      <c r="K263" s="8">
        <f t="shared" si="105"/>
        <v>12081</v>
      </c>
      <c r="L263" s="8">
        <v>246721</v>
      </c>
      <c r="M263" s="8">
        <f t="shared" si="106"/>
        <v>-11100</v>
      </c>
      <c r="N263" s="8">
        <v>-61369</v>
      </c>
      <c r="O263" s="8">
        <f t="shared" si="107"/>
        <v>23181</v>
      </c>
      <c r="P263" s="8">
        <v>93538</v>
      </c>
      <c r="Q263" s="8">
        <f t="shared" si="108"/>
        <v>11005</v>
      </c>
      <c r="R263" s="8">
        <v>231859</v>
      </c>
      <c r="S263" s="8">
        <f t="shared" si="109"/>
        <v>-12194</v>
      </c>
      <c r="T263" s="8">
        <v>-138321</v>
      </c>
      <c r="U263" s="8">
        <f t="shared" si="110"/>
        <v>23199</v>
      </c>
      <c r="W263" s="8">
        <v>265496</v>
      </c>
      <c r="X263" s="8">
        <f t="shared" si="111"/>
        <v>-5142</v>
      </c>
      <c r="Y263" s="8">
        <v>47117</v>
      </c>
      <c r="Z263" s="8">
        <f t="shared" si="112"/>
        <v>-1642</v>
      </c>
      <c r="AA263" s="8">
        <v>12945</v>
      </c>
      <c r="AB263" s="8">
        <f t="shared" si="131"/>
        <v>1252</v>
      </c>
      <c r="AC263" s="8">
        <v>34172</v>
      </c>
      <c r="AD263" s="8">
        <f t="shared" si="131"/>
        <v>-2894</v>
      </c>
      <c r="AE263" s="8">
        <v>102887</v>
      </c>
      <c r="AF263" s="8">
        <f t="shared" si="113"/>
        <v>930</v>
      </c>
      <c r="AG263" s="8">
        <v>159282</v>
      </c>
      <c r="AH263" s="8">
        <f t="shared" si="114"/>
        <v>-2252</v>
      </c>
      <c r="AI263" s="8">
        <v>-56395</v>
      </c>
      <c r="AJ263" s="8">
        <f t="shared" si="115"/>
        <v>3182</v>
      </c>
      <c r="AK263" s="8">
        <v>76864</v>
      </c>
      <c r="AL263" s="8">
        <f t="shared" si="116"/>
        <v>-438</v>
      </c>
      <c r="AM263" s="8">
        <v>150210</v>
      </c>
      <c r="AN263" s="8">
        <f t="shared" si="117"/>
        <v>-1219</v>
      </c>
      <c r="AO263" s="8">
        <v>-73346</v>
      </c>
      <c r="AP263" s="8">
        <f t="shared" si="118"/>
        <v>781</v>
      </c>
      <c r="AR263" s="8">
        <v>2224832</v>
      </c>
      <c r="AS263" s="8">
        <f t="shared" si="119"/>
        <v>50781</v>
      </c>
      <c r="AT263" s="8">
        <v>362525</v>
      </c>
      <c r="AU263" s="8">
        <f t="shared" si="120"/>
        <v>15001</v>
      </c>
      <c r="AV263" s="8">
        <v>26104</v>
      </c>
      <c r="AW263" s="8">
        <f t="shared" si="121"/>
        <v>-2332</v>
      </c>
      <c r="AX263" s="8">
        <f t="shared" si="128"/>
        <v>336421</v>
      </c>
      <c r="AY263" s="8">
        <f t="shared" si="122"/>
        <v>17333</v>
      </c>
      <c r="AZ263" s="8">
        <v>800255</v>
      </c>
      <c r="BA263" s="8">
        <f t="shared" si="123"/>
        <v>12500</v>
      </c>
      <c r="BB263" s="8">
        <v>1095802</v>
      </c>
      <c r="BC263" s="8">
        <f t="shared" si="124"/>
        <v>11634</v>
      </c>
      <c r="BD263" s="8">
        <f t="shared" si="129"/>
        <v>-295547</v>
      </c>
      <c r="BE263" s="8">
        <f t="shared" si="125"/>
        <v>866</v>
      </c>
      <c r="BF263" s="8">
        <v>335688</v>
      </c>
      <c r="BG263" s="8">
        <f t="shared" si="126"/>
        <v>-3798</v>
      </c>
      <c r="BH263" s="8">
        <v>870958</v>
      </c>
      <c r="BI263" s="8">
        <f t="shared" si="127"/>
        <v>-2830</v>
      </c>
      <c r="BJ263" s="8">
        <f t="shared" si="130"/>
        <v>-535270</v>
      </c>
      <c r="BK263" s="8">
        <f t="shared" si="132"/>
        <v>-968</v>
      </c>
    </row>
    <row r="264" spans="1:63">
      <c r="A264" s="5">
        <v>40715</v>
      </c>
      <c r="B264" s="8">
        <v>397411</v>
      </c>
      <c r="C264" s="8">
        <f t="shared" ref="C264:C327" si="133">B264-B263</f>
        <v>290</v>
      </c>
      <c r="D264" s="8">
        <v>60039</v>
      </c>
      <c r="E264" s="8">
        <f t="shared" ref="E264:E327" si="134">D264-D263</f>
        <v>-5639</v>
      </c>
      <c r="F264" s="8">
        <v>23887</v>
      </c>
      <c r="G264" s="8">
        <f t="shared" ref="G264:G327" si="135">F264-F263</f>
        <v>3306</v>
      </c>
      <c r="H264" s="8">
        <v>36152</v>
      </c>
      <c r="I264" s="8">
        <f t="shared" ref="I264:I327" si="136">H264-H263</f>
        <v>-8945</v>
      </c>
      <c r="J264" s="8">
        <v>194250</v>
      </c>
      <c r="K264" s="8">
        <f t="shared" ref="K264:K327" si="137">J264-J263</f>
        <v>8898</v>
      </c>
      <c r="L264" s="8">
        <v>240245</v>
      </c>
      <c r="M264" s="8">
        <f t="shared" ref="M264:M327" si="138">L264-L263</f>
        <v>-6476</v>
      </c>
      <c r="N264" s="8">
        <v>-45995</v>
      </c>
      <c r="O264" s="8">
        <f t="shared" ref="O264:O327" si="139">N264-N263</f>
        <v>15374</v>
      </c>
      <c r="P264" s="8">
        <v>103310</v>
      </c>
      <c r="Q264" s="8">
        <f t="shared" ref="Q264:Q327" si="140">P264-P263</f>
        <v>9772</v>
      </c>
      <c r="R264" s="8">
        <v>220821</v>
      </c>
      <c r="S264" s="8">
        <f t="shared" ref="S264:S327" si="141">R264-R263</f>
        <v>-11038</v>
      </c>
      <c r="T264" s="8">
        <v>-117511</v>
      </c>
      <c r="U264" s="8">
        <f t="shared" ref="U264:U327" si="142">T264-T263</f>
        <v>20810</v>
      </c>
      <c r="W264" s="8">
        <v>246508</v>
      </c>
      <c r="X264" s="8">
        <f t="shared" ref="X264:X327" si="143">W264-W263</f>
        <v>-18988</v>
      </c>
      <c r="Y264" s="8">
        <v>38571</v>
      </c>
      <c r="Z264" s="8">
        <f t="shared" ref="Z264:Z327" si="144">Y264-Y263</f>
        <v>-8546</v>
      </c>
      <c r="AA264" s="8">
        <v>14561</v>
      </c>
      <c r="AB264" s="8">
        <f t="shared" si="131"/>
        <v>1616</v>
      </c>
      <c r="AC264" s="8">
        <v>24010</v>
      </c>
      <c r="AD264" s="8">
        <f t="shared" si="131"/>
        <v>-10162</v>
      </c>
      <c r="AE264" s="8">
        <v>104586</v>
      </c>
      <c r="AF264" s="8">
        <f t="shared" ref="AF264:AF327" si="145">AE264-AE263</f>
        <v>1699</v>
      </c>
      <c r="AG264" s="8">
        <v>142628</v>
      </c>
      <c r="AH264" s="8">
        <f t="shared" ref="AH264:AH327" si="146">AG264-AG263</f>
        <v>-16654</v>
      </c>
      <c r="AI264" s="8">
        <v>-38042</v>
      </c>
      <c r="AJ264" s="8">
        <f t="shared" ref="AJ264:AJ327" si="147">AI264-AI263</f>
        <v>18353</v>
      </c>
      <c r="AK264" s="8">
        <v>81137</v>
      </c>
      <c r="AL264" s="8">
        <f t="shared" ref="AL264:AL327" si="148">AK264-AK263</f>
        <v>4273</v>
      </c>
      <c r="AM264" s="8">
        <v>132623</v>
      </c>
      <c r="AN264" s="8">
        <f t="shared" ref="AN264:AN327" si="149">AM264-AM263</f>
        <v>-17587</v>
      </c>
      <c r="AO264" s="8">
        <v>-51486</v>
      </c>
      <c r="AP264" s="8">
        <f t="shared" ref="AP264:AP327" si="150">AO264-AO263</f>
        <v>21860</v>
      </c>
      <c r="AR264" s="8">
        <v>2132924</v>
      </c>
      <c r="AS264" s="8">
        <f t="shared" ref="AS264:AS327" si="151">AR264-AR263</f>
        <v>-91908</v>
      </c>
      <c r="AT264" s="8">
        <v>306916</v>
      </c>
      <c r="AU264" s="8">
        <f t="shared" ref="AU264:AU327" si="152">AT264-AT263</f>
        <v>-55609</v>
      </c>
      <c r="AV264" s="8">
        <v>30554</v>
      </c>
      <c r="AW264" s="8">
        <f t="shared" ref="AW264:AW327" si="153">AV264-AV263</f>
        <v>4450</v>
      </c>
      <c r="AX264" s="8">
        <f t="shared" si="128"/>
        <v>276362</v>
      </c>
      <c r="AY264" s="8">
        <f t="shared" ref="AY264:AY327" si="154">AX264-AX263</f>
        <v>-60059</v>
      </c>
      <c r="AZ264" s="8">
        <v>820746</v>
      </c>
      <c r="BA264" s="8">
        <f t="shared" ref="BA264:BA327" si="155">AZ264-AZ263</f>
        <v>20491</v>
      </c>
      <c r="BB264" s="8">
        <v>1059552</v>
      </c>
      <c r="BC264" s="8">
        <f t="shared" ref="BC264:BC327" si="156">BB264-BB263</f>
        <v>-36250</v>
      </c>
      <c r="BD264" s="8">
        <f t="shared" si="129"/>
        <v>-238806</v>
      </c>
      <c r="BE264" s="8">
        <f t="shared" ref="BE264:BE327" si="157">BD264-BD263</f>
        <v>56741</v>
      </c>
      <c r="BF264" s="8">
        <v>355566</v>
      </c>
      <c r="BG264" s="8">
        <f t="shared" ref="BG264:BG327" si="158">BF264-BF263</f>
        <v>19878</v>
      </c>
      <c r="BH264" s="8">
        <v>827490</v>
      </c>
      <c r="BI264" s="8">
        <f t="shared" ref="BI264:BI327" si="159">BH264-BH263</f>
        <v>-43468</v>
      </c>
      <c r="BJ264" s="8">
        <f t="shared" si="130"/>
        <v>-471924</v>
      </c>
      <c r="BK264" s="8">
        <f t="shared" si="132"/>
        <v>63346</v>
      </c>
    </row>
    <row r="265" spans="1:63">
      <c r="A265" s="5">
        <v>40722</v>
      </c>
      <c r="B265" s="8">
        <v>332449</v>
      </c>
      <c r="C265" s="8">
        <f t="shared" si="133"/>
        <v>-64962</v>
      </c>
      <c r="D265" s="8">
        <v>52518</v>
      </c>
      <c r="E265" s="8">
        <f t="shared" si="134"/>
        <v>-7521</v>
      </c>
      <c r="F265" s="8">
        <v>25315</v>
      </c>
      <c r="G265" s="8">
        <f t="shared" si="135"/>
        <v>1428</v>
      </c>
      <c r="H265" s="8">
        <v>27203</v>
      </c>
      <c r="I265" s="8">
        <f t="shared" si="136"/>
        <v>-8949</v>
      </c>
      <c r="J265" s="8">
        <v>176434</v>
      </c>
      <c r="K265" s="8">
        <f t="shared" si="137"/>
        <v>-17816</v>
      </c>
      <c r="L265" s="8">
        <v>197282</v>
      </c>
      <c r="M265" s="8">
        <f t="shared" si="138"/>
        <v>-42963</v>
      </c>
      <c r="N265" s="8">
        <v>-20848</v>
      </c>
      <c r="O265" s="8">
        <f t="shared" si="139"/>
        <v>25147</v>
      </c>
      <c r="P265" s="8">
        <v>90861</v>
      </c>
      <c r="Q265" s="8">
        <f t="shared" si="140"/>
        <v>-12449</v>
      </c>
      <c r="R265" s="8">
        <v>183556</v>
      </c>
      <c r="S265" s="8">
        <f t="shared" si="141"/>
        <v>-37265</v>
      </c>
      <c r="T265" s="8">
        <v>-92695</v>
      </c>
      <c r="U265" s="8">
        <f t="shared" si="142"/>
        <v>24816</v>
      </c>
      <c r="W265" s="8">
        <v>226599</v>
      </c>
      <c r="X265" s="8">
        <f t="shared" si="143"/>
        <v>-19909</v>
      </c>
      <c r="Y265" s="8">
        <v>31909</v>
      </c>
      <c r="Z265" s="8">
        <f t="shared" si="144"/>
        <v>-6662</v>
      </c>
      <c r="AA265" s="8">
        <v>23954</v>
      </c>
      <c r="AB265" s="8">
        <f t="shared" si="131"/>
        <v>9393</v>
      </c>
      <c r="AC265" s="8">
        <v>7955</v>
      </c>
      <c r="AD265" s="8">
        <f t="shared" si="131"/>
        <v>-16055</v>
      </c>
      <c r="AE265" s="8">
        <v>106688</v>
      </c>
      <c r="AF265" s="8">
        <f t="shared" si="145"/>
        <v>2102</v>
      </c>
      <c r="AG265" s="8">
        <v>118608</v>
      </c>
      <c r="AH265" s="8">
        <f t="shared" si="146"/>
        <v>-24020</v>
      </c>
      <c r="AI265" s="8">
        <v>-11920</v>
      </c>
      <c r="AJ265" s="8">
        <f t="shared" si="147"/>
        <v>26122</v>
      </c>
      <c r="AK265" s="8">
        <v>85869</v>
      </c>
      <c r="AL265" s="8">
        <f t="shared" si="148"/>
        <v>4732</v>
      </c>
      <c r="AM265" s="8">
        <v>110082</v>
      </c>
      <c r="AN265" s="8">
        <f t="shared" si="149"/>
        <v>-22541</v>
      </c>
      <c r="AO265" s="8">
        <v>-24213</v>
      </c>
      <c r="AP265" s="8">
        <f t="shared" si="150"/>
        <v>27273</v>
      </c>
      <c r="AR265" s="8">
        <v>1779907</v>
      </c>
      <c r="AS265" s="8">
        <f t="shared" si="151"/>
        <v>-353017</v>
      </c>
      <c r="AT265" s="8">
        <v>262726</v>
      </c>
      <c r="AU265" s="8">
        <f t="shared" si="152"/>
        <v>-44190</v>
      </c>
      <c r="AV265" s="8">
        <v>36594</v>
      </c>
      <c r="AW265" s="8">
        <f t="shared" si="153"/>
        <v>6040</v>
      </c>
      <c r="AX265" s="8">
        <f t="shared" si="128"/>
        <v>226132</v>
      </c>
      <c r="AY265" s="8">
        <f t="shared" si="154"/>
        <v>-50230</v>
      </c>
      <c r="AZ265" s="8">
        <v>730363</v>
      </c>
      <c r="BA265" s="8">
        <f t="shared" si="155"/>
        <v>-90383</v>
      </c>
      <c r="BB265" s="8">
        <v>937736</v>
      </c>
      <c r="BC265" s="8">
        <f t="shared" si="156"/>
        <v>-121816</v>
      </c>
      <c r="BD265" s="8">
        <f t="shared" si="129"/>
        <v>-207373</v>
      </c>
      <c r="BE265" s="8">
        <f t="shared" si="157"/>
        <v>31433</v>
      </c>
      <c r="BF265" s="8">
        <v>318667</v>
      </c>
      <c r="BG265" s="8">
        <f t="shared" si="158"/>
        <v>-36899</v>
      </c>
      <c r="BH265" s="8">
        <v>768495</v>
      </c>
      <c r="BI265" s="8">
        <f t="shared" si="159"/>
        <v>-58995</v>
      </c>
      <c r="BJ265" s="8">
        <f t="shared" si="130"/>
        <v>-449828</v>
      </c>
      <c r="BK265" s="8">
        <f t="shared" si="132"/>
        <v>22096</v>
      </c>
    </row>
    <row r="266" spans="1:63">
      <c r="A266" s="5">
        <v>40729</v>
      </c>
      <c r="B266" s="8">
        <v>328507</v>
      </c>
      <c r="C266" s="8">
        <f t="shared" si="133"/>
        <v>-3942</v>
      </c>
      <c r="D266" s="8">
        <v>48542</v>
      </c>
      <c r="E266" s="8">
        <f t="shared" si="134"/>
        <v>-3976</v>
      </c>
      <c r="F266" s="8">
        <v>32708</v>
      </c>
      <c r="G266" s="8">
        <f t="shared" si="135"/>
        <v>7393</v>
      </c>
      <c r="H266" s="8">
        <v>15834</v>
      </c>
      <c r="I266" s="8">
        <f t="shared" si="136"/>
        <v>-11369</v>
      </c>
      <c r="J266" s="8">
        <v>174498</v>
      </c>
      <c r="K266" s="8">
        <f t="shared" si="137"/>
        <v>-1936</v>
      </c>
      <c r="L266" s="8">
        <v>187305</v>
      </c>
      <c r="M266" s="8">
        <f t="shared" si="138"/>
        <v>-9977</v>
      </c>
      <c r="N266" s="8">
        <v>-12807</v>
      </c>
      <c r="O266" s="8">
        <f t="shared" si="139"/>
        <v>8041</v>
      </c>
      <c r="P266" s="8">
        <v>89110</v>
      </c>
      <c r="Q266" s="8">
        <f t="shared" si="140"/>
        <v>-1751</v>
      </c>
      <c r="R266" s="8">
        <v>174438</v>
      </c>
      <c r="S266" s="8">
        <f t="shared" si="141"/>
        <v>-9118</v>
      </c>
      <c r="T266" s="8">
        <v>-85328</v>
      </c>
      <c r="U266" s="8">
        <f t="shared" si="142"/>
        <v>7367</v>
      </c>
      <c r="W266" s="8">
        <v>214849</v>
      </c>
      <c r="X266" s="8">
        <f t="shared" si="143"/>
        <v>-11750</v>
      </c>
      <c r="Y266" s="8">
        <v>30431</v>
      </c>
      <c r="Z266" s="8">
        <f t="shared" si="144"/>
        <v>-1478</v>
      </c>
      <c r="AA266" s="8">
        <v>25090</v>
      </c>
      <c r="AB266" s="8">
        <f t="shared" si="131"/>
        <v>1136</v>
      </c>
      <c r="AC266" s="8">
        <v>5341</v>
      </c>
      <c r="AD266" s="8">
        <f t="shared" si="131"/>
        <v>-2614</v>
      </c>
      <c r="AE266" s="8">
        <v>103080</v>
      </c>
      <c r="AF266" s="8">
        <f t="shared" si="145"/>
        <v>-3608</v>
      </c>
      <c r="AG266" s="8">
        <v>110733</v>
      </c>
      <c r="AH266" s="8">
        <f t="shared" si="146"/>
        <v>-7875</v>
      </c>
      <c r="AI266" s="8">
        <v>-7653</v>
      </c>
      <c r="AJ266" s="8">
        <f t="shared" si="147"/>
        <v>4267</v>
      </c>
      <c r="AK266" s="8">
        <v>80758</v>
      </c>
      <c r="AL266" s="8">
        <f t="shared" si="148"/>
        <v>-5111</v>
      </c>
      <c r="AM266" s="8">
        <v>102668</v>
      </c>
      <c r="AN266" s="8">
        <f t="shared" si="149"/>
        <v>-7414</v>
      </c>
      <c r="AO266" s="8">
        <v>-21910</v>
      </c>
      <c r="AP266" s="8">
        <f t="shared" si="150"/>
        <v>2303</v>
      </c>
      <c r="AR266" s="8">
        <v>1719396</v>
      </c>
      <c r="AS266" s="8">
        <f t="shared" si="151"/>
        <v>-60511</v>
      </c>
      <c r="AT266" s="8">
        <v>234412</v>
      </c>
      <c r="AU266" s="8">
        <f t="shared" si="152"/>
        <v>-28314</v>
      </c>
      <c r="AV266" s="8">
        <v>43595</v>
      </c>
      <c r="AW266" s="8">
        <f t="shared" si="153"/>
        <v>7001</v>
      </c>
      <c r="AX266" s="8">
        <f t="shared" si="128"/>
        <v>190817</v>
      </c>
      <c r="AY266" s="8">
        <f t="shared" si="154"/>
        <v>-35315</v>
      </c>
      <c r="AZ266" s="8">
        <v>733143</v>
      </c>
      <c r="BA266" s="8">
        <f t="shared" si="155"/>
        <v>2780</v>
      </c>
      <c r="BB266" s="8">
        <v>889453</v>
      </c>
      <c r="BC266" s="8">
        <f t="shared" si="156"/>
        <v>-48283</v>
      </c>
      <c r="BD266" s="8">
        <f t="shared" si="129"/>
        <v>-156310</v>
      </c>
      <c r="BE266" s="8">
        <f t="shared" si="157"/>
        <v>51063</v>
      </c>
      <c r="BF266" s="8">
        <v>325762</v>
      </c>
      <c r="BG266" s="8">
        <f t="shared" si="158"/>
        <v>7095</v>
      </c>
      <c r="BH266" s="8">
        <v>731355</v>
      </c>
      <c r="BI266" s="8">
        <f t="shared" si="159"/>
        <v>-37140</v>
      </c>
      <c r="BJ266" s="8">
        <f t="shared" si="130"/>
        <v>-405593</v>
      </c>
      <c r="BK266" s="8">
        <f t="shared" si="132"/>
        <v>44235</v>
      </c>
    </row>
    <row r="267" spans="1:63">
      <c r="A267" s="5">
        <v>40736</v>
      </c>
      <c r="B267" s="8">
        <v>325971</v>
      </c>
      <c r="C267" s="8">
        <f t="shared" si="133"/>
        <v>-2536</v>
      </c>
      <c r="D267" s="8">
        <v>52047</v>
      </c>
      <c r="E267" s="8">
        <f t="shared" si="134"/>
        <v>3505</v>
      </c>
      <c r="F267" s="8">
        <v>24114</v>
      </c>
      <c r="G267" s="8">
        <f t="shared" si="135"/>
        <v>-8594</v>
      </c>
      <c r="H267" s="8">
        <v>27933</v>
      </c>
      <c r="I267" s="8">
        <f t="shared" si="136"/>
        <v>12099</v>
      </c>
      <c r="J267" s="8">
        <v>168362</v>
      </c>
      <c r="K267" s="8">
        <f t="shared" si="137"/>
        <v>-6136</v>
      </c>
      <c r="L267" s="8">
        <v>199481</v>
      </c>
      <c r="M267" s="8">
        <f t="shared" si="138"/>
        <v>12176</v>
      </c>
      <c r="N267" s="8">
        <v>-31119</v>
      </c>
      <c r="O267" s="8">
        <f t="shared" si="139"/>
        <v>-18312</v>
      </c>
      <c r="P267" s="8">
        <v>84013</v>
      </c>
      <c r="Q267" s="8">
        <f t="shared" si="140"/>
        <v>-5097</v>
      </c>
      <c r="R267" s="8">
        <v>188072</v>
      </c>
      <c r="S267" s="8">
        <f t="shared" si="141"/>
        <v>13634</v>
      </c>
      <c r="T267" s="8">
        <v>-104059</v>
      </c>
      <c r="U267" s="8">
        <f t="shared" si="142"/>
        <v>-18731</v>
      </c>
      <c r="W267" s="8">
        <v>197799</v>
      </c>
      <c r="X267" s="8">
        <f t="shared" si="143"/>
        <v>-17050</v>
      </c>
      <c r="Y267" s="8">
        <v>30672</v>
      </c>
      <c r="Z267" s="8">
        <f t="shared" si="144"/>
        <v>241</v>
      </c>
      <c r="AA267" s="8">
        <v>18244</v>
      </c>
      <c r="AB267" s="8">
        <f t="shared" si="131"/>
        <v>-6846</v>
      </c>
      <c r="AC267" s="8">
        <v>12428</v>
      </c>
      <c r="AD267" s="8">
        <f t="shared" si="131"/>
        <v>7087</v>
      </c>
      <c r="AE267" s="8">
        <v>90078</v>
      </c>
      <c r="AF267" s="8">
        <f t="shared" si="145"/>
        <v>-13002</v>
      </c>
      <c r="AG267" s="8">
        <v>105342</v>
      </c>
      <c r="AH267" s="8">
        <f t="shared" si="146"/>
        <v>-5391</v>
      </c>
      <c r="AI267" s="8">
        <v>-15264</v>
      </c>
      <c r="AJ267" s="8">
        <f t="shared" si="147"/>
        <v>-7611</v>
      </c>
      <c r="AK267" s="8">
        <v>68367</v>
      </c>
      <c r="AL267" s="8">
        <f t="shared" si="148"/>
        <v>-12391</v>
      </c>
      <c r="AM267" s="8">
        <v>98389</v>
      </c>
      <c r="AN267" s="8">
        <f t="shared" si="149"/>
        <v>-4279</v>
      </c>
      <c r="AO267" s="8">
        <v>-30022</v>
      </c>
      <c r="AP267" s="8">
        <f t="shared" si="150"/>
        <v>-8112</v>
      </c>
      <c r="AR267" s="8">
        <v>1752002</v>
      </c>
      <c r="AS267" s="8">
        <f t="shared" si="151"/>
        <v>32606</v>
      </c>
      <c r="AT267" s="8">
        <v>250173</v>
      </c>
      <c r="AU267" s="8">
        <f t="shared" si="152"/>
        <v>15761</v>
      </c>
      <c r="AV267" s="8">
        <v>34106</v>
      </c>
      <c r="AW267" s="8">
        <f t="shared" si="153"/>
        <v>-9489</v>
      </c>
      <c r="AX267" s="8">
        <f t="shared" si="128"/>
        <v>216067</v>
      </c>
      <c r="AY267" s="8">
        <f t="shared" si="154"/>
        <v>25250</v>
      </c>
      <c r="AZ267" s="8">
        <v>719464</v>
      </c>
      <c r="BA267" s="8">
        <f t="shared" si="155"/>
        <v>-13679</v>
      </c>
      <c r="BB267" s="8">
        <v>887116</v>
      </c>
      <c r="BC267" s="8">
        <f t="shared" si="156"/>
        <v>-2337</v>
      </c>
      <c r="BD267" s="8">
        <f t="shared" si="129"/>
        <v>-167652</v>
      </c>
      <c r="BE267" s="8">
        <f t="shared" si="157"/>
        <v>-11342</v>
      </c>
      <c r="BF267" s="8">
        <v>309215</v>
      </c>
      <c r="BG267" s="8">
        <f t="shared" si="158"/>
        <v>-16547</v>
      </c>
      <c r="BH267" s="8">
        <v>722833</v>
      </c>
      <c r="BI267" s="8">
        <f t="shared" si="159"/>
        <v>-8522</v>
      </c>
      <c r="BJ267" s="8">
        <f t="shared" si="130"/>
        <v>-413618</v>
      </c>
      <c r="BK267" s="8">
        <f t="shared" si="132"/>
        <v>-8025</v>
      </c>
    </row>
    <row r="268" spans="1:63">
      <c r="A268" s="5">
        <v>40743</v>
      </c>
      <c r="B268" s="8">
        <v>344290</v>
      </c>
      <c r="C268" s="8">
        <f t="shared" si="133"/>
        <v>18319</v>
      </c>
      <c r="D268" s="8">
        <v>57740</v>
      </c>
      <c r="E268" s="8">
        <f t="shared" si="134"/>
        <v>5693</v>
      </c>
      <c r="F268" s="8">
        <v>22282</v>
      </c>
      <c r="G268" s="8">
        <f t="shared" si="135"/>
        <v>-1832</v>
      </c>
      <c r="H268" s="8">
        <v>35458</v>
      </c>
      <c r="I268" s="8">
        <f t="shared" si="136"/>
        <v>7525</v>
      </c>
      <c r="J268" s="8">
        <v>172514</v>
      </c>
      <c r="K268" s="8">
        <f t="shared" si="137"/>
        <v>4152</v>
      </c>
      <c r="L268" s="8">
        <v>217219</v>
      </c>
      <c r="M268" s="8">
        <f t="shared" si="138"/>
        <v>17738</v>
      </c>
      <c r="N268" s="8">
        <v>-44705</v>
      </c>
      <c r="O268" s="8">
        <f t="shared" si="139"/>
        <v>-13586</v>
      </c>
      <c r="P268" s="8">
        <v>86014</v>
      </c>
      <c r="Q268" s="8">
        <f t="shared" si="140"/>
        <v>2001</v>
      </c>
      <c r="R268" s="8">
        <v>205432</v>
      </c>
      <c r="S268" s="8">
        <f t="shared" si="141"/>
        <v>17360</v>
      </c>
      <c r="T268" s="8">
        <v>-119418</v>
      </c>
      <c r="U268" s="8">
        <f t="shared" si="142"/>
        <v>-15359</v>
      </c>
      <c r="W268" s="8">
        <v>202451</v>
      </c>
      <c r="X268" s="8">
        <f t="shared" si="143"/>
        <v>4652</v>
      </c>
      <c r="Y268" s="8">
        <v>42243</v>
      </c>
      <c r="Z268" s="8">
        <f t="shared" si="144"/>
        <v>11571</v>
      </c>
      <c r="AA268" s="8">
        <v>13101</v>
      </c>
      <c r="AB268" s="8">
        <f t="shared" si="131"/>
        <v>-5143</v>
      </c>
      <c r="AC268" s="8">
        <v>29142</v>
      </c>
      <c r="AD268" s="8">
        <f t="shared" si="131"/>
        <v>16714</v>
      </c>
      <c r="AE268" s="8">
        <v>78584</v>
      </c>
      <c r="AF268" s="8">
        <f t="shared" si="145"/>
        <v>-11494</v>
      </c>
      <c r="AG268" s="8">
        <v>115877</v>
      </c>
      <c r="AH268" s="8">
        <f t="shared" si="146"/>
        <v>10535</v>
      </c>
      <c r="AI268" s="8">
        <v>-37293</v>
      </c>
      <c r="AJ268" s="8">
        <f t="shared" si="147"/>
        <v>-22029</v>
      </c>
      <c r="AK268" s="8">
        <v>60465</v>
      </c>
      <c r="AL268" s="8">
        <f t="shared" si="148"/>
        <v>-7902</v>
      </c>
      <c r="AM268" s="8">
        <v>108681</v>
      </c>
      <c r="AN268" s="8">
        <f t="shared" si="149"/>
        <v>10292</v>
      </c>
      <c r="AO268" s="8">
        <v>-48216</v>
      </c>
      <c r="AP268" s="8">
        <f t="shared" si="150"/>
        <v>-18194</v>
      </c>
      <c r="AR268" s="8">
        <v>1825618</v>
      </c>
      <c r="AS268" s="8">
        <f t="shared" si="151"/>
        <v>73616</v>
      </c>
      <c r="AT268" s="8">
        <v>277723</v>
      </c>
      <c r="AU268" s="8">
        <f t="shared" si="152"/>
        <v>27550</v>
      </c>
      <c r="AV268" s="8">
        <v>30598</v>
      </c>
      <c r="AW268" s="8">
        <f t="shared" si="153"/>
        <v>-3508</v>
      </c>
      <c r="AX268" s="8">
        <f t="shared" si="128"/>
        <v>247125</v>
      </c>
      <c r="AY268" s="8">
        <f t="shared" si="154"/>
        <v>31058</v>
      </c>
      <c r="AZ268" s="8">
        <v>733228</v>
      </c>
      <c r="BA268" s="8">
        <f t="shared" si="155"/>
        <v>13764</v>
      </c>
      <c r="BB268" s="8">
        <v>926289</v>
      </c>
      <c r="BC268" s="8">
        <f t="shared" si="156"/>
        <v>39173</v>
      </c>
      <c r="BD268" s="8">
        <f t="shared" si="129"/>
        <v>-193061</v>
      </c>
      <c r="BE268" s="8">
        <f t="shared" si="157"/>
        <v>-25409</v>
      </c>
      <c r="BF268" s="8">
        <v>319315</v>
      </c>
      <c r="BG268" s="8">
        <f t="shared" si="158"/>
        <v>10100</v>
      </c>
      <c r="BH268" s="8">
        <v>751817</v>
      </c>
      <c r="BI268" s="8">
        <f t="shared" si="159"/>
        <v>28984</v>
      </c>
      <c r="BJ268" s="8">
        <f t="shared" si="130"/>
        <v>-432502</v>
      </c>
      <c r="BK268" s="8">
        <f t="shared" si="132"/>
        <v>-18884</v>
      </c>
    </row>
    <row r="269" spans="1:63">
      <c r="A269" s="5">
        <v>40750</v>
      </c>
      <c r="B269" s="8">
        <v>320975</v>
      </c>
      <c r="C269" s="8">
        <f t="shared" si="133"/>
        <v>-23315</v>
      </c>
      <c r="D269" s="8">
        <v>51465</v>
      </c>
      <c r="E269" s="8">
        <f t="shared" si="134"/>
        <v>-6275</v>
      </c>
      <c r="F269" s="8">
        <v>24442</v>
      </c>
      <c r="G269" s="8">
        <f t="shared" si="135"/>
        <v>2160</v>
      </c>
      <c r="H269" s="8">
        <v>27023</v>
      </c>
      <c r="I269" s="8">
        <f t="shared" si="136"/>
        <v>-8435</v>
      </c>
      <c r="J269" s="8">
        <v>165267</v>
      </c>
      <c r="K269" s="8">
        <f t="shared" si="137"/>
        <v>-7247</v>
      </c>
      <c r="L269" s="8">
        <v>196619</v>
      </c>
      <c r="M269" s="8">
        <f t="shared" si="138"/>
        <v>-20600</v>
      </c>
      <c r="N269" s="8">
        <v>-31352</v>
      </c>
      <c r="O269" s="8">
        <f t="shared" si="139"/>
        <v>13353</v>
      </c>
      <c r="P269" s="8">
        <v>82369</v>
      </c>
      <c r="Q269" s="8">
        <f t="shared" si="140"/>
        <v>-3645</v>
      </c>
      <c r="R269" s="8">
        <v>186244</v>
      </c>
      <c r="S269" s="8">
        <f t="shared" si="141"/>
        <v>-19188</v>
      </c>
      <c r="T269" s="8">
        <v>-103875</v>
      </c>
      <c r="U269" s="8">
        <f t="shared" si="142"/>
        <v>15543</v>
      </c>
      <c r="W269" s="8">
        <v>208687</v>
      </c>
      <c r="X269" s="8">
        <f t="shared" si="143"/>
        <v>6236</v>
      </c>
      <c r="Y269" s="8">
        <v>47642</v>
      </c>
      <c r="Z269" s="8">
        <f t="shared" si="144"/>
        <v>5399</v>
      </c>
      <c r="AA269" s="8">
        <v>8353</v>
      </c>
      <c r="AB269" s="8">
        <f t="shared" si="131"/>
        <v>-4748</v>
      </c>
      <c r="AC269" s="8">
        <v>39289</v>
      </c>
      <c r="AD269" s="8">
        <f t="shared" si="131"/>
        <v>10147</v>
      </c>
      <c r="AE269" s="8">
        <v>76382</v>
      </c>
      <c r="AF269" s="8">
        <f t="shared" si="145"/>
        <v>-2202</v>
      </c>
      <c r="AG269" s="8">
        <v>125539</v>
      </c>
      <c r="AH269" s="8">
        <f t="shared" si="146"/>
        <v>9662</v>
      </c>
      <c r="AI269" s="8">
        <v>-49157</v>
      </c>
      <c r="AJ269" s="8">
        <f t="shared" si="147"/>
        <v>-11864</v>
      </c>
      <c r="AK269" s="8">
        <v>55985</v>
      </c>
      <c r="AL269" s="8">
        <f t="shared" si="148"/>
        <v>-4480</v>
      </c>
      <c r="AM269" s="8">
        <v>118785</v>
      </c>
      <c r="AN269" s="8">
        <f t="shared" si="149"/>
        <v>10104</v>
      </c>
      <c r="AO269" s="8">
        <v>-62800</v>
      </c>
      <c r="AP269" s="8">
        <f t="shared" si="150"/>
        <v>-14584</v>
      </c>
      <c r="AR269" s="8">
        <v>1794304</v>
      </c>
      <c r="AS269" s="8">
        <f t="shared" si="151"/>
        <v>-31314</v>
      </c>
      <c r="AT269" s="8">
        <v>277808</v>
      </c>
      <c r="AU269" s="8">
        <f t="shared" si="152"/>
        <v>85</v>
      </c>
      <c r="AV269" s="8">
        <v>29236</v>
      </c>
      <c r="AW269" s="8">
        <f t="shared" si="153"/>
        <v>-1362</v>
      </c>
      <c r="AX269" s="8">
        <f t="shared" si="128"/>
        <v>248572</v>
      </c>
      <c r="AY269" s="8">
        <f t="shared" si="154"/>
        <v>1447</v>
      </c>
      <c r="AZ269" s="8">
        <v>727339</v>
      </c>
      <c r="BA269" s="8">
        <f t="shared" si="155"/>
        <v>-5889</v>
      </c>
      <c r="BB269" s="8">
        <v>913310</v>
      </c>
      <c r="BC269" s="8">
        <f t="shared" si="156"/>
        <v>-12979</v>
      </c>
      <c r="BD269" s="8">
        <f t="shared" si="129"/>
        <v>-185971</v>
      </c>
      <c r="BE269" s="8">
        <f t="shared" si="157"/>
        <v>7090</v>
      </c>
      <c r="BF269" s="8">
        <v>305417</v>
      </c>
      <c r="BG269" s="8">
        <f t="shared" si="158"/>
        <v>-13898</v>
      </c>
      <c r="BH269" s="8">
        <v>738459</v>
      </c>
      <c r="BI269" s="8">
        <f t="shared" si="159"/>
        <v>-13358</v>
      </c>
      <c r="BJ269" s="8">
        <f t="shared" si="130"/>
        <v>-433042</v>
      </c>
      <c r="BK269" s="8">
        <f t="shared" si="132"/>
        <v>-540</v>
      </c>
    </row>
    <row r="270" spans="1:63">
      <c r="A270" s="5">
        <v>40757</v>
      </c>
      <c r="B270" s="8">
        <v>328367</v>
      </c>
      <c r="C270" s="8">
        <f t="shared" si="133"/>
        <v>7392</v>
      </c>
      <c r="D270" s="8">
        <v>54166</v>
      </c>
      <c r="E270" s="8">
        <f t="shared" si="134"/>
        <v>2701</v>
      </c>
      <c r="F270" s="8">
        <v>27039</v>
      </c>
      <c r="G270" s="8">
        <f t="shared" si="135"/>
        <v>2597</v>
      </c>
      <c r="H270" s="8">
        <v>27127</v>
      </c>
      <c r="I270" s="8">
        <f t="shared" si="136"/>
        <v>104</v>
      </c>
      <c r="J270" s="8">
        <v>166247</v>
      </c>
      <c r="K270" s="8">
        <f t="shared" si="137"/>
        <v>980</v>
      </c>
      <c r="L270" s="8">
        <v>201101</v>
      </c>
      <c r="M270" s="8">
        <f t="shared" si="138"/>
        <v>4482</v>
      </c>
      <c r="N270" s="8">
        <v>-34854</v>
      </c>
      <c r="O270" s="8">
        <f t="shared" si="139"/>
        <v>-3502</v>
      </c>
      <c r="P270" s="8">
        <v>82370</v>
      </c>
      <c r="Q270" s="8">
        <f t="shared" si="140"/>
        <v>1</v>
      </c>
      <c r="R270" s="8">
        <v>189696</v>
      </c>
      <c r="S270" s="8">
        <f t="shared" si="141"/>
        <v>3452</v>
      </c>
      <c r="T270" s="8">
        <v>-107326</v>
      </c>
      <c r="U270" s="8">
        <f t="shared" si="142"/>
        <v>-3451</v>
      </c>
      <c r="W270" s="8">
        <v>197453</v>
      </c>
      <c r="X270" s="8">
        <f t="shared" si="143"/>
        <v>-11234</v>
      </c>
      <c r="Y270" s="8">
        <v>46914</v>
      </c>
      <c r="Z270" s="8">
        <f t="shared" si="144"/>
        <v>-728</v>
      </c>
      <c r="AA270" s="8">
        <v>10476</v>
      </c>
      <c r="AB270" s="8">
        <f t="shared" si="131"/>
        <v>2123</v>
      </c>
      <c r="AC270" s="8">
        <v>36438</v>
      </c>
      <c r="AD270" s="8">
        <f t="shared" si="131"/>
        <v>-2851</v>
      </c>
      <c r="AE270" s="8">
        <v>76768</v>
      </c>
      <c r="AF270" s="8">
        <f t="shared" si="145"/>
        <v>386</v>
      </c>
      <c r="AG270" s="8">
        <v>120187</v>
      </c>
      <c r="AH270" s="8">
        <f t="shared" si="146"/>
        <v>-5352</v>
      </c>
      <c r="AI270" s="8">
        <v>-43419</v>
      </c>
      <c r="AJ270" s="8">
        <f t="shared" si="147"/>
        <v>5738</v>
      </c>
      <c r="AK270" s="8">
        <v>56662</v>
      </c>
      <c r="AL270" s="8">
        <f t="shared" si="148"/>
        <v>677</v>
      </c>
      <c r="AM270" s="8">
        <v>114213</v>
      </c>
      <c r="AN270" s="8">
        <f t="shared" si="149"/>
        <v>-4572</v>
      </c>
      <c r="AO270" s="8">
        <v>-57551</v>
      </c>
      <c r="AP270" s="8">
        <f t="shared" si="150"/>
        <v>5249</v>
      </c>
      <c r="AR270" s="8">
        <v>1891929</v>
      </c>
      <c r="AS270" s="8">
        <f t="shared" si="151"/>
        <v>97625</v>
      </c>
      <c r="AT270" s="8">
        <v>296980</v>
      </c>
      <c r="AU270" s="8">
        <f t="shared" si="152"/>
        <v>19172</v>
      </c>
      <c r="AV270" s="8">
        <v>26853</v>
      </c>
      <c r="AW270" s="8">
        <f t="shared" si="153"/>
        <v>-2383</v>
      </c>
      <c r="AX270" s="8">
        <f t="shared" si="128"/>
        <v>270127</v>
      </c>
      <c r="AY270" s="8">
        <f t="shared" si="154"/>
        <v>21555</v>
      </c>
      <c r="AZ270" s="8">
        <v>752127</v>
      </c>
      <c r="BA270" s="8">
        <f t="shared" si="155"/>
        <v>24788</v>
      </c>
      <c r="BB270" s="8">
        <v>954090</v>
      </c>
      <c r="BC270" s="8">
        <f t="shared" si="156"/>
        <v>40780</v>
      </c>
      <c r="BD270" s="8">
        <f t="shared" si="129"/>
        <v>-201963</v>
      </c>
      <c r="BE270" s="8">
        <f t="shared" si="157"/>
        <v>-15992</v>
      </c>
      <c r="BF270" s="8">
        <v>308630</v>
      </c>
      <c r="BG270" s="8">
        <f t="shared" si="158"/>
        <v>3213</v>
      </c>
      <c r="BH270" s="8">
        <v>753636</v>
      </c>
      <c r="BI270" s="8">
        <f t="shared" si="159"/>
        <v>15177</v>
      </c>
      <c r="BJ270" s="8">
        <f t="shared" si="130"/>
        <v>-445006</v>
      </c>
      <c r="BK270" s="8">
        <f t="shared" si="132"/>
        <v>-11964</v>
      </c>
    </row>
    <row r="271" spans="1:63">
      <c r="A271" s="5">
        <v>40764</v>
      </c>
      <c r="B271" s="8">
        <v>334757</v>
      </c>
      <c r="C271" s="8">
        <f t="shared" si="133"/>
        <v>6390</v>
      </c>
      <c r="D271" s="8">
        <v>40208</v>
      </c>
      <c r="E271" s="8">
        <f t="shared" si="134"/>
        <v>-13958</v>
      </c>
      <c r="F271" s="8">
        <v>42717</v>
      </c>
      <c r="G271" s="8">
        <f t="shared" si="135"/>
        <v>15678</v>
      </c>
      <c r="H271" s="8">
        <v>-2509</v>
      </c>
      <c r="I271" s="8">
        <f t="shared" si="136"/>
        <v>-29636</v>
      </c>
      <c r="J271" s="8">
        <v>191909</v>
      </c>
      <c r="K271" s="8">
        <f t="shared" si="137"/>
        <v>25662</v>
      </c>
      <c r="L271" s="8">
        <v>184400</v>
      </c>
      <c r="M271" s="8">
        <f t="shared" si="138"/>
        <v>-16701</v>
      </c>
      <c r="N271" s="8">
        <v>7509</v>
      </c>
      <c r="O271" s="8">
        <f t="shared" si="139"/>
        <v>42363</v>
      </c>
      <c r="P271" s="8">
        <v>110412</v>
      </c>
      <c r="Q271" s="8">
        <f t="shared" si="140"/>
        <v>28042</v>
      </c>
      <c r="R271" s="8">
        <v>169088</v>
      </c>
      <c r="S271" s="8">
        <f t="shared" si="141"/>
        <v>-20608</v>
      </c>
      <c r="T271" s="8">
        <v>-58676</v>
      </c>
      <c r="U271" s="8">
        <f t="shared" si="142"/>
        <v>48650</v>
      </c>
      <c r="W271" s="8">
        <v>189578</v>
      </c>
      <c r="X271" s="8">
        <f t="shared" si="143"/>
        <v>-7875</v>
      </c>
      <c r="Y271" s="8">
        <v>40893</v>
      </c>
      <c r="Z271" s="8">
        <f t="shared" si="144"/>
        <v>-6021</v>
      </c>
      <c r="AA271" s="8">
        <v>12976</v>
      </c>
      <c r="AB271" s="8">
        <f t="shared" si="131"/>
        <v>2500</v>
      </c>
      <c r="AC271" s="8">
        <v>27917</v>
      </c>
      <c r="AD271" s="8">
        <f t="shared" si="131"/>
        <v>-8521</v>
      </c>
      <c r="AE271" s="8">
        <v>84344</v>
      </c>
      <c r="AF271" s="8">
        <f t="shared" si="145"/>
        <v>7576</v>
      </c>
      <c r="AG271" s="8">
        <v>114900</v>
      </c>
      <c r="AH271" s="8">
        <f t="shared" si="146"/>
        <v>-5287</v>
      </c>
      <c r="AI271" s="8">
        <v>-30556</v>
      </c>
      <c r="AJ271" s="8">
        <f t="shared" si="147"/>
        <v>12863</v>
      </c>
      <c r="AK271" s="8">
        <v>66117</v>
      </c>
      <c r="AL271" s="8">
        <f t="shared" si="148"/>
        <v>9455</v>
      </c>
      <c r="AM271" s="8">
        <v>109745</v>
      </c>
      <c r="AN271" s="8">
        <f t="shared" si="149"/>
        <v>-4468</v>
      </c>
      <c r="AO271" s="8">
        <v>-43628</v>
      </c>
      <c r="AP271" s="8">
        <f t="shared" si="150"/>
        <v>13923</v>
      </c>
      <c r="AR271" s="8">
        <v>1894620</v>
      </c>
      <c r="AS271" s="8">
        <f t="shared" si="151"/>
        <v>2691</v>
      </c>
      <c r="AT271" s="8">
        <v>286798</v>
      </c>
      <c r="AU271" s="8">
        <f t="shared" si="152"/>
        <v>-10182</v>
      </c>
      <c r="AV271" s="8">
        <v>25957</v>
      </c>
      <c r="AW271" s="8">
        <f t="shared" si="153"/>
        <v>-896</v>
      </c>
      <c r="AX271" s="8">
        <f t="shared" si="128"/>
        <v>260841</v>
      </c>
      <c r="AY271" s="8">
        <f t="shared" si="154"/>
        <v>-9286</v>
      </c>
      <c r="AZ271" s="8">
        <v>744312</v>
      </c>
      <c r="BA271" s="8">
        <f t="shared" si="155"/>
        <v>-7815</v>
      </c>
      <c r="BB271" s="8">
        <v>942888</v>
      </c>
      <c r="BC271" s="8">
        <f t="shared" si="156"/>
        <v>-11202</v>
      </c>
      <c r="BD271" s="8">
        <f t="shared" si="129"/>
        <v>-198576</v>
      </c>
      <c r="BE271" s="8">
        <f t="shared" si="157"/>
        <v>3387</v>
      </c>
      <c r="BF271" s="8">
        <v>317272</v>
      </c>
      <c r="BG271" s="8">
        <f t="shared" si="158"/>
        <v>8642</v>
      </c>
      <c r="BH271" s="8">
        <v>745001</v>
      </c>
      <c r="BI271" s="8">
        <f t="shared" si="159"/>
        <v>-8635</v>
      </c>
      <c r="BJ271" s="8">
        <f t="shared" si="130"/>
        <v>-427729</v>
      </c>
      <c r="BK271" s="8">
        <f t="shared" si="132"/>
        <v>17277</v>
      </c>
    </row>
    <row r="272" spans="1:63">
      <c r="A272" s="5">
        <v>40771</v>
      </c>
      <c r="B272" s="8">
        <v>330263</v>
      </c>
      <c r="C272" s="8">
        <f t="shared" si="133"/>
        <v>-4494</v>
      </c>
      <c r="D272" s="8">
        <v>40430</v>
      </c>
      <c r="E272" s="8">
        <f t="shared" si="134"/>
        <v>222</v>
      </c>
      <c r="F272" s="8">
        <v>39913</v>
      </c>
      <c r="G272" s="8">
        <f t="shared" si="135"/>
        <v>-2804</v>
      </c>
      <c r="H272" s="8">
        <v>517</v>
      </c>
      <c r="I272" s="8">
        <f t="shared" si="136"/>
        <v>3026</v>
      </c>
      <c r="J272" s="8">
        <v>187716</v>
      </c>
      <c r="K272" s="8">
        <f t="shared" si="137"/>
        <v>-4193</v>
      </c>
      <c r="L272" s="8">
        <v>184255</v>
      </c>
      <c r="M272" s="8">
        <f t="shared" si="138"/>
        <v>-145</v>
      </c>
      <c r="N272" s="8">
        <v>3461</v>
      </c>
      <c r="O272" s="8">
        <f t="shared" si="139"/>
        <v>-4048</v>
      </c>
      <c r="P272" s="8">
        <v>107909</v>
      </c>
      <c r="Q272" s="8">
        <f t="shared" si="140"/>
        <v>-2503</v>
      </c>
      <c r="R272" s="8">
        <v>168573</v>
      </c>
      <c r="S272" s="8">
        <f t="shared" si="141"/>
        <v>-515</v>
      </c>
      <c r="T272" s="8">
        <v>-60664</v>
      </c>
      <c r="U272" s="8">
        <f t="shared" si="142"/>
        <v>-1988</v>
      </c>
      <c r="W272" s="8">
        <v>190169</v>
      </c>
      <c r="X272" s="8">
        <f t="shared" si="143"/>
        <v>591</v>
      </c>
      <c r="Y272" s="8">
        <v>37509</v>
      </c>
      <c r="Z272" s="8">
        <f t="shared" si="144"/>
        <v>-3384</v>
      </c>
      <c r="AA272" s="8">
        <v>13542</v>
      </c>
      <c r="AB272" s="8">
        <f t="shared" si="131"/>
        <v>566</v>
      </c>
      <c r="AC272" s="8">
        <v>23967</v>
      </c>
      <c r="AD272" s="8">
        <f t="shared" si="131"/>
        <v>-3950</v>
      </c>
      <c r="AE272" s="8">
        <v>84204</v>
      </c>
      <c r="AF272" s="8">
        <f t="shared" si="145"/>
        <v>-140</v>
      </c>
      <c r="AG272" s="8">
        <v>110967</v>
      </c>
      <c r="AH272" s="8">
        <f t="shared" si="146"/>
        <v>-3933</v>
      </c>
      <c r="AI272" s="8">
        <v>-26763</v>
      </c>
      <c r="AJ272" s="8">
        <f t="shared" si="147"/>
        <v>3793</v>
      </c>
      <c r="AK272" s="8">
        <v>67453</v>
      </c>
      <c r="AL272" s="8">
        <f t="shared" si="148"/>
        <v>1336</v>
      </c>
      <c r="AM272" s="8">
        <v>104840</v>
      </c>
      <c r="AN272" s="8">
        <f t="shared" si="149"/>
        <v>-4905</v>
      </c>
      <c r="AO272" s="8">
        <v>-37387</v>
      </c>
      <c r="AP272" s="8">
        <f t="shared" si="150"/>
        <v>6241</v>
      </c>
      <c r="AR272" s="8">
        <v>1971299</v>
      </c>
      <c r="AS272" s="8">
        <f t="shared" si="151"/>
        <v>76679</v>
      </c>
      <c r="AT272" s="8">
        <v>309280</v>
      </c>
      <c r="AU272" s="8">
        <f t="shared" si="152"/>
        <v>22482</v>
      </c>
      <c r="AV272" s="8">
        <v>23302</v>
      </c>
      <c r="AW272" s="8">
        <f t="shared" si="153"/>
        <v>-2655</v>
      </c>
      <c r="AX272" s="8">
        <f t="shared" si="128"/>
        <v>285978</v>
      </c>
      <c r="AY272" s="8">
        <f t="shared" si="154"/>
        <v>25137</v>
      </c>
      <c r="AZ272" s="8">
        <v>730171</v>
      </c>
      <c r="BA272" s="8">
        <f t="shared" si="155"/>
        <v>-14141</v>
      </c>
      <c r="BB272" s="8">
        <v>954216</v>
      </c>
      <c r="BC272" s="8">
        <f t="shared" si="156"/>
        <v>11328</v>
      </c>
      <c r="BD272" s="8">
        <f t="shared" si="129"/>
        <v>-224045</v>
      </c>
      <c r="BE272" s="8">
        <f t="shared" si="157"/>
        <v>-25469</v>
      </c>
      <c r="BF272" s="8">
        <v>308390</v>
      </c>
      <c r="BG272" s="8">
        <f t="shared" si="158"/>
        <v>-8882</v>
      </c>
      <c r="BH272" s="8">
        <v>756860</v>
      </c>
      <c r="BI272" s="8">
        <f t="shared" si="159"/>
        <v>11859</v>
      </c>
      <c r="BJ272" s="8">
        <f t="shared" si="130"/>
        <v>-448470</v>
      </c>
      <c r="BK272" s="8">
        <f t="shared" si="132"/>
        <v>-20741</v>
      </c>
    </row>
    <row r="273" spans="1:63">
      <c r="A273" s="5">
        <v>40778</v>
      </c>
      <c r="B273" s="8">
        <v>327128</v>
      </c>
      <c r="C273" s="8">
        <f t="shared" si="133"/>
        <v>-3135</v>
      </c>
      <c r="D273" s="8">
        <v>42327</v>
      </c>
      <c r="E273" s="8">
        <f t="shared" si="134"/>
        <v>1897</v>
      </c>
      <c r="F273" s="8">
        <v>29578</v>
      </c>
      <c r="G273" s="8">
        <f t="shared" si="135"/>
        <v>-10335</v>
      </c>
      <c r="H273" s="8">
        <v>12749</v>
      </c>
      <c r="I273" s="8">
        <f t="shared" si="136"/>
        <v>12232</v>
      </c>
      <c r="J273" s="8">
        <v>177424</v>
      </c>
      <c r="K273" s="8">
        <f t="shared" si="137"/>
        <v>-10292</v>
      </c>
      <c r="L273" s="8">
        <v>186972</v>
      </c>
      <c r="M273" s="8">
        <f t="shared" si="138"/>
        <v>2717</v>
      </c>
      <c r="N273" s="8">
        <v>-9548</v>
      </c>
      <c r="O273" s="8">
        <f t="shared" si="139"/>
        <v>-13009</v>
      </c>
      <c r="P273" s="8">
        <v>97657</v>
      </c>
      <c r="Q273" s="8">
        <f t="shared" si="140"/>
        <v>-10252</v>
      </c>
      <c r="R273" s="8">
        <v>170549</v>
      </c>
      <c r="S273" s="8">
        <f t="shared" si="141"/>
        <v>1976</v>
      </c>
      <c r="T273" s="8">
        <v>-72892</v>
      </c>
      <c r="U273" s="8">
        <f t="shared" si="142"/>
        <v>-12228</v>
      </c>
      <c r="W273" s="8">
        <v>211876</v>
      </c>
      <c r="X273" s="8">
        <f t="shared" si="143"/>
        <v>21707</v>
      </c>
      <c r="Y273" s="8">
        <v>51178</v>
      </c>
      <c r="Z273" s="8">
        <f t="shared" si="144"/>
        <v>13669</v>
      </c>
      <c r="AA273" s="8">
        <v>12474</v>
      </c>
      <c r="AB273" s="8">
        <f t="shared" si="131"/>
        <v>-1068</v>
      </c>
      <c r="AC273" s="8">
        <v>38704</v>
      </c>
      <c r="AD273" s="8">
        <f t="shared" si="131"/>
        <v>14737</v>
      </c>
      <c r="AE273" s="8">
        <v>78571</v>
      </c>
      <c r="AF273" s="8">
        <f t="shared" si="145"/>
        <v>-5633</v>
      </c>
      <c r="AG273" s="8">
        <v>128072</v>
      </c>
      <c r="AH273" s="8">
        <f t="shared" si="146"/>
        <v>17105</v>
      </c>
      <c r="AI273" s="8">
        <v>-49501</v>
      </c>
      <c r="AJ273" s="8">
        <f t="shared" si="147"/>
        <v>-22738</v>
      </c>
      <c r="AK273" s="8">
        <v>60954</v>
      </c>
      <c r="AL273" s="8">
        <f t="shared" si="148"/>
        <v>-6499</v>
      </c>
      <c r="AM273" s="8">
        <v>121435</v>
      </c>
      <c r="AN273" s="8">
        <f t="shared" si="149"/>
        <v>16595</v>
      </c>
      <c r="AO273" s="8">
        <v>-60481</v>
      </c>
      <c r="AP273" s="8">
        <f t="shared" si="150"/>
        <v>-23094</v>
      </c>
      <c r="AR273" s="8">
        <v>2027276</v>
      </c>
      <c r="AS273" s="8">
        <f t="shared" si="151"/>
        <v>55977</v>
      </c>
      <c r="AT273" s="8">
        <v>315480</v>
      </c>
      <c r="AU273" s="8">
        <f t="shared" si="152"/>
        <v>6200</v>
      </c>
      <c r="AV273" s="8">
        <v>27361</v>
      </c>
      <c r="AW273" s="8">
        <f t="shared" si="153"/>
        <v>4059</v>
      </c>
      <c r="AX273" s="8">
        <f t="shared" si="128"/>
        <v>288119</v>
      </c>
      <c r="AY273" s="8">
        <f t="shared" si="154"/>
        <v>2141</v>
      </c>
      <c r="AZ273" s="8">
        <v>745881</v>
      </c>
      <c r="BA273" s="8">
        <f t="shared" si="155"/>
        <v>15710</v>
      </c>
      <c r="BB273" s="8">
        <v>974828</v>
      </c>
      <c r="BC273" s="8">
        <f t="shared" si="156"/>
        <v>20612</v>
      </c>
      <c r="BD273" s="8">
        <f t="shared" si="129"/>
        <v>-228947</v>
      </c>
      <c r="BE273" s="8">
        <f t="shared" si="157"/>
        <v>-4902</v>
      </c>
      <c r="BF273" s="8">
        <v>308721</v>
      </c>
      <c r="BG273" s="8">
        <f t="shared" si="158"/>
        <v>331</v>
      </c>
      <c r="BH273" s="8">
        <v>765708</v>
      </c>
      <c r="BI273" s="8">
        <f t="shared" si="159"/>
        <v>8848</v>
      </c>
      <c r="BJ273" s="8">
        <f t="shared" si="130"/>
        <v>-456987</v>
      </c>
      <c r="BK273" s="8">
        <f t="shared" si="132"/>
        <v>-8517</v>
      </c>
    </row>
    <row r="274" spans="1:63">
      <c r="A274" s="5">
        <v>40785</v>
      </c>
      <c r="B274" s="8">
        <v>323377</v>
      </c>
      <c r="C274" s="8">
        <f t="shared" si="133"/>
        <v>-3751</v>
      </c>
      <c r="D274" s="8">
        <v>57301</v>
      </c>
      <c r="E274" s="8">
        <f t="shared" si="134"/>
        <v>14974</v>
      </c>
      <c r="F274" s="8">
        <v>12346</v>
      </c>
      <c r="G274" s="8">
        <f t="shared" si="135"/>
        <v>-17232</v>
      </c>
      <c r="H274" s="8">
        <v>44955</v>
      </c>
      <c r="I274" s="8">
        <f t="shared" si="136"/>
        <v>32206</v>
      </c>
      <c r="J274" s="8">
        <v>150984</v>
      </c>
      <c r="K274" s="8">
        <f t="shared" si="137"/>
        <v>-26440</v>
      </c>
      <c r="L274" s="8">
        <v>203307</v>
      </c>
      <c r="M274" s="8">
        <f t="shared" si="138"/>
        <v>16335</v>
      </c>
      <c r="N274" s="8">
        <v>-52323</v>
      </c>
      <c r="O274" s="8">
        <f t="shared" si="139"/>
        <v>-42775</v>
      </c>
      <c r="P274" s="8">
        <v>74894</v>
      </c>
      <c r="Q274" s="8">
        <f t="shared" si="140"/>
        <v>-22763</v>
      </c>
      <c r="R274" s="8">
        <v>187605</v>
      </c>
      <c r="S274" s="8">
        <f t="shared" si="141"/>
        <v>17056</v>
      </c>
      <c r="T274" s="8">
        <v>-112711</v>
      </c>
      <c r="U274" s="8">
        <f t="shared" si="142"/>
        <v>-39819</v>
      </c>
      <c r="W274" s="8">
        <v>230772</v>
      </c>
      <c r="X274" s="8">
        <f t="shared" si="143"/>
        <v>18896</v>
      </c>
      <c r="Y274" s="8">
        <v>63027</v>
      </c>
      <c r="Z274" s="8">
        <f t="shared" si="144"/>
        <v>11849</v>
      </c>
      <c r="AA274" s="8">
        <v>10755</v>
      </c>
      <c r="AB274" s="8">
        <f t="shared" si="131"/>
        <v>-1719</v>
      </c>
      <c r="AC274" s="8">
        <v>52272</v>
      </c>
      <c r="AD274" s="8">
        <f t="shared" si="131"/>
        <v>13568</v>
      </c>
      <c r="AE274" s="8">
        <v>76071</v>
      </c>
      <c r="AF274" s="8">
        <f t="shared" si="145"/>
        <v>-2500</v>
      </c>
      <c r="AG274" s="8">
        <v>143650</v>
      </c>
      <c r="AH274" s="8">
        <f t="shared" si="146"/>
        <v>15578</v>
      </c>
      <c r="AI274" s="8">
        <v>-67579</v>
      </c>
      <c r="AJ274" s="8">
        <f t="shared" si="147"/>
        <v>-18078</v>
      </c>
      <c r="AK274" s="8">
        <v>56652</v>
      </c>
      <c r="AL274" s="8">
        <f t="shared" si="148"/>
        <v>-4302</v>
      </c>
      <c r="AM274" s="8">
        <v>137385</v>
      </c>
      <c r="AN274" s="8">
        <f t="shared" si="149"/>
        <v>15950</v>
      </c>
      <c r="AO274" s="8">
        <v>-80733</v>
      </c>
      <c r="AP274" s="8">
        <f t="shared" si="150"/>
        <v>-20252</v>
      </c>
      <c r="AR274" s="8">
        <v>1965600</v>
      </c>
      <c r="AS274" s="8">
        <f t="shared" si="151"/>
        <v>-61676</v>
      </c>
      <c r="AT274" s="8">
        <v>354770</v>
      </c>
      <c r="AU274" s="8">
        <f t="shared" si="152"/>
        <v>39290</v>
      </c>
      <c r="AV274" s="8">
        <v>27454</v>
      </c>
      <c r="AW274" s="8">
        <f t="shared" si="153"/>
        <v>93</v>
      </c>
      <c r="AX274" s="8">
        <f t="shared" si="128"/>
        <v>327316</v>
      </c>
      <c r="AY274" s="8">
        <f t="shared" si="154"/>
        <v>39197</v>
      </c>
      <c r="AZ274" s="8">
        <v>698201</v>
      </c>
      <c r="BA274" s="8">
        <f t="shared" si="155"/>
        <v>-47680</v>
      </c>
      <c r="BB274" s="8">
        <v>950795</v>
      </c>
      <c r="BC274" s="8">
        <f t="shared" si="156"/>
        <v>-24033</v>
      </c>
      <c r="BD274" s="8">
        <f t="shared" si="129"/>
        <v>-252594</v>
      </c>
      <c r="BE274" s="8">
        <f t="shared" si="157"/>
        <v>-23647</v>
      </c>
      <c r="BF274" s="8">
        <v>290599</v>
      </c>
      <c r="BG274" s="8">
        <f t="shared" si="158"/>
        <v>-18122</v>
      </c>
      <c r="BH274" s="8">
        <v>777046</v>
      </c>
      <c r="BI274" s="8">
        <f t="shared" si="159"/>
        <v>11338</v>
      </c>
      <c r="BJ274" s="8">
        <f t="shared" si="130"/>
        <v>-486447</v>
      </c>
      <c r="BK274" s="8">
        <f t="shared" si="132"/>
        <v>-29460</v>
      </c>
    </row>
    <row r="275" spans="1:63">
      <c r="A275" s="5">
        <v>40792</v>
      </c>
      <c r="B275" s="8">
        <v>324762</v>
      </c>
      <c r="C275" s="8">
        <f t="shared" si="133"/>
        <v>1385</v>
      </c>
      <c r="D275" s="8">
        <v>61258</v>
      </c>
      <c r="E275" s="8">
        <f t="shared" si="134"/>
        <v>3957</v>
      </c>
      <c r="F275" s="8">
        <v>11597</v>
      </c>
      <c r="G275" s="8">
        <f t="shared" si="135"/>
        <v>-749</v>
      </c>
      <c r="H275" s="8">
        <v>49661</v>
      </c>
      <c r="I275" s="8">
        <f t="shared" si="136"/>
        <v>4706</v>
      </c>
      <c r="J275" s="8">
        <v>152825</v>
      </c>
      <c r="K275" s="8">
        <f t="shared" si="137"/>
        <v>1841</v>
      </c>
      <c r="L275" s="8">
        <v>206964</v>
      </c>
      <c r="M275" s="8">
        <f t="shared" si="138"/>
        <v>3657</v>
      </c>
      <c r="N275" s="8">
        <v>-54139</v>
      </c>
      <c r="O275" s="8">
        <f t="shared" si="139"/>
        <v>-1816</v>
      </c>
      <c r="P275" s="8">
        <v>77656</v>
      </c>
      <c r="Q275" s="8">
        <f t="shared" si="140"/>
        <v>2762</v>
      </c>
      <c r="R275" s="8">
        <v>189888</v>
      </c>
      <c r="S275" s="8">
        <f t="shared" si="141"/>
        <v>2283</v>
      </c>
      <c r="T275" s="8">
        <v>-112232</v>
      </c>
      <c r="U275" s="8">
        <f t="shared" si="142"/>
        <v>479</v>
      </c>
      <c r="W275" s="8">
        <v>233972</v>
      </c>
      <c r="X275" s="8">
        <f t="shared" si="143"/>
        <v>3200</v>
      </c>
      <c r="Y275" s="8">
        <v>71011</v>
      </c>
      <c r="Z275" s="8">
        <f t="shared" si="144"/>
        <v>7984</v>
      </c>
      <c r="AA275" s="8">
        <v>11457</v>
      </c>
      <c r="AB275" s="8">
        <f t="shared" si="131"/>
        <v>702</v>
      </c>
      <c r="AC275" s="8">
        <v>59554</v>
      </c>
      <c r="AD275" s="8">
        <f t="shared" si="131"/>
        <v>7282</v>
      </c>
      <c r="AE275" s="8">
        <v>77750</v>
      </c>
      <c r="AF275" s="8">
        <f t="shared" si="145"/>
        <v>1679</v>
      </c>
      <c r="AG275" s="8">
        <v>153285</v>
      </c>
      <c r="AH275" s="8">
        <f t="shared" si="146"/>
        <v>9635</v>
      </c>
      <c r="AI275" s="8">
        <v>-75535</v>
      </c>
      <c r="AJ275" s="8">
        <f t="shared" si="147"/>
        <v>-7956</v>
      </c>
      <c r="AK275" s="8">
        <v>56925</v>
      </c>
      <c r="AL275" s="8">
        <f t="shared" si="148"/>
        <v>273</v>
      </c>
      <c r="AM275" s="8">
        <v>146440</v>
      </c>
      <c r="AN275" s="8">
        <f t="shared" si="149"/>
        <v>9055</v>
      </c>
      <c r="AO275" s="8">
        <v>-89515</v>
      </c>
      <c r="AP275" s="8">
        <f t="shared" si="150"/>
        <v>-8782</v>
      </c>
      <c r="AR275" s="8">
        <v>1961734</v>
      </c>
      <c r="AS275" s="8">
        <f t="shared" si="151"/>
        <v>-3866</v>
      </c>
      <c r="AT275" s="8">
        <v>357940</v>
      </c>
      <c r="AU275" s="8">
        <f t="shared" si="152"/>
        <v>3170</v>
      </c>
      <c r="AV275" s="8">
        <v>26590</v>
      </c>
      <c r="AW275" s="8">
        <f t="shared" si="153"/>
        <v>-864</v>
      </c>
      <c r="AX275" s="8">
        <f t="shared" si="128"/>
        <v>331350</v>
      </c>
      <c r="AY275" s="8">
        <f t="shared" si="154"/>
        <v>4034</v>
      </c>
      <c r="AZ275" s="8">
        <v>704068</v>
      </c>
      <c r="BA275" s="8">
        <f t="shared" si="155"/>
        <v>5867</v>
      </c>
      <c r="BB275" s="8">
        <v>958606</v>
      </c>
      <c r="BC275" s="8">
        <f t="shared" si="156"/>
        <v>7811</v>
      </c>
      <c r="BD275" s="8">
        <f t="shared" si="129"/>
        <v>-254538</v>
      </c>
      <c r="BE275" s="8">
        <f t="shared" si="157"/>
        <v>-1944</v>
      </c>
      <c r="BF275" s="8">
        <v>295951</v>
      </c>
      <c r="BG275" s="8">
        <f t="shared" si="158"/>
        <v>5352</v>
      </c>
      <c r="BH275" s="8">
        <v>783554</v>
      </c>
      <c r="BI275" s="8">
        <f t="shared" si="159"/>
        <v>6508</v>
      </c>
      <c r="BJ275" s="8">
        <f t="shared" si="130"/>
        <v>-487603</v>
      </c>
      <c r="BK275" s="8">
        <f t="shared" si="132"/>
        <v>-1156</v>
      </c>
    </row>
    <row r="276" spans="1:63">
      <c r="A276" s="5">
        <v>40799</v>
      </c>
      <c r="B276" s="8">
        <v>338985</v>
      </c>
      <c r="C276" s="8">
        <f t="shared" si="133"/>
        <v>14223</v>
      </c>
      <c r="D276" s="8">
        <v>59372</v>
      </c>
      <c r="E276" s="8">
        <f t="shared" si="134"/>
        <v>-1886</v>
      </c>
      <c r="F276" s="8">
        <v>12317</v>
      </c>
      <c r="G276" s="8">
        <f t="shared" si="135"/>
        <v>720</v>
      </c>
      <c r="H276" s="8">
        <v>47055</v>
      </c>
      <c r="I276" s="8">
        <f t="shared" si="136"/>
        <v>-2606</v>
      </c>
      <c r="J276" s="8">
        <v>166029</v>
      </c>
      <c r="K276" s="8">
        <f t="shared" si="137"/>
        <v>13204</v>
      </c>
      <c r="L276" s="8">
        <v>218870</v>
      </c>
      <c r="M276" s="8">
        <f t="shared" si="138"/>
        <v>11906</v>
      </c>
      <c r="N276" s="8">
        <v>-52841</v>
      </c>
      <c r="O276" s="8">
        <f t="shared" si="139"/>
        <v>1298</v>
      </c>
      <c r="P276" s="8">
        <v>89717</v>
      </c>
      <c r="Q276" s="8">
        <f t="shared" si="140"/>
        <v>12061</v>
      </c>
      <c r="R276" s="8">
        <v>200953</v>
      </c>
      <c r="S276" s="8">
        <f t="shared" si="141"/>
        <v>11065</v>
      </c>
      <c r="T276" s="8">
        <v>-111236</v>
      </c>
      <c r="U276" s="8">
        <f t="shared" si="142"/>
        <v>996</v>
      </c>
      <c r="W276" s="8">
        <v>215377</v>
      </c>
      <c r="X276" s="8">
        <f t="shared" si="143"/>
        <v>-18595</v>
      </c>
      <c r="Y276" s="8">
        <v>63387</v>
      </c>
      <c r="Z276" s="8">
        <f t="shared" si="144"/>
        <v>-7624</v>
      </c>
      <c r="AA276" s="8">
        <v>13745</v>
      </c>
      <c r="AB276" s="8">
        <f t="shared" si="131"/>
        <v>2288</v>
      </c>
      <c r="AC276" s="8">
        <v>49642</v>
      </c>
      <c r="AD276" s="8">
        <f t="shared" si="131"/>
        <v>-9912</v>
      </c>
      <c r="AE276" s="8">
        <v>73465</v>
      </c>
      <c r="AF276" s="8">
        <f t="shared" si="145"/>
        <v>-4285</v>
      </c>
      <c r="AG276" s="8">
        <v>140517</v>
      </c>
      <c r="AH276" s="8">
        <f t="shared" si="146"/>
        <v>-12768</v>
      </c>
      <c r="AI276" s="8">
        <v>-67052</v>
      </c>
      <c r="AJ276" s="8">
        <f t="shared" si="147"/>
        <v>8483</v>
      </c>
      <c r="AK276" s="8">
        <v>56174</v>
      </c>
      <c r="AL276" s="8">
        <f t="shared" si="148"/>
        <v>-751</v>
      </c>
      <c r="AM276" s="8">
        <v>132584</v>
      </c>
      <c r="AN276" s="8">
        <f t="shared" si="149"/>
        <v>-13856</v>
      </c>
      <c r="AO276" s="8">
        <v>-76410</v>
      </c>
      <c r="AP276" s="8">
        <f t="shared" si="150"/>
        <v>13105</v>
      </c>
      <c r="AR276" s="8">
        <v>1905262</v>
      </c>
      <c r="AS276" s="8">
        <f t="shared" si="151"/>
        <v>-56472</v>
      </c>
      <c r="AT276" s="8">
        <v>331943</v>
      </c>
      <c r="AU276" s="8">
        <f t="shared" si="152"/>
        <v>-25997</v>
      </c>
      <c r="AV276" s="8">
        <v>33610</v>
      </c>
      <c r="AW276" s="8">
        <f t="shared" si="153"/>
        <v>7020</v>
      </c>
      <c r="AX276" s="8">
        <f t="shared" si="128"/>
        <v>298333</v>
      </c>
      <c r="AY276" s="8">
        <f t="shared" si="154"/>
        <v>-33017</v>
      </c>
      <c r="AZ276" s="8">
        <v>705560</v>
      </c>
      <c r="BA276" s="8">
        <f t="shared" si="155"/>
        <v>1492</v>
      </c>
      <c r="BB276" s="8">
        <v>934113</v>
      </c>
      <c r="BC276" s="8">
        <f t="shared" si="156"/>
        <v>-24493</v>
      </c>
      <c r="BD276" s="8">
        <f t="shared" si="129"/>
        <v>-228553</v>
      </c>
      <c r="BE276" s="8">
        <f t="shared" si="157"/>
        <v>25985</v>
      </c>
      <c r="BF276" s="8">
        <v>302763</v>
      </c>
      <c r="BG276" s="8">
        <f t="shared" si="158"/>
        <v>6812</v>
      </c>
      <c r="BH276" s="8">
        <v>757763</v>
      </c>
      <c r="BI276" s="8">
        <f t="shared" si="159"/>
        <v>-25791</v>
      </c>
      <c r="BJ276" s="8">
        <f t="shared" si="130"/>
        <v>-455000</v>
      </c>
      <c r="BK276" s="8">
        <f t="shared" si="132"/>
        <v>32603</v>
      </c>
    </row>
    <row r="277" spans="1:63">
      <c r="A277" s="5">
        <v>40806</v>
      </c>
      <c r="B277" s="8">
        <v>334341</v>
      </c>
      <c r="C277" s="8">
        <f t="shared" si="133"/>
        <v>-4644</v>
      </c>
      <c r="D277" s="8">
        <v>53707</v>
      </c>
      <c r="E277" s="8">
        <f t="shared" si="134"/>
        <v>-5665</v>
      </c>
      <c r="F277" s="8">
        <v>20272</v>
      </c>
      <c r="G277" s="8">
        <f t="shared" si="135"/>
        <v>7955</v>
      </c>
      <c r="H277" s="8">
        <v>33435</v>
      </c>
      <c r="I277" s="8">
        <f t="shared" si="136"/>
        <v>-13620</v>
      </c>
      <c r="J277" s="8">
        <v>173348</v>
      </c>
      <c r="K277" s="8">
        <f t="shared" si="137"/>
        <v>7319</v>
      </c>
      <c r="L277" s="8">
        <v>207365</v>
      </c>
      <c r="M277" s="8">
        <f t="shared" si="138"/>
        <v>-11505</v>
      </c>
      <c r="N277" s="8">
        <v>-34017</v>
      </c>
      <c r="O277" s="8">
        <f t="shared" si="139"/>
        <v>18824</v>
      </c>
      <c r="P277" s="8">
        <v>95172</v>
      </c>
      <c r="Q277" s="8">
        <f t="shared" si="140"/>
        <v>5455</v>
      </c>
      <c r="R277" s="8">
        <v>192676</v>
      </c>
      <c r="S277" s="8">
        <f t="shared" si="141"/>
        <v>-8277</v>
      </c>
      <c r="T277" s="8">
        <v>-97504</v>
      </c>
      <c r="U277" s="8">
        <f t="shared" si="142"/>
        <v>13732</v>
      </c>
      <c r="W277" s="8">
        <v>199938</v>
      </c>
      <c r="X277" s="8">
        <f t="shared" si="143"/>
        <v>-15439</v>
      </c>
      <c r="Y277" s="8">
        <v>45483</v>
      </c>
      <c r="Z277" s="8">
        <f t="shared" si="144"/>
        <v>-17904</v>
      </c>
      <c r="AA277" s="8">
        <v>19738</v>
      </c>
      <c r="AB277" s="8">
        <f t="shared" si="131"/>
        <v>5993</v>
      </c>
      <c r="AC277" s="8">
        <v>25745</v>
      </c>
      <c r="AD277" s="8">
        <f t="shared" si="131"/>
        <v>-23897</v>
      </c>
      <c r="AE277" s="8">
        <v>82988</v>
      </c>
      <c r="AF277" s="8">
        <f t="shared" si="145"/>
        <v>9523</v>
      </c>
      <c r="AG277" s="8">
        <v>118645</v>
      </c>
      <c r="AH277" s="8">
        <f t="shared" si="146"/>
        <v>-21872</v>
      </c>
      <c r="AI277" s="8">
        <v>-35657</v>
      </c>
      <c r="AJ277" s="8">
        <f t="shared" si="147"/>
        <v>31395</v>
      </c>
      <c r="AK277" s="8">
        <v>66105</v>
      </c>
      <c r="AL277" s="8">
        <f t="shared" si="148"/>
        <v>9931</v>
      </c>
      <c r="AM277" s="8">
        <v>112053</v>
      </c>
      <c r="AN277" s="8">
        <f t="shared" si="149"/>
        <v>-20531</v>
      </c>
      <c r="AO277" s="8">
        <v>-45948</v>
      </c>
      <c r="AP277" s="8">
        <f t="shared" si="150"/>
        <v>30462</v>
      </c>
      <c r="AR277" s="8">
        <v>1892130</v>
      </c>
      <c r="AS277" s="8">
        <f t="shared" si="151"/>
        <v>-13132</v>
      </c>
      <c r="AT277" s="8">
        <v>281166</v>
      </c>
      <c r="AU277" s="8">
        <f t="shared" si="152"/>
        <v>-50777</v>
      </c>
      <c r="AV277" s="8">
        <v>31189</v>
      </c>
      <c r="AW277" s="8">
        <f t="shared" si="153"/>
        <v>-2421</v>
      </c>
      <c r="AX277" s="8">
        <f t="shared" si="128"/>
        <v>249977</v>
      </c>
      <c r="AY277" s="8">
        <f t="shared" si="154"/>
        <v>-48356</v>
      </c>
      <c r="AZ277" s="8">
        <v>738476</v>
      </c>
      <c r="BA277" s="8">
        <f t="shared" si="155"/>
        <v>32916</v>
      </c>
      <c r="BB277" s="8">
        <v>929113</v>
      </c>
      <c r="BC277" s="8">
        <f t="shared" si="156"/>
        <v>-5000</v>
      </c>
      <c r="BD277" s="8">
        <f t="shared" si="129"/>
        <v>-190637</v>
      </c>
      <c r="BE277" s="8">
        <f t="shared" si="157"/>
        <v>37916</v>
      </c>
      <c r="BF277" s="8">
        <v>330832</v>
      </c>
      <c r="BG277" s="8">
        <f t="shared" si="158"/>
        <v>28069</v>
      </c>
      <c r="BH277" s="8">
        <v>738923</v>
      </c>
      <c r="BI277" s="8">
        <f t="shared" si="159"/>
        <v>-18840</v>
      </c>
      <c r="BJ277" s="8">
        <f t="shared" si="130"/>
        <v>-408091</v>
      </c>
      <c r="BK277" s="8">
        <f t="shared" si="132"/>
        <v>46909</v>
      </c>
    </row>
    <row r="278" spans="1:63">
      <c r="A278" s="5">
        <v>40813</v>
      </c>
      <c r="B278" s="8">
        <v>343155</v>
      </c>
      <c r="C278" s="8">
        <f t="shared" si="133"/>
        <v>8814</v>
      </c>
      <c r="D278" s="8">
        <v>46227</v>
      </c>
      <c r="E278" s="8">
        <f t="shared" si="134"/>
        <v>-7480</v>
      </c>
      <c r="F278" s="8">
        <v>33834</v>
      </c>
      <c r="G278" s="8">
        <f t="shared" si="135"/>
        <v>13562</v>
      </c>
      <c r="H278" s="8">
        <v>12393</v>
      </c>
      <c r="I278" s="8">
        <f t="shared" si="136"/>
        <v>-21042</v>
      </c>
      <c r="J278" s="8">
        <v>193815</v>
      </c>
      <c r="K278" s="8">
        <f t="shared" si="137"/>
        <v>20467</v>
      </c>
      <c r="L278" s="8">
        <v>189264</v>
      </c>
      <c r="M278" s="8">
        <f t="shared" si="138"/>
        <v>-18101</v>
      </c>
      <c r="N278" s="8">
        <v>4551</v>
      </c>
      <c r="O278" s="8">
        <f t="shared" si="139"/>
        <v>38568</v>
      </c>
      <c r="P278" s="8">
        <v>116556</v>
      </c>
      <c r="Q278" s="8">
        <f t="shared" si="140"/>
        <v>21384</v>
      </c>
      <c r="R278" s="8">
        <v>175030</v>
      </c>
      <c r="S278" s="8">
        <f t="shared" si="141"/>
        <v>-17646</v>
      </c>
      <c r="T278" s="8">
        <v>-58474</v>
      </c>
      <c r="U278" s="8">
        <f t="shared" si="142"/>
        <v>39030</v>
      </c>
      <c r="W278" s="8">
        <v>204395</v>
      </c>
      <c r="X278" s="8">
        <f t="shared" si="143"/>
        <v>4457</v>
      </c>
      <c r="Y278" s="8">
        <v>33214</v>
      </c>
      <c r="Z278" s="8">
        <f t="shared" si="144"/>
        <v>-12269</v>
      </c>
      <c r="AA278" s="8">
        <v>22867</v>
      </c>
      <c r="AB278" s="8">
        <f t="shared" si="131"/>
        <v>3129</v>
      </c>
      <c r="AC278" s="8">
        <v>10347</v>
      </c>
      <c r="AD278" s="8">
        <f t="shared" si="131"/>
        <v>-15398</v>
      </c>
      <c r="AE278" s="8">
        <v>99936</v>
      </c>
      <c r="AF278" s="8">
        <f t="shared" si="145"/>
        <v>16948</v>
      </c>
      <c r="AG278" s="8">
        <v>107040</v>
      </c>
      <c r="AH278" s="8">
        <f t="shared" si="146"/>
        <v>-11605</v>
      </c>
      <c r="AI278" s="8">
        <v>-7104</v>
      </c>
      <c r="AJ278" s="8">
        <f t="shared" si="147"/>
        <v>28553</v>
      </c>
      <c r="AK278" s="8">
        <v>81233</v>
      </c>
      <c r="AL278" s="8">
        <f t="shared" si="148"/>
        <v>15128</v>
      </c>
      <c r="AM278" s="8">
        <v>100278</v>
      </c>
      <c r="AN278" s="8">
        <f t="shared" si="149"/>
        <v>-11775</v>
      </c>
      <c r="AO278" s="8">
        <v>-19045</v>
      </c>
      <c r="AP278" s="8">
        <f t="shared" si="150"/>
        <v>26903</v>
      </c>
      <c r="AR278" s="8">
        <v>1844339</v>
      </c>
      <c r="AS278" s="8">
        <f t="shared" si="151"/>
        <v>-47791</v>
      </c>
      <c r="AT278" s="8">
        <v>247332</v>
      </c>
      <c r="AU278" s="8">
        <f t="shared" si="152"/>
        <v>-33834</v>
      </c>
      <c r="AV278" s="8">
        <v>43463</v>
      </c>
      <c r="AW278" s="8">
        <f t="shared" si="153"/>
        <v>12274</v>
      </c>
      <c r="AX278" s="8">
        <f t="shared" si="128"/>
        <v>203869</v>
      </c>
      <c r="AY278" s="8">
        <f t="shared" si="154"/>
        <v>-46108</v>
      </c>
      <c r="AZ278" s="8">
        <v>757263</v>
      </c>
      <c r="BA278" s="8">
        <f t="shared" si="155"/>
        <v>18787</v>
      </c>
      <c r="BB278" s="8">
        <v>897244</v>
      </c>
      <c r="BC278" s="8">
        <f t="shared" si="156"/>
        <v>-31869</v>
      </c>
      <c r="BD278" s="8">
        <f t="shared" si="129"/>
        <v>-139981</v>
      </c>
      <c r="BE278" s="8">
        <f t="shared" si="157"/>
        <v>50656</v>
      </c>
      <c r="BF278" s="8">
        <v>362457</v>
      </c>
      <c r="BG278" s="8">
        <f t="shared" si="158"/>
        <v>31625</v>
      </c>
      <c r="BH278" s="8">
        <v>705573</v>
      </c>
      <c r="BI278" s="8">
        <f t="shared" si="159"/>
        <v>-33350</v>
      </c>
      <c r="BJ278" s="8">
        <f t="shared" si="130"/>
        <v>-343116</v>
      </c>
      <c r="BK278" s="8">
        <f t="shared" si="132"/>
        <v>64975</v>
      </c>
    </row>
    <row r="279" spans="1:63">
      <c r="A279" s="5">
        <v>40820</v>
      </c>
      <c r="B279" s="8">
        <v>374395</v>
      </c>
      <c r="C279" s="8">
        <f t="shared" si="133"/>
        <v>31240</v>
      </c>
      <c r="D279" s="8">
        <v>43111</v>
      </c>
      <c r="E279" s="8">
        <f t="shared" si="134"/>
        <v>-3116</v>
      </c>
      <c r="F279" s="8">
        <v>42882</v>
      </c>
      <c r="G279" s="8">
        <f t="shared" si="135"/>
        <v>9048</v>
      </c>
      <c r="H279" s="8">
        <v>229</v>
      </c>
      <c r="I279" s="8">
        <f t="shared" si="136"/>
        <v>-12164</v>
      </c>
      <c r="J279" s="8">
        <v>206562</v>
      </c>
      <c r="K279" s="8">
        <f t="shared" si="137"/>
        <v>12747</v>
      </c>
      <c r="L279" s="8">
        <v>192687</v>
      </c>
      <c r="M279" s="8">
        <f t="shared" si="138"/>
        <v>3423</v>
      </c>
      <c r="N279" s="8">
        <v>13875</v>
      </c>
      <c r="O279" s="8">
        <f t="shared" si="139"/>
        <v>9324</v>
      </c>
      <c r="P279" s="8">
        <v>126777</v>
      </c>
      <c r="Q279" s="8">
        <f t="shared" si="140"/>
        <v>10221</v>
      </c>
      <c r="R279" s="8">
        <v>173972</v>
      </c>
      <c r="S279" s="8">
        <f t="shared" si="141"/>
        <v>-1058</v>
      </c>
      <c r="T279" s="8">
        <v>-47195</v>
      </c>
      <c r="U279" s="8">
        <f t="shared" si="142"/>
        <v>11279</v>
      </c>
      <c r="W279" s="8">
        <v>215479</v>
      </c>
      <c r="X279" s="8">
        <f t="shared" si="143"/>
        <v>11084</v>
      </c>
      <c r="Y279" s="8">
        <v>28929</v>
      </c>
      <c r="Z279" s="8">
        <f t="shared" si="144"/>
        <v>-4285</v>
      </c>
      <c r="AA279" s="8">
        <v>29527</v>
      </c>
      <c r="AB279" s="8">
        <f t="shared" si="131"/>
        <v>6660</v>
      </c>
      <c r="AC279" s="8">
        <v>-598</v>
      </c>
      <c r="AD279" s="8">
        <f t="shared" si="131"/>
        <v>-10945</v>
      </c>
      <c r="AE279" s="8">
        <v>104621</v>
      </c>
      <c r="AF279" s="8">
        <f t="shared" si="145"/>
        <v>4685</v>
      </c>
      <c r="AG279" s="8">
        <v>100048</v>
      </c>
      <c r="AH279" s="8">
        <f t="shared" si="146"/>
        <v>-6992</v>
      </c>
      <c r="AI279" s="8">
        <v>4573</v>
      </c>
      <c r="AJ279" s="8">
        <f t="shared" si="147"/>
        <v>11677</v>
      </c>
      <c r="AK279" s="8">
        <v>85882</v>
      </c>
      <c r="AL279" s="8">
        <f t="shared" si="148"/>
        <v>4649</v>
      </c>
      <c r="AM279" s="8">
        <v>96877</v>
      </c>
      <c r="AN279" s="8">
        <f t="shared" si="149"/>
        <v>-3401</v>
      </c>
      <c r="AO279" s="8">
        <v>-10995</v>
      </c>
      <c r="AP279" s="8">
        <f t="shared" si="150"/>
        <v>8050</v>
      </c>
      <c r="AR279" s="8">
        <v>1912911</v>
      </c>
      <c r="AS279" s="8">
        <f t="shared" si="151"/>
        <v>68572</v>
      </c>
      <c r="AT279" s="8">
        <v>217948</v>
      </c>
      <c r="AU279" s="8">
        <f t="shared" si="152"/>
        <v>-29384</v>
      </c>
      <c r="AV279" s="8">
        <v>46614</v>
      </c>
      <c r="AW279" s="8">
        <f t="shared" si="153"/>
        <v>3151</v>
      </c>
      <c r="AX279" s="8">
        <f t="shared" si="128"/>
        <v>171334</v>
      </c>
      <c r="AY279" s="8">
        <f t="shared" si="154"/>
        <v>-32535</v>
      </c>
      <c r="AZ279" s="8">
        <v>794863</v>
      </c>
      <c r="BA279" s="8">
        <f t="shared" si="155"/>
        <v>37600</v>
      </c>
      <c r="BB279" s="8">
        <v>893803</v>
      </c>
      <c r="BC279" s="8">
        <f t="shared" si="156"/>
        <v>-3441</v>
      </c>
      <c r="BD279" s="8">
        <f t="shared" si="129"/>
        <v>-98940</v>
      </c>
      <c r="BE279" s="8">
        <f t="shared" si="157"/>
        <v>41041</v>
      </c>
      <c r="BF279" s="8">
        <v>405201</v>
      </c>
      <c r="BG279" s="8">
        <f t="shared" si="158"/>
        <v>42744</v>
      </c>
      <c r="BH279" s="8">
        <v>697697</v>
      </c>
      <c r="BI279" s="8">
        <f t="shared" si="159"/>
        <v>-7876</v>
      </c>
      <c r="BJ279" s="8">
        <f t="shared" si="130"/>
        <v>-292496</v>
      </c>
      <c r="BK279" s="8">
        <f t="shared" si="132"/>
        <v>50620</v>
      </c>
    </row>
    <row r="280" spans="1:63">
      <c r="A280" s="5">
        <v>40827</v>
      </c>
      <c r="B280" s="8">
        <v>373211</v>
      </c>
      <c r="C280" s="8">
        <f t="shared" si="133"/>
        <v>-1184</v>
      </c>
      <c r="D280" s="8">
        <v>45017</v>
      </c>
      <c r="E280" s="8">
        <f t="shared" si="134"/>
        <v>1906</v>
      </c>
      <c r="F280" s="8">
        <v>52481</v>
      </c>
      <c r="G280" s="8">
        <f t="shared" si="135"/>
        <v>9599</v>
      </c>
      <c r="H280" s="8">
        <v>-7464</v>
      </c>
      <c r="I280" s="8">
        <f t="shared" si="136"/>
        <v>-7693</v>
      </c>
      <c r="J280" s="8">
        <v>208746</v>
      </c>
      <c r="K280" s="8">
        <f t="shared" si="137"/>
        <v>2184</v>
      </c>
      <c r="L280" s="8">
        <v>191234</v>
      </c>
      <c r="M280" s="8">
        <f t="shared" si="138"/>
        <v>-1453</v>
      </c>
      <c r="N280" s="8">
        <v>17512</v>
      </c>
      <c r="O280" s="8">
        <f t="shared" si="139"/>
        <v>3637</v>
      </c>
      <c r="P280" s="8">
        <v>123797</v>
      </c>
      <c r="Q280" s="8">
        <f t="shared" si="140"/>
        <v>-2980</v>
      </c>
      <c r="R280" s="8">
        <v>171328</v>
      </c>
      <c r="S280" s="8">
        <f t="shared" si="141"/>
        <v>-2644</v>
      </c>
      <c r="T280" s="8">
        <v>-47531</v>
      </c>
      <c r="U280" s="8">
        <f t="shared" si="142"/>
        <v>-336</v>
      </c>
      <c r="W280" s="8">
        <v>215760</v>
      </c>
      <c r="X280" s="8">
        <f t="shared" si="143"/>
        <v>281</v>
      </c>
      <c r="Y280" s="8">
        <v>24581</v>
      </c>
      <c r="Z280" s="8">
        <f t="shared" si="144"/>
        <v>-4348</v>
      </c>
      <c r="AA280" s="8">
        <v>34809</v>
      </c>
      <c r="AB280" s="8">
        <f t="shared" si="131"/>
        <v>5282</v>
      </c>
      <c r="AC280" s="8">
        <v>-10228</v>
      </c>
      <c r="AD280" s="8">
        <f t="shared" si="131"/>
        <v>-9630</v>
      </c>
      <c r="AE280" s="8">
        <v>108584</v>
      </c>
      <c r="AF280" s="8">
        <f t="shared" si="145"/>
        <v>3963</v>
      </c>
      <c r="AG280" s="8">
        <v>98843</v>
      </c>
      <c r="AH280" s="8">
        <f t="shared" si="146"/>
        <v>-1205</v>
      </c>
      <c r="AI280" s="8">
        <v>9741</v>
      </c>
      <c r="AJ280" s="8">
        <f t="shared" si="147"/>
        <v>5168</v>
      </c>
      <c r="AK280" s="8">
        <v>89679</v>
      </c>
      <c r="AL280" s="8">
        <f t="shared" si="148"/>
        <v>3797</v>
      </c>
      <c r="AM280" s="8">
        <v>93888</v>
      </c>
      <c r="AN280" s="8">
        <f t="shared" si="149"/>
        <v>-2989</v>
      </c>
      <c r="AO280" s="8">
        <v>-4209</v>
      </c>
      <c r="AP280" s="8">
        <f t="shared" si="150"/>
        <v>6786</v>
      </c>
      <c r="AR280" s="8">
        <v>1925148</v>
      </c>
      <c r="AS280" s="8">
        <f t="shared" si="151"/>
        <v>12237</v>
      </c>
      <c r="AT280" s="8">
        <v>220141</v>
      </c>
      <c r="AU280" s="8">
        <f t="shared" si="152"/>
        <v>2193</v>
      </c>
      <c r="AV280" s="8">
        <v>58824</v>
      </c>
      <c r="AW280" s="8">
        <f t="shared" si="153"/>
        <v>12210</v>
      </c>
      <c r="AX280" s="8">
        <f t="shared" si="128"/>
        <v>161317</v>
      </c>
      <c r="AY280" s="8">
        <f t="shared" si="154"/>
        <v>-10017</v>
      </c>
      <c r="AZ280" s="8">
        <v>804463</v>
      </c>
      <c r="BA280" s="8">
        <f t="shared" si="155"/>
        <v>9600</v>
      </c>
      <c r="BB280" s="8">
        <v>891280</v>
      </c>
      <c r="BC280" s="8">
        <f t="shared" si="156"/>
        <v>-2523</v>
      </c>
      <c r="BD280" s="8">
        <f t="shared" si="129"/>
        <v>-86817</v>
      </c>
      <c r="BE280" s="8">
        <f t="shared" si="157"/>
        <v>12123</v>
      </c>
      <c r="BF280" s="8">
        <v>407541</v>
      </c>
      <c r="BG280" s="8">
        <f t="shared" si="158"/>
        <v>2340</v>
      </c>
      <c r="BH280" s="8">
        <v>692406</v>
      </c>
      <c r="BI280" s="8">
        <f t="shared" si="159"/>
        <v>-5291</v>
      </c>
      <c r="BJ280" s="8">
        <f t="shared" si="130"/>
        <v>-284865</v>
      </c>
      <c r="BK280" s="8">
        <f t="shared" si="132"/>
        <v>7631</v>
      </c>
    </row>
    <row r="281" spans="1:63">
      <c r="A281" s="5">
        <v>40834</v>
      </c>
      <c r="B281" s="8">
        <v>371213</v>
      </c>
      <c r="C281" s="8">
        <f t="shared" si="133"/>
        <v>-1998</v>
      </c>
      <c r="D281" s="8">
        <v>44484</v>
      </c>
      <c r="E281" s="8">
        <f t="shared" si="134"/>
        <v>-533</v>
      </c>
      <c r="F281" s="8">
        <v>45554</v>
      </c>
      <c r="G281" s="8">
        <f t="shared" si="135"/>
        <v>-6927</v>
      </c>
      <c r="H281" s="8">
        <v>-1070</v>
      </c>
      <c r="I281" s="8">
        <f t="shared" si="136"/>
        <v>6394</v>
      </c>
      <c r="J281" s="8">
        <v>209804</v>
      </c>
      <c r="K281" s="8">
        <f t="shared" si="137"/>
        <v>1058</v>
      </c>
      <c r="L281" s="8">
        <v>195485</v>
      </c>
      <c r="M281" s="8">
        <f t="shared" si="138"/>
        <v>4251</v>
      </c>
      <c r="N281" s="8">
        <v>14319</v>
      </c>
      <c r="O281" s="8">
        <f t="shared" si="139"/>
        <v>-3193</v>
      </c>
      <c r="P281" s="8">
        <v>119363</v>
      </c>
      <c r="Q281" s="8">
        <f t="shared" si="140"/>
        <v>-4434</v>
      </c>
      <c r="R281" s="8">
        <v>176303</v>
      </c>
      <c r="S281" s="8">
        <f t="shared" si="141"/>
        <v>4975</v>
      </c>
      <c r="T281" s="8">
        <v>-56940</v>
      </c>
      <c r="U281" s="8">
        <f t="shared" si="142"/>
        <v>-9409</v>
      </c>
      <c r="W281" s="8">
        <v>215558</v>
      </c>
      <c r="X281" s="8">
        <f t="shared" si="143"/>
        <v>-202</v>
      </c>
      <c r="Y281" s="8">
        <v>23266</v>
      </c>
      <c r="Z281" s="8">
        <f t="shared" si="144"/>
        <v>-1315</v>
      </c>
      <c r="AA281" s="8">
        <v>35632</v>
      </c>
      <c r="AB281" s="8">
        <f t="shared" si="131"/>
        <v>823</v>
      </c>
      <c r="AC281" s="8">
        <v>-12366</v>
      </c>
      <c r="AD281" s="8">
        <f t="shared" si="131"/>
        <v>-2138</v>
      </c>
      <c r="AE281" s="8">
        <v>112455</v>
      </c>
      <c r="AF281" s="8">
        <f t="shared" si="145"/>
        <v>3871</v>
      </c>
      <c r="AG281" s="8">
        <v>97062</v>
      </c>
      <c r="AH281" s="8">
        <f t="shared" si="146"/>
        <v>-1781</v>
      </c>
      <c r="AI281" s="8">
        <v>15393</v>
      </c>
      <c r="AJ281" s="8">
        <f t="shared" si="147"/>
        <v>5652</v>
      </c>
      <c r="AK281" s="8">
        <v>94797</v>
      </c>
      <c r="AL281" s="8">
        <f t="shared" si="148"/>
        <v>5118</v>
      </c>
      <c r="AM281" s="8">
        <v>92485</v>
      </c>
      <c r="AN281" s="8">
        <f t="shared" si="149"/>
        <v>-1403</v>
      </c>
      <c r="AO281" s="8">
        <v>2312</v>
      </c>
      <c r="AP281" s="8">
        <f t="shared" si="150"/>
        <v>6521</v>
      </c>
      <c r="AR281" s="8">
        <v>1921134</v>
      </c>
      <c r="AS281" s="8">
        <f t="shared" si="151"/>
        <v>-4014</v>
      </c>
      <c r="AT281" s="8">
        <v>223968</v>
      </c>
      <c r="AU281" s="8">
        <f t="shared" si="152"/>
        <v>3827</v>
      </c>
      <c r="AV281" s="8">
        <v>66064</v>
      </c>
      <c r="AW281" s="8">
        <f t="shared" si="153"/>
        <v>7240</v>
      </c>
      <c r="AX281" s="8">
        <f t="shared" si="128"/>
        <v>157904</v>
      </c>
      <c r="AY281" s="8">
        <f t="shared" si="154"/>
        <v>-3413</v>
      </c>
      <c r="AZ281" s="8">
        <v>796974</v>
      </c>
      <c r="BA281" s="8">
        <f t="shared" si="155"/>
        <v>-7489</v>
      </c>
      <c r="BB281" s="8">
        <v>893741</v>
      </c>
      <c r="BC281" s="8">
        <f t="shared" si="156"/>
        <v>2461</v>
      </c>
      <c r="BD281" s="8">
        <f t="shared" si="129"/>
        <v>-96767</v>
      </c>
      <c r="BE281" s="8">
        <f t="shared" si="157"/>
        <v>-9950</v>
      </c>
      <c r="BF281" s="8">
        <v>404950</v>
      </c>
      <c r="BG281" s="8">
        <f t="shared" si="158"/>
        <v>-2591</v>
      </c>
      <c r="BH281" s="8">
        <v>697966</v>
      </c>
      <c r="BI281" s="8">
        <f t="shared" si="159"/>
        <v>5560</v>
      </c>
      <c r="BJ281" s="8">
        <f t="shared" si="130"/>
        <v>-293016</v>
      </c>
      <c r="BK281" s="8">
        <f t="shared" si="132"/>
        <v>-8151</v>
      </c>
    </row>
    <row r="282" spans="1:63">
      <c r="A282" s="5">
        <v>40841</v>
      </c>
      <c r="B282" s="8">
        <v>380477</v>
      </c>
      <c r="C282" s="8">
        <f t="shared" si="133"/>
        <v>9264</v>
      </c>
      <c r="D282" s="8">
        <v>40046</v>
      </c>
      <c r="E282" s="8">
        <f t="shared" si="134"/>
        <v>-4438</v>
      </c>
      <c r="F282" s="8">
        <v>51455</v>
      </c>
      <c r="G282" s="8">
        <f t="shared" si="135"/>
        <v>5901</v>
      </c>
      <c r="H282" s="8">
        <v>-11409</v>
      </c>
      <c r="I282" s="8">
        <f t="shared" si="136"/>
        <v>-10339</v>
      </c>
      <c r="J282" s="8">
        <v>220471</v>
      </c>
      <c r="K282" s="8">
        <f t="shared" si="137"/>
        <v>10667</v>
      </c>
      <c r="L282" s="8">
        <v>197953</v>
      </c>
      <c r="M282" s="8">
        <f t="shared" si="138"/>
        <v>2468</v>
      </c>
      <c r="N282" s="8">
        <v>22518</v>
      </c>
      <c r="O282" s="8">
        <f t="shared" si="139"/>
        <v>8199</v>
      </c>
      <c r="P282" s="8">
        <v>128669</v>
      </c>
      <c r="Q282" s="8">
        <f t="shared" si="140"/>
        <v>9306</v>
      </c>
      <c r="R282" s="8">
        <v>177194</v>
      </c>
      <c r="S282" s="8">
        <f t="shared" si="141"/>
        <v>891</v>
      </c>
      <c r="T282" s="8">
        <v>-48525</v>
      </c>
      <c r="U282" s="8">
        <f t="shared" si="142"/>
        <v>8415</v>
      </c>
      <c r="W282" s="8">
        <v>216888</v>
      </c>
      <c r="X282" s="8">
        <f t="shared" si="143"/>
        <v>1330</v>
      </c>
      <c r="Y282" s="8">
        <v>25389</v>
      </c>
      <c r="Z282" s="8">
        <f t="shared" si="144"/>
        <v>2123</v>
      </c>
      <c r="AA282" s="8">
        <v>33283</v>
      </c>
      <c r="AB282" s="8">
        <f t="shared" si="131"/>
        <v>-2349</v>
      </c>
      <c r="AC282" s="8">
        <v>-7894</v>
      </c>
      <c r="AD282" s="8">
        <f t="shared" si="131"/>
        <v>4472</v>
      </c>
      <c r="AE282" s="8">
        <v>112597</v>
      </c>
      <c r="AF282" s="8">
        <f t="shared" si="145"/>
        <v>142</v>
      </c>
      <c r="AG282" s="8">
        <v>100136</v>
      </c>
      <c r="AH282" s="8">
        <f t="shared" si="146"/>
        <v>3074</v>
      </c>
      <c r="AI282" s="8">
        <v>12461</v>
      </c>
      <c r="AJ282" s="8">
        <f t="shared" si="147"/>
        <v>-2932</v>
      </c>
      <c r="AK282" s="8">
        <v>93323</v>
      </c>
      <c r="AL282" s="8">
        <f t="shared" si="148"/>
        <v>-1474</v>
      </c>
      <c r="AM282" s="8">
        <v>95794</v>
      </c>
      <c r="AN282" s="8">
        <f t="shared" si="149"/>
        <v>3309</v>
      </c>
      <c r="AO282" s="8">
        <v>-2471</v>
      </c>
      <c r="AP282" s="8">
        <f t="shared" si="150"/>
        <v>-4783</v>
      </c>
      <c r="AR282" s="8">
        <v>1843331</v>
      </c>
      <c r="AS282" s="8">
        <f t="shared" si="151"/>
        <v>-77803</v>
      </c>
      <c r="AT282" s="8">
        <v>236128</v>
      </c>
      <c r="AU282" s="8">
        <f t="shared" si="152"/>
        <v>12160</v>
      </c>
      <c r="AV282" s="8">
        <v>49006</v>
      </c>
      <c r="AW282" s="8">
        <f t="shared" si="153"/>
        <v>-17058</v>
      </c>
      <c r="AX282" s="8">
        <f t="shared" si="128"/>
        <v>187122</v>
      </c>
      <c r="AY282" s="8">
        <f t="shared" si="154"/>
        <v>29218</v>
      </c>
      <c r="AZ282" s="8">
        <v>769602</v>
      </c>
      <c r="BA282" s="8">
        <f t="shared" si="155"/>
        <v>-27372</v>
      </c>
      <c r="BB282" s="8">
        <v>895012</v>
      </c>
      <c r="BC282" s="8">
        <f t="shared" si="156"/>
        <v>1271</v>
      </c>
      <c r="BD282" s="8">
        <f t="shared" si="129"/>
        <v>-125410</v>
      </c>
      <c r="BE282" s="8">
        <f t="shared" si="157"/>
        <v>-28643</v>
      </c>
      <c r="BF282" s="8">
        <v>383234</v>
      </c>
      <c r="BG282" s="8">
        <f t="shared" si="158"/>
        <v>-21716</v>
      </c>
      <c r="BH282" s="8">
        <v>701270</v>
      </c>
      <c r="BI282" s="8">
        <f t="shared" si="159"/>
        <v>3304</v>
      </c>
      <c r="BJ282" s="8">
        <f t="shared" si="130"/>
        <v>-318036</v>
      </c>
      <c r="BK282" s="8">
        <f t="shared" si="132"/>
        <v>-25020</v>
      </c>
    </row>
    <row r="283" spans="1:63">
      <c r="A283" s="5">
        <v>40848</v>
      </c>
      <c r="B283" s="8">
        <v>386447</v>
      </c>
      <c r="C283" s="8">
        <f t="shared" si="133"/>
        <v>5970</v>
      </c>
      <c r="D283" s="8">
        <v>40794</v>
      </c>
      <c r="E283" s="8">
        <f t="shared" si="134"/>
        <v>748</v>
      </c>
      <c r="F283" s="8">
        <v>54892</v>
      </c>
      <c r="G283" s="8">
        <f t="shared" si="135"/>
        <v>3437</v>
      </c>
      <c r="H283" s="8">
        <v>-14098</v>
      </c>
      <c r="I283" s="8">
        <f t="shared" si="136"/>
        <v>-2689</v>
      </c>
      <c r="J283" s="8">
        <v>221296</v>
      </c>
      <c r="K283" s="8">
        <f t="shared" si="137"/>
        <v>825</v>
      </c>
      <c r="L283" s="8">
        <v>200681</v>
      </c>
      <c r="M283" s="8">
        <f t="shared" si="138"/>
        <v>2728</v>
      </c>
      <c r="N283" s="8">
        <v>20615</v>
      </c>
      <c r="O283" s="8">
        <f t="shared" si="139"/>
        <v>-1903</v>
      </c>
      <c r="P283" s="8">
        <v>132908</v>
      </c>
      <c r="Q283" s="8">
        <f t="shared" si="140"/>
        <v>4239</v>
      </c>
      <c r="R283" s="8">
        <v>180479</v>
      </c>
      <c r="S283" s="8">
        <f t="shared" si="141"/>
        <v>3285</v>
      </c>
      <c r="T283" s="8">
        <v>-47571</v>
      </c>
      <c r="U283" s="8">
        <f t="shared" si="142"/>
        <v>954</v>
      </c>
      <c r="W283" s="8">
        <v>218180</v>
      </c>
      <c r="X283" s="8">
        <f t="shared" si="143"/>
        <v>1292</v>
      </c>
      <c r="Y283" s="8">
        <v>22690</v>
      </c>
      <c r="Z283" s="8">
        <f t="shared" si="144"/>
        <v>-2699</v>
      </c>
      <c r="AA283" s="8">
        <v>38090</v>
      </c>
      <c r="AB283" s="8">
        <f t="shared" si="131"/>
        <v>4807</v>
      </c>
      <c r="AC283" s="8">
        <v>-15400</v>
      </c>
      <c r="AD283" s="8">
        <f t="shared" si="131"/>
        <v>-7506</v>
      </c>
      <c r="AE283" s="8">
        <v>118074</v>
      </c>
      <c r="AF283" s="8">
        <f t="shared" si="145"/>
        <v>5477</v>
      </c>
      <c r="AG283" s="8">
        <v>102213</v>
      </c>
      <c r="AH283" s="8">
        <f t="shared" si="146"/>
        <v>2077</v>
      </c>
      <c r="AI283" s="8">
        <v>15861</v>
      </c>
      <c r="AJ283" s="8">
        <f t="shared" si="147"/>
        <v>3400</v>
      </c>
      <c r="AK283" s="8">
        <v>97535</v>
      </c>
      <c r="AL283" s="8">
        <f t="shared" si="148"/>
        <v>4212</v>
      </c>
      <c r="AM283" s="8">
        <v>96884</v>
      </c>
      <c r="AN283" s="8">
        <f t="shared" si="149"/>
        <v>1090</v>
      </c>
      <c r="AO283" s="8">
        <v>651</v>
      </c>
      <c r="AP283" s="8">
        <f t="shared" si="150"/>
        <v>3122</v>
      </c>
      <c r="AR283" s="8">
        <v>1862592</v>
      </c>
      <c r="AS283" s="8">
        <f t="shared" si="151"/>
        <v>19261</v>
      </c>
      <c r="AT283" s="8">
        <v>248045</v>
      </c>
      <c r="AU283" s="8">
        <f t="shared" si="152"/>
        <v>11917</v>
      </c>
      <c r="AV283" s="8">
        <v>52768</v>
      </c>
      <c r="AW283" s="8">
        <f t="shared" si="153"/>
        <v>3762</v>
      </c>
      <c r="AX283" s="8">
        <f t="shared" si="128"/>
        <v>195277</v>
      </c>
      <c r="AY283" s="8">
        <f t="shared" si="154"/>
        <v>8155</v>
      </c>
      <c r="AZ283" s="8">
        <v>780049</v>
      </c>
      <c r="BA283" s="8">
        <f t="shared" si="155"/>
        <v>10447</v>
      </c>
      <c r="BB283" s="8">
        <v>919759</v>
      </c>
      <c r="BC283" s="8">
        <f t="shared" si="156"/>
        <v>24747</v>
      </c>
      <c r="BD283" s="8">
        <f t="shared" si="129"/>
        <v>-139710</v>
      </c>
      <c r="BE283" s="8">
        <f t="shared" si="157"/>
        <v>-14300</v>
      </c>
      <c r="BF283" s="8">
        <v>389215</v>
      </c>
      <c r="BG283" s="8">
        <f t="shared" si="158"/>
        <v>5981</v>
      </c>
      <c r="BH283" s="8">
        <v>721432</v>
      </c>
      <c r="BI283" s="8">
        <f t="shared" si="159"/>
        <v>20162</v>
      </c>
      <c r="BJ283" s="8">
        <f t="shared" si="130"/>
        <v>-332217</v>
      </c>
      <c r="BK283" s="8">
        <f t="shared" si="132"/>
        <v>-14181</v>
      </c>
    </row>
    <row r="284" spans="1:63">
      <c r="A284" s="5">
        <v>40855</v>
      </c>
      <c r="B284" s="8">
        <v>372493</v>
      </c>
      <c r="C284" s="8">
        <f t="shared" si="133"/>
        <v>-13954</v>
      </c>
      <c r="D284" s="8">
        <v>40794</v>
      </c>
      <c r="E284" s="8">
        <f t="shared" si="134"/>
        <v>0</v>
      </c>
      <c r="F284" s="8">
        <v>54892</v>
      </c>
      <c r="G284" s="8">
        <f t="shared" si="135"/>
        <v>0</v>
      </c>
      <c r="H284" s="8">
        <v>-14098</v>
      </c>
      <c r="I284" s="8">
        <f t="shared" si="136"/>
        <v>0</v>
      </c>
      <c r="J284" s="8">
        <v>221296</v>
      </c>
      <c r="K284" s="8">
        <f t="shared" si="137"/>
        <v>0</v>
      </c>
      <c r="L284" s="8">
        <v>200681</v>
      </c>
      <c r="M284" s="8">
        <f t="shared" si="138"/>
        <v>0</v>
      </c>
      <c r="N284" s="8">
        <v>20615</v>
      </c>
      <c r="O284" s="8">
        <f t="shared" si="139"/>
        <v>0</v>
      </c>
      <c r="P284" s="8">
        <v>132908</v>
      </c>
      <c r="Q284" s="8">
        <f t="shared" si="140"/>
        <v>0</v>
      </c>
      <c r="R284" s="8">
        <v>180479</v>
      </c>
      <c r="S284" s="8">
        <f t="shared" si="141"/>
        <v>0</v>
      </c>
      <c r="T284" s="8">
        <v>-47571</v>
      </c>
      <c r="U284" s="8">
        <f t="shared" si="142"/>
        <v>0</v>
      </c>
      <c r="W284" s="8">
        <v>230751</v>
      </c>
      <c r="X284" s="8">
        <f t="shared" si="143"/>
        <v>12571</v>
      </c>
      <c r="Y284" s="8">
        <v>26051</v>
      </c>
      <c r="Z284" s="8">
        <f t="shared" si="144"/>
        <v>3361</v>
      </c>
      <c r="AA284" s="8">
        <v>40891</v>
      </c>
      <c r="AB284" s="8">
        <f t="shared" si="131"/>
        <v>2801</v>
      </c>
      <c r="AC284" s="8">
        <v>-14840</v>
      </c>
      <c r="AD284" s="8">
        <f t="shared" si="131"/>
        <v>560</v>
      </c>
      <c r="AE284" s="8">
        <v>118074</v>
      </c>
      <c r="AF284" s="8">
        <f t="shared" si="145"/>
        <v>0</v>
      </c>
      <c r="AG284" s="8">
        <v>102213</v>
      </c>
      <c r="AH284" s="8">
        <f t="shared" si="146"/>
        <v>0</v>
      </c>
      <c r="AI284" s="8">
        <v>15861</v>
      </c>
      <c r="AJ284" s="8">
        <f t="shared" si="147"/>
        <v>0</v>
      </c>
      <c r="AK284" s="8">
        <v>97535</v>
      </c>
      <c r="AL284" s="8">
        <f t="shared" si="148"/>
        <v>0</v>
      </c>
      <c r="AM284" s="8">
        <v>96884</v>
      </c>
      <c r="AN284" s="8">
        <f t="shared" si="149"/>
        <v>0</v>
      </c>
      <c r="AO284" s="8">
        <v>651</v>
      </c>
      <c r="AP284" s="8">
        <f t="shared" si="150"/>
        <v>0</v>
      </c>
      <c r="AR284" s="8">
        <v>1890003</v>
      </c>
      <c r="AS284" s="8">
        <f t="shared" si="151"/>
        <v>27411</v>
      </c>
      <c r="AT284" s="8">
        <v>263088</v>
      </c>
      <c r="AU284" s="8">
        <f t="shared" si="152"/>
        <v>15043</v>
      </c>
      <c r="AV284" s="8">
        <v>44091</v>
      </c>
      <c r="AW284" s="8">
        <f t="shared" si="153"/>
        <v>-8677</v>
      </c>
      <c r="AX284" s="8">
        <f t="shared" si="128"/>
        <v>218997</v>
      </c>
      <c r="AY284" s="8">
        <f t="shared" si="154"/>
        <v>23720</v>
      </c>
      <c r="AZ284" s="8">
        <v>780049</v>
      </c>
      <c r="BA284" s="8">
        <f t="shared" si="155"/>
        <v>0</v>
      </c>
      <c r="BB284" s="8">
        <v>919759</v>
      </c>
      <c r="BC284" s="8">
        <f t="shared" si="156"/>
        <v>0</v>
      </c>
      <c r="BD284" s="8">
        <f t="shared" si="129"/>
        <v>-139710</v>
      </c>
      <c r="BE284" s="8">
        <f t="shared" si="157"/>
        <v>0</v>
      </c>
      <c r="BF284" s="8">
        <v>389215</v>
      </c>
      <c r="BG284" s="8">
        <f t="shared" si="158"/>
        <v>0</v>
      </c>
      <c r="BH284" s="8">
        <v>721432</v>
      </c>
      <c r="BI284" s="8">
        <f t="shared" si="159"/>
        <v>0</v>
      </c>
      <c r="BJ284" s="8">
        <f t="shared" si="130"/>
        <v>-332217</v>
      </c>
      <c r="BK284" s="8">
        <f t="shared" si="132"/>
        <v>0</v>
      </c>
    </row>
    <row r="285" spans="1:63">
      <c r="A285" s="5">
        <v>40862</v>
      </c>
      <c r="B285" s="8">
        <v>365937</v>
      </c>
      <c r="C285" s="8">
        <f t="shared" si="133"/>
        <v>-6556</v>
      </c>
      <c r="D285" s="8">
        <v>44965</v>
      </c>
      <c r="E285" s="8">
        <f t="shared" si="134"/>
        <v>4171</v>
      </c>
      <c r="F285" s="8">
        <v>48528</v>
      </c>
      <c r="G285" s="8">
        <f t="shared" si="135"/>
        <v>-6364</v>
      </c>
      <c r="H285" s="8">
        <v>-3563</v>
      </c>
      <c r="I285" s="8">
        <f t="shared" si="136"/>
        <v>10535</v>
      </c>
      <c r="J285" s="8">
        <v>199993</v>
      </c>
      <c r="K285" s="8">
        <f t="shared" si="137"/>
        <v>-21303</v>
      </c>
      <c r="L285" s="8">
        <v>190905</v>
      </c>
      <c r="M285" s="8">
        <f t="shared" si="138"/>
        <v>-9776</v>
      </c>
      <c r="N285" s="8">
        <v>9088</v>
      </c>
      <c r="O285" s="8">
        <f t="shared" si="139"/>
        <v>-11527</v>
      </c>
      <c r="P285" s="8">
        <v>116074</v>
      </c>
      <c r="Q285" s="8">
        <f t="shared" si="140"/>
        <v>-16834</v>
      </c>
      <c r="R285" s="8">
        <v>178807</v>
      </c>
      <c r="S285" s="8">
        <f t="shared" si="141"/>
        <v>-1672</v>
      </c>
      <c r="T285" s="8">
        <v>-62733</v>
      </c>
      <c r="U285" s="8">
        <f t="shared" si="142"/>
        <v>-15162</v>
      </c>
      <c r="W285" s="8">
        <v>243329</v>
      </c>
      <c r="X285" s="8">
        <f t="shared" si="143"/>
        <v>12578</v>
      </c>
      <c r="Y285" s="8">
        <v>25954</v>
      </c>
      <c r="Z285" s="8">
        <f t="shared" si="144"/>
        <v>-97</v>
      </c>
      <c r="AA285" s="8">
        <v>50144</v>
      </c>
      <c r="AB285" s="8">
        <f t="shared" si="131"/>
        <v>9253</v>
      </c>
      <c r="AC285" s="8">
        <v>-24190</v>
      </c>
      <c r="AD285" s="8">
        <f t="shared" si="131"/>
        <v>-9350</v>
      </c>
      <c r="AE285" s="8">
        <v>125735</v>
      </c>
      <c r="AF285" s="8">
        <f t="shared" si="145"/>
        <v>7661</v>
      </c>
      <c r="AG285" s="8">
        <v>98889</v>
      </c>
      <c r="AH285" s="8">
        <f t="shared" si="146"/>
        <v>-3324</v>
      </c>
      <c r="AI285" s="8">
        <v>26846</v>
      </c>
      <c r="AJ285" s="8">
        <f t="shared" si="147"/>
        <v>10985</v>
      </c>
      <c r="AK285" s="8">
        <v>106940</v>
      </c>
      <c r="AL285" s="8">
        <f t="shared" si="148"/>
        <v>9405</v>
      </c>
      <c r="AM285" s="8">
        <v>95190</v>
      </c>
      <c r="AN285" s="8">
        <f t="shared" si="149"/>
        <v>-1694</v>
      </c>
      <c r="AO285" s="8">
        <v>11750</v>
      </c>
      <c r="AP285" s="8">
        <f t="shared" si="150"/>
        <v>11099</v>
      </c>
      <c r="AR285" s="8">
        <v>1910946</v>
      </c>
      <c r="AS285" s="8">
        <f t="shared" si="151"/>
        <v>20943</v>
      </c>
      <c r="AT285" s="8">
        <v>254153</v>
      </c>
      <c r="AU285" s="8">
        <f t="shared" si="152"/>
        <v>-8935</v>
      </c>
      <c r="AV285" s="8">
        <v>56526</v>
      </c>
      <c r="AW285" s="8">
        <f t="shared" si="153"/>
        <v>12435</v>
      </c>
      <c r="AX285" s="8">
        <f t="shared" si="128"/>
        <v>197627</v>
      </c>
      <c r="AY285" s="8">
        <f t="shared" si="154"/>
        <v>-21370</v>
      </c>
      <c r="AZ285" s="8">
        <v>825639</v>
      </c>
      <c r="BA285" s="8">
        <f t="shared" si="155"/>
        <v>45590</v>
      </c>
      <c r="BB285" s="8">
        <v>976216</v>
      </c>
      <c r="BC285" s="8">
        <f t="shared" si="156"/>
        <v>56457</v>
      </c>
      <c r="BD285" s="8">
        <f t="shared" si="129"/>
        <v>-150577</v>
      </c>
      <c r="BE285" s="8">
        <f t="shared" si="157"/>
        <v>-10867</v>
      </c>
      <c r="BF285" s="8">
        <v>412707</v>
      </c>
      <c r="BG285" s="8">
        <f t="shared" si="158"/>
        <v>23492</v>
      </c>
      <c r="BH285" s="8">
        <v>763359</v>
      </c>
      <c r="BI285" s="8">
        <f t="shared" si="159"/>
        <v>41927</v>
      </c>
      <c r="BJ285" s="8">
        <f t="shared" si="130"/>
        <v>-350652</v>
      </c>
      <c r="BK285" s="8">
        <f t="shared" si="132"/>
        <v>-18435</v>
      </c>
    </row>
    <row r="286" spans="1:63">
      <c r="A286" s="5">
        <v>40869</v>
      </c>
      <c r="B286" s="8">
        <v>385822</v>
      </c>
      <c r="C286" s="8">
        <f t="shared" si="133"/>
        <v>19885</v>
      </c>
      <c r="D286" s="8">
        <v>38437</v>
      </c>
      <c r="E286" s="8">
        <f t="shared" si="134"/>
        <v>-6528</v>
      </c>
      <c r="F286" s="8">
        <v>55166</v>
      </c>
      <c r="G286" s="8">
        <f t="shared" si="135"/>
        <v>6638</v>
      </c>
      <c r="H286" s="8">
        <v>-16729</v>
      </c>
      <c r="I286" s="8">
        <f t="shared" si="136"/>
        <v>-13166</v>
      </c>
      <c r="J286" s="8">
        <v>222225</v>
      </c>
      <c r="K286" s="8">
        <f t="shared" si="137"/>
        <v>22232</v>
      </c>
      <c r="L286" s="8">
        <v>194977</v>
      </c>
      <c r="M286" s="8">
        <f t="shared" si="138"/>
        <v>4072</v>
      </c>
      <c r="N286" s="8">
        <v>27248</v>
      </c>
      <c r="O286" s="8">
        <f t="shared" si="139"/>
        <v>18160</v>
      </c>
      <c r="P286" s="8">
        <v>130821</v>
      </c>
      <c r="Q286" s="8">
        <f t="shared" si="140"/>
        <v>14747</v>
      </c>
      <c r="R286" s="8">
        <v>182670</v>
      </c>
      <c r="S286" s="8">
        <f t="shared" si="141"/>
        <v>3863</v>
      </c>
      <c r="T286" s="8">
        <v>-51849</v>
      </c>
      <c r="U286" s="8">
        <f t="shared" si="142"/>
        <v>10884</v>
      </c>
      <c r="W286" s="8">
        <v>245592</v>
      </c>
      <c r="X286" s="8">
        <f t="shared" si="143"/>
        <v>2263</v>
      </c>
      <c r="Y286" s="8">
        <v>22312</v>
      </c>
      <c r="Z286" s="8">
        <f t="shared" si="144"/>
        <v>-3642</v>
      </c>
      <c r="AA286" s="8">
        <v>50462</v>
      </c>
      <c r="AB286" s="8">
        <f t="shared" si="131"/>
        <v>318</v>
      </c>
      <c r="AC286" s="8">
        <v>-28150</v>
      </c>
      <c r="AD286" s="8">
        <f t="shared" si="131"/>
        <v>-3960</v>
      </c>
      <c r="AE286" s="8">
        <v>134340</v>
      </c>
      <c r="AF286" s="8">
        <f t="shared" si="145"/>
        <v>8605</v>
      </c>
      <c r="AG286" s="8">
        <v>100760</v>
      </c>
      <c r="AH286" s="8">
        <f t="shared" si="146"/>
        <v>1871</v>
      </c>
      <c r="AI286" s="8">
        <v>33580</v>
      </c>
      <c r="AJ286" s="8">
        <f t="shared" si="147"/>
        <v>6734</v>
      </c>
      <c r="AK286" s="8">
        <v>113033</v>
      </c>
      <c r="AL286" s="8">
        <f t="shared" si="148"/>
        <v>6093</v>
      </c>
      <c r="AM286" s="8">
        <v>95999</v>
      </c>
      <c r="AN286" s="8">
        <f t="shared" si="149"/>
        <v>809</v>
      </c>
      <c r="AO286" s="8">
        <v>17034</v>
      </c>
      <c r="AP286" s="8">
        <f t="shared" si="150"/>
        <v>5284</v>
      </c>
      <c r="AR286" s="8">
        <v>1897477</v>
      </c>
      <c r="AS286" s="8">
        <f t="shared" si="151"/>
        <v>-13469</v>
      </c>
      <c r="AT286" s="8">
        <v>223151</v>
      </c>
      <c r="AU286" s="8">
        <f t="shared" si="152"/>
        <v>-31002</v>
      </c>
      <c r="AV286" s="8">
        <v>74067</v>
      </c>
      <c r="AW286" s="8">
        <f t="shared" si="153"/>
        <v>17541</v>
      </c>
      <c r="AX286" s="8">
        <f t="shared" si="128"/>
        <v>149084</v>
      </c>
      <c r="AY286" s="8">
        <f t="shared" si="154"/>
        <v>-48543</v>
      </c>
      <c r="AZ286" s="8">
        <v>843365</v>
      </c>
      <c r="BA286" s="8">
        <f t="shared" si="155"/>
        <v>17726</v>
      </c>
      <c r="BB286" s="8">
        <v>920178</v>
      </c>
      <c r="BC286" s="8">
        <f t="shared" si="156"/>
        <v>-56038</v>
      </c>
      <c r="BD286" s="8">
        <f t="shared" si="129"/>
        <v>-76813</v>
      </c>
      <c r="BE286" s="8">
        <f t="shared" si="157"/>
        <v>73764</v>
      </c>
      <c r="BF286" s="8">
        <v>420106</v>
      </c>
      <c r="BG286" s="8">
        <f t="shared" si="158"/>
        <v>7399</v>
      </c>
      <c r="BH286" s="8">
        <v>730128</v>
      </c>
      <c r="BI286" s="8">
        <f t="shared" si="159"/>
        <v>-33231</v>
      </c>
      <c r="BJ286" s="8">
        <f t="shared" si="130"/>
        <v>-310022</v>
      </c>
      <c r="BK286" s="8">
        <f t="shared" si="132"/>
        <v>40630</v>
      </c>
    </row>
    <row r="287" spans="1:63">
      <c r="A287" s="5">
        <v>40876</v>
      </c>
      <c r="B287" s="8">
        <v>367164</v>
      </c>
      <c r="C287" s="8">
        <f t="shared" si="133"/>
        <v>-18658</v>
      </c>
      <c r="D287" s="8">
        <v>43080</v>
      </c>
      <c r="E287" s="8">
        <f t="shared" si="134"/>
        <v>4643</v>
      </c>
      <c r="F287" s="8">
        <v>57159</v>
      </c>
      <c r="G287" s="8">
        <f t="shared" si="135"/>
        <v>1993</v>
      </c>
      <c r="H287" s="8">
        <v>-14079</v>
      </c>
      <c r="I287" s="8">
        <f t="shared" si="136"/>
        <v>2650</v>
      </c>
      <c r="J287" s="8">
        <v>207558</v>
      </c>
      <c r="K287" s="8">
        <f t="shared" si="137"/>
        <v>-14667</v>
      </c>
      <c r="L287" s="8">
        <v>181045</v>
      </c>
      <c r="M287" s="8">
        <f t="shared" si="138"/>
        <v>-13932</v>
      </c>
      <c r="N287" s="8">
        <v>26513</v>
      </c>
      <c r="O287" s="8">
        <f t="shared" si="139"/>
        <v>-735</v>
      </c>
      <c r="P287" s="8">
        <v>118375</v>
      </c>
      <c r="Q287" s="8">
        <f t="shared" si="140"/>
        <v>-12446</v>
      </c>
      <c r="R287" s="8">
        <v>172208</v>
      </c>
      <c r="S287" s="8">
        <f t="shared" si="141"/>
        <v>-10462</v>
      </c>
      <c r="T287" s="8">
        <v>-53833</v>
      </c>
      <c r="U287" s="8">
        <f t="shared" si="142"/>
        <v>-1984</v>
      </c>
      <c r="W287" s="8">
        <v>228919</v>
      </c>
      <c r="X287" s="8">
        <f t="shared" si="143"/>
        <v>-16673</v>
      </c>
      <c r="Y287" s="8">
        <v>24903</v>
      </c>
      <c r="Z287" s="8">
        <f t="shared" si="144"/>
        <v>2591</v>
      </c>
      <c r="AA287" s="8">
        <v>47538</v>
      </c>
      <c r="AB287" s="8">
        <f t="shared" si="131"/>
        <v>-2924</v>
      </c>
      <c r="AC287" s="8">
        <v>-22635</v>
      </c>
      <c r="AD287" s="8">
        <f t="shared" si="131"/>
        <v>5515</v>
      </c>
      <c r="AE287" s="8">
        <v>124556</v>
      </c>
      <c r="AF287" s="8">
        <f t="shared" si="145"/>
        <v>-9784</v>
      </c>
      <c r="AG287" s="8">
        <v>92296</v>
      </c>
      <c r="AH287" s="8">
        <f t="shared" si="146"/>
        <v>-8464</v>
      </c>
      <c r="AI287" s="8">
        <v>32260</v>
      </c>
      <c r="AJ287" s="8">
        <f t="shared" si="147"/>
        <v>-1320</v>
      </c>
      <c r="AK287" s="8">
        <v>103349</v>
      </c>
      <c r="AL287" s="8">
        <f t="shared" si="148"/>
        <v>-9684</v>
      </c>
      <c r="AM287" s="8">
        <v>88422</v>
      </c>
      <c r="AN287" s="8">
        <f t="shared" si="149"/>
        <v>-7577</v>
      </c>
      <c r="AO287" s="8">
        <v>14927</v>
      </c>
      <c r="AP287" s="8">
        <f t="shared" si="150"/>
        <v>-2107</v>
      </c>
      <c r="AR287" s="8">
        <v>1479265</v>
      </c>
      <c r="AS287" s="8">
        <f t="shared" si="151"/>
        <v>-418212</v>
      </c>
      <c r="AT287" s="8">
        <v>217367</v>
      </c>
      <c r="AU287" s="8">
        <f t="shared" si="152"/>
        <v>-5784</v>
      </c>
      <c r="AV287" s="8">
        <v>76350</v>
      </c>
      <c r="AW287" s="8">
        <f t="shared" si="153"/>
        <v>2283</v>
      </c>
      <c r="AX287" s="8">
        <f t="shared" si="128"/>
        <v>141017</v>
      </c>
      <c r="AY287" s="8">
        <f t="shared" si="154"/>
        <v>-8067</v>
      </c>
      <c r="AZ287" s="8">
        <v>699928</v>
      </c>
      <c r="BA287" s="8">
        <f t="shared" si="155"/>
        <v>-143437</v>
      </c>
      <c r="BB287" s="8">
        <v>773098</v>
      </c>
      <c r="BC287" s="8">
        <f t="shared" si="156"/>
        <v>-147080</v>
      </c>
      <c r="BD287" s="8">
        <f t="shared" si="129"/>
        <v>-73170</v>
      </c>
      <c r="BE287" s="8">
        <f t="shared" si="157"/>
        <v>3643</v>
      </c>
      <c r="BF287" s="8">
        <v>336609</v>
      </c>
      <c r="BG287" s="8">
        <f t="shared" si="158"/>
        <v>-83497</v>
      </c>
      <c r="BH287" s="8">
        <v>666540</v>
      </c>
      <c r="BI287" s="8">
        <f t="shared" si="159"/>
        <v>-63588</v>
      </c>
      <c r="BJ287" s="8">
        <f t="shared" si="130"/>
        <v>-329931</v>
      </c>
      <c r="BK287" s="8">
        <f t="shared" si="132"/>
        <v>-19909</v>
      </c>
    </row>
    <row r="288" spans="1:63">
      <c r="A288" s="5">
        <v>40883</v>
      </c>
      <c r="B288" s="8">
        <v>362220</v>
      </c>
      <c r="C288" s="8">
        <f t="shared" si="133"/>
        <v>-4944</v>
      </c>
      <c r="D288" s="8">
        <v>47790</v>
      </c>
      <c r="E288" s="8">
        <f t="shared" si="134"/>
        <v>4710</v>
      </c>
      <c r="F288" s="8">
        <v>57639</v>
      </c>
      <c r="G288" s="8">
        <f t="shared" si="135"/>
        <v>480</v>
      </c>
      <c r="H288" s="8">
        <v>-9849</v>
      </c>
      <c r="I288" s="8">
        <f t="shared" si="136"/>
        <v>4230</v>
      </c>
      <c r="J288" s="8">
        <v>209139</v>
      </c>
      <c r="K288" s="8">
        <f t="shared" si="137"/>
        <v>1581</v>
      </c>
      <c r="L288" s="8">
        <v>186729</v>
      </c>
      <c r="M288" s="8">
        <f t="shared" si="138"/>
        <v>5684</v>
      </c>
      <c r="N288" s="8">
        <v>22410</v>
      </c>
      <c r="O288" s="8">
        <f t="shared" si="139"/>
        <v>-4103</v>
      </c>
      <c r="P288" s="8">
        <v>116573</v>
      </c>
      <c r="Q288" s="8">
        <f t="shared" si="140"/>
        <v>-1802</v>
      </c>
      <c r="R288" s="8">
        <v>172931</v>
      </c>
      <c r="S288" s="8">
        <f t="shared" si="141"/>
        <v>723</v>
      </c>
      <c r="T288" s="8">
        <v>-56358</v>
      </c>
      <c r="U288" s="8">
        <f t="shared" si="142"/>
        <v>-2525</v>
      </c>
      <c r="W288" s="8">
        <v>227677</v>
      </c>
      <c r="X288" s="8">
        <f t="shared" si="143"/>
        <v>-1242</v>
      </c>
      <c r="Y288" s="8">
        <v>24278</v>
      </c>
      <c r="Z288" s="8">
        <f t="shared" si="144"/>
        <v>-625</v>
      </c>
      <c r="AA288" s="8">
        <v>51419</v>
      </c>
      <c r="AB288" s="8">
        <f t="shared" si="131"/>
        <v>3881</v>
      </c>
      <c r="AC288" s="8">
        <v>-27141</v>
      </c>
      <c r="AD288" s="8">
        <f t="shared" si="131"/>
        <v>-4506</v>
      </c>
      <c r="AE288" s="8">
        <v>126946</v>
      </c>
      <c r="AF288" s="8">
        <f t="shared" si="145"/>
        <v>2390</v>
      </c>
      <c r="AG288" s="8">
        <v>91731</v>
      </c>
      <c r="AH288" s="8">
        <f t="shared" si="146"/>
        <v>-565</v>
      </c>
      <c r="AI288" s="8">
        <v>35215</v>
      </c>
      <c r="AJ288" s="8">
        <f t="shared" si="147"/>
        <v>2955</v>
      </c>
      <c r="AK288" s="8">
        <v>105012</v>
      </c>
      <c r="AL288" s="8">
        <f t="shared" si="148"/>
        <v>1663</v>
      </c>
      <c r="AM288" s="8">
        <v>85280</v>
      </c>
      <c r="AN288" s="8">
        <f t="shared" si="149"/>
        <v>-3142</v>
      </c>
      <c r="AO288" s="8">
        <v>19732</v>
      </c>
      <c r="AP288" s="8">
        <f t="shared" si="150"/>
        <v>4805</v>
      </c>
      <c r="AR288" s="8">
        <v>1499287</v>
      </c>
      <c r="AS288" s="8">
        <f t="shared" si="151"/>
        <v>20022</v>
      </c>
      <c r="AT288" s="8">
        <v>221572</v>
      </c>
      <c r="AU288" s="8">
        <f t="shared" si="152"/>
        <v>4205</v>
      </c>
      <c r="AV288" s="8">
        <v>95927</v>
      </c>
      <c r="AW288" s="8">
        <f t="shared" si="153"/>
        <v>19577</v>
      </c>
      <c r="AX288" s="8">
        <f t="shared" si="128"/>
        <v>125645</v>
      </c>
      <c r="AY288" s="8">
        <f t="shared" si="154"/>
        <v>-15372</v>
      </c>
      <c r="AZ288" s="8">
        <v>680945</v>
      </c>
      <c r="BA288" s="8">
        <f t="shared" si="155"/>
        <v>-18983</v>
      </c>
      <c r="BB288" s="8">
        <v>732533</v>
      </c>
      <c r="BC288" s="8">
        <f t="shared" si="156"/>
        <v>-40565</v>
      </c>
      <c r="BD288" s="8">
        <f t="shared" si="129"/>
        <v>-51588</v>
      </c>
      <c r="BE288" s="8">
        <f t="shared" si="157"/>
        <v>21582</v>
      </c>
      <c r="BF288" s="8">
        <v>319561</v>
      </c>
      <c r="BG288" s="8">
        <f t="shared" si="158"/>
        <v>-17048</v>
      </c>
      <c r="BH288" s="8">
        <v>623604</v>
      </c>
      <c r="BI288" s="8">
        <f t="shared" si="159"/>
        <v>-42936</v>
      </c>
      <c r="BJ288" s="8">
        <f t="shared" si="130"/>
        <v>-304043</v>
      </c>
      <c r="BK288" s="8">
        <f t="shared" si="132"/>
        <v>25888</v>
      </c>
    </row>
    <row r="289" spans="1:63">
      <c r="A289" s="5">
        <v>40890</v>
      </c>
      <c r="B289" s="8">
        <v>363495</v>
      </c>
      <c r="C289" s="8">
        <f t="shared" si="133"/>
        <v>1275</v>
      </c>
      <c r="D289" s="8">
        <v>47941</v>
      </c>
      <c r="E289" s="8">
        <f t="shared" si="134"/>
        <v>151</v>
      </c>
      <c r="F289" s="8">
        <v>57200</v>
      </c>
      <c r="G289" s="8">
        <f t="shared" si="135"/>
        <v>-439</v>
      </c>
      <c r="H289" s="8">
        <v>-9259</v>
      </c>
      <c r="I289" s="8">
        <f t="shared" si="136"/>
        <v>590</v>
      </c>
      <c r="J289" s="8">
        <v>205236</v>
      </c>
      <c r="K289" s="8">
        <f t="shared" si="137"/>
        <v>-3903</v>
      </c>
      <c r="L289" s="8">
        <v>185328</v>
      </c>
      <c r="M289" s="8">
        <f t="shared" si="138"/>
        <v>-1401</v>
      </c>
      <c r="N289" s="8">
        <v>19908</v>
      </c>
      <c r="O289" s="8">
        <f t="shared" si="139"/>
        <v>-2502</v>
      </c>
      <c r="P289" s="8">
        <v>111890</v>
      </c>
      <c r="Q289" s="8">
        <f t="shared" si="140"/>
        <v>-4683</v>
      </c>
      <c r="R289" s="8">
        <v>169187</v>
      </c>
      <c r="S289" s="8">
        <f t="shared" si="141"/>
        <v>-3744</v>
      </c>
      <c r="T289" s="8">
        <v>-57297</v>
      </c>
      <c r="U289" s="8">
        <f t="shared" si="142"/>
        <v>-939</v>
      </c>
      <c r="W289" s="8">
        <v>234500</v>
      </c>
      <c r="X289" s="8">
        <f t="shared" si="143"/>
        <v>6823</v>
      </c>
      <c r="Y289" s="8">
        <v>25366</v>
      </c>
      <c r="Z289" s="8">
        <f t="shared" si="144"/>
        <v>1088</v>
      </c>
      <c r="AA289" s="8">
        <v>52834</v>
      </c>
      <c r="AB289" s="8">
        <f t="shared" si="131"/>
        <v>1415</v>
      </c>
      <c r="AC289" s="8">
        <v>-27468</v>
      </c>
      <c r="AD289" s="8">
        <f t="shared" si="131"/>
        <v>-327</v>
      </c>
      <c r="AE289" s="8">
        <v>130392</v>
      </c>
      <c r="AF289" s="8">
        <f t="shared" si="145"/>
        <v>3446</v>
      </c>
      <c r="AG289" s="8">
        <v>95470</v>
      </c>
      <c r="AH289" s="8">
        <f t="shared" si="146"/>
        <v>3739</v>
      </c>
      <c r="AI289" s="8">
        <v>34922</v>
      </c>
      <c r="AJ289" s="8">
        <f t="shared" si="147"/>
        <v>-293</v>
      </c>
      <c r="AK289" s="8">
        <v>110424</v>
      </c>
      <c r="AL289" s="8">
        <f t="shared" si="148"/>
        <v>5412</v>
      </c>
      <c r="AM289" s="8">
        <v>89683</v>
      </c>
      <c r="AN289" s="8">
        <f t="shared" si="149"/>
        <v>4403</v>
      </c>
      <c r="AO289" s="8">
        <v>20741</v>
      </c>
      <c r="AP289" s="8">
        <f t="shared" si="150"/>
        <v>1009</v>
      </c>
      <c r="AR289" s="8">
        <v>1544339</v>
      </c>
      <c r="AS289" s="8">
        <f t="shared" si="151"/>
        <v>45052</v>
      </c>
      <c r="AT289" s="8">
        <v>232567</v>
      </c>
      <c r="AU289" s="8">
        <f t="shared" si="152"/>
        <v>10995</v>
      </c>
      <c r="AV289" s="8">
        <v>104901</v>
      </c>
      <c r="AW289" s="8">
        <f t="shared" si="153"/>
        <v>8974</v>
      </c>
      <c r="AX289" s="8">
        <f t="shared" si="128"/>
        <v>127666</v>
      </c>
      <c r="AY289" s="8">
        <f t="shared" si="154"/>
        <v>2021</v>
      </c>
      <c r="AZ289" s="8">
        <v>696142</v>
      </c>
      <c r="BA289" s="8">
        <f t="shared" si="155"/>
        <v>15197</v>
      </c>
      <c r="BB289" s="8">
        <v>735213</v>
      </c>
      <c r="BC289" s="8">
        <f t="shared" si="156"/>
        <v>2680</v>
      </c>
      <c r="BD289" s="8">
        <f t="shared" si="129"/>
        <v>-39071</v>
      </c>
      <c r="BE289" s="8">
        <f t="shared" si="157"/>
        <v>12517</v>
      </c>
      <c r="BF289" s="8">
        <v>324890</v>
      </c>
      <c r="BG289" s="8">
        <f t="shared" si="158"/>
        <v>5329</v>
      </c>
      <c r="BH289" s="8">
        <v>612046</v>
      </c>
      <c r="BI289" s="8">
        <f t="shared" si="159"/>
        <v>-11558</v>
      </c>
      <c r="BJ289" s="8">
        <f t="shared" si="130"/>
        <v>-287156</v>
      </c>
      <c r="BK289" s="8">
        <f t="shared" si="132"/>
        <v>16887</v>
      </c>
    </row>
    <row r="290" spans="1:63">
      <c r="A290" s="5">
        <v>40897</v>
      </c>
      <c r="B290" s="8">
        <v>354317</v>
      </c>
      <c r="C290" s="8">
        <f t="shared" si="133"/>
        <v>-9178</v>
      </c>
      <c r="D290" s="8">
        <v>48557</v>
      </c>
      <c r="E290" s="8">
        <f t="shared" si="134"/>
        <v>616</v>
      </c>
      <c r="F290" s="8">
        <v>59830</v>
      </c>
      <c r="G290" s="8">
        <f t="shared" si="135"/>
        <v>2630</v>
      </c>
      <c r="H290" s="8">
        <v>-11273</v>
      </c>
      <c r="I290" s="8">
        <f t="shared" si="136"/>
        <v>-2014</v>
      </c>
      <c r="J290" s="8">
        <v>192284</v>
      </c>
      <c r="K290" s="8">
        <f t="shared" si="137"/>
        <v>-12952</v>
      </c>
      <c r="L290" s="8">
        <v>175070</v>
      </c>
      <c r="M290" s="8">
        <f t="shared" si="138"/>
        <v>-10258</v>
      </c>
      <c r="N290" s="8">
        <v>17214</v>
      </c>
      <c r="O290" s="8">
        <f t="shared" si="139"/>
        <v>-2694</v>
      </c>
      <c r="P290" s="8">
        <v>103770</v>
      </c>
      <c r="Q290" s="8">
        <f t="shared" si="140"/>
        <v>-8120</v>
      </c>
      <c r="R290" s="8">
        <v>160785</v>
      </c>
      <c r="S290" s="8">
        <f t="shared" si="141"/>
        <v>-8402</v>
      </c>
      <c r="T290" s="8">
        <v>-57015</v>
      </c>
      <c r="U290" s="8">
        <f t="shared" si="142"/>
        <v>282</v>
      </c>
      <c r="W290" s="8">
        <v>226453</v>
      </c>
      <c r="X290" s="8">
        <f t="shared" si="143"/>
        <v>-8047</v>
      </c>
      <c r="Y290" s="8">
        <v>24607</v>
      </c>
      <c r="Z290" s="8">
        <f t="shared" si="144"/>
        <v>-759</v>
      </c>
      <c r="AA290" s="8">
        <v>47303</v>
      </c>
      <c r="AB290" s="8">
        <f t="shared" si="131"/>
        <v>-5531</v>
      </c>
      <c r="AC290" s="8">
        <v>-22696</v>
      </c>
      <c r="AD290" s="8">
        <f t="shared" si="131"/>
        <v>4772</v>
      </c>
      <c r="AE290" s="8">
        <v>125092</v>
      </c>
      <c r="AF290" s="8">
        <f t="shared" si="145"/>
        <v>-5300</v>
      </c>
      <c r="AG290" s="8">
        <v>97440</v>
      </c>
      <c r="AH290" s="8">
        <f t="shared" si="146"/>
        <v>1970</v>
      </c>
      <c r="AI290" s="8">
        <v>27652</v>
      </c>
      <c r="AJ290" s="8">
        <f t="shared" si="147"/>
        <v>-7270</v>
      </c>
      <c r="AK290" s="8">
        <v>104754</v>
      </c>
      <c r="AL290" s="8">
        <f t="shared" si="148"/>
        <v>-5670</v>
      </c>
      <c r="AM290" s="8">
        <v>92647</v>
      </c>
      <c r="AN290" s="8">
        <f t="shared" si="149"/>
        <v>2964</v>
      </c>
      <c r="AO290" s="8">
        <v>12107</v>
      </c>
      <c r="AP290" s="8">
        <f t="shared" si="150"/>
        <v>-8634</v>
      </c>
      <c r="AR290" s="8">
        <v>1568094</v>
      </c>
      <c r="AS290" s="8">
        <f t="shared" si="151"/>
        <v>23755</v>
      </c>
      <c r="AT290" s="8">
        <v>232921</v>
      </c>
      <c r="AU290" s="8">
        <f t="shared" si="152"/>
        <v>354</v>
      </c>
      <c r="AV290" s="8">
        <v>106460</v>
      </c>
      <c r="AW290" s="8">
        <f t="shared" si="153"/>
        <v>1559</v>
      </c>
      <c r="AX290" s="8">
        <f t="shared" si="128"/>
        <v>126461</v>
      </c>
      <c r="AY290" s="8">
        <f t="shared" si="154"/>
        <v>-1205</v>
      </c>
      <c r="AZ290" s="8">
        <v>693812</v>
      </c>
      <c r="BA290" s="8">
        <f t="shared" si="155"/>
        <v>-2330</v>
      </c>
      <c r="BB290" s="8">
        <v>727001</v>
      </c>
      <c r="BC290" s="8">
        <f t="shared" si="156"/>
        <v>-8212</v>
      </c>
      <c r="BD290" s="8">
        <f t="shared" si="129"/>
        <v>-33189</v>
      </c>
      <c r="BE290" s="8">
        <f t="shared" si="157"/>
        <v>5882</v>
      </c>
      <c r="BF290" s="8">
        <v>315719</v>
      </c>
      <c r="BG290" s="8">
        <f t="shared" si="158"/>
        <v>-9171</v>
      </c>
      <c r="BH290" s="8">
        <v>602980</v>
      </c>
      <c r="BI290" s="8">
        <f t="shared" si="159"/>
        <v>-9066</v>
      </c>
      <c r="BJ290" s="8">
        <f t="shared" si="130"/>
        <v>-287261</v>
      </c>
      <c r="BK290" s="8">
        <f t="shared" si="132"/>
        <v>-105</v>
      </c>
    </row>
    <row r="291" spans="1:63">
      <c r="A291" s="5">
        <v>40904</v>
      </c>
      <c r="B291" s="8">
        <v>334218</v>
      </c>
      <c r="C291" s="8">
        <f t="shared" si="133"/>
        <v>-20099</v>
      </c>
      <c r="D291" s="8">
        <v>46953</v>
      </c>
      <c r="E291" s="8">
        <f t="shared" si="134"/>
        <v>-1604</v>
      </c>
      <c r="F291" s="8">
        <v>49056</v>
      </c>
      <c r="G291" s="8">
        <f t="shared" si="135"/>
        <v>-10774</v>
      </c>
      <c r="H291" s="8">
        <v>-2103</v>
      </c>
      <c r="I291" s="8">
        <f t="shared" si="136"/>
        <v>9170</v>
      </c>
      <c r="J291" s="8">
        <v>179808</v>
      </c>
      <c r="K291" s="8">
        <f t="shared" si="137"/>
        <v>-12476</v>
      </c>
      <c r="L291" s="8">
        <v>173813</v>
      </c>
      <c r="M291" s="8">
        <f t="shared" si="138"/>
        <v>-1257</v>
      </c>
      <c r="N291" s="8">
        <v>5995</v>
      </c>
      <c r="O291" s="8">
        <f t="shared" si="139"/>
        <v>-11219</v>
      </c>
      <c r="P291" s="8">
        <v>87999</v>
      </c>
      <c r="Q291" s="8">
        <f t="shared" si="140"/>
        <v>-15771</v>
      </c>
      <c r="R291" s="8">
        <v>160616</v>
      </c>
      <c r="S291" s="8">
        <f t="shared" si="141"/>
        <v>-169</v>
      </c>
      <c r="T291" s="8">
        <v>-72617</v>
      </c>
      <c r="U291" s="8">
        <f t="shared" si="142"/>
        <v>-15602</v>
      </c>
      <c r="W291" s="8">
        <v>215864</v>
      </c>
      <c r="X291" s="8">
        <f t="shared" si="143"/>
        <v>-10589</v>
      </c>
      <c r="Y291" s="8">
        <v>26261</v>
      </c>
      <c r="Z291" s="8">
        <f t="shared" si="144"/>
        <v>1654</v>
      </c>
      <c r="AA291" s="8">
        <v>41493</v>
      </c>
      <c r="AB291" s="8">
        <f t="shared" si="131"/>
        <v>-5810</v>
      </c>
      <c r="AC291" s="8">
        <v>-15232</v>
      </c>
      <c r="AD291" s="8">
        <f t="shared" si="131"/>
        <v>7464</v>
      </c>
      <c r="AE291" s="8">
        <v>117257</v>
      </c>
      <c r="AF291" s="8">
        <f t="shared" si="145"/>
        <v>-7835</v>
      </c>
      <c r="AG291" s="8">
        <v>99156</v>
      </c>
      <c r="AH291" s="8">
        <f t="shared" si="146"/>
        <v>1716</v>
      </c>
      <c r="AI291" s="8">
        <v>18101</v>
      </c>
      <c r="AJ291" s="8">
        <f t="shared" si="147"/>
        <v>-9551</v>
      </c>
      <c r="AK291" s="8">
        <v>96647</v>
      </c>
      <c r="AL291" s="8">
        <f t="shared" si="148"/>
        <v>-8107</v>
      </c>
      <c r="AM291" s="8">
        <v>94697</v>
      </c>
      <c r="AN291" s="8">
        <f t="shared" si="149"/>
        <v>2050</v>
      </c>
      <c r="AO291" s="8">
        <v>1950</v>
      </c>
      <c r="AP291" s="8">
        <f t="shared" si="150"/>
        <v>-10157</v>
      </c>
      <c r="AR291" s="8">
        <v>1558918</v>
      </c>
      <c r="AS291" s="8">
        <f t="shared" si="151"/>
        <v>-9176</v>
      </c>
      <c r="AT291" s="8">
        <v>238201</v>
      </c>
      <c r="AU291" s="8">
        <f t="shared" si="152"/>
        <v>5280</v>
      </c>
      <c r="AV291" s="8">
        <v>89548</v>
      </c>
      <c r="AW291" s="8">
        <f t="shared" si="153"/>
        <v>-16912</v>
      </c>
      <c r="AX291" s="8">
        <f t="shared" si="128"/>
        <v>148653</v>
      </c>
      <c r="AY291" s="8">
        <f t="shared" si="154"/>
        <v>22192</v>
      </c>
      <c r="AZ291" s="8">
        <v>684203</v>
      </c>
      <c r="BA291" s="8">
        <f t="shared" si="155"/>
        <v>-9609</v>
      </c>
      <c r="BB291" s="8">
        <v>739135</v>
      </c>
      <c r="BC291" s="8">
        <f t="shared" si="156"/>
        <v>12134</v>
      </c>
      <c r="BD291" s="8">
        <f t="shared" si="129"/>
        <v>-54932</v>
      </c>
      <c r="BE291" s="8">
        <f t="shared" si="157"/>
        <v>-21743</v>
      </c>
      <c r="BF291" s="8">
        <v>300309</v>
      </c>
      <c r="BG291" s="8">
        <f t="shared" si="158"/>
        <v>-15410</v>
      </c>
      <c r="BH291" s="8">
        <v>609959</v>
      </c>
      <c r="BI291" s="8">
        <f t="shared" si="159"/>
        <v>6979</v>
      </c>
      <c r="BJ291" s="8">
        <f t="shared" si="130"/>
        <v>-309650</v>
      </c>
      <c r="BK291" s="8">
        <f t="shared" si="132"/>
        <v>-22389</v>
      </c>
    </row>
    <row r="292" spans="1:63">
      <c r="A292" s="5">
        <v>40911</v>
      </c>
      <c r="B292" s="8">
        <v>322173</v>
      </c>
      <c r="C292" s="8">
        <f t="shared" si="133"/>
        <v>-12045</v>
      </c>
      <c r="D292" s="8">
        <v>47288</v>
      </c>
      <c r="E292" s="8">
        <f t="shared" si="134"/>
        <v>335</v>
      </c>
      <c r="F292" s="8">
        <v>36556</v>
      </c>
      <c r="G292" s="8">
        <f t="shared" si="135"/>
        <v>-12500</v>
      </c>
      <c r="H292" s="8">
        <v>10732</v>
      </c>
      <c r="I292" s="8">
        <f t="shared" si="136"/>
        <v>12835</v>
      </c>
      <c r="J292" s="8">
        <v>167418</v>
      </c>
      <c r="K292" s="8">
        <f t="shared" si="137"/>
        <v>-12390</v>
      </c>
      <c r="L292" s="8">
        <v>173896</v>
      </c>
      <c r="M292" s="8">
        <f t="shared" si="138"/>
        <v>83</v>
      </c>
      <c r="N292" s="8">
        <v>-6478</v>
      </c>
      <c r="O292" s="8">
        <f t="shared" si="139"/>
        <v>-12473</v>
      </c>
      <c r="P292" s="8">
        <v>78958</v>
      </c>
      <c r="Q292" s="8">
        <f t="shared" si="140"/>
        <v>-9041</v>
      </c>
      <c r="R292" s="8">
        <v>163439</v>
      </c>
      <c r="S292" s="8">
        <f t="shared" si="141"/>
        <v>2823</v>
      </c>
      <c r="T292" s="8">
        <v>-84481</v>
      </c>
      <c r="U292" s="8">
        <f t="shared" si="142"/>
        <v>-11864</v>
      </c>
      <c r="W292" s="8">
        <v>215724</v>
      </c>
      <c r="X292" s="8">
        <f t="shared" si="143"/>
        <v>-140</v>
      </c>
      <c r="Y292" s="8">
        <v>26033</v>
      </c>
      <c r="Z292" s="8">
        <f t="shared" si="144"/>
        <v>-228</v>
      </c>
      <c r="AA292" s="8">
        <v>39484</v>
      </c>
      <c r="AB292" s="8">
        <f t="shared" si="131"/>
        <v>-2009</v>
      </c>
      <c r="AC292" s="8">
        <v>-13451</v>
      </c>
      <c r="AD292" s="8">
        <f t="shared" si="131"/>
        <v>1781</v>
      </c>
      <c r="AE292" s="8">
        <v>114820</v>
      </c>
      <c r="AF292" s="8">
        <f t="shared" si="145"/>
        <v>-2437</v>
      </c>
      <c r="AG292" s="8">
        <v>98482</v>
      </c>
      <c r="AH292" s="8">
        <f t="shared" si="146"/>
        <v>-674</v>
      </c>
      <c r="AI292" s="8">
        <v>16338</v>
      </c>
      <c r="AJ292" s="8">
        <f t="shared" si="147"/>
        <v>-1763</v>
      </c>
      <c r="AK292" s="8">
        <v>91888</v>
      </c>
      <c r="AL292" s="8">
        <f t="shared" si="148"/>
        <v>-4759</v>
      </c>
      <c r="AM292" s="8">
        <v>93000</v>
      </c>
      <c r="AN292" s="8">
        <f t="shared" si="149"/>
        <v>-1697</v>
      </c>
      <c r="AO292" s="8">
        <v>-1112</v>
      </c>
      <c r="AP292" s="8">
        <f t="shared" si="150"/>
        <v>-3062</v>
      </c>
      <c r="AR292" s="8">
        <v>1615568</v>
      </c>
      <c r="AS292" s="8">
        <f t="shared" si="151"/>
        <v>56650</v>
      </c>
      <c r="AT292" s="8">
        <v>253358</v>
      </c>
      <c r="AU292" s="8">
        <f t="shared" si="152"/>
        <v>15157</v>
      </c>
      <c r="AV292" s="8">
        <v>60858</v>
      </c>
      <c r="AW292" s="8">
        <f t="shared" si="153"/>
        <v>-28690</v>
      </c>
      <c r="AX292" s="8">
        <f t="shared" si="128"/>
        <v>192500</v>
      </c>
      <c r="AY292" s="8">
        <f t="shared" si="154"/>
        <v>43847</v>
      </c>
      <c r="AZ292" s="8">
        <v>687905</v>
      </c>
      <c r="BA292" s="8">
        <f t="shared" si="155"/>
        <v>3702</v>
      </c>
      <c r="BB292" s="8">
        <v>777710</v>
      </c>
      <c r="BC292" s="8">
        <f t="shared" si="156"/>
        <v>38575</v>
      </c>
      <c r="BD292" s="8">
        <f t="shared" si="129"/>
        <v>-89805</v>
      </c>
      <c r="BE292" s="8">
        <f t="shared" si="157"/>
        <v>-34873</v>
      </c>
      <c r="BF292" s="8">
        <v>299283</v>
      </c>
      <c r="BG292" s="8">
        <f t="shared" si="158"/>
        <v>-1026</v>
      </c>
      <c r="BH292" s="8">
        <v>643458</v>
      </c>
      <c r="BI292" s="8">
        <f t="shared" si="159"/>
        <v>33499</v>
      </c>
      <c r="BJ292" s="8">
        <f t="shared" si="130"/>
        <v>-344175</v>
      </c>
      <c r="BK292" s="8">
        <f t="shared" si="132"/>
        <v>-34525</v>
      </c>
    </row>
    <row r="293" spans="1:63">
      <c r="A293" s="5">
        <v>40918</v>
      </c>
      <c r="B293" s="8">
        <v>331673</v>
      </c>
      <c r="C293" s="8">
        <f t="shared" si="133"/>
        <v>9500</v>
      </c>
      <c r="D293" s="8">
        <v>51830</v>
      </c>
      <c r="E293" s="8">
        <f t="shared" si="134"/>
        <v>4542</v>
      </c>
      <c r="F293" s="8">
        <v>37233</v>
      </c>
      <c r="G293" s="8">
        <f t="shared" si="135"/>
        <v>677</v>
      </c>
      <c r="H293" s="8">
        <v>14597</v>
      </c>
      <c r="I293" s="8">
        <f t="shared" si="136"/>
        <v>3865</v>
      </c>
      <c r="J293" s="8">
        <v>169874</v>
      </c>
      <c r="K293" s="8">
        <f t="shared" si="137"/>
        <v>2456</v>
      </c>
      <c r="L293" s="8">
        <v>182464</v>
      </c>
      <c r="M293" s="8">
        <f t="shared" si="138"/>
        <v>8568</v>
      </c>
      <c r="N293" s="8">
        <v>-12590</v>
      </c>
      <c r="O293" s="8">
        <f t="shared" si="139"/>
        <v>-6112</v>
      </c>
      <c r="P293" s="8">
        <v>77157</v>
      </c>
      <c r="Q293" s="8">
        <f t="shared" si="140"/>
        <v>-1801</v>
      </c>
      <c r="R293" s="8">
        <v>171176</v>
      </c>
      <c r="S293" s="8">
        <f t="shared" si="141"/>
        <v>7737</v>
      </c>
      <c r="T293" s="8">
        <v>-94019</v>
      </c>
      <c r="U293" s="8">
        <f t="shared" si="142"/>
        <v>-9538</v>
      </c>
      <c r="W293" s="8">
        <v>207279</v>
      </c>
      <c r="X293" s="8">
        <f t="shared" si="143"/>
        <v>-8445</v>
      </c>
      <c r="Y293" s="8">
        <v>27099</v>
      </c>
      <c r="Z293" s="8">
        <f t="shared" si="144"/>
        <v>1066</v>
      </c>
      <c r="AA293" s="8">
        <v>34671</v>
      </c>
      <c r="AB293" s="8">
        <f t="shared" si="131"/>
        <v>-4813</v>
      </c>
      <c r="AC293" s="8">
        <v>-7572</v>
      </c>
      <c r="AD293" s="8">
        <f t="shared" si="131"/>
        <v>5879</v>
      </c>
      <c r="AE293" s="8">
        <v>110020</v>
      </c>
      <c r="AF293" s="8">
        <f t="shared" si="145"/>
        <v>-4800</v>
      </c>
      <c r="AG293" s="8">
        <v>102825</v>
      </c>
      <c r="AH293" s="8">
        <f t="shared" si="146"/>
        <v>4343</v>
      </c>
      <c r="AI293" s="8">
        <v>7195</v>
      </c>
      <c r="AJ293" s="8">
        <f t="shared" si="147"/>
        <v>-9143</v>
      </c>
      <c r="AK293" s="8">
        <v>85989</v>
      </c>
      <c r="AL293" s="8">
        <f t="shared" si="148"/>
        <v>-5899</v>
      </c>
      <c r="AM293" s="8">
        <v>97141</v>
      </c>
      <c r="AN293" s="8">
        <f t="shared" si="149"/>
        <v>4141</v>
      </c>
      <c r="AO293" s="8">
        <v>-11152</v>
      </c>
      <c r="AP293" s="8">
        <f t="shared" si="150"/>
        <v>-10040</v>
      </c>
      <c r="AR293" s="8">
        <v>1675585</v>
      </c>
      <c r="AS293" s="8">
        <f t="shared" si="151"/>
        <v>60017</v>
      </c>
      <c r="AT293" s="8">
        <v>277247</v>
      </c>
      <c r="AU293" s="8">
        <f t="shared" si="152"/>
        <v>23889</v>
      </c>
      <c r="AV293" s="8">
        <v>53495</v>
      </c>
      <c r="AW293" s="8">
        <f t="shared" si="153"/>
        <v>-7363</v>
      </c>
      <c r="AX293" s="8">
        <f t="shared" si="128"/>
        <v>223752</v>
      </c>
      <c r="AY293" s="8">
        <f t="shared" si="154"/>
        <v>31252</v>
      </c>
      <c r="AZ293" s="8">
        <v>689186</v>
      </c>
      <c r="BA293" s="8">
        <f t="shared" si="155"/>
        <v>1281</v>
      </c>
      <c r="BB293" s="8">
        <v>810600</v>
      </c>
      <c r="BC293" s="8">
        <f t="shared" si="156"/>
        <v>32890</v>
      </c>
      <c r="BD293" s="8">
        <f t="shared" si="129"/>
        <v>-121414</v>
      </c>
      <c r="BE293" s="8">
        <f t="shared" si="157"/>
        <v>-31609</v>
      </c>
      <c r="BF293" s="8">
        <v>306286</v>
      </c>
      <c r="BG293" s="8">
        <f t="shared" si="158"/>
        <v>7003</v>
      </c>
      <c r="BH293" s="8">
        <v>678712</v>
      </c>
      <c r="BI293" s="8">
        <f t="shared" si="159"/>
        <v>35254</v>
      </c>
      <c r="BJ293" s="8">
        <f t="shared" si="130"/>
        <v>-372426</v>
      </c>
      <c r="BK293" s="8">
        <f t="shared" si="132"/>
        <v>-28251</v>
      </c>
    </row>
    <row r="294" spans="1:63">
      <c r="A294" s="5">
        <v>40925</v>
      </c>
      <c r="B294" s="8">
        <v>345511</v>
      </c>
      <c r="C294" s="8">
        <f t="shared" si="133"/>
        <v>13838</v>
      </c>
      <c r="D294" s="8">
        <v>43228</v>
      </c>
      <c r="E294" s="8">
        <f t="shared" si="134"/>
        <v>-8602</v>
      </c>
      <c r="F294" s="8">
        <v>50757</v>
      </c>
      <c r="G294" s="8">
        <f t="shared" si="135"/>
        <v>13524</v>
      </c>
      <c r="H294" s="8">
        <v>-7529</v>
      </c>
      <c r="I294" s="8">
        <f t="shared" si="136"/>
        <v>-22126</v>
      </c>
      <c r="J294" s="8">
        <v>195302</v>
      </c>
      <c r="K294" s="8">
        <f t="shared" si="137"/>
        <v>25428</v>
      </c>
      <c r="L294" s="8">
        <v>182649</v>
      </c>
      <c r="M294" s="8">
        <f t="shared" si="138"/>
        <v>185</v>
      </c>
      <c r="N294" s="8">
        <v>12653</v>
      </c>
      <c r="O294" s="8">
        <f t="shared" si="139"/>
        <v>25243</v>
      </c>
      <c r="P294" s="8">
        <v>92634</v>
      </c>
      <c r="Q294" s="8">
        <f t="shared" si="140"/>
        <v>15477</v>
      </c>
      <c r="R294" s="8">
        <v>169135</v>
      </c>
      <c r="S294" s="8">
        <f t="shared" si="141"/>
        <v>-2041</v>
      </c>
      <c r="T294" s="8">
        <v>-76501</v>
      </c>
      <c r="U294" s="8">
        <f t="shared" si="142"/>
        <v>17518</v>
      </c>
      <c r="W294" s="8">
        <v>214613</v>
      </c>
      <c r="X294" s="8">
        <f t="shared" si="143"/>
        <v>7334</v>
      </c>
      <c r="Y294" s="8">
        <v>25844</v>
      </c>
      <c r="Z294" s="8">
        <f t="shared" si="144"/>
        <v>-1255</v>
      </c>
      <c r="AA294" s="8">
        <v>39767</v>
      </c>
      <c r="AB294" s="8">
        <f t="shared" si="131"/>
        <v>5096</v>
      </c>
      <c r="AC294" s="8">
        <v>-13923</v>
      </c>
      <c r="AD294" s="8">
        <f t="shared" si="131"/>
        <v>-6351</v>
      </c>
      <c r="AE294" s="8">
        <v>120187</v>
      </c>
      <c r="AF294" s="8">
        <f t="shared" si="145"/>
        <v>10167</v>
      </c>
      <c r="AG294" s="8">
        <v>103704</v>
      </c>
      <c r="AH294" s="8">
        <f t="shared" si="146"/>
        <v>879</v>
      </c>
      <c r="AI294" s="8">
        <v>16483</v>
      </c>
      <c r="AJ294" s="8">
        <f t="shared" si="147"/>
        <v>9288</v>
      </c>
      <c r="AK294" s="8">
        <v>96334</v>
      </c>
      <c r="AL294" s="8">
        <f t="shared" si="148"/>
        <v>10345</v>
      </c>
      <c r="AM294" s="8">
        <v>98874</v>
      </c>
      <c r="AN294" s="8">
        <f t="shared" si="149"/>
        <v>1733</v>
      </c>
      <c r="AO294" s="8">
        <v>-2540</v>
      </c>
      <c r="AP294" s="8">
        <f t="shared" si="150"/>
        <v>8612</v>
      </c>
      <c r="AR294" s="8">
        <v>1659403</v>
      </c>
      <c r="AS294" s="8">
        <f t="shared" si="151"/>
        <v>-16182</v>
      </c>
      <c r="AT294" s="8">
        <v>252488</v>
      </c>
      <c r="AU294" s="8">
        <f t="shared" si="152"/>
        <v>-24759</v>
      </c>
      <c r="AV294" s="8">
        <v>76179</v>
      </c>
      <c r="AW294" s="8">
        <f t="shared" si="153"/>
        <v>22684</v>
      </c>
      <c r="AX294" s="8">
        <f t="shared" si="128"/>
        <v>176309</v>
      </c>
      <c r="AY294" s="8">
        <f t="shared" si="154"/>
        <v>-47443</v>
      </c>
      <c r="AZ294" s="8">
        <v>676044</v>
      </c>
      <c r="BA294" s="8">
        <f t="shared" si="155"/>
        <v>-13142</v>
      </c>
      <c r="BB294" s="8">
        <v>761124</v>
      </c>
      <c r="BC294" s="8">
        <f t="shared" si="156"/>
        <v>-49476</v>
      </c>
      <c r="BD294" s="8">
        <f t="shared" si="129"/>
        <v>-85080</v>
      </c>
      <c r="BE294" s="8">
        <f t="shared" si="157"/>
        <v>36334</v>
      </c>
      <c r="BF294" s="8">
        <v>307229</v>
      </c>
      <c r="BG294" s="8">
        <f t="shared" si="158"/>
        <v>943</v>
      </c>
      <c r="BH294" s="8">
        <v>632819</v>
      </c>
      <c r="BI294" s="8">
        <f t="shared" si="159"/>
        <v>-45893</v>
      </c>
      <c r="BJ294" s="8">
        <f t="shared" si="130"/>
        <v>-325590</v>
      </c>
      <c r="BK294" s="8">
        <f t="shared" si="132"/>
        <v>46836</v>
      </c>
    </row>
    <row r="295" spans="1:63">
      <c r="A295" s="5">
        <v>40932</v>
      </c>
      <c r="B295" s="8">
        <v>366993</v>
      </c>
      <c r="C295" s="8">
        <f t="shared" si="133"/>
        <v>21482</v>
      </c>
      <c r="D295" s="8">
        <v>49951</v>
      </c>
      <c r="E295" s="8">
        <f t="shared" si="134"/>
        <v>6723</v>
      </c>
      <c r="F295" s="8">
        <v>62710</v>
      </c>
      <c r="G295" s="8">
        <f t="shared" si="135"/>
        <v>11953</v>
      </c>
      <c r="H295" s="8">
        <v>-12759</v>
      </c>
      <c r="I295" s="8">
        <f t="shared" si="136"/>
        <v>-5230</v>
      </c>
      <c r="J295" s="8">
        <v>199015</v>
      </c>
      <c r="K295" s="8">
        <f t="shared" si="137"/>
        <v>3713</v>
      </c>
      <c r="L295" s="8">
        <v>188919</v>
      </c>
      <c r="M295" s="8">
        <f t="shared" si="138"/>
        <v>6270</v>
      </c>
      <c r="N295" s="8">
        <v>10096</v>
      </c>
      <c r="O295" s="8">
        <f t="shared" si="139"/>
        <v>-2557</v>
      </c>
      <c r="P295" s="8">
        <v>93573</v>
      </c>
      <c r="Q295" s="8">
        <f t="shared" si="140"/>
        <v>939</v>
      </c>
      <c r="R295" s="8">
        <v>173769</v>
      </c>
      <c r="S295" s="8">
        <f t="shared" si="141"/>
        <v>4634</v>
      </c>
      <c r="T295" s="8">
        <v>-80196</v>
      </c>
      <c r="U295" s="8">
        <f t="shared" si="142"/>
        <v>-3695</v>
      </c>
      <c r="W295" s="8">
        <v>227407</v>
      </c>
      <c r="X295" s="8">
        <f t="shared" si="143"/>
        <v>12794</v>
      </c>
      <c r="Y295" s="8">
        <v>29037</v>
      </c>
      <c r="Z295" s="8">
        <f t="shared" si="144"/>
        <v>3193</v>
      </c>
      <c r="AA295" s="8">
        <v>38014</v>
      </c>
      <c r="AB295" s="8">
        <f t="shared" si="131"/>
        <v>-1753</v>
      </c>
      <c r="AC295" s="8">
        <v>-8977</v>
      </c>
      <c r="AD295" s="8">
        <f t="shared" si="131"/>
        <v>4946</v>
      </c>
      <c r="AE295" s="8">
        <v>123469</v>
      </c>
      <c r="AF295" s="8">
        <f t="shared" si="145"/>
        <v>3282</v>
      </c>
      <c r="AG295" s="8">
        <v>117598</v>
      </c>
      <c r="AH295" s="8">
        <f t="shared" si="146"/>
        <v>13894</v>
      </c>
      <c r="AI295" s="8">
        <v>5871</v>
      </c>
      <c r="AJ295" s="8">
        <f t="shared" si="147"/>
        <v>-10612</v>
      </c>
      <c r="AK295" s="8">
        <v>97917</v>
      </c>
      <c r="AL295" s="8">
        <f t="shared" si="148"/>
        <v>1583</v>
      </c>
      <c r="AM295" s="8">
        <v>110939</v>
      </c>
      <c r="AN295" s="8">
        <f t="shared" si="149"/>
        <v>12065</v>
      </c>
      <c r="AO295" s="8">
        <v>-13022</v>
      </c>
      <c r="AP295" s="8">
        <f t="shared" si="150"/>
        <v>-10482</v>
      </c>
      <c r="AR295" s="8">
        <v>1689901</v>
      </c>
      <c r="AS295" s="8">
        <f t="shared" si="151"/>
        <v>30498</v>
      </c>
      <c r="AT295" s="8">
        <v>258474</v>
      </c>
      <c r="AU295" s="8">
        <f t="shared" si="152"/>
        <v>5986</v>
      </c>
      <c r="AV295" s="8">
        <v>96647</v>
      </c>
      <c r="AW295" s="8">
        <f t="shared" si="153"/>
        <v>20468</v>
      </c>
      <c r="AX295" s="8">
        <f t="shared" si="128"/>
        <v>161827</v>
      </c>
      <c r="AY295" s="8">
        <f t="shared" si="154"/>
        <v>-14482</v>
      </c>
      <c r="AZ295" s="8">
        <v>688088</v>
      </c>
      <c r="BA295" s="8">
        <f t="shared" si="155"/>
        <v>12044</v>
      </c>
      <c r="BB295" s="8">
        <v>758818</v>
      </c>
      <c r="BC295" s="8">
        <f t="shared" si="156"/>
        <v>-2306</v>
      </c>
      <c r="BD295" s="8">
        <f t="shared" si="129"/>
        <v>-70730</v>
      </c>
      <c r="BE295" s="8">
        <f t="shared" si="157"/>
        <v>14350</v>
      </c>
      <c r="BF295" s="8">
        <v>316517</v>
      </c>
      <c r="BG295" s="8">
        <f t="shared" si="158"/>
        <v>9288</v>
      </c>
      <c r="BH295" s="8">
        <v>627524</v>
      </c>
      <c r="BI295" s="8">
        <f t="shared" si="159"/>
        <v>-5295</v>
      </c>
      <c r="BJ295" s="8">
        <f t="shared" si="130"/>
        <v>-311007</v>
      </c>
      <c r="BK295" s="8">
        <f t="shared" si="132"/>
        <v>14583</v>
      </c>
    </row>
    <row r="296" spans="1:63">
      <c r="A296" s="5">
        <v>40939</v>
      </c>
      <c r="B296" s="8">
        <v>376334</v>
      </c>
      <c r="C296" s="8">
        <f t="shared" si="133"/>
        <v>9341</v>
      </c>
      <c r="D296" s="8">
        <v>49819</v>
      </c>
      <c r="E296" s="8">
        <f t="shared" si="134"/>
        <v>-132</v>
      </c>
      <c r="F296" s="8">
        <v>67169</v>
      </c>
      <c r="G296" s="8">
        <f t="shared" si="135"/>
        <v>4459</v>
      </c>
      <c r="H296" s="8">
        <v>-17350</v>
      </c>
      <c r="I296" s="8">
        <f t="shared" si="136"/>
        <v>-4591</v>
      </c>
      <c r="J296" s="8">
        <v>205324</v>
      </c>
      <c r="K296" s="8">
        <f t="shared" si="137"/>
        <v>6309</v>
      </c>
      <c r="L296" s="8">
        <v>188655</v>
      </c>
      <c r="M296" s="8">
        <f t="shared" si="138"/>
        <v>-264</v>
      </c>
      <c r="N296" s="8">
        <v>16669</v>
      </c>
      <c r="O296" s="8">
        <f t="shared" si="139"/>
        <v>6573</v>
      </c>
      <c r="P296" s="8">
        <v>97513</v>
      </c>
      <c r="Q296" s="8">
        <f t="shared" si="140"/>
        <v>3940</v>
      </c>
      <c r="R296" s="8">
        <v>172271</v>
      </c>
      <c r="S296" s="8">
        <f t="shared" si="141"/>
        <v>-1498</v>
      </c>
      <c r="T296" s="8">
        <v>-74758</v>
      </c>
      <c r="U296" s="8">
        <f t="shared" si="142"/>
        <v>5438</v>
      </c>
      <c r="W296" s="8">
        <v>228493</v>
      </c>
      <c r="X296" s="8">
        <f t="shared" si="143"/>
        <v>1086</v>
      </c>
      <c r="Y296" s="8">
        <v>30238</v>
      </c>
      <c r="Z296" s="8">
        <f t="shared" si="144"/>
        <v>1201</v>
      </c>
      <c r="AA296" s="8">
        <v>35953</v>
      </c>
      <c r="AB296" s="8">
        <f t="shared" si="131"/>
        <v>-2061</v>
      </c>
      <c r="AC296" s="8">
        <v>-5715</v>
      </c>
      <c r="AD296" s="8">
        <f t="shared" si="131"/>
        <v>3262</v>
      </c>
      <c r="AE296" s="8">
        <v>121824</v>
      </c>
      <c r="AF296" s="8">
        <f t="shared" si="145"/>
        <v>-1645</v>
      </c>
      <c r="AG296" s="8">
        <v>116454</v>
      </c>
      <c r="AH296" s="8">
        <f t="shared" si="146"/>
        <v>-1144</v>
      </c>
      <c r="AI296" s="8">
        <v>5370</v>
      </c>
      <c r="AJ296" s="8">
        <f t="shared" si="147"/>
        <v>-501</v>
      </c>
      <c r="AK296" s="8">
        <v>95548</v>
      </c>
      <c r="AL296" s="8">
        <f t="shared" si="148"/>
        <v>-2369</v>
      </c>
      <c r="AM296" s="8">
        <v>108459</v>
      </c>
      <c r="AN296" s="8">
        <f t="shared" si="149"/>
        <v>-2480</v>
      </c>
      <c r="AO296" s="8">
        <v>-12911</v>
      </c>
      <c r="AP296" s="8">
        <f t="shared" si="150"/>
        <v>111</v>
      </c>
      <c r="AR296" s="8">
        <v>1676757</v>
      </c>
      <c r="AS296" s="8">
        <f t="shared" si="151"/>
        <v>-13144</v>
      </c>
      <c r="AT296" s="8">
        <v>276112</v>
      </c>
      <c r="AU296" s="8">
        <f t="shared" si="152"/>
        <v>17638</v>
      </c>
      <c r="AV296" s="8">
        <v>86066</v>
      </c>
      <c r="AW296" s="8">
        <f t="shared" si="153"/>
        <v>-10581</v>
      </c>
      <c r="AX296" s="8">
        <f t="shared" si="128"/>
        <v>190046</v>
      </c>
      <c r="AY296" s="8">
        <f t="shared" si="154"/>
        <v>28219</v>
      </c>
      <c r="AZ296" s="8">
        <v>694286</v>
      </c>
      <c r="BA296" s="8">
        <f t="shared" si="155"/>
        <v>6198</v>
      </c>
      <c r="BB296" s="8">
        <v>791155</v>
      </c>
      <c r="BC296" s="8">
        <f t="shared" si="156"/>
        <v>32337</v>
      </c>
      <c r="BD296" s="8">
        <f t="shared" si="129"/>
        <v>-96869</v>
      </c>
      <c r="BE296" s="8">
        <f t="shared" si="157"/>
        <v>-26139</v>
      </c>
      <c r="BF296" s="8">
        <v>316661</v>
      </c>
      <c r="BG296" s="8">
        <f t="shared" si="158"/>
        <v>144</v>
      </c>
      <c r="BH296" s="8">
        <v>654948</v>
      </c>
      <c r="BI296" s="8">
        <f t="shared" si="159"/>
        <v>27424</v>
      </c>
      <c r="BJ296" s="8">
        <f t="shared" si="130"/>
        <v>-338287</v>
      </c>
      <c r="BK296" s="8">
        <f t="shared" si="132"/>
        <v>-27280</v>
      </c>
    </row>
    <row r="297" spans="1:63">
      <c r="A297" s="5">
        <v>40946</v>
      </c>
      <c r="B297" s="8">
        <v>369025</v>
      </c>
      <c r="C297" s="8">
        <f t="shared" si="133"/>
        <v>-7309</v>
      </c>
      <c r="D297" s="8">
        <v>53246</v>
      </c>
      <c r="E297" s="8">
        <f t="shared" si="134"/>
        <v>3427</v>
      </c>
      <c r="F297" s="8">
        <v>55751</v>
      </c>
      <c r="G297" s="8">
        <f t="shared" si="135"/>
        <v>-11418</v>
      </c>
      <c r="H297" s="8">
        <v>-2505</v>
      </c>
      <c r="I297" s="8">
        <f t="shared" si="136"/>
        <v>14845</v>
      </c>
      <c r="J297" s="8">
        <v>192982</v>
      </c>
      <c r="K297" s="8">
        <f t="shared" si="137"/>
        <v>-12342</v>
      </c>
      <c r="L297" s="8">
        <v>196894</v>
      </c>
      <c r="M297" s="8">
        <f t="shared" si="138"/>
        <v>8239</v>
      </c>
      <c r="N297" s="8">
        <v>-3912</v>
      </c>
      <c r="O297" s="8">
        <f t="shared" si="139"/>
        <v>-20581</v>
      </c>
      <c r="P297" s="8">
        <v>87440</v>
      </c>
      <c r="Q297" s="8">
        <f t="shared" si="140"/>
        <v>-10073</v>
      </c>
      <c r="R297" s="8">
        <v>180315</v>
      </c>
      <c r="S297" s="8">
        <f t="shared" si="141"/>
        <v>8044</v>
      </c>
      <c r="T297" s="8">
        <v>-92875</v>
      </c>
      <c r="U297" s="8">
        <f t="shared" si="142"/>
        <v>-18117</v>
      </c>
      <c r="W297" s="8">
        <v>215651</v>
      </c>
      <c r="X297" s="8">
        <f t="shared" si="143"/>
        <v>-12842</v>
      </c>
      <c r="Y297" s="8">
        <v>33403</v>
      </c>
      <c r="Z297" s="8">
        <f t="shared" si="144"/>
        <v>3165</v>
      </c>
      <c r="AA297" s="8">
        <v>30842</v>
      </c>
      <c r="AB297" s="8">
        <f t="shared" si="131"/>
        <v>-5111</v>
      </c>
      <c r="AC297" s="8">
        <v>2561</v>
      </c>
      <c r="AD297" s="8">
        <f t="shared" si="131"/>
        <v>8276</v>
      </c>
      <c r="AE297" s="8">
        <v>103603</v>
      </c>
      <c r="AF297" s="8">
        <f t="shared" si="145"/>
        <v>-18221</v>
      </c>
      <c r="AG297" s="8">
        <v>109846</v>
      </c>
      <c r="AH297" s="8">
        <f t="shared" si="146"/>
        <v>-6608</v>
      </c>
      <c r="AI297" s="8">
        <v>-6243</v>
      </c>
      <c r="AJ297" s="8">
        <f t="shared" si="147"/>
        <v>-11613</v>
      </c>
      <c r="AK297" s="8">
        <v>77916</v>
      </c>
      <c r="AL297" s="8">
        <f t="shared" si="148"/>
        <v>-17632</v>
      </c>
      <c r="AM297" s="8">
        <v>101752</v>
      </c>
      <c r="AN297" s="8">
        <f t="shared" si="149"/>
        <v>-6707</v>
      </c>
      <c r="AO297" s="8">
        <v>-23836</v>
      </c>
      <c r="AP297" s="8">
        <f t="shared" si="150"/>
        <v>-10925</v>
      </c>
      <c r="AR297" s="8">
        <v>1737986</v>
      </c>
      <c r="AS297" s="8">
        <f t="shared" si="151"/>
        <v>61229</v>
      </c>
      <c r="AT297" s="8">
        <v>294984</v>
      </c>
      <c r="AU297" s="8">
        <f t="shared" si="152"/>
        <v>18872</v>
      </c>
      <c r="AV297" s="8">
        <v>84900</v>
      </c>
      <c r="AW297" s="8">
        <f t="shared" si="153"/>
        <v>-1166</v>
      </c>
      <c r="AX297" s="8">
        <f t="shared" si="128"/>
        <v>210084</v>
      </c>
      <c r="AY297" s="8">
        <f t="shared" si="154"/>
        <v>20038</v>
      </c>
      <c r="AZ297" s="8">
        <v>707512</v>
      </c>
      <c r="BA297" s="8">
        <f t="shared" si="155"/>
        <v>13226</v>
      </c>
      <c r="BB297" s="8">
        <v>814761</v>
      </c>
      <c r="BC297" s="8">
        <f t="shared" si="156"/>
        <v>23606</v>
      </c>
      <c r="BD297" s="8">
        <f t="shared" si="129"/>
        <v>-107249</v>
      </c>
      <c r="BE297" s="8">
        <f t="shared" si="157"/>
        <v>-10380</v>
      </c>
      <c r="BF297" s="8">
        <v>329351</v>
      </c>
      <c r="BG297" s="8">
        <f t="shared" si="158"/>
        <v>12690</v>
      </c>
      <c r="BH297" s="8">
        <v>676689</v>
      </c>
      <c r="BI297" s="8">
        <f t="shared" si="159"/>
        <v>21741</v>
      </c>
      <c r="BJ297" s="8">
        <f t="shared" si="130"/>
        <v>-347338</v>
      </c>
      <c r="BK297" s="8">
        <f t="shared" si="132"/>
        <v>-9051</v>
      </c>
    </row>
    <row r="298" spans="1:63">
      <c r="A298" s="5">
        <v>40953</v>
      </c>
      <c r="B298" s="8">
        <v>371970</v>
      </c>
      <c r="C298" s="8">
        <f t="shared" si="133"/>
        <v>2945</v>
      </c>
      <c r="D298" s="8">
        <v>57049</v>
      </c>
      <c r="E298" s="8">
        <f t="shared" si="134"/>
        <v>3803</v>
      </c>
      <c r="F298" s="8">
        <v>42954</v>
      </c>
      <c r="G298" s="8">
        <f t="shared" si="135"/>
        <v>-12797</v>
      </c>
      <c r="H298" s="8">
        <v>14095</v>
      </c>
      <c r="I298" s="8">
        <f t="shared" si="136"/>
        <v>16600</v>
      </c>
      <c r="J298" s="8">
        <v>186215</v>
      </c>
      <c r="K298" s="8">
        <f t="shared" si="137"/>
        <v>-6767</v>
      </c>
      <c r="L298" s="8">
        <v>201914</v>
      </c>
      <c r="M298" s="8">
        <f t="shared" si="138"/>
        <v>5020</v>
      </c>
      <c r="N298" s="8">
        <v>-15699</v>
      </c>
      <c r="O298" s="8">
        <f t="shared" si="139"/>
        <v>-11787</v>
      </c>
      <c r="P298" s="8">
        <v>80701</v>
      </c>
      <c r="Q298" s="8">
        <f t="shared" si="140"/>
        <v>-6739</v>
      </c>
      <c r="R298" s="8">
        <v>187911</v>
      </c>
      <c r="S298" s="8">
        <f t="shared" si="141"/>
        <v>7596</v>
      </c>
      <c r="T298" s="8">
        <v>-107210</v>
      </c>
      <c r="U298" s="8">
        <f t="shared" si="142"/>
        <v>-14335</v>
      </c>
      <c r="W298" s="8">
        <v>210310</v>
      </c>
      <c r="X298" s="8">
        <f t="shared" si="143"/>
        <v>-5341</v>
      </c>
      <c r="Y298" s="8">
        <v>33196</v>
      </c>
      <c r="Z298" s="8">
        <f t="shared" si="144"/>
        <v>-207</v>
      </c>
      <c r="AA298" s="8">
        <v>29679</v>
      </c>
      <c r="AB298" s="8">
        <f t="shared" si="131"/>
        <v>-1163</v>
      </c>
      <c r="AC298" s="8">
        <v>3517</v>
      </c>
      <c r="AD298" s="8">
        <f t="shared" si="131"/>
        <v>956</v>
      </c>
      <c r="AE298" s="8">
        <v>97104</v>
      </c>
      <c r="AF298" s="8">
        <f t="shared" si="145"/>
        <v>-6499</v>
      </c>
      <c r="AG298" s="8">
        <v>106582</v>
      </c>
      <c r="AH298" s="8">
        <f t="shared" si="146"/>
        <v>-3264</v>
      </c>
      <c r="AI298" s="8">
        <v>-9478</v>
      </c>
      <c r="AJ298" s="8">
        <f t="shared" si="147"/>
        <v>-3235</v>
      </c>
      <c r="AK298" s="8">
        <v>71716</v>
      </c>
      <c r="AL298" s="8">
        <f t="shared" si="148"/>
        <v>-6200</v>
      </c>
      <c r="AM298" s="8">
        <v>100129</v>
      </c>
      <c r="AN298" s="8">
        <f t="shared" si="149"/>
        <v>-1623</v>
      </c>
      <c r="AO298" s="8">
        <v>-28413</v>
      </c>
      <c r="AP298" s="8">
        <f t="shared" si="150"/>
        <v>-4577</v>
      </c>
      <c r="AR298" s="8">
        <v>1779030</v>
      </c>
      <c r="AS298" s="8">
        <f t="shared" si="151"/>
        <v>41044</v>
      </c>
      <c r="AT298" s="8">
        <v>293799</v>
      </c>
      <c r="AU298" s="8">
        <f t="shared" si="152"/>
        <v>-1185</v>
      </c>
      <c r="AV298" s="8">
        <v>87746</v>
      </c>
      <c r="AW298" s="8">
        <f t="shared" si="153"/>
        <v>2846</v>
      </c>
      <c r="AX298" s="8">
        <f t="shared" si="128"/>
        <v>206053</v>
      </c>
      <c r="AY298" s="8">
        <f t="shared" si="154"/>
        <v>-4031</v>
      </c>
      <c r="AZ298" s="8">
        <v>735832</v>
      </c>
      <c r="BA298" s="8">
        <f t="shared" si="155"/>
        <v>28320</v>
      </c>
      <c r="BB298" s="8">
        <v>831262</v>
      </c>
      <c r="BC298" s="8">
        <f t="shared" si="156"/>
        <v>16501</v>
      </c>
      <c r="BD298" s="8">
        <f t="shared" si="129"/>
        <v>-95430</v>
      </c>
      <c r="BE298" s="8">
        <f t="shared" si="157"/>
        <v>11819</v>
      </c>
      <c r="BF298" s="8">
        <v>349720</v>
      </c>
      <c r="BG298" s="8">
        <f t="shared" si="158"/>
        <v>20369</v>
      </c>
      <c r="BH298" s="8">
        <v>683747</v>
      </c>
      <c r="BI298" s="8">
        <f t="shared" si="159"/>
        <v>7058</v>
      </c>
      <c r="BJ298" s="8">
        <f t="shared" si="130"/>
        <v>-334027</v>
      </c>
      <c r="BK298" s="8">
        <f t="shared" si="132"/>
        <v>13311</v>
      </c>
    </row>
    <row r="299" spans="1:63">
      <c r="A299" s="5">
        <v>40960</v>
      </c>
      <c r="B299" s="8">
        <v>376981</v>
      </c>
      <c r="C299" s="8">
        <f t="shared" si="133"/>
        <v>5011</v>
      </c>
      <c r="D299" s="8">
        <v>64095</v>
      </c>
      <c r="E299" s="8">
        <f t="shared" si="134"/>
        <v>7046</v>
      </c>
      <c r="F299" s="8">
        <v>36466</v>
      </c>
      <c r="G299" s="8">
        <f t="shared" si="135"/>
        <v>-6488</v>
      </c>
      <c r="H299" s="8">
        <v>27629</v>
      </c>
      <c r="I299" s="8">
        <f t="shared" si="136"/>
        <v>13534</v>
      </c>
      <c r="J299" s="8">
        <v>185602</v>
      </c>
      <c r="K299" s="8">
        <f t="shared" si="137"/>
        <v>-613</v>
      </c>
      <c r="L299" s="8">
        <v>216613</v>
      </c>
      <c r="M299" s="8">
        <f t="shared" si="138"/>
        <v>14699</v>
      </c>
      <c r="N299" s="8">
        <v>-31011</v>
      </c>
      <c r="O299" s="8">
        <f t="shared" si="139"/>
        <v>-15312</v>
      </c>
      <c r="P299" s="8">
        <v>78855</v>
      </c>
      <c r="Q299" s="8">
        <f t="shared" si="140"/>
        <v>-1846</v>
      </c>
      <c r="R299" s="8">
        <v>200581</v>
      </c>
      <c r="S299" s="8">
        <f t="shared" si="141"/>
        <v>12670</v>
      </c>
      <c r="T299" s="8">
        <v>-121726</v>
      </c>
      <c r="U299" s="8">
        <f t="shared" si="142"/>
        <v>-14516</v>
      </c>
      <c r="W299" s="8">
        <v>211257</v>
      </c>
      <c r="X299" s="8">
        <f t="shared" si="143"/>
        <v>947</v>
      </c>
      <c r="Y299" s="8">
        <v>37402</v>
      </c>
      <c r="Z299" s="8">
        <f t="shared" si="144"/>
        <v>4206</v>
      </c>
      <c r="AA299" s="8">
        <v>22575</v>
      </c>
      <c r="AB299" s="8">
        <f t="shared" si="131"/>
        <v>-7104</v>
      </c>
      <c r="AC299" s="8">
        <v>14827</v>
      </c>
      <c r="AD299" s="8">
        <f t="shared" si="131"/>
        <v>11310</v>
      </c>
      <c r="AE299" s="8">
        <v>92010</v>
      </c>
      <c r="AF299" s="8">
        <f t="shared" si="145"/>
        <v>-5094</v>
      </c>
      <c r="AG299" s="8">
        <v>115848</v>
      </c>
      <c r="AH299" s="8">
        <f t="shared" si="146"/>
        <v>9266</v>
      </c>
      <c r="AI299" s="8">
        <v>-23838</v>
      </c>
      <c r="AJ299" s="8">
        <f t="shared" si="147"/>
        <v>-14360</v>
      </c>
      <c r="AK299" s="8">
        <v>70142</v>
      </c>
      <c r="AL299" s="8">
        <f t="shared" si="148"/>
        <v>-1574</v>
      </c>
      <c r="AM299" s="8">
        <v>108509</v>
      </c>
      <c r="AN299" s="8">
        <f t="shared" si="149"/>
        <v>8380</v>
      </c>
      <c r="AO299" s="8">
        <v>-38367</v>
      </c>
      <c r="AP299" s="8">
        <f t="shared" si="150"/>
        <v>-9954</v>
      </c>
      <c r="AR299" s="8">
        <v>1770174</v>
      </c>
      <c r="AS299" s="8">
        <f t="shared" si="151"/>
        <v>-8856</v>
      </c>
      <c r="AT299" s="8">
        <v>276138</v>
      </c>
      <c r="AU299" s="8">
        <f t="shared" si="152"/>
        <v>-17661</v>
      </c>
      <c r="AV299" s="8">
        <v>93189</v>
      </c>
      <c r="AW299" s="8">
        <f t="shared" si="153"/>
        <v>5443</v>
      </c>
      <c r="AX299" s="8">
        <f t="shared" si="128"/>
        <v>182949</v>
      </c>
      <c r="AY299" s="8">
        <f t="shared" si="154"/>
        <v>-23104</v>
      </c>
      <c r="AZ299" s="8">
        <v>737754</v>
      </c>
      <c r="BA299" s="8">
        <f t="shared" si="155"/>
        <v>1922</v>
      </c>
      <c r="BB299" s="8">
        <v>821593</v>
      </c>
      <c r="BC299" s="8">
        <f t="shared" si="156"/>
        <v>-9669</v>
      </c>
      <c r="BD299" s="8">
        <f t="shared" si="129"/>
        <v>-83839</v>
      </c>
      <c r="BE299" s="8">
        <f t="shared" si="157"/>
        <v>11591</v>
      </c>
      <c r="BF299" s="8">
        <v>339908</v>
      </c>
      <c r="BG299" s="8">
        <f t="shared" si="158"/>
        <v>-9812</v>
      </c>
      <c r="BH299" s="8">
        <v>673185</v>
      </c>
      <c r="BI299" s="8">
        <f t="shared" si="159"/>
        <v>-10562</v>
      </c>
      <c r="BJ299" s="8">
        <f t="shared" si="130"/>
        <v>-333277</v>
      </c>
      <c r="BK299" s="8">
        <f t="shared" si="132"/>
        <v>750</v>
      </c>
    </row>
    <row r="300" spans="1:63">
      <c r="A300" s="5">
        <v>40967</v>
      </c>
      <c r="B300" s="8">
        <v>350352</v>
      </c>
      <c r="C300" s="8">
        <f t="shared" si="133"/>
        <v>-26629</v>
      </c>
      <c r="D300" s="8">
        <v>69155</v>
      </c>
      <c r="E300" s="8">
        <f t="shared" si="134"/>
        <v>5060</v>
      </c>
      <c r="F300" s="8">
        <v>31878</v>
      </c>
      <c r="G300" s="8">
        <f t="shared" si="135"/>
        <v>-4588</v>
      </c>
      <c r="H300" s="8">
        <v>37277</v>
      </c>
      <c r="I300" s="8">
        <f t="shared" si="136"/>
        <v>9648</v>
      </c>
      <c r="J300" s="8">
        <v>161615</v>
      </c>
      <c r="K300" s="8">
        <f t="shared" si="137"/>
        <v>-23987</v>
      </c>
      <c r="L300" s="8">
        <v>205749</v>
      </c>
      <c r="M300" s="8">
        <f t="shared" si="138"/>
        <v>-10864</v>
      </c>
      <c r="N300" s="8">
        <v>-44134</v>
      </c>
      <c r="O300" s="8">
        <f t="shared" si="139"/>
        <v>-13123</v>
      </c>
      <c r="P300" s="8">
        <v>56965</v>
      </c>
      <c r="Q300" s="8">
        <f t="shared" si="140"/>
        <v>-21890</v>
      </c>
      <c r="R300" s="8">
        <v>192493</v>
      </c>
      <c r="S300" s="8">
        <f t="shared" si="141"/>
        <v>-8088</v>
      </c>
      <c r="T300" s="8">
        <v>-135528</v>
      </c>
      <c r="U300" s="8">
        <f t="shared" si="142"/>
        <v>-13802</v>
      </c>
      <c r="W300" s="8">
        <v>211482</v>
      </c>
      <c r="X300" s="8">
        <f t="shared" si="143"/>
        <v>225</v>
      </c>
      <c r="Y300" s="8">
        <v>47038</v>
      </c>
      <c r="Z300" s="8">
        <f t="shared" si="144"/>
        <v>9636</v>
      </c>
      <c r="AA300" s="8">
        <v>18429</v>
      </c>
      <c r="AB300" s="8">
        <f t="shared" si="131"/>
        <v>-4146</v>
      </c>
      <c r="AC300" s="8">
        <v>28609</v>
      </c>
      <c r="AD300" s="8">
        <f t="shared" si="131"/>
        <v>13782</v>
      </c>
      <c r="AE300" s="8">
        <v>78389</v>
      </c>
      <c r="AF300" s="8">
        <f t="shared" si="145"/>
        <v>-13621</v>
      </c>
      <c r="AG300" s="8">
        <v>122392</v>
      </c>
      <c r="AH300" s="8">
        <f t="shared" si="146"/>
        <v>6544</v>
      </c>
      <c r="AI300" s="8">
        <v>-44003</v>
      </c>
      <c r="AJ300" s="8">
        <f t="shared" si="147"/>
        <v>-20165</v>
      </c>
      <c r="AK300" s="8">
        <v>56253</v>
      </c>
      <c r="AL300" s="8">
        <f t="shared" si="148"/>
        <v>-13889</v>
      </c>
      <c r="AM300" s="8">
        <v>116087</v>
      </c>
      <c r="AN300" s="8">
        <f t="shared" si="149"/>
        <v>7578</v>
      </c>
      <c r="AO300" s="8">
        <v>-59834</v>
      </c>
      <c r="AP300" s="8">
        <f t="shared" si="150"/>
        <v>-21467</v>
      </c>
      <c r="AR300" s="8">
        <v>1647928</v>
      </c>
      <c r="AS300" s="8">
        <f t="shared" si="151"/>
        <v>-122246</v>
      </c>
      <c r="AT300" s="8">
        <v>294408</v>
      </c>
      <c r="AU300" s="8">
        <f t="shared" si="152"/>
        <v>18270</v>
      </c>
      <c r="AV300" s="8">
        <v>78720</v>
      </c>
      <c r="AW300" s="8">
        <f t="shared" si="153"/>
        <v>-14469</v>
      </c>
      <c r="AX300" s="8">
        <f t="shared" si="128"/>
        <v>215688</v>
      </c>
      <c r="AY300" s="8">
        <f t="shared" si="154"/>
        <v>32739</v>
      </c>
      <c r="AZ300" s="8">
        <v>682195</v>
      </c>
      <c r="BA300" s="8">
        <f t="shared" si="155"/>
        <v>-55559</v>
      </c>
      <c r="BB300" s="8">
        <v>802512</v>
      </c>
      <c r="BC300" s="8">
        <f t="shared" si="156"/>
        <v>-19081</v>
      </c>
      <c r="BD300" s="8">
        <f t="shared" si="129"/>
        <v>-120317</v>
      </c>
      <c r="BE300" s="8">
        <f t="shared" si="157"/>
        <v>-36478</v>
      </c>
      <c r="BF300" s="8">
        <v>294997</v>
      </c>
      <c r="BG300" s="8">
        <f t="shared" si="158"/>
        <v>-44911</v>
      </c>
      <c r="BH300" s="8">
        <v>683694</v>
      </c>
      <c r="BI300" s="8">
        <f t="shared" si="159"/>
        <v>10509</v>
      </c>
      <c r="BJ300" s="8">
        <f t="shared" si="130"/>
        <v>-388697</v>
      </c>
      <c r="BK300" s="8">
        <f t="shared" si="132"/>
        <v>-55420</v>
      </c>
    </row>
    <row r="301" spans="1:63">
      <c r="A301" s="5">
        <v>40974</v>
      </c>
      <c r="B301" s="8">
        <v>356431</v>
      </c>
      <c r="C301" s="8">
        <f t="shared" si="133"/>
        <v>6079</v>
      </c>
      <c r="D301" s="8">
        <v>61423</v>
      </c>
      <c r="E301" s="8">
        <f t="shared" si="134"/>
        <v>-7732</v>
      </c>
      <c r="F301" s="8">
        <v>40350</v>
      </c>
      <c r="G301" s="8">
        <f t="shared" si="135"/>
        <v>8472</v>
      </c>
      <c r="H301" s="8">
        <v>21073</v>
      </c>
      <c r="I301" s="8">
        <f t="shared" si="136"/>
        <v>-16204</v>
      </c>
      <c r="J301" s="8">
        <v>184177</v>
      </c>
      <c r="K301" s="8">
        <f t="shared" si="137"/>
        <v>22562</v>
      </c>
      <c r="L301" s="8">
        <v>209773</v>
      </c>
      <c r="M301" s="8">
        <f t="shared" si="138"/>
        <v>4024</v>
      </c>
      <c r="N301" s="8">
        <v>-25596</v>
      </c>
      <c r="O301" s="8">
        <f t="shared" si="139"/>
        <v>18538</v>
      </c>
      <c r="P301" s="8">
        <v>71221</v>
      </c>
      <c r="Q301" s="8">
        <f t="shared" si="140"/>
        <v>14256</v>
      </c>
      <c r="R301" s="8">
        <v>190822</v>
      </c>
      <c r="S301" s="8">
        <f t="shared" si="141"/>
        <v>-1671</v>
      </c>
      <c r="T301" s="8">
        <v>-119601</v>
      </c>
      <c r="U301" s="8">
        <f t="shared" si="142"/>
        <v>15927</v>
      </c>
      <c r="W301" s="8">
        <v>234454</v>
      </c>
      <c r="X301" s="8">
        <f t="shared" si="143"/>
        <v>22972</v>
      </c>
      <c r="Y301" s="8">
        <v>62360</v>
      </c>
      <c r="Z301" s="8">
        <f t="shared" si="144"/>
        <v>15322</v>
      </c>
      <c r="AA301" s="8">
        <v>10816</v>
      </c>
      <c r="AB301" s="8">
        <f t="shared" si="131"/>
        <v>-7613</v>
      </c>
      <c r="AC301" s="8">
        <v>51544</v>
      </c>
      <c r="AD301" s="8">
        <f t="shared" si="131"/>
        <v>22935</v>
      </c>
      <c r="AE301" s="8">
        <v>83642</v>
      </c>
      <c r="AF301" s="8">
        <f t="shared" si="145"/>
        <v>5253</v>
      </c>
      <c r="AG301" s="8">
        <v>153081</v>
      </c>
      <c r="AH301" s="8">
        <f t="shared" si="146"/>
        <v>30689</v>
      </c>
      <c r="AI301" s="8">
        <v>-69439</v>
      </c>
      <c r="AJ301" s="8">
        <f t="shared" si="147"/>
        <v>-25436</v>
      </c>
      <c r="AK301" s="8">
        <v>59805</v>
      </c>
      <c r="AL301" s="8">
        <f t="shared" si="148"/>
        <v>3552</v>
      </c>
      <c r="AM301" s="8">
        <v>143770</v>
      </c>
      <c r="AN301" s="8">
        <f t="shared" si="149"/>
        <v>27683</v>
      </c>
      <c r="AO301" s="8">
        <v>-83965</v>
      </c>
      <c r="AP301" s="8">
        <f t="shared" si="150"/>
        <v>-24131</v>
      </c>
      <c r="AR301" s="8">
        <v>1684032</v>
      </c>
      <c r="AS301" s="8">
        <f t="shared" si="151"/>
        <v>36104</v>
      </c>
      <c r="AT301" s="8">
        <v>300674</v>
      </c>
      <c r="AU301" s="8">
        <f t="shared" si="152"/>
        <v>6266</v>
      </c>
      <c r="AV301" s="8">
        <v>54537</v>
      </c>
      <c r="AW301" s="8">
        <f t="shared" si="153"/>
        <v>-24183</v>
      </c>
      <c r="AX301" s="8">
        <f t="shared" si="128"/>
        <v>246137</v>
      </c>
      <c r="AY301" s="8">
        <f t="shared" si="154"/>
        <v>30449</v>
      </c>
      <c r="AZ301" s="8">
        <v>681038</v>
      </c>
      <c r="BA301" s="8">
        <f t="shared" si="155"/>
        <v>-1157</v>
      </c>
      <c r="BB301" s="8">
        <v>827154</v>
      </c>
      <c r="BC301" s="8">
        <f t="shared" si="156"/>
        <v>24642</v>
      </c>
      <c r="BD301" s="8">
        <f t="shared" si="129"/>
        <v>-146116</v>
      </c>
      <c r="BE301" s="8">
        <f t="shared" si="157"/>
        <v>-25799</v>
      </c>
      <c r="BF301" s="8">
        <v>287336</v>
      </c>
      <c r="BG301" s="8">
        <f t="shared" si="158"/>
        <v>-7661</v>
      </c>
      <c r="BH301" s="8">
        <v>705864</v>
      </c>
      <c r="BI301" s="8">
        <f t="shared" si="159"/>
        <v>22170</v>
      </c>
      <c r="BJ301" s="8">
        <f t="shared" si="130"/>
        <v>-418528</v>
      </c>
      <c r="BK301" s="8">
        <f t="shared" si="132"/>
        <v>-29831</v>
      </c>
    </row>
    <row r="302" spans="1:63">
      <c r="A302" s="5">
        <v>40981</v>
      </c>
      <c r="B302" s="8">
        <v>387146</v>
      </c>
      <c r="C302" s="8">
        <f t="shared" si="133"/>
        <v>30715</v>
      </c>
      <c r="D302" s="8">
        <v>69527</v>
      </c>
      <c r="E302" s="8">
        <f t="shared" si="134"/>
        <v>8104</v>
      </c>
      <c r="F302" s="8">
        <v>44837</v>
      </c>
      <c r="G302" s="8">
        <f t="shared" si="135"/>
        <v>4487</v>
      </c>
      <c r="H302" s="8">
        <v>24690</v>
      </c>
      <c r="I302" s="8">
        <f t="shared" si="136"/>
        <v>3617</v>
      </c>
      <c r="J302" s="8">
        <v>188363</v>
      </c>
      <c r="K302" s="8">
        <f t="shared" si="137"/>
        <v>4186</v>
      </c>
      <c r="L302" s="8">
        <v>226922</v>
      </c>
      <c r="M302" s="8">
        <f t="shared" si="138"/>
        <v>17149</v>
      </c>
      <c r="N302" s="8">
        <v>-38559</v>
      </c>
      <c r="O302" s="8">
        <f t="shared" si="139"/>
        <v>-12963</v>
      </c>
      <c r="P302" s="8">
        <v>72646</v>
      </c>
      <c r="Q302" s="8">
        <f t="shared" si="140"/>
        <v>1425</v>
      </c>
      <c r="R302" s="8">
        <v>206358</v>
      </c>
      <c r="S302" s="8">
        <f t="shared" si="141"/>
        <v>15536</v>
      </c>
      <c r="T302" s="8">
        <v>-133712</v>
      </c>
      <c r="U302" s="8">
        <f t="shared" si="142"/>
        <v>-14111</v>
      </c>
      <c r="W302" s="8">
        <v>252030</v>
      </c>
      <c r="X302" s="8">
        <f t="shared" si="143"/>
        <v>17576</v>
      </c>
      <c r="Y302" s="8">
        <v>73659</v>
      </c>
      <c r="Z302" s="8">
        <f t="shared" si="144"/>
        <v>11299</v>
      </c>
      <c r="AA302" s="8">
        <v>11441</v>
      </c>
      <c r="AB302" s="8">
        <f t="shared" si="131"/>
        <v>625</v>
      </c>
      <c r="AC302" s="8">
        <v>62218</v>
      </c>
      <c r="AD302" s="8">
        <f t="shared" si="131"/>
        <v>10674</v>
      </c>
      <c r="AE302" s="8">
        <v>84166</v>
      </c>
      <c r="AF302" s="8">
        <f t="shared" si="145"/>
        <v>524</v>
      </c>
      <c r="AG302" s="8">
        <v>171450</v>
      </c>
      <c r="AH302" s="8">
        <f t="shared" si="146"/>
        <v>18369</v>
      </c>
      <c r="AI302" s="8">
        <v>-87284</v>
      </c>
      <c r="AJ302" s="8">
        <f t="shared" si="147"/>
        <v>-17845</v>
      </c>
      <c r="AK302" s="8">
        <v>60147</v>
      </c>
      <c r="AL302" s="8">
        <f t="shared" si="148"/>
        <v>342</v>
      </c>
      <c r="AM302" s="8">
        <v>160825</v>
      </c>
      <c r="AN302" s="8">
        <f t="shared" si="149"/>
        <v>17055</v>
      </c>
      <c r="AO302" s="8">
        <v>-100678</v>
      </c>
      <c r="AP302" s="8">
        <f t="shared" si="150"/>
        <v>-16713</v>
      </c>
      <c r="AR302" s="8">
        <v>1764358</v>
      </c>
      <c r="AS302" s="8">
        <f t="shared" si="151"/>
        <v>80326</v>
      </c>
      <c r="AT302" s="8">
        <v>306641</v>
      </c>
      <c r="AU302" s="8">
        <f t="shared" si="152"/>
        <v>5967</v>
      </c>
      <c r="AV302" s="8">
        <v>61314</v>
      </c>
      <c r="AW302" s="8">
        <f t="shared" si="153"/>
        <v>6777</v>
      </c>
      <c r="AX302" s="8">
        <f t="shared" si="128"/>
        <v>245327</v>
      </c>
      <c r="AY302" s="8">
        <f t="shared" si="154"/>
        <v>-810</v>
      </c>
      <c r="AZ302" s="8">
        <v>706501</v>
      </c>
      <c r="BA302" s="8">
        <f t="shared" si="155"/>
        <v>25463</v>
      </c>
      <c r="BB302" s="8">
        <v>853713</v>
      </c>
      <c r="BC302" s="8">
        <f t="shared" si="156"/>
        <v>26559</v>
      </c>
      <c r="BD302" s="8">
        <f t="shared" si="129"/>
        <v>-147212</v>
      </c>
      <c r="BE302" s="8">
        <f t="shared" si="157"/>
        <v>-1096</v>
      </c>
      <c r="BF302" s="8">
        <v>300813</v>
      </c>
      <c r="BG302" s="8">
        <f t="shared" si="158"/>
        <v>13477</v>
      </c>
      <c r="BH302" s="8">
        <v>727899</v>
      </c>
      <c r="BI302" s="8">
        <f t="shared" si="159"/>
        <v>22035</v>
      </c>
      <c r="BJ302" s="8">
        <f t="shared" si="130"/>
        <v>-427086</v>
      </c>
      <c r="BK302" s="8">
        <f t="shared" si="132"/>
        <v>-8558</v>
      </c>
    </row>
    <row r="303" spans="1:63">
      <c r="A303" s="5">
        <v>40988</v>
      </c>
      <c r="B303" s="8">
        <v>396345</v>
      </c>
      <c r="C303" s="8">
        <f t="shared" si="133"/>
        <v>9199</v>
      </c>
      <c r="D303" s="8">
        <v>73215</v>
      </c>
      <c r="E303" s="8">
        <f t="shared" si="134"/>
        <v>3688</v>
      </c>
      <c r="F303" s="8">
        <v>41118</v>
      </c>
      <c r="G303" s="8">
        <f t="shared" si="135"/>
        <v>-3719</v>
      </c>
      <c r="H303" s="8">
        <v>32097</v>
      </c>
      <c r="I303" s="8">
        <f t="shared" si="136"/>
        <v>7407</v>
      </c>
      <c r="J303" s="8">
        <v>192964</v>
      </c>
      <c r="K303" s="8">
        <f t="shared" si="137"/>
        <v>4601</v>
      </c>
      <c r="L303" s="8">
        <v>236949</v>
      </c>
      <c r="M303" s="8">
        <f t="shared" si="138"/>
        <v>10027</v>
      </c>
      <c r="N303" s="8">
        <v>-43985</v>
      </c>
      <c r="O303" s="8">
        <f t="shared" si="139"/>
        <v>-5426</v>
      </c>
      <c r="P303" s="8">
        <v>79713</v>
      </c>
      <c r="Q303" s="8">
        <f t="shared" si="140"/>
        <v>7067</v>
      </c>
      <c r="R303" s="8">
        <v>215423</v>
      </c>
      <c r="S303" s="8">
        <f t="shared" si="141"/>
        <v>9065</v>
      </c>
      <c r="T303" s="8">
        <v>-135710</v>
      </c>
      <c r="U303" s="8">
        <f t="shared" si="142"/>
        <v>-1998</v>
      </c>
      <c r="W303" s="8">
        <v>267293</v>
      </c>
      <c r="X303" s="8">
        <f t="shared" si="143"/>
        <v>15263</v>
      </c>
      <c r="Y303" s="8">
        <v>80915</v>
      </c>
      <c r="Z303" s="8">
        <f t="shared" si="144"/>
        <v>7256</v>
      </c>
      <c r="AA303" s="8">
        <v>8656</v>
      </c>
      <c r="AB303" s="8">
        <f t="shared" si="131"/>
        <v>-2785</v>
      </c>
      <c r="AC303" s="8">
        <v>72259</v>
      </c>
      <c r="AD303" s="8">
        <f t="shared" si="131"/>
        <v>10041</v>
      </c>
      <c r="AE303" s="8">
        <v>89049</v>
      </c>
      <c r="AF303" s="8">
        <f t="shared" si="145"/>
        <v>4883</v>
      </c>
      <c r="AG303" s="8">
        <v>185010</v>
      </c>
      <c r="AH303" s="8">
        <f t="shared" si="146"/>
        <v>13560</v>
      </c>
      <c r="AI303" s="8">
        <v>-95961</v>
      </c>
      <c r="AJ303" s="8">
        <f t="shared" si="147"/>
        <v>-8677</v>
      </c>
      <c r="AK303" s="8">
        <v>61667</v>
      </c>
      <c r="AL303" s="8">
        <f t="shared" si="148"/>
        <v>1520</v>
      </c>
      <c r="AM303" s="8">
        <v>174846</v>
      </c>
      <c r="AN303" s="8">
        <f t="shared" si="149"/>
        <v>14021</v>
      </c>
      <c r="AO303" s="8">
        <v>-113179</v>
      </c>
      <c r="AP303" s="8">
        <f t="shared" si="150"/>
        <v>-12501</v>
      </c>
      <c r="AR303" s="8">
        <v>1781170</v>
      </c>
      <c r="AS303" s="8">
        <f t="shared" si="151"/>
        <v>16812</v>
      </c>
      <c r="AT303" s="8">
        <v>310366</v>
      </c>
      <c r="AU303" s="8">
        <f t="shared" si="152"/>
        <v>3725</v>
      </c>
      <c r="AV303" s="8">
        <v>48675</v>
      </c>
      <c r="AW303" s="8">
        <f t="shared" si="153"/>
        <v>-12639</v>
      </c>
      <c r="AX303" s="8">
        <f t="shared" si="128"/>
        <v>261691</v>
      </c>
      <c r="AY303" s="8">
        <f t="shared" si="154"/>
        <v>16364</v>
      </c>
      <c r="AZ303" s="8">
        <v>701672</v>
      </c>
      <c r="BA303" s="8">
        <f t="shared" si="155"/>
        <v>-4829</v>
      </c>
      <c r="BB303" s="8">
        <v>870058</v>
      </c>
      <c r="BC303" s="8">
        <f t="shared" si="156"/>
        <v>16345</v>
      </c>
      <c r="BD303" s="8">
        <f t="shared" si="129"/>
        <v>-168386</v>
      </c>
      <c r="BE303" s="8">
        <f t="shared" si="157"/>
        <v>-21174</v>
      </c>
      <c r="BF303" s="8">
        <v>292283</v>
      </c>
      <c r="BG303" s="8">
        <f t="shared" si="158"/>
        <v>-8530</v>
      </c>
      <c r="BH303" s="8">
        <v>744881</v>
      </c>
      <c r="BI303" s="8">
        <f t="shared" si="159"/>
        <v>16982</v>
      </c>
      <c r="BJ303" s="8">
        <f t="shared" si="130"/>
        <v>-452598</v>
      </c>
      <c r="BK303" s="8">
        <f t="shared" si="132"/>
        <v>-25512</v>
      </c>
    </row>
    <row r="304" spans="1:63">
      <c r="A304" s="5">
        <v>40995</v>
      </c>
      <c r="B304" s="8">
        <v>414479</v>
      </c>
      <c r="C304" s="8">
        <f t="shared" si="133"/>
        <v>18134</v>
      </c>
      <c r="D304" s="8">
        <v>71815</v>
      </c>
      <c r="E304" s="8">
        <f t="shared" si="134"/>
        <v>-1400</v>
      </c>
      <c r="F304" s="8">
        <v>42796</v>
      </c>
      <c r="G304" s="8">
        <f t="shared" si="135"/>
        <v>1678</v>
      </c>
      <c r="H304" s="8">
        <v>29019</v>
      </c>
      <c r="I304" s="8">
        <f t="shared" si="136"/>
        <v>-3078</v>
      </c>
      <c r="J304" s="8">
        <v>203546</v>
      </c>
      <c r="K304" s="8">
        <f t="shared" si="137"/>
        <v>10582</v>
      </c>
      <c r="L304" s="8">
        <v>251621</v>
      </c>
      <c r="M304" s="8">
        <f t="shared" si="138"/>
        <v>14672</v>
      </c>
      <c r="N304" s="8">
        <v>-48075</v>
      </c>
      <c r="O304" s="8">
        <f t="shared" si="139"/>
        <v>-4090</v>
      </c>
      <c r="P304" s="8">
        <v>87189</v>
      </c>
      <c r="Q304" s="8">
        <f t="shared" si="140"/>
        <v>7476</v>
      </c>
      <c r="R304" s="8">
        <v>229973</v>
      </c>
      <c r="S304" s="8">
        <f t="shared" si="141"/>
        <v>14550</v>
      </c>
      <c r="T304" s="8">
        <v>-142784</v>
      </c>
      <c r="U304" s="8">
        <f t="shared" si="142"/>
        <v>-7074</v>
      </c>
      <c r="W304" s="8">
        <v>271787</v>
      </c>
      <c r="X304" s="8">
        <f t="shared" si="143"/>
        <v>4494</v>
      </c>
      <c r="Y304" s="8">
        <v>85068</v>
      </c>
      <c r="Z304" s="8">
        <f t="shared" si="144"/>
        <v>4153</v>
      </c>
      <c r="AA304" s="8">
        <v>8657</v>
      </c>
      <c r="AB304" s="8">
        <f t="shared" si="131"/>
        <v>1</v>
      </c>
      <c r="AC304" s="8">
        <v>76411</v>
      </c>
      <c r="AD304" s="8">
        <f t="shared" si="131"/>
        <v>4152</v>
      </c>
      <c r="AE304" s="8">
        <v>87248</v>
      </c>
      <c r="AF304" s="8">
        <f t="shared" si="145"/>
        <v>-1801</v>
      </c>
      <c r="AG304" s="8">
        <v>187909</v>
      </c>
      <c r="AH304" s="8">
        <f t="shared" si="146"/>
        <v>2899</v>
      </c>
      <c r="AI304" s="8">
        <v>-100661</v>
      </c>
      <c r="AJ304" s="8">
        <f t="shared" si="147"/>
        <v>-4700</v>
      </c>
      <c r="AK304" s="8">
        <v>59339</v>
      </c>
      <c r="AL304" s="8">
        <f t="shared" si="148"/>
        <v>-2328</v>
      </c>
      <c r="AM304" s="8">
        <v>178416</v>
      </c>
      <c r="AN304" s="8">
        <f t="shared" si="149"/>
        <v>3570</v>
      </c>
      <c r="AO304" s="8">
        <v>-119077</v>
      </c>
      <c r="AP304" s="8">
        <f t="shared" si="150"/>
        <v>-5898</v>
      </c>
      <c r="AR304" s="8">
        <v>1744273</v>
      </c>
      <c r="AS304" s="8">
        <f t="shared" si="151"/>
        <v>-36897</v>
      </c>
      <c r="AT304" s="8">
        <v>291887</v>
      </c>
      <c r="AU304" s="8">
        <f t="shared" si="152"/>
        <v>-18479</v>
      </c>
      <c r="AV304" s="8">
        <v>67330</v>
      </c>
      <c r="AW304" s="8">
        <f t="shared" si="153"/>
        <v>18655</v>
      </c>
      <c r="AX304" s="8">
        <f t="shared" si="128"/>
        <v>224557</v>
      </c>
      <c r="AY304" s="8">
        <f t="shared" si="154"/>
        <v>-37134</v>
      </c>
      <c r="AZ304" s="8">
        <v>709836</v>
      </c>
      <c r="BA304" s="8">
        <f t="shared" si="155"/>
        <v>8164</v>
      </c>
      <c r="BB304" s="8">
        <v>833448</v>
      </c>
      <c r="BC304" s="8">
        <f t="shared" si="156"/>
        <v>-36610</v>
      </c>
      <c r="BD304" s="8">
        <f t="shared" si="129"/>
        <v>-123612</v>
      </c>
      <c r="BE304" s="8">
        <f t="shared" si="157"/>
        <v>44774</v>
      </c>
      <c r="BF304" s="8">
        <v>295959</v>
      </c>
      <c r="BG304" s="8">
        <f t="shared" si="158"/>
        <v>3676</v>
      </c>
      <c r="BH304" s="8">
        <v>707778</v>
      </c>
      <c r="BI304" s="8">
        <f t="shared" si="159"/>
        <v>-37103</v>
      </c>
      <c r="BJ304" s="8">
        <f t="shared" si="130"/>
        <v>-411819</v>
      </c>
      <c r="BK304" s="8">
        <f t="shared" si="132"/>
        <v>40779</v>
      </c>
    </row>
    <row r="305" spans="1:63">
      <c r="A305" s="5">
        <v>41002</v>
      </c>
      <c r="B305" s="8">
        <v>415254</v>
      </c>
      <c r="C305" s="8">
        <f t="shared" si="133"/>
        <v>775</v>
      </c>
      <c r="D305" s="8">
        <v>76075</v>
      </c>
      <c r="E305" s="8">
        <f t="shared" si="134"/>
        <v>4260</v>
      </c>
      <c r="F305" s="8">
        <v>38142</v>
      </c>
      <c r="G305" s="8">
        <f t="shared" si="135"/>
        <v>-4654</v>
      </c>
      <c r="H305" s="8">
        <v>37933</v>
      </c>
      <c r="I305" s="8">
        <f t="shared" si="136"/>
        <v>8914</v>
      </c>
      <c r="J305" s="8">
        <v>197155</v>
      </c>
      <c r="K305" s="8">
        <f t="shared" si="137"/>
        <v>-6391</v>
      </c>
      <c r="L305" s="8">
        <v>257148</v>
      </c>
      <c r="M305" s="8">
        <f t="shared" si="138"/>
        <v>5527</v>
      </c>
      <c r="N305" s="8">
        <v>-59993</v>
      </c>
      <c r="O305" s="8">
        <f t="shared" si="139"/>
        <v>-11918</v>
      </c>
      <c r="P305" s="8">
        <v>83874</v>
      </c>
      <c r="Q305" s="8">
        <f t="shared" si="140"/>
        <v>-3315</v>
      </c>
      <c r="R305" s="8">
        <v>233272</v>
      </c>
      <c r="S305" s="8">
        <f t="shared" si="141"/>
        <v>3299</v>
      </c>
      <c r="T305" s="8">
        <v>-149398</v>
      </c>
      <c r="U305" s="8">
        <f t="shared" si="142"/>
        <v>-6614</v>
      </c>
      <c r="W305" s="8">
        <v>290352</v>
      </c>
      <c r="X305" s="8">
        <f t="shared" si="143"/>
        <v>18565</v>
      </c>
      <c r="Y305" s="8">
        <v>91350</v>
      </c>
      <c r="Z305" s="8">
        <f t="shared" si="144"/>
        <v>6282</v>
      </c>
      <c r="AA305" s="8">
        <v>6600</v>
      </c>
      <c r="AB305" s="8">
        <f t="shared" si="131"/>
        <v>-2057</v>
      </c>
      <c r="AC305" s="8">
        <v>84750</v>
      </c>
      <c r="AD305" s="8">
        <f t="shared" si="131"/>
        <v>8339</v>
      </c>
      <c r="AE305" s="8">
        <v>93673</v>
      </c>
      <c r="AF305" s="8">
        <f t="shared" si="145"/>
        <v>6425</v>
      </c>
      <c r="AG305" s="8">
        <v>207284</v>
      </c>
      <c r="AH305" s="8">
        <f t="shared" si="146"/>
        <v>19375</v>
      </c>
      <c r="AI305" s="8">
        <v>-113611</v>
      </c>
      <c r="AJ305" s="8">
        <f t="shared" si="147"/>
        <v>-12950</v>
      </c>
      <c r="AK305" s="8">
        <v>68730</v>
      </c>
      <c r="AL305" s="8">
        <f t="shared" si="148"/>
        <v>9391</v>
      </c>
      <c r="AM305" s="8">
        <v>197005</v>
      </c>
      <c r="AN305" s="8">
        <f t="shared" si="149"/>
        <v>18589</v>
      </c>
      <c r="AO305" s="8">
        <v>-128275</v>
      </c>
      <c r="AP305" s="8">
        <f t="shared" si="150"/>
        <v>-9198</v>
      </c>
      <c r="AR305" s="8">
        <v>1856305</v>
      </c>
      <c r="AS305" s="8">
        <f t="shared" si="151"/>
        <v>112032</v>
      </c>
      <c r="AT305" s="8">
        <v>287437</v>
      </c>
      <c r="AU305" s="8">
        <f t="shared" si="152"/>
        <v>-4450</v>
      </c>
      <c r="AV305" s="8">
        <v>84635</v>
      </c>
      <c r="AW305" s="8">
        <f t="shared" si="153"/>
        <v>17305</v>
      </c>
      <c r="AX305" s="8">
        <f t="shared" si="128"/>
        <v>202802</v>
      </c>
      <c r="AY305" s="8">
        <f t="shared" si="154"/>
        <v>-21755</v>
      </c>
      <c r="AZ305" s="8">
        <v>763806</v>
      </c>
      <c r="BA305" s="8">
        <f t="shared" si="155"/>
        <v>53970</v>
      </c>
      <c r="BB305" s="8">
        <v>861034</v>
      </c>
      <c r="BC305" s="8">
        <f t="shared" si="156"/>
        <v>27586</v>
      </c>
      <c r="BD305" s="8">
        <f t="shared" si="129"/>
        <v>-97228</v>
      </c>
      <c r="BE305" s="8">
        <f t="shared" si="157"/>
        <v>26384</v>
      </c>
      <c r="BF305" s="8">
        <v>329010</v>
      </c>
      <c r="BG305" s="8">
        <f t="shared" si="158"/>
        <v>33051</v>
      </c>
      <c r="BH305" s="8">
        <v>716349</v>
      </c>
      <c r="BI305" s="8">
        <f t="shared" si="159"/>
        <v>8571</v>
      </c>
      <c r="BJ305" s="8">
        <f t="shared" si="130"/>
        <v>-387339</v>
      </c>
      <c r="BK305" s="8">
        <f t="shared" si="132"/>
        <v>24480</v>
      </c>
    </row>
    <row r="306" spans="1:63">
      <c r="A306" s="5">
        <v>41009</v>
      </c>
      <c r="B306" s="8">
        <v>451506</v>
      </c>
      <c r="C306" s="8">
        <f t="shared" si="133"/>
        <v>36252</v>
      </c>
      <c r="D306" s="8">
        <v>90929</v>
      </c>
      <c r="E306" s="8">
        <f t="shared" si="134"/>
        <v>14854</v>
      </c>
      <c r="F306" s="8">
        <v>36666</v>
      </c>
      <c r="G306" s="8">
        <f t="shared" si="135"/>
        <v>-1476</v>
      </c>
      <c r="H306" s="8">
        <v>54263</v>
      </c>
      <c r="I306" s="8">
        <f t="shared" si="136"/>
        <v>16330</v>
      </c>
      <c r="J306" s="8">
        <v>203190</v>
      </c>
      <c r="K306" s="8">
        <f t="shared" si="137"/>
        <v>6035</v>
      </c>
      <c r="L306" s="8">
        <v>275638</v>
      </c>
      <c r="M306" s="8">
        <f t="shared" si="138"/>
        <v>18490</v>
      </c>
      <c r="N306" s="8">
        <v>-72448</v>
      </c>
      <c r="O306" s="8">
        <f t="shared" si="139"/>
        <v>-12455</v>
      </c>
      <c r="P306" s="8">
        <v>86673</v>
      </c>
      <c r="Q306" s="8">
        <f t="shared" si="140"/>
        <v>2799</v>
      </c>
      <c r="R306" s="8">
        <v>252366</v>
      </c>
      <c r="S306" s="8">
        <f t="shared" si="141"/>
        <v>19094</v>
      </c>
      <c r="T306" s="8">
        <v>-165693</v>
      </c>
      <c r="U306" s="8">
        <f t="shared" si="142"/>
        <v>-16295</v>
      </c>
      <c r="W306" s="8">
        <v>298011</v>
      </c>
      <c r="X306" s="8">
        <f t="shared" si="143"/>
        <v>7659</v>
      </c>
      <c r="Y306" s="8">
        <v>96421</v>
      </c>
      <c r="Z306" s="8">
        <f t="shared" si="144"/>
        <v>5071</v>
      </c>
      <c r="AA306" s="8">
        <v>7915</v>
      </c>
      <c r="AB306" s="8">
        <f t="shared" si="131"/>
        <v>1315</v>
      </c>
      <c r="AC306" s="8">
        <v>88506</v>
      </c>
      <c r="AD306" s="8">
        <f t="shared" si="131"/>
        <v>3756</v>
      </c>
      <c r="AE306" s="8">
        <v>93587</v>
      </c>
      <c r="AF306" s="8">
        <f t="shared" si="145"/>
        <v>-86</v>
      </c>
      <c r="AG306" s="8">
        <v>206953</v>
      </c>
      <c r="AH306" s="8">
        <f t="shared" si="146"/>
        <v>-331</v>
      </c>
      <c r="AI306" s="8">
        <v>-113366</v>
      </c>
      <c r="AJ306" s="8">
        <f t="shared" si="147"/>
        <v>245</v>
      </c>
      <c r="AK306" s="8">
        <v>69053</v>
      </c>
      <c r="AL306" s="8">
        <f t="shared" si="148"/>
        <v>323</v>
      </c>
      <c r="AM306" s="8">
        <v>196152</v>
      </c>
      <c r="AN306" s="8">
        <f t="shared" si="149"/>
        <v>-853</v>
      </c>
      <c r="AO306" s="8">
        <v>-127099</v>
      </c>
      <c r="AP306" s="8">
        <f t="shared" si="150"/>
        <v>1176</v>
      </c>
      <c r="AR306" s="8">
        <v>1837252</v>
      </c>
      <c r="AS306" s="8">
        <f t="shared" si="151"/>
        <v>-19053</v>
      </c>
      <c r="AT306" s="8">
        <v>280864</v>
      </c>
      <c r="AU306" s="8">
        <f t="shared" si="152"/>
        <v>-6573</v>
      </c>
      <c r="AV306" s="8">
        <v>87032</v>
      </c>
      <c r="AW306" s="8">
        <f t="shared" si="153"/>
        <v>2397</v>
      </c>
      <c r="AX306" s="8">
        <f t="shared" si="128"/>
        <v>193832</v>
      </c>
      <c r="AY306" s="8">
        <f t="shared" si="154"/>
        <v>-8970</v>
      </c>
      <c r="AZ306" s="8">
        <v>755124</v>
      </c>
      <c r="BA306" s="8">
        <f t="shared" si="155"/>
        <v>-8682</v>
      </c>
      <c r="BB306" s="8">
        <v>836221</v>
      </c>
      <c r="BC306" s="8">
        <f t="shared" si="156"/>
        <v>-24813</v>
      </c>
      <c r="BD306" s="8">
        <f t="shared" si="129"/>
        <v>-81097</v>
      </c>
      <c r="BE306" s="8">
        <f t="shared" si="157"/>
        <v>16131</v>
      </c>
      <c r="BF306" s="8">
        <v>329375</v>
      </c>
      <c r="BG306" s="8">
        <f t="shared" si="158"/>
        <v>365</v>
      </c>
      <c r="BH306" s="8">
        <v>700272</v>
      </c>
      <c r="BI306" s="8">
        <f t="shared" si="159"/>
        <v>-16077</v>
      </c>
      <c r="BJ306" s="8">
        <f t="shared" si="130"/>
        <v>-370897</v>
      </c>
      <c r="BK306" s="8">
        <f t="shared" si="132"/>
        <v>16442</v>
      </c>
    </row>
    <row r="307" spans="1:63">
      <c r="A307" s="5">
        <v>41016</v>
      </c>
      <c r="B307" s="8">
        <v>446749</v>
      </c>
      <c r="C307" s="8">
        <f t="shared" si="133"/>
        <v>-4757</v>
      </c>
      <c r="D307" s="8">
        <v>84539</v>
      </c>
      <c r="E307" s="8">
        <f t="shared" si="134"/>
        <v>-6390</v>
      </c>
      <c r="F307" s="8">
        <v>34289</v>
      </c>
      <c r="G307" s="8">
        <f t="shared" si="135"/>
        <v>-2377</v>
      </c>
      <c r="H307" s="8">
        <v>50250</v>
      </c>
      <c r="I307" s="8">
        <f t="shared" si="136"/>
        <v>-4013</v>
      </c>
      <c r="J307" s="8">
        <v>198893</v>
      </c>
      <c r="K307" s="8">
        <f t="shared" si="137"/>
        <v>-4297</v>
      </c>
      <c r="L307" s="8">
        <v>271391</v>
      </c>
      <c r="M307" s="8">
        <f t="shared" si="138"/>
        <v>-4247</v>
      </c>
      <c r="N307" s="8">
        <v>-72498</v>
      </c>
      <c r="O307" s="8">
        <f t="shared" si="139"/>
        <v>-50</v>
      </c>
      <c r="P307" s="8">
        <v>84331</v>
      </c>
      <c r="Q307" s="8">
        <f t="shared" si="140"/>
        <v>-2342</v>
      </c>
      <c r="R307" s="8">
        <v>249325</v>
      </c>
      <c r="S307" s="8">
        <f t="shared" si="141"/>
        <v>-3041</v>
      </c>
      <c r="T307" s="8">
        <v>-164994</v>
      </c>
      <c r="U307" s="8">
        <f t="shared" si="142"/>
        <v>699</v>
      </c>
      <c r="W307" s="8">
        <v>305408</v>
      </c>
      <c r="X307" s="8">
        <f t="shared" si="143"/>
        <v>7397</v>
      </c>
      <c r="Y307" s="8">
        <v>99665</v>
      </c>
      <c r="Z307" s="8">
        <f t="shared" si="144"/>
        <v>3244</v>
      </c>
      <c r="AA307" s="8">
        <v>5151</v>
      </c>
      <c r="AB307" s="8">
        <f t="shared" si="131"/>
        <v>-2764</v>
      </c>
      <c r="AC307" s="8">
        <v>94514</v>
      </c>
      <c r="AD307" s="8">
        <f t="shared" si="131"/>
        <v>6008</v>
      </c>
      <c r="AE307" s="8">
        <v>95999</v>
      </c>
      <c r="AF307" s="8">
        <f t="shared" si="145"/>
        <v>2412</v>
      </c>
      <c r="AG307" s="8">
        <v>217699</v>
      </c>
      <c r="AH307" s="8">
        <f t="shared" si="146"/>
        <v>10746</v>
      </c>
      <c r="AI307" s="8">
        <v>-121700</v>
      </c>
      <c r="AJ307" s="8">
        <f t="shared" si="147"/>
        <v>-8334</v>
      </c>
      <c r="AK307" s="8">
        <v>67337</v>
      </c>
      <c r="AL307" s="8">
        <f t="shared" si="148"/>
        <v>-1716</v>
      </c>
      <c r="AM307" s="8">
        <v>206393</v>
      </c>
      <c r="AN307" s="8">
        <f t="shared" si="149"/>
        <v>10241</v>
      </c>
      <c r="AO307" s="8">
        <v>-139056</v>
      </c>
      <c r="AP307" s="8">
        <f t="shared" si="150"/>
        <v>-11957</v>
      </c>
      <c r="AR307" s="8">
        <v>1865114</v>
      </c>
      <c r="AS307" s="8">
        <f t="shared" si="151"/>
        <v>27862</v>
      </c>
      <c r="AT307" s="8">
        <v>254133</v>
      </c>
      <c r="AU307" s="8">
        <f t="shared" si="152"/>
        <v>-26731</v>
      </c>
      <c r="AV307" s="8">
        <v>107543</v>
      </c>
      <c r="AW307" s="8">
        <f t="shared" si="153"/>
        <v>20511</v>
      </c>
      <c r="AX307" s="8">
        <f t="shared" si="128"/>
        <v>146590</v>
      </c>
      <c r="AY307" s="8">
        <f t="shared" si="154"/>
        <v>-47242</v>
      </c>
      <c r="AZ307" s="8">
        <v>786231</v>
      </c>
      <c r="BA307" s="8">
        <f t="shared" si="155"/>
        <v>31107</v>
      </c>
      <c r="BB307" s="8">
        <v>831543</v>
      </c>
      <c r="BC307" s="8">
        <f t="shared" si="156"/>
        <v>-4678</v>
      </c>
      <c r="BD307" s="8">
        <f t="shared" si="129"/>
        <v>-45312</v>
      </c>
      <c r="BE307" s="8">
        <f t="shared" si="157"/>
        <v>35785</v>
      </c>
      <c r="BF307" s="8">
        <v>358697</v>
      </c>
      <c r="BG307" s="8">
        <f t="shared" si="158"/>
        <v>29322</v>
      </c>
      <c r="BH307" s="8">
        <v>695737</v>
      </c>
      <c r="BI307" s="8">
        <f t="shared" si="159"/>
        <v>-4535</v>
      </c>
      <c r="BJ307" s="8">
        <f t="shared" si="130"/>
        <v>-337040</v>
      </c>
      <c r="BK307" s="8">
        <f t="shared" si="132"/>
        <v>33857</v>
      </c>
    </row>
    <row r="308" spans="1:63">
      <c r="A308" s="5">
        <v>41023</v>
      </c>
      <c r="B308" s="8">
        <v>417438</v>
      </c>
      <c r="C308" s="8">
        <f t="shared" si="133"/>
        <v>-29311</v>
      </c>
      <c r="D308" s="8">
        <v>80349</v>
      </c>
      <c r="E308" s="8">
        <f t="shared" si="134"/>
        <v>-4190</v>
      </c>
      <c r="F308" s="8">
        <v>37413</v>
      </c>
      <c r="G308" s="8">
        <f t="shared" si="135"/>
        <v>3124</v>
      </c>
      <c r="H308" s="8">
        <v>42936</v>
      </c>
      <c r="I308" s="8">
        <f t="shared" si="136"/>
        <v>-7314</v>
      </c>
      <c r="J308" s="8">
        <v>188843</v>
      </c>
      <c r="K308" s="8">
        <f t="shared" si="137"/>
        <v>-10050</v>
      </c>
      <c r="L308" s="8">
        <v>254915</v>
      </c>
      <c r="M308" s="8">
        <f t="shared" si="138"/>
        <v>-16476</v>
      </c>
      <c r="N308" s="8">
        <v>-66072</v>
      </c>
      <c r="O308" s="8">
        <f t="shared" si="139"/>
        <v>6426</v>
      </c>
      <c r="P308" s="8">
        <v>82099</v>
      </c>
      <c r="Q308" s="8">
        <f t="shared" si="140"/>
        <v>-2232</v>
      </c>
      <c r="R308" s="8">
        <v>238983</v>
      </c>
      <c r="S308" s="8">
        <f t="shared" si="141"/>
        <v>-10342</v>
      </c>
      <c r="T308" s="8">
        <v>-156884</v>
      </c>
      <c r="U308" s="8">
        <f t="shared" si="142"/>
        <v>8110</v>
      </c>
      <c r="W308" s="8">
        <v>302754</v>
      </c>
      <c r="X308" s="8">
        <f t="shared" si="143"/>
        <v>-2654</v>
      </c>
      <c r="Y308" s="8">
        <v>105890</v>
      </c>
      <c r="Z308" s="8">
        <f t="shared" si="144"/>
        <v>6225</v>
      </c>
      <c r="AA308" s="8">
        <v>4272</v>
      </c>
      <c r="AB308" s="8">
        <f t="shared" si="131"/>
        <v>-879</v>
      </c>
      <c r="AC308" s="8">
        <v>101618</v>
      </c>
      <c r="AD308" s="8">
        <f t="shared" si="131"/>
        <v>7104</v>
      </c>
      <c r="AE308" s="8">
        <v>94357</v>
      </c>
      <c r="AF308" s="8">
        <f t="shared" si="145"/>
        <v>-1642</v>
      </c>
      <c r="AG308" s="8">
        <v>222948</v>
      </c>
      <c r="AH308" s="8">
        <f t="shared" si="146"/>
        <v>5249</v>
      </c>
      <c r="AI308" s="8">
        <v>-128591</v>
      </c>
      <c r="AJ308" s="8">
        <f t="shared" si="147"/>
        <v>-6891</v>
      </c>
      <c r="AK308" s="8">
        <v>67367</v>
      </c>
      <c r="AL308" s="8">
        <f t="shared" si="148"/>
        <v>30</v>
      </c>
      <c r="AM308" s="8">
        <v>215194</v>
      </c>
      <c r="AN308" s="8">
        <f t="shared" si="149"/>
        <v>8801</v>
      </c>
      <c r="AO308" s="8">
        <v>-147827</v>
      </c>
      <c r="AP308" s="8">
        <f t="shared" si="150"/>
        <v>-8771</v>
      </c>
      <c r="AR308" s="8">
        <v>1739626</v>
      </c>
      <c r="AS308" s="8">
        <f t="shared" si="151"/>
        <v>-125488</v>
      </c>
      <c r="AT308" s="8">
        <v>238213</v>
      </c>
      <c r="AU308" s="8">
        <f t="shared" si="152"/>
        <v>-15920</v>
      </c>
      <c r="AV308" s="8">
        <v>135134</v>
      </c>
      <c r="AW308" s="8">
        <f t="shared" si="153"/>
        <v>27591</v>
      </c>
      <c r="AX308" s="8">
        <f t="shared" si="128"/>
        <v>103079</v>
      </c>
      <c r="AY308" s="8">
        <f t="shared" si="154"/>
        <v>-43511</v>
      </c>
      <c r="AZ308" s="8">
        <v>756898</v>
      </c>
      <c r="BA308" s="8">
        <f t="shared" si="155"/>
        <v>-29333</v>
      </c>
      <c r="BB308" s="8">
        <v>758095</v>
      </c>
      <c r="BC308" s="8">
        <f t="shared" si="156"/>
        <v>-73448</v>
      </c>
      <c r="BD308" s="8">
        <f t="shared" si="129"/>
        <v>-1197</v>
      </c>
      <c r="BE308" s="8">
        <f t="shared" si="157"/>
        <v>44115</v>
      </c>
      <c r="BF308" s="8">
        <v>343147</v>
      </c>
      <c r="BG308" s="8">
        <f t="shared" si="158"/>
        <v>-15550</v>
      </c>
      <c r="BH308" s="8">
        <v>635354</v>
      </c>
      <c r="BI308" s="8">
        <f t="shared" si="159"/>
        <v>-60383</v>
      </c>
      <c r="BJ308" s="8">
        <f t="shared" si="130"/>
        <v>-292207</v>
      </c>
      <c r="BK308" s="8">
        <f t="shared" si="132"/>
        <v>44833</v>
      </c>
    </row>
    <row r="309" spans="1:63">
      <c r="A309" s="5">
        <v>41030</v>
      </c>
      <c r="B309" s="8">
        <v>408130</v>
      </c>
      <c r="C309" s="8">
        <f t="shared" si="133"/>
        <v>-9308</v>
      </c>
      <c r="D309" s="8">
        <v>72666</v>
      </c>
      <c r="E309" s="8">
        <f t="shared" si="134"/>
        <v>-7683</v>
      </c>
      <c r="F309" s="8">
        <v>47258</v>
      </c>
      <c r="G309" s="8">
        <f t="shared" si="135"/>
        <v>9845</v>
      </c>
      <c r="H309" s="8">
        <v>25408</v>
      </c>
      <c r="I309" s="8">
        <f t="shared" si="136"/>
        <v>-17528</v>
      </c>
      <c r="J309" s="8">
        <v>197152</v>
      </c>
      <c r="K309" s="8">
        <f t="shared" si="137"/>
        <v>8309</v>
      </c>
      <c r="L309" s="8">
        <v>239987</v>
      </c>
      <c r="M309" s="8">
        <f t="shared" si="138"/>
        <v>-14928</v>
      </c>
      <c r="N309" s="8">
        <v>-42835</v>
      </c>
      <c r="O309" s="8">
        <f t="shared" si="139"/>
        <v>23237</v>
      </c>
      <c r="P309" s="8">
        <v>90900</v>
      </c>
      <c r="Q309" s="8">
        <f t="shared" si="140"/>
        <v>8801</v>
      </c>
      <c r="R309" s="8">
        <v>221770</v>
      </c>
      <c r="S309" s="8">
        <f t="shared" si="141"/>
        <v>-17213</v>
      </c>
      <c r="T309" s="8">
        <v>-130870</v>
      </c>
      <c r="U309" s="8">
        <f t="shared" si="142"/>
        <v>26014</v>
      </c>
      <c r="W309" s="8">
        <v>295598</v>
      </c>
      <c r="X309" s="8">
        <f t="shared" si="143"/>
        <v>-7156</v>
      </c>
      <c r="Y309" s="8">
        <v>101642</v>
      </c>
      <c r="Z309" s="8">
        <f t="shared" si="144"/>
        <v>-4248</v>
      </c>
      <c r="AA309" s="8">
        <v>2892</v>
      </c>
      <c r="AB309" s="8">
        <f t="shared" si="131"/>
        <v>-1380</v>
      </c>
      <c r="AC309" s="8">
        <v>98750</v>
      </c>
      <c r="AD309" s="8">
        <f t="shared" si="131"/>
        <v>-2868</v>
      </c>
      <c r="AE309" s="8">
        <v>93825</v>
      </c>
      <c r="AF309" s="8">
        <f t="shared" si="145"/>
        <v>-532</v>
      </c>
      <c r="AG309" s="8">
        <v>216574</v>
      </c>
      <c r="AH309" s="8">
        <f t="shared" si="146"/>
        <v>-6374</v>
      </c>
      <c r="AI309" s="8">
        <v>-122749</v>
      </c>
      <c r="AJ309" s="8">
        <f t="shared" si="147"/>
        <v>5842</v>
      </c>
      <c r="AK309" s="8">
        <v>66535</v>
      </c>
      <c r="AL309" s="8">
        <f t="shared" si="148"/>
        <v>-832</v>
      </c>
      <c r="AM309" s="8">
        <v>209063</v>
      </c>
      <c r="AN309" s="8">
        <f t="shared" si="149"/>
        <v>-6131</v>
      </c>
      <c r="AO309" s="8">
        <v>-142528</v>
      </c>
      <c r="AP309" s="8">
        <f t="shared" si="150"/>
        <v>5299</v>
      </c>
      <c r="AR309" s="8">
        <v>1684519</v>
      </c>
      <c r="AS309" s="8">
        <f t="shared" si="151"/>
        <v>-55107</v>
      </c>
      <c r="AT309" s="8">
        <v>240036</v>
      </c>
      <c r="AU309" s="8">
        <f t="shared" si="152"/>
        <v>1823</v>
      </c>
      <c r="AV309" s="8">
        <v>127708</v>
      </c>
      <c r="AW309" s="8">
        <f t="shared" si="153"/>
        <v>-7426</v>
      </c>
      <c r="AX309" s="8">
        <f t="shared" si="128"/>
        <v>112328</v>
      </c>
      <c r="AY309" s="8">
        <f t="shared" si="154"/>
        <v>9249</v>
      </c>
      <c r="AZ309" s="8">
        <v>720759</v>
      </c>
      <c r="BA309" s="8">
        <f t="shared" si="155"/>
        <v>-36139</v>
      </c>
      <c r="BB309" s="8">
        <v>749359</v>
      </c>
      <c r="BC309" s="8">
        <f t="shared" si="156"/>
        <v>-8736</v>
      </c>
      <c r="BD309" s="8">
        <f t="shared" si="129"/>
        <v>-28600</v>
      </c>
      <c r="BE309" s="8">
        <f t="shared" si="157"/>
        <v>-27403</v>
      </c>
      <c r="BF309" s="8">
        <v>306612</v>
      </c>
      <c r="BG309" s="8">
        <f t="shared" si="158"/>
        <v>-36535</v>
      </c>
      <c r="BH309" s="8">
        <v>626012</v>
      </c>
      <c r="BI309" s="8">
        <f t="shared" si="159"/>
        <v>-9342</v>
      </c>
      <c r="BJ309" s="8">
        <f t="shared" si="130"/>
        <v>-319400</v>
      </c>
      <c r="BK309" s="8">
        <f t="shared" si="132"/>
        <v>-27193</v>
      </c>
    </row>
    <row r="310" spans="1:63">
      <c r="A310" s="5">
        <v>41037</v>
      </c>
      <c r="B310" s="8">
        <v>431664</v>
      </c>
      <c r="C310" s="8">
        <f t="shared" si="133"/>
        <v>23534</v>
      </c>
      <c r="D310" s="8">
        <v>64765</v>
      </c>
      <c r="E310" s="8">
        <f t="shared" si="134"/>
        <v>-7901</v>
      </c>
      <c r="F310" s="8">
        <v>53007</v>
      </c>
      <c r="G310" s="8">
        <f t="shared" si="135"/>
        <v>5749</v>
      </c>
      <c r="H310" s="8">
        <v>11758</v>
      </c>
      <c r="I310" s="8">
        <f t="shared" si="136"/>
        <v>-13650</v>
      </c>
      <c r="J310" s="8">
        <v>226881</v>
      </c>
      <c r="K310" s="8">
        <f t="shared" si="137"/>
        <v>29729</v>
      </c>
      <c r="L310" s="8">
        <v>247426</v>
      </c>
      <c r="M310" s="8">
        <f t="shared" si="138"/>
        <v>7439</v>
      </c>
      <c r="N310" s="8">
        <v>-20545</v>
      </c>
      <c r="O310" s="8">
        <f t="shared" si="139"/>
        <v>22290</v>
      </c>
      <c r="P310" s="8">
        <v>119387</v>
      </c>
      <c r="Q310" s="8">
        <f t="shared" si="140"/>
        <v>28487</v>
      </c>
      <c r="R310" s="8">
        <v>225058</v>
      </c>
      <c r="S310" s="8">
        <f t="shared" si="141"/>
        <v>3288</v>
      </c>
      <c r="T310" s="8">
        <v>-105671</v>
      </c>
      <c r="U310" s="8">
        <f t="shared" si="142"/>
        <v>25199</v>
      </c>
      <c r="W310" s="8">
        <v>294297</v>
      </c>
      <c r="X310" s="8">
        <f t="shared" si="143"/>
        <v>-1301</v>
      </c>
      <c r="Y310" s="8">
        <v>100069</v>
      </c>
      <c r="Z310" s="8">
        <f t="shared" si="144"/>
        <v>-1573</v>
      </c>
      <c r="AA310" s="8">
        <v>2688</v>
      </c>
      <c r="AB310" s="8">
        <f t="shared" si="131"/>
        <v>-204</v>
      </c>
      <c r="AC310" s="8">
        <v>97381</v>
      </c>
      <c r="AD310" s="8">
        <f t="shared" si="131"/>
        <v>-1369</v>
      </c>
      <c r="AE310" s="8">
        <v>97173</v>
      </c>
      <c r="AF310" s="8">
        <f t="shared" si="145"/>
        <v>3348</v>
      </c>
      <c r="AG310" s="8">
        <v>216474</v>
      </c>
      <c r="AH310" s="8">
        <f t="shared" si="146"/>
        <v>-100</v>
      </c>
      <c r="AI310" s="8">
        <v>-119301</v>
      </c>
      <c r="AJ310" s="8">
        <f t="shared" si="147"/>
        <v>3448</v>
      </c>
      <c r="AK310" s="8">
        <v>68384</v>
      </c>
      <c r="AL310" s="8">
        <f t="shared" si="148"/>
        <v>1849</v>
      </c>
      <c r="AM310" s="8">
        <v>209096</v>
      </c>
      <c r="AN310" s="8">
        <f t="shared" si="149"/>
        <v>33</v>
      </c>
      <c r="AO310" s="8">
        <v>-140712</v>
      </c>
      <c r="AP310" s="8">
        <f t="shared" si="150"/>
        <v>1816</v>
      </c>
      <c r="AR310" s="8">
        <v>1711083</v>
      </c>
      <c r="AS310" s="8">
        <f t="shared" si="151"/>
        <v>26564</v>
      </c>
      <c r="AT310" s="8">
        <v>233685</v>
      </c>
      <c r="AU310" s="8">
        <f t="shared" si="152"/>
        <v>-6351</v>
      </c>
      <c r="AV310" s="8">
        <v>115362</v>
      </c>
      <c r="AW310" s="8">
        <f t="shared" si="153"/>
        <v>-12346</v>
      </c>
      <c r="AX310" s="8">
        <f t="shared" si="128"/>
        <v>118323</v>
      </c>
      <c r="AY310" s="8">
        <f t="shared" si="154"/>
        <v>5995</v>
      </c>
      <c r="AZ310" s="8">
        <v>735391</v>
      </c>
      <c r="BA310" s="8">
        <f t="shared" si="155"/>
        <v>14632</v>
      </c>
      <c r="BB310" s="8">
        <v>763801</v>
      </c>
      <c r="BC310" s="8">
        <f t="shared" si="156"/>
        <v>14442</v>
      </c>
      <c r="BD310" s="8">
        <f t="shared" si="129"/>
        <v>-28410</v>
      </c>
      <c r="BE310" s="8">
        <f t="shared" si="157"/>
        <v>190</v>
      </c>
      <c r="BF310" s="8">
        <v>314543</v>
      </c>
      <c r="BG310" s="8">
        <f t="shared" si="158"/>
        <v>7931</v>
      </c>
      <c r="BH310" s="8">
        <v>634497</v>
      </c>
      <c r="BI310" s="8">
        <f t="shared" si="159"/>
        <v>8485</v>
      </c>
      <c r="BJ310" s="8">
        <f t="shared" si="130"/>
        <v>-319954</v>
      </c>
      <c r="BK310" s="8">
        <f t="shared" si="132"/>
        <v>-554</v>
      </c>
    </row>
    <row r="311" spans="1:63">
      <c r="A311" s="5">
        <v>41044</v>
      </c>
      <c r="B311" s="8">
        <v>448414</v>
      </c>
      <c r="C311" s="8">
        <f t="shared" si="133"/>
        <v>16750</v>
      </c>
      <c r="D311" s="8">
        <v>50498</v>
      </c>
      <c r="E311" s="8">
        <f t="shared" si="134"/>
        <v>-14267</v>
      </c>
      <c r="F311" s="8">
        <v>61634</v>
      </c>
      <c r="G311" s="8">
        <f t="shared" si="135"/>
        <v>8627</v>
      </c>
      <c r="H311" s="8">
        <v>-11136</v>
      </c>
      <c r="I311" s="8">
        <f t="shared" si="136"/>
        <v>-22894</v>
      </c>
      <c r="J311" s="8">
        <v>249666</v>
      </c>
      <c r="K311" s="8">
        <f t="shared" si="137"/>
        <v>22785</v>
      </c>
      <c r="L311" s="8">
        <v>241831</v>
      </c>
      <c r="M311" s="8">
        <f t="shared" si="138"/>
        <v>-5595</v>
      </c>
      <c r="N311" s="8">
        <v>7835</v>
      </c>
      <c r="O311" s="8">
        <f t="shared" si="139"/>
        <v>28380</v>
      </c>
      <c r="P311" s="8">
        <v>144360</v>
      </c>
      <c r="Q311" s="8">
        <f t="shared" si="140"/>
        <v>24973</v>
      </c>
      <c r="R311" s="8">
        <v>219458</v>
      </c>
      <c r="S311" s="8">
        <f t="shared" si="141"/>
        <v>-5600</v>
      </c>
      <c r="T311" s="8">
        <v>-75098</v>
      </c>
      <c r="U311" s="8">
        <f t="shared" si="142"/>
        <v>30573</v>
      </c>
      <c r="W311" s="8">
        <v>297818</v>
      </c>
      <c r="X311" s="8">
        <f t="shared" si="143"/>
        <v>3521</v>
      </c>
      <c r="Y311" s="8">
        <v>93869</v>
      </c>
      <c r="Z311" s="8">
        <f t="shared" si="144"/>
        <v>-6200</v>
      </c>
      <c r="AA311" s="8">
        <v>3834</v>
      </c>
      <c r="AB311" s="8">
        <f t="shared" si="131"/>
        <v>1146</v>
      </c>
      <c r="AC311" s="8">
        <v>90035</v>
      </c>
      <c r="AD311" s="8">
        <f t="shared" si="131"/>
        <v>-7346</v>
      </c>
      <c r="AE311" s="8">
        <v>100664</v>
      </c>
      <c r="AF311" s="8">
        <f t="shared" si="145"/>
        <v>3491</v>
      </c>
      <c r="AG311" s="8">
        <v>213924</v>
      </c>
      <c r="AH311" s="8">
        <f t="shared" si="146"/>
        <v>-2550</v>
      </c>
      <c r="AI311" s="8">
        <v>-113260</v>
      </c>
      <c r="AJ311" s="8">
        <f t="shared" si="147"/>
        <v>6041</v>
      </c>
      <c r="AK311" s="8">
        <v>72092</v>
      </c>
      <c r="AL311" s="8">
        <f t="shared" si="148"/>
        <v>3708</v>
      </c>
      <c r="AM311" s="8">
        <v>206455</v>
      </c>
      <c r="AN311" s="8">
        <f t="shared" si="149"/>
        <v>-2641</v>
      </c>
      <c r="AO311" s="8">
        <v>-134363</v>
      </c>
      <c r="AP311" s="8">
        <f t="shared" si="150"/>
        <v>6349</v>
      </c>
      <c r="AR311" s="8">
        <v>1723037</v>
      </c>
      <c r="AS311" s="8">
        <f t="shared" si="151"/>
        <v>11954</v>
      </c>
      <c r="AT311" s="8">
        <v>218285</v>
      </c>
      <c r="AU311" s="8">
        <f t="shared" si="152"/>
        <v>-15400</v>
      </c>
      <c r="AV311" s="8">
        <v>134618</v>
      </c>
      <c r="AW311" s="8">
        <f t="shared" si="153"/>
        <v>19256</v>
      </c>
      <c r="AX311" s="8">
        <f t="shared" si="128"/>
        <v>83667</v>
      </c>
      <c r="AY311" s="8">
        <f t="shared" si="154"/>
        <v>-34656</v>
      </c>
      <c r="AZ311" s="8">
        <v>739272</v>
      </c>
      <c r="BA311" s="8">
        <f t="shared" si="155"/>
        <v>3881</v>
      </c>
      <c r="BB311" s="8">
        <v>726514</v>
      </c>
      <c r="BC311" s="8">
        <f t="shared" si="156"/>
        <v>-37287</v>
      </c>
      <c r="BD311" s="8">
        <f t="shared" si="129"/>
        <v>12758</v>
      </c>
      <c r="BE311" s="8">
        <f t="shared" si="157"/>
        <v>41168</v>
      </c>
      <c r="BF311" s="8">
        <v>323982</v>
      </c>
      <c r="BG311" s="8">
        <f t="shared" si="158"/>
        <v>9439</v>
      </c>
      <c r="BH311" s="8">
        <v>595123</v>
      </c>
      <c r="BI311" s="8">
        <f t="shared" si="159"/>
        <v>-39374</v>
      </c>
      <c r="BJ311" s="8">
        <f t="shared" si="130"/>
        <v>-271141</v>
      </c>
      <c r="BK311" s="8">
        <f t="shared" si="132"/>
        <v>48813</v>
      </c>
    </row>
    <row r="312" spans="1:63">
      <c r="A312" s="5">
        <v>41051</v>
      </c>
      <c r="B312" s="8">
        <v>467023</v>
      </c>
      <c r="C312" s="8">
        <f t="shared" si="133"/>
        <v>18609</v>
      </c>
      <c r="D312" s="8">
        <v>45006</v>
      </c>
      <c r="E312" s="8">
        <f t="shared" si="134"/>
        <v>-5492</v>
      </c>
      <c r="F312" s="8">
        <v>65932</v>
      </c>
      <c r="G312" s="8">
        <f t="shared" si="135"/>
        <v>4298</v>
      </c>
      <c r="H312" s="8">
        <v>-20926</v>
      </c>
      <c r="I312" s="8">
        <f t="shared" si="136"/>
        <v>-9790</v>
      </c>
      <c r="J312" s="8">
        <v>259842</v>
      </c>
      <c r="K312" s="8">
        <f t="shared" si="137"/>
        <v>10176</v>
      </c>
      <c r="L312" s="8">
        <v>239971</v>
      </c>
      <c r="M312" s="8">
        <f t="shared" si="138"/>
        <v>-1860</v>
      </c>
      <c r="N312" s="8">
        <v>19871</v>
      </c>
      <c r="O312" s="8">
        <f t="shared" si="139"/>
        <v>12036</v>
      </c>
      <c r="P312" s="8">
        <v>155219</v>
      </c>
      <c r="Q312" s="8">
        <f t="shared" si="140"/>
        <v>10859</v>
      </c>
      <c r="R312" s="8">
        <v>217313</v>
      </c>
      <c r="S312" s="8">
        <f t="shared" si="141"/>
        <v>-2145</v>
      </c>
      <c r="T312" s="8">
        <v>-62094</v>
      </c>
      <c r="U312" s="8">
        <f t="shared" si="142"/>
        <v>13004</v>
      </c>
      <c r="W312" s="8">
        <v>299610</v>
      </c>
      <c r="X312" s="8">
        <f t="shared" si="143"/>
        <v>1792</v>
      </c>
      <c r="Y312" s="8">
        <v>87281</v>
      </c>
      <c r="Z312" s="8">
        <f t="shared" si="144"/>
        <v>-6588</v>
      </c>
      <c r="AA312" s="8">
        <v>3037</v>
      </c>
      <c r="AB312" s="8">
        <f t="shared" si="131"/>
        <v>-797</v>
      </c>
      <c r="AC312" s="8">
        <v>84244</v>
      </c>
      <c r="AD312" s="8">
        <f t="shared" si="131"/>
        <v>-5791</v>
      </c>
      <c r="AE312" s="8">
        <v>104237</v>
      </c>
      <c r="AF312" s="8">
        <f t="shared" si="145"/>
        <v>3573</v>
      </c>
      <c r="AG312" s="8">
        <v>210799</v>
      </c>
      <c r="AH312" s="8">
        <f t="shared" si="146"/>
        <v>-3125</v>
      </c>
      <c r="AI312" s="8">
        <v>-106562</v>
      </c>
      <c r="AJ312" s="8">
        <f t="shared" si="147"/>
        <v>6698</v>
      </c>
      <c r="AK312" s="8">
        <v>76606</v>
      </c>
      <c r="AL312" s="8">
        <f t="shared" si="148"/>
        <v>4514</v>
      </c>
      <c r="AM312" s="8">
        <v>202922</v>
      </c>
      <c r="AN312" s="8">
        <f t="shared" si="149"/>
        <v>-3533</v>
      </c>
      <c r="AO312" s="8">
        <v>-126316</v>
      </c>
      <c r="AP312" s="8">
        <f t="shared" si="150"/>
        <v>8047</v>
      </c>
      <c r="AR312" s="8">
        <v>1699747</v>
      </c>
      <c r="AS312" s="8">
        <f t="shared" si="151"/>
        <v>-23290</v>
      </c>
      <c r="AT312" s="8">
        <v>203635</v>
      </c>
      <c r="AU312" s="8">
        <f t="shared" si="152"/>
        <v>-14650</v>
      </c>
      <c r="AV312" s="8">
        <v>94613</v>
      </c>
      <c r="AW312" s="8">
        <f t="shared" si="153"/>
        <v>-40005</v>
      </c>
      <c r="AX312" s="8">
        <f t="shared" si="128"/>
        <v>109022</v>
      </c>
      <c r="AY312" s="8">
        <f t="shared" si="154"/>
        <v>25355</v>
      </c>
      <c r="AZ312" s="8">
        <v>727366</v>
      </c>
      <c r="BA312" s="8">
        <f t="shared" si="155"/>
        <v>-11906</v>
      </c>
      <c r="BB312" s="8">
        <v>747961</v>
      </c>
      <c r="BC312" s="8">
        <f t="shared" si="156"/>
        <v>21447</v>
      </c>
      <c r="BD312" s="8">
        <f t="shared" si="129"/>
        <v>-20595</v>
      </c>
      <c r="BE312" s="8">
        <f t="shared" si="157"/>
        <v>-33353</v>
      </c>
      <c r="BF312" s="8">
        <v>318646</v>
      </c>
      <c r="BG312" s="8">
        <f t="shared" si="158"/>
        <v>-5336</v>
      </c>
      <c r="BH312" s="8">
        <v>629552</v>
      </c>
      <c r="BI312" s="8">
        <f t="shared" si="159"/>
        <v>34429</v>
      </c>
      <c r="BJ312" s="8">
        <f t="shared" si="130"/>
        <v>-310906</v>
      </c>
      <c r="BK312" s="8">
        <f t="shared" si="132"/>
        <v>-39765</v>
      </c>
    </row>
    <row r="313" spans="1:63">
      <c r="A313" s="5">
        <v>41058</v>
      </c>
      <c r="B313" s="8">
        <v>470165</v>
      </c>
      <c r="C313" s="8">
        <f t="shared" si="133"/>
        <v>3142</v>
      </c>
      <c r="D313" s="8">
        <v>41237</v>
      </c>
      <c r="E313" s="8">
        <f t="shared" si="134"/>
        <v>-3769</v>
      </c>
      <c r="F313" s="8">
        <v>69699</v>
      </c>
      <c r="G313" s="8">
        <f t="shared" si="135"/>
        <v>3767</v>
      </c>
      <c r="H313" s="8">
        <v>-28462</v>
      </c>
      <c r="I313" s="8">
        <f t="shared" si="136"/>
        <v>-7536</v>
      </c>
      <c r="J313" s="8">
        <v>262247</v>
      </c>
      <c r="K313" s="8">
        <f t="shared" si="137"/>
        <v>2405</v>
      </c>
      <c r="L313" s="8">
        <v>229736</v>
      </c>
      <c r="M313" s="8">
        <f t="shared" si="138"/>
        <v>-10235</v>
      </c>
      <c r="N313" s="8">
        <v>32511</v>
      </c>
      <c r="O313" s="8">
        <f t="shared" si="139"/>
        <v>12640</v>
      </c>
      <c r="P313" s="8">
        <v>159661</v>
      </c>
      <c r="Q313" s="8">
        <f t="shared" si="140"/>
        <v>4442</v>
      </c>
      <c r="R313" s="8">
        <v>205217</v>
      </c>
      <c r="S313" s="8">
        <f t="shared" si="141"/>
        <v>-12096</v>
      </c>
      <c r="T313" s="8">
        <v>-45556</v>
      </c>
      <c r="U313" s="8">
        <f t="shared" si="142"/>
        <v>16538</v>
      </c>
      <c r="W313" s="8">
        <v>300731</v>
      </c>
      <c r="X313" s="8">
        <f t="shared" si="143"/>
        <v>1121</v>
      </c>
      <c r="Y313" s="8">
        <v>82084</v>
      </c>
      <c r="Z313" s="8">
        <f t="shared" si="144"/>
        <v>-5197</v>
      </c>
      <c r="AA313" s="8">
        <v>2935</v>
      </c>
      <c r="AB313" s="8">
        <f t="shared" si="131"/>
        <v>-102</v>
      </c>
      <c r="AC313" s="8">
        <v>79149</v>
      </c>
      <c r="AD313" s="8">
        <f t="shared" si="131"/>
        <v>-5095</v>
      </c>
      <c r="AE313" s="8">
        <v>105016</v>
      </c>
      <c r="AF313" s="8">
        <f t="shared" si="145"/>
        <v>779</v>
      </c>
      <c r="AG313" s="8">
        <v>209285</v>
      </c>
      <c r="AH313" s="8">
        <f t="shared" si="146"/>
        <v>-1514</v>
      </c>
      <c r="AI313" s="8">
        <v>-104269</v>
      </c>
      <c r="AJ313" s="8">
        <f t="shared" si="147"/>
        <v>2293</v>
      </c>
      <c r="AK313" s="8">
        <v>77218</v>
      </c>
      <c r="AL313" s="8">
        <f t="shared" si="148"/>
        <v>612</v>
      </c>
      <c r="AM313" s="8">
        <v>201374</v>
      </c>
      <c r="AN313" s="8">
        <f t="shared" si="149"/>
        <v>-1548</v>
      </c>
      <c r="AO313" s="8">
        <v>-124156</v>
      </c>
      <c r="AP313" s="8">
        <f t="shared" si="150"/>
        <v>2160</v>
      </c>
      <c r="AR313" s="8">
        <v>1681497</v>
      </c>
      <c r="AS313" s="8">
        <f t="shared" si="151"/>
        <v>-18250</v>
      </c>
      <c r="AT313" s="8">
        <v>179348</v>
      </c>
      <c r="AU313" s="8">
        <f t="shared" si="152"/>
        <v>-24287</v>
      </c>
      <c r="AV313" s="8">
        <v>117855</v>
      </c>
      <c r="AW313" s="8">
        <f t="shared" si="153"/>
        <v>23242</v>
      </c>
      <c r="AX313" s="8">
        <f t="shared" si="128"/>
        <v>61493</v>
      </c>
      <c r="AY313" s="8">
        <f t="shared" si="154"/>
        <v>-47529</v>
      </c>
      <c r="AZ313" s="8">
        <v>745723</v>
      </c>
      <c r="BA313" s="8">
        <f t="shared" si="155"/>
        <v>18357</v>
      </c>
      <c r="BB313" s="8">
        <v>723125</v>
      </c>
      <c r="BC313" s="8">
        <f t="shared" si="156"/>
        <v>-24836</v>
      </c>
      <c r="BD313" s="8">
        <f t="shared" si="129"/>
        <v>22598</v>
      </c>
      <c r="BE313" s="8">
        <f t="shared" si="157"/>
        <v>43193</v>
      </c>
      <c r="BF313" s="8">
        <v>330482</v>
      </c>
      <c r="BG313" s="8">
        <f t="shared" si="158"/>
        <v>11836</v>
      </c>
      <c r="BH313" s="8">
        <v>601548</v>
      </c>
      <c r="BI313" s="8">
        <f t="shared" si="159"/>
        <v>-28004</v>
      </c>
      <c r="BJ313" s="8">
        <f t="shared" si="130"/>
        <v>-271066</v>
      </c>
      <c r="BK313" s="8">
        <f t="shared" si="132"/>
        <v>39840</v>
      </c>
    </row>
    <row r="314" spans="1:63">
      <c r="A314" s="5">
        <v>41065</v>
      </c>
      <c r="B314" s="8">
        <v>477593</v>
      </c>
      <c r="C314" s="8">
        <f t="shared" si="133"/>
        <v>7428</v>
      </c>
      <c r="D314" s="8">
        <v>38854</v>
      </c>
      <c r="E314" s="8">
        <f t="shared" si="134"/>
        <v>-2383</v>
      </c>
      <c r="F314" s="8">
        <v>73126</v>
      </c>
      <c r="G314" s="8">
        <f t="shared" si="135"/>
        <v>3427</v>
      </c>
      <c r="H314" s="8">
        <v>-34272</v>
      </c>
      <c r="I314" s="8">
        <f t="shared" si="136"/>
        <v>-5810</v>
      </c>
      <c r="J314" s="8">
        <v>269671</v>
      </c>
      <c r="K314" s="8">
        <f t="shared" si="137"/>
        <v>7424</v>
      </c>
      <c r="L314" s="8">
        <v>226646</v>
      </c>
      <c r="M314" s="8">
        <f t="shared" si="138"/>
        <v>-3090</v>
      </c>
      <c r="N314" s="8">
        <v>43025</v>
      </c>
      <c r="O314" s="8">
        <f t="shared" si="139"/>
        <v>10514</v>
      </c>
      <c r="P314" s="8">
        <v>164598</v>
      </c>
      <c r="Q314" s="8">
        <f t="shared" si="140"/>
        <v>4937</v>
      </c>
      <c r="R314" s="8">
        <v>198940</v>
      </c>
      <c r="S314" s="8">
        <f t="shared" si="141"/>
        <v>-6277</v>
      </c>
      <c r="T314" s="8">
        <v>-34342</v>
      </c>
      <c r="U314" s="8">
        <f t="shared" si="142"/>
        <v>11214</v>
      </c>
      <c r="W314" s="8">
        <v>286361</v>
      </c>
      <c r="X314" s="8">
        <f t="shared" si="143"/>
        <v>-14370</v>
      </c>
      <c r="Y314" s="8">
        <v>72023</v>
      </c>
      <c r="Z314" s="8">
        <f t="shared" si="144"/>
        <v>-10061</v>
      </c>
      <c r="AA314" s="8">
        <v>4914</v>
      </c>
      <c r="AB314" s="8">
        <f t="shared" si="131"/>
        <v>1979</v>
      </c>
      <c r="AC314" s="8">
        <v>67109</v>
      </c>
      <c r="AD314" s="8">
        <f t="shared" si="131"/>
        <v>-12040</v>
      </c>
      <c r="AE314" s="8">
        <v>102570</v>
      </c>
      <c r="AF314" s="8">
        <f t="shared" si="145"/>
        <v>-2446</v>
      </c>
      <c r="AG314" s="8">
        <v>194580</v>
      </c>
      <c r="AH314" s="8">
        <f t="shared" si="146"/>
        <v>-14705</v>
      </c>
      <c r="AI314" s="8">
        <v>-92010</v>
      </c>
      <c r="AJ314" s="8">
        <f t="shared" si="147"/>
        <v>12259</v>
      </c>
      <c r="AK314" s="8">
        <v>77970</v>
      </c>
      <c r="AL314" s="8">
        <f t="shared" si="148"/>
        <v>752</v>
      </c>
      <c r="AM314" s="8">
        <v>186728</v>
      </c>
      <c r="AN314" s="8">
        <f t="shared" si="149"/>
        <v>-14646</v>
      </c>
      <c r="AO314" s="8">
        <v>-108758</v>
      </c>
      <c r="AP314" s="8">
        <f t="shared" si="150"/>
        <v>15398</v>
      </c>
      <c r="AR314" s="8">
        <v>1696371</v>
      </c>
      <c r="AS314" s="8">
        <f t="shared" si="151"/>
        <v>14874</v>
      </c>
      <c r="AT314" s="8">
        <v>179423</v>
      </c>
      <c r="AU314" s="8">
        <f t="shared" si="152"/>
        <v>75</v>
      </c>
      <c r="AV314" s="8">
        <v>138086</v>
      </c>
      <c r="AW314" s="8">
        <f t="shared" si="153"/>
        <v>20231</v>
      </c>
      <c r="AX314" s="8">
        <f t="shared" si="128"/>
        <v>41337</v>
      </c>
      <c r="AY314" s="8">
        <f t="shared" si="154"/>
        <v>-20156</v>
      </c>
      <c r="AZ314" s="8">
        <v>742186</v>
      </c>
      <c r="BA314" s="8">
        <f t="shared" si="155"/>
        <v>-3537</v>
      </c>
      <c r="BB314" s="8">
        <v>710023</v>
      </c>
      <c r="BC314" s="8">
        <f t="shared" si="156"/>
        <v>-13102</v>
      </c>
      <c r="BD314" s="8">
        <f t="shared" si="129"/>
        <v>32163</v>
      </c>
      <c r="BE314" s="8">
        <f t="shared" si="157"/>
        <v>9565</v>
      </c>
      <c r="BF314" s="8">
        <v>325462</v>
      </c>
      <c r="BG314" s="8">
        <f t="shared" si="158"/>
        <v>-5020</v>
      </c>
      <c r="BH314" s="8">
        <v>576358</v>
      </c>
      <c r="BI314" s="8">
        <f t="shared" si="159"/>
        <v>-25190</v>
      </c>
      <c r="BJ314" s="8">
        <f t="shared" si="130"/>
        <v>-250896</v>
      </c>
      <c r="BK314" s="8">
        <f t="shared" si="132"/>
        <v>20170</v>
      </c>
    </row>
    <row r="315" spans="1:63">
      <c r="A315" s="5">
        <v>41072</v>
      </c>
      <c r="B315" s="8">
        <v>476068</v>
      </c>
      <c r="C315" s="8">
        <f t="shared" si="133"/>
        <v>-1525</v>
      </c>
      <c r="D315" s="8">
        <v>44699</v>
      </c>
      <c r="E315" s="8">
        <f t="shared" si="134"/>
        <v>5845</v>
      </c>
      <c r="F315" s="8">
        <v>76399</v>
      </c>
      <c r="G315" s="8">
        <f t="shared" si="135"/>
        <v>3273</v>
      </c>
      <c r="H315" s="8">
        <v>-31700</v>
      </c>
      <c r="I315" s="8">
        <f t="shared" si="136"/>
        <v>2572</v>
      </c>
      <c r="J315" s="8">
        <v>262181</v>
      </c>
      <c r="K315" s="8">
        <f t="shared" si="137"/>
        <v>-7490</v>
      </c>
      <c r="L315" s="8">
        <v>217788</v>
      </c>
      <c r="M315" s="8">
        <f t="shared" si="138"/>
        <v>-8858</v>
      </c>
      <c r="N315" s="8">
        <v>44393</v>
      </c>
      <c r="O315" s="8">
        <f t="shared" si="139"/>
        <v>1368</v>
      </c>
      <c r="P315" s="8">
        <v>163922</v>
      </c>
      <c r="Q315" s="8">
        <f t="shared" si="140"/>
        <v>-676</v>
      </c>
      <c r="R315" s="8">
        <v>194746</v>
      </c>
      <c r="S315" s="8">
        <f t="shared" si="141"/>
        <v>-4194</v>
      </c>
      <c r="T315" s="8">
        <v>-30824</v>
      </c>
      <c r="U315" s="8">
        <f t="shared" si="142"/>
        <v>3518</v>
      </c>
      <c r="W315" s="8">
        <v>297869</v>
      </c>
      <c r="X315" s="8">
        <f t="shared" si="143"/>
        <v>11508</v>
      </c>
      <c r="Y315" s="8">
        <v>79326</v>
      </c>
      <c r="Z315" s="8">
        <f t="shared" si="144"/>
        <v>7303</v>
      </c>
      <c r="AA315" s="8">
        <v>3943</v>
      </c>
      <c r="AB315" s="8">
        <f t="shared" si="131"/>
        <v>-971</v>
      </c>
      <c r="AC315" s="8">
        <v>75383</v>
      </c>
      <c r="AD315" s="8">
        <f t="shared" si="131"/>
        <v>8274</v>
      </c>
      <c r="AE315" s="8">
        <v>99885</v>
      </c>
      <c r="AF315" s="8">
        <f t="shared" si="145"/>
        <v>-2685</v>
      </c>
      <c r="AG315" s="8">
        <v>202784</v>
      </c>
      <c r="AH315" s="8">
        <f t="shared" si="146"/>
        <v>8204</v>
      </c>
      <c r="AI315" s="8">
        <v>-102899</v>
      </c>
      <c r="AJ315" s="8">
        <f t="shared" si="147"/>
        <v>-10889</v>
      </c>
      <c r="AK315" s="8">
        <v>76328</v>
      </c>
      <c r="AL315" s="8">
        <f t="shared" si="148"/>
        <v>-1642</v>
      </c>
      <c r="AM315" s="8">
        <v>194966</v>
      </c>
      <c r="AN315" s="8">
        <f t="shared" si="149"/>
        <v>8238</v>
      </c>
      <c r="AO315" s="8">
        <v>-118638</v>
      </c>
      <c r="AP315" s="8">
        <f t="shared" si="150"/>
        <v>-9880</v>
      </c>
      <c r="AR315" s="8">
        <v>1684295</v>
      </c>
      <c r="AS315" s="8">
        <f t="shared" si="151"/>
        <v>-12076</v>
      </c>
      <c r="AT315" s="8">
        <v>177154</v>
      </c>
      <c r="AU315" s="8">
        <f t="shared" si="152"/>
        <v>-2269</v>
      </c>
      <c r="AV315" s="8">
        <v>134130</v>
      </c>
      <c r="AW315" s="8">
        <f t="shared" si="153"/>
        <v>-3956</v>
      </c>
      <c r="AX315" s="8">
        <f t="shared" si="128"/>
        <v>43024</v>
      </c>
      <c r="AY315" s="8">
        <f t="shared" si="154"/>
        <v>1687</v>
      </c>
      <c r="AZ315" s="8">
        <v>713699</v>
      </c>
      <c r="BA315" s="8">
        <f t="shared" si="155"/>
        <v>-28487</v>
      </c>
      <c r="BB315" s="8">
        <v>684804</v>
      </c>
      <c r="BC315" s="8">
        <f t="shared" si="156"/>
        <v>-25219</v>
      </c>
      <c r="BD315" s="8">
        <f t="shared" si="129"/>
        <v>28895</v>
      </c>
      <c r="BE315" s="8">
        <f t="shared" si="157"/>
        <v>-3268</v>
      </c>
      <c r="BF315" s="8">
        <v>311403</v>
      </c>
      <c r="BG315" s="8">
        <f t="shared" si="158"/>
        <v>-14059</v>
      </c>
      <c r="BH315" s="8">
        <v>566005</v>
      </c>
      <c r="BI315" s="8">
        <f t="shared" si="159"/>
        <v>-10353</v>
      </c>
      <c r="BJ315" s="8">
        <f t="shared" si="130"/>
        <v>-254602</v>
      </c>
      <c r="BK315" s="8">
        <f t="shared" si="132"/>
        <v>-3706</v>
      </c>
    </row>
    <row r="316" spans="1:63">
      <c r="A316" s="5">
        <v>41079</v>
      </c>
      <c r="B316" s="8">
        <v>462321</v>
      </c>
      <c r="C316" s="8">
        <f t="shared" si="133"/>
        <v>-13747</v>
      </c>
      <c r="D316" s="8">
        <v>47060</v>
      </c>
      <c r="E316" s="8">
        <f t="shared" si="134"/>
        <v>2361</v>
      </c>
      <c r="F316" s="8">
        <v>75535</v>
      </c>
      <c r="G316" s="8">
        <f t="shared" si="135"/>
        <v>-864</v>
      </c>
      <c r="H316" s="8">
        <v>-28475</v>
      </c>
      <c r="I316" s="8">
        <f t="shared" si="136"/>
        <v>3225</v>
      </c>
      <c r="J316" s="8">
        <v>253888</v>
      </c>
      <c r="K316" s="8">
        <f t="shared" si="137"/>
        <v>-8293</v>
      </c>
      <c r="L316" s="8">
        <v>217385</v>
      </c>
      <c r="M316" s="8">
        <f t="shared" si="138"/>
        <v>-403</v>
      </c>
      <c r="N316" s="8">
        <v>36503</v>
      </c>
      <c r="O316" s="8">
        <f t="shared" si="139"/>
        <v>-7890</v>
      </c>
      <c r="P316" s="8">
        <v>158131</v>
      </c>
      <c r="Q316" s="8">
        <f t="shared" si="140"/>
        <v>-5791</v>
      </c>
      <c r="R316" s="8">
        <v>194476</v>
      </c>
      <c r="S316" s="8">
        <f t="shared" si="141"/>
        <v>-270</v>
      </c>
      <c r="T316" s="8">
        <v>-36345</v>
      </c>
      <c r="U316" s="8">
        <f t="shared" si="142"/>
        <v>-5521</v>
      </c>
      <c r="W316" s="8">
        <v>315804</v>
      </c>
      <c r="X316" s="8">
        <f t="shared" si="143"/>
        <v>17935</v>
      </c>
      <c r="Y316" s="8">
        <v>83276</v>
      </c>
      <c r="Z316" s="8">
        <f t="shared" si="144"/>
        <v>3950</v>
      </c>
      <c r="AA316" s="8">
        <v>2333</v>
      </c>
      <c r="AB316" s="8">
        <f t="shared" si="131"/>
        <v>-1610</v>
      </c>
      <c r="AC316" s="8">
        <v>80943</v>
      </c>
      <c r="AD316" s="8">
        <f t="shared" si="131"/>
        <v>5560</v>
      </c>
      <c r="AE316" s="8">
        <v>97555</v>
      </c>
      <c r="AF316" s="8">
        <f t="shared" si="145"/>
        <v>-2330</v>
      </c>
      <c r="AG316" s="8">
        <v>208378</v>
      </c>
      <c r="AH316" s="8">
        <f t="shared" si="146"/>
        <v>5594</v>
      </c>
      <c r="AI316" s="8">
        <v>-110823</v>
      </c>
      <c r="AJ316" s="8">
        <f t="shared" si="147"/>
        <v>-7924</v>
      </c>
      <c r="AK316" s="8">
        <v>73938</v>
      </c>
      <c r="AL316" s="8">
        <f t="shared" si="148"/>
        <v>-2390</v>
      </c>
      <c r="AM316" s="8">
        <v>196872</v>
      </c>
      <c r="AN316" s="8">
        <f t="shared" si="149"/>
        <v>1906</v>
      </c>
      <c r="AO316" s="8">
        <v>-122934</v>
      </c>
      <c r="AP316" s="8">
        <f t="shared" si="150"/>
        <v>-4296</v>
      </c>
      <c r="AR316" s="8">
        <v>1640692</v>
      </c>
      <c r="AS316" s="8">
        <f t="shared" si="151"/>
        <v>-43603</v>
      </c>
      <c r="AT316" s="8">
        <v>194997</v>
      </c>
      <c r="AU316" s="8">
        <f t="shared" si="152"/>
        <v>17843</v>
      </c>
      <c r="AV316" s="8">
        <v>124282</v>
      </c>
      <c r="AW316" s="8">
        <f t="shared" si="153"/>
        <v>-9848</v>
      </c>
      <c r="AX316" s="8">
        <f t="shared" si="128"/>
        <v>70715</v>
      </c>
      <c r="AY316" s="8">
        <f t="shared" si="154"/>
        <v>27691</v>
      </c>
      <c r="AZ316" s="8">
        <v>678700</v>
      </c>
      <c r="BA316" s="8">
        <f t="shared" si="155"/>
        <v>-34999</v>
      </c>
      <c r="BB316" s="8">
        <v>686212</v>
      </c>
      <c r="BC316" s="8">
        <f t="shared" si="156"/>
        <v>1408</v>
      </c>
      <c r="BD316" s="8">
        <f t="shared" si="129"/>
        <v>-7512</v>
      </c>
      <c r="BE316" s="8">
        <f t="shared" si="157"/>
        <v>-36407</v>
      </c>
      <c r="BF316" s="8">
        <v>283558</v>
      </c>
      <c r="BG316" s="8">
        <f t="shared" si="158"/>
        <v>-27845</v>
      </c>
      <c r="BH316" s="8">
        <v>576064</v>
      </c>
      <c r="BI316" s="8">
        <f t="shared" si="159"/>
        <v>10059</v>
      </c>
      <c r="BJ316" s="8">
        <f t="shared" si="130"/>
        <v>-292506</v>
      </c>
      <c r="BK316" s="8">
        <f t="shared" si="132"/>
        <v>-37904</v>
      </c>
    </row>
    <row r="317" spans="1:63">
      <c r="A317" s="5">
        <v>41086</v>
      </c>
      <c r="B317" s="8">
        <v>399083</v>
      </c>
      <c r="C317" s="8">
        <f t="shared" si="133"/>
        <v>-63238</v>
      </c>
      <c r="D317" s="8">
        <v>41579</v>
      </c>
      <c r="E317" s="8">
        <f t="shared" si="134"/>
        <v>-5481</v>
      </c>
      <c r="F317" s="8">
        <v>63367</v>
      </c>
      <c r="G317" s="8">
        <f t="shared" si="135"/>
        <v>-12168</v>
      </c>
      <c r="H317" s="8">
        <v>-21788</v>
      </c>
      <c r="I317" s="8">
        <f t="shared" si="136"/>
        <v>6687</v>
      </c>
      <c r="J317" s="8">
        <v>219631</v>
      </c>
      <c r="K317" s="8">
        <f t="shared" si="137"/>
        <v>-34257</v>
      </c>
      <c r="L317" s="8">
        <v>179047</v>
      </c>
      <c r="M317" s="8">
        <f t="shared" si="138"/>
        <v>-38338</v>
      </c>
      <c r="N317" s="8">
        <v>40584</v>
      </c>
      <c r="O317" s="8">
        <f t="shared" si="139"/>
        <v>4081</v>
      </c>
      <c r="P317" s="8">
        <v>124723</v>
      </c>
      <c r="Q317" s="8">
        <f t="shared" si="140"/>
        <v>-33408</v>
      </c>
      <c r="R317" s="8">
        <v>161698</v>
      </c>
      <c r="S317" s="8">
        <f t="shared" si="141"/>
        <v>-32778</v>
      </c>
      <c r="T317" s="8">
        <v>-36975</v>
      </c>
      <c r="U317" s="8">
        <f t="shared" si="142"/>
        <v>-630</v>
      </c>
      <c r="W317" s="8">
        <v>312498</v>
      </c>
      <c r="X317" s="8">
        <f t="shared" si="143"/>
        <v>-3306</v>
      </c>
      <c r="Y317" s="8">
        <v>86581</v>
      </c>
      <c r="Z317" s="8">
        <f t="shared" si="144"/>
        <v>3305</v>
      </c>
      <c r="AA317" s="8">
        <v>2210</v>
      </c>
      <c r="AB317" s="8">
        <f t="shared" si="131"/>
        <v>-123</v>
      </c>
      <c r="AC317" s="8">
        <v>84371</v>
      </c>
      <c r="AD317" s="8">
        <f t="shared" si="131"/>
        <v>3428</v>
      </c>
      <c r="AE317" s="8">
        <v>95146</v>
      </c>
      <c r="AF317" s="8">
        <f t="shared" si="145"/>
        <v>-2409</v>
      </c>
      <c r="AG317" s="8">
        <v>206423</v>
      </c>
      <c r="AH317" s="8">
        <f t="shared" si="146"/>
        <v>-1955</v>
      </c>
      <c r="AI317" s="8">
        <v>-111277</v>
      </c>
      <c r="AJ317" s="8">
        <f t="shared" si="147"/>
        <v>-454</v>
      </c>
      <c r="AK317" s="8">
        <v>75106</v>
      </c>
      <c r="AL317" s="8">
        <f t="shared" si="148"/>
        <v>1168</v>
      </c>
      <c r="AM317" s="8">
        <v>199537</v>
      </c>
      <c r="AN317" s="8">
        <f t="shared" si="149"/>
        <v>2665</v>
      </c>
      <c r="AO317" s="8">
        <v>-124431</v>
      </c>
      <c r="AP317" s="8">
        <f t="shared" si="150"/>
        <v>-1497</v>
      </c>
      <c r="AR317" s="8">
        <v>1509075</v>
      </c>
      <c r="AS317" s="8">
        <f t="shared" si="151"/>
        <v>-131617</v>
      </c>
      <c r="AT317" s="8">
        <v>191836</v>
      </c>
      <c r="AU317" s="8">
        <f t="shared" si="152"/>
        <v>-3161</v>
      </c>
      <c r="AV317" s="8">
        <v>83294</v>
      </c>
      <c r="AW317" s="8">
        <f t="shared" si="153"/>
        <v>-40988</v>
      </c>
      <c r="AX317" s="8">
        <f t="shared" si="128"/>
        <v>108542</v>
      </c>
      <c r="AY317" s="8">
        <f t="shared" si="154"/>
        <v>37827</v>
      </c>
      <c r="AZ317" s="8">
        <v>633660</v>
      </c>
      <c r="BA317" s="8">
        <f t="shared" si="155"/>
        <v>-45040</v>
      </c>
      <c r="BB317" s="8">
        <v>698128</v>
      </c>
      <c r="BC317" s="8">
        <f t="shared" si="156"/>
        <v>11916</v>
      </c>
      <c r="BD317" s="8">
        <f t="shared" si="129"/>
        <v>-64468</v>
      </c>
      <c r="BE317" s="8">
        <f t="shared" si="157"/>
        <v>-56956</v>
      </c>
      <c r="BF317" s="8">
        <v>263686</v>
      </c>
      <c r="BG317" s="8">
        <f t="shared" si="158"/>
        <v>-19872</v>
      </c>
      <c r="BH317" s="8">
        <v>602274</v>
      </c>
      <c r="BI317" s="8">
        <f t="shared" si="159"/>
        <v>26210</v>
      </c>
      <c r="BJ317" s="8">
        <f t="shared" si="130"/>
        <v>-338588</v>
      </c>
      <c r="BK317" s="8">
        <f t="shared" si="132"/>
        <v>-46082</v>
      </c>
    </row>
    <row r="318" spans="1:63">
      <c r="A318" s="5">
        <v>41093</v>
      </c>
      <c r="B318" s="8">
        <v>399378</v>
      </c>
      <c r="C318" s="8">
        <f t="shared" si="133"/>
        <v>295</v>
      </c>
      <c r="D318" s="8">
        <v>41579</v>
      </c>
      <c r="E318" s="8">
        <f t="shared" si="134"/>
        <v>0</v>
      </c>
      <c r="F318" s="8">
        <v>63367</v>
      </c>
      <c r="G318" s="8">
        <f t="shared" si="135"/>
        <v>0</v>
      </c>
      <c r="H318" s="8">
        <v>-21788</v>
      </c>
      <c r="I318" s="8">
        <f t="shared" si="136"/>
        <v>0</v>
      </c>
      <c r="J318" s="8">
        <v>206810</v>
      </c>
      <c r="K318" s="8">
        <f t="shared" si="137"/>
        <v>-12821</v>
      </c>
      <c r="L318" s="8">
        <v>202041</v>
      </c>
      <c r="M318" s="8">
        <f t="shared" si="138"/>
        <v>22994</v>
      </c>
      <c r="N318" s="8">
        <v>4769</v>
      </c>
      <c r="O318" s="8">
        <f t="shared" si="139"/>
        <v>-35815</v>
      </c>
      <c r="P318" s="8">
        <v>124723</v>
      </c>
      <c r="Q318" s="8">
        <f t="shared" si="140"/>
        <v>0</v>
      </c>
      <c r="R318" s="8">
        <v>161698</v>
      </c>
      <c r="S318" s="8">
        <f t="shared" si="141"/>
        <v>0</v>
      </c>
      <c r="T318" s="8">
        <v>-36975</v>
      </c>
      <c r="U318" s="8">
        <f t="shared" si="142"/>
        <v>0</v>
      </c>
      <c r="W318" s="8">
        <v>333564</v>
      </c>
      <c r="X318" s="8">
        <f t="shared" si="143"/>
        <v>21066</v>
      </c>
      <c r="Y318" s="8">
        <v>82502</v>
      </c>
      <c r="Z318" s="8">
        <f t="shared" si="144"/>
        <v>-4079</v>
      </c>
      <c r="AA318" s="8">
        <v>1076</v>
      </c>
      <c r="AB318" s="8">
        <f t="shared" si="131"/>
        <v>-1134</v>
      </c>
      <c r="AC318" s="8">
        <v>81426</v>
      </c>
      <c r="AD318" s="8">
        <f t="shared" si="131"/>
        <v>-2945</v>
      </c>
      <c r="AE318" s="8">
        <v>98373</v>
      </c>
      <c r="AF318" s="8">
        <f t="shared" si="145"/>
        <v>3227</v>
      </c>
      <c r="AG318" s="8">
        <v>204970</v>
      </c>
      <c r="AH318" s="8">
        <f t="shared" si="146"/>
        <v>-1453</v>
      </c>
      <c r="AI318" s="8">
        <v>-106597</v>
      </c>
      <c r="AJ318" s="8">
        <f t="shared" si="147"/>
        <v>4680</v>
      </c>
      <c r="AK318" s="8">
        <v>75106</v>
      </c>
      <c r="AL318" s="8">
        <f t="shared" si="148"/>
        <v>0</v>
      </c>
      <c r="AM318" s="8">
        <v>199537</v>
      </c>
      <c r="AN318" s="8">
        <f t="shared" si="149"/>
        <v>0</v>
      </c>
      <c r="AO318" s="8">
        <v>-124431</v>
      </c>
      <c r="AP318" s="8">
        <f t="shared" si="150"/>
        <v>0</v>
      </c>
      <c r="AR318" s="8">
        <v>1916920</v>
      </c>
      <c r="AS318" s="8">
        <f t="shared" si="151"/>
        <v>407845</v>
      </c>
      <c r="AT318" s="8">
        <v>208003</v>
      </c>
      <c r="AU318" s="8">
        <f t="shared" si="152"/>
        <v>16167</v>
      </c>
      <c r="AV318" s="8">
        <v>34820</v>
      </c>
      <c r="AW318" s="8">
        <f t="shared" si="153"/>
        <v>-48474</v>
      </c>
      <c r="AX318" s="8">
        <f t="shared" si="128"/>
        <v>173183</v>
      </c>
      <c r="AY318" s="8">
        <f t="shared" si="154"/>
        <v>64641</v>
      </c>
      <c r="AZ318" s="8">
        <v>716671</v>
      </c>
      <c r="BA318" s="8">
        <f t="shared" si="155"/>
        <v>83011</v>
      </c>
      <c r="BB318" s="8">
        <v>921600</v>
      </c>
      <c r="BC318" s="8">
        <f t="shared" si="156"/>
        <v>223472</v>
      </c>
      <c r="BD318" s="8">
        <f t="shared" si="129"/>
        <v>-204929</v>
      </c>
      <c r="BE318" s="8">
        <f t="shared" si="157"/>
        <v>-140461</v>
      </c>
      <c r="BF318" s="8">
        <v>263686</v>
      </c>
      <c r="BG318" s="8">
        <f t="shared" si="158"/>
        <v>0</v>
      </c>
      <c r="BH318" s="8">
        <v>602274</v>
      </c>
      <c r="BI318" s="8">
        <f t="shared" si="159"/>
        <v>0</v>
      </c>
      <c r="BJ318" s="8">
        <f t="shared" si="130"/>
        <v>-338588</v>
      </c>
      <c r="BK318" s="8">
        <f t="shared" si="132"/>
        <v>0</v>
      </c>
    </row>
    <row r="319" spans="1:63">
      <c r="A319" s="5">
        <v>41100</v>
      </c>
      <c r="B319" s="8">
        <v>392116</v>
      </c>
      <c r="C319" s="8">
        <f t="shared" si="133"/>
        <v>-7262</v>
      </c>
      <c r="D319" s="8">
        <v>50938</v>
      </c>
      <c r="E319" s="8">
        <f t="shared" si="134"/>
        <v>9359</v>
      </c>
      <c r="F319" s="8">
        <v>44451</v>
      </c>
      <c r="G319" s="8">
        <f t="shared" si="135"/>
        <v>-18916</v>
      </c>
      <c r="H319" s="8">
        <v>6487</v>
      </c>
      <c r="I319" s="8">
        <f t="shared" si="136"/>
        <v>28275</v>
      </c>
      <c r="J319" s="8">
        <v>199908</v>
      </c>
      <c r="K319" s="8">
        <f t="shared" si="137"/>
        <v>-6902</v>
      </c>
      <c r="L319" s="8">
        <v>191252</v>
      </c>
      <c r="M319" s="8">
        <f t="shared" si="138"/>
        <v>-10789</v>
      </c>
      <c r="N319" s="8">
        <v>8656</v>
      </c>
      <c r="O319" s="8">
        <f t="shared" si="139"/>
        <v>3887</v>
      </c>
      <c r="P319" s="8">
        <v>105375</v>
      </c>
      <c r="Q319" s="8">
        <f t="shared" si="140"/>
        <v>-19348</v>
      </c>
      <c r="R319" s="8">
        <v>176140</v>
      </c>
      <c r="S319" s="8">
        <f t="shared" si="141"/>
        <v>14442</v>
      </c>
      <c r="T319" s="8">
        <v>-70765</v>
      </c>
      <c r="U319" s="8">
        <f t="shared" si="142"/>
        <v>-33790</v>
      </c>
      <c r="W319" s="8">
        <v>315819</v>
      </c>
      <c r="X319" s="8">
        <f t="shared" si="143"/>
        <v>-17745</v>
      </c>
      <c r="Y319" s="8">
        <v>81915</v>
      </c>
      <c r="Z319" s="8">
        <f t="shared" si="144"/>
        <v>-587</v>
      </c>
      <c r="AA319" s="8">
        <v>280</v>
      </c>
      <c r="AB319" s="8">
        <f t="shared" si="131"/>
        <v>-796</v>
      </c>
      <c r="AC319" s="8">
        <v>81635</v>
      </c>
      <c r="AD319" s="8">
        <f t="shared" si="131"/>
        <v>209</v>
      </c>
      <c r="AE319" s="8">
        <v>90119</v>
      </c>
      <c r="AF319" s="8">
        <f t="shared" si="145"/>
        <v>-8254</v>
      </c>
      <c r="AG319" s="8">
        <v>200281</v>
      </c>
      <c r="AH319" s="8">
        <f t="shared" si="146"/>
        <v>-4689</v>
      </c>
      <c r="AI319" s="8">
        <v>-110162</v>
      </c>
      <c r="AJ319" s="8">
        <f t="shared" si="147"/>
        <v>-3565</v>
      </c>
      <c r="AK319" s="8">
        <v>69140</v>
      </c>
      <c r="AL319" s="8">
        <f t="shared" si="148"/>
        <v>-5966</v>
      </c>
      <c r="AM319" s="8">
        <v>193552</v>
      </c>
      <c r="AN319" s="8">
        <f t="shared" si="149"/>
        <v>-5985</v>
      </c>
      <c r="AO319" s="8">
        <v>-124412</v>
      </c>
      <c r="AP319" s="8">
        <f t="shared" si="150"/>
        <v>19</v>
      </c>
      <c r="AR319" s="8">
        <v>1730417</v>
      </c>
      <c r="AS319" s="8">
        <f t="shared" si="151"/>
        <v>-186503</v>
      </c>
      <c r="AT319" s="8">
        <v>230550</v>
      </c>
      <c r="AU319" s="8">
        <f t="shared" si="152"/>
        <v>22547</v>
      </c>
      <c r="AV319" s="8">
        <v>28594</v>
      </c>
      <c r="AW319" s="8">
        <f t="shared" si="153"/>
        <v>-6226</v>
      </c>
      <c r="AX319" s="8">
        <f t="shared" si="128"/>
        <v>201956</v>
      </c>
      <c r="AY319" s="8">
        <f t="shared" si="154"/>
        <v>28773</v>
      </c>
      <c r="AZ319" s="8">
        <v>678529</v>
      </c>
      <c r="BA319" s="8">
        <f t="shared" si="155"/>
        <v>-38142</v>
      </c>
      <c r="BB319" s="8">
        <v>837223</v>
      </c>
      <c r="BC319" s="8">
        <f t="shared" si="156"/>
        <v>-84377</v>
      </c>
      <c r="BD319" s="8">
        <f t="shared" si="129"/>
        <v>-158694</v>
      </c>
      <c r="BE319" s="8">
        <f t="shared" si="157"/>
        <v>46235</v>
      </c>
      <c r="BF319" s="8">
        <v>310671</v>
      </c>
      <c r="BG319" s="8">
        <f t="shared" si="158"/>
        <v>46985</v>
      </c>
      <c r="BH319" s="8">
        <v>708521</v>
      </c>
      <c r="BI319" s="8">
        <f t="shared" si="159"/>
        <v>106247</v>
      </c>
      <c r="BJ319" s="8">
        <f t="shared" si="130"/>
        <v>-397850</v>
      </c>
      <c r="BK319" s="8">
        <f t="shared" si="132"/>
        <v>-59262</v>
      </c>
    </row>
    <row r="320" spans="1:63">
      <c r="A320" s="5">
        <v>41107</v>
      </c>
      <c r="B320" s="8">
        <v>399378</v>
      </c>
      <c r="C320" s="8">
        <f t="shared" si="133"/>
        <v>7262</v>
      </c>
      <c r="D320" s="8">
        <v>51125</v>
      </c>
      <c r="E320" s="8">
        <f t="shared" si="134"/>
        <v>187</v>
      </c>
      <c r="F320" s="8">
        <v>41099</v>
      </c>
      <c r="G320" s="8">
        <f t="shared" si="135"/>
        <v>-3352</v>
      </c>
      <c r="H320" s="8">
        <v>10026</v>
      </c>
      <c r="I320" s="8">
        <f t="shared" si="136"/>
        <v>3539</v>
      </c>
      <c r="J320" s="8">
        <v>206810</v>
      </c>
      <c r="K320" s="8">
        <f t="shared" si="137"/>
        <v>6902</v>
      </c>
      <c r="L320" s="8">
        <v>202041</v>
      </c>
      <c r="M320" s="8">
        <f t="shared" si="138"/>
        <v>10789</v>
      </c>
      <c r="N320" s="8">
        <v>4769</v>
      </c>
      <c r="O320" s="8">
        <f t="shared" si="139"/>
        <v>-3887</v>
      </c>
      <c r="P320" s="8">
        <v>109851</v>
      </c>
      <c r="Q320" s="8">
        <f t="shared" si="140"/>
        <v>4476</v>
      </c>
      <c r="R320" s="8">
        <v>185402</v>
      </c>
      <c r="S320" s="8">
        <f t="shared" si="141"/>
        <v>9262</v>
      </c>
      <c r="T320" s="8">
        <v>-75551</v>
      </c>
      <c r="U320" s="8">
        <f t="shared" si="142"/>
        <v>-4786</v>
      </c>
      <c r="W320" s="8">
        <v>333564</v>
      </c>
      <c r="X320" s="8">
        <f t="shared" si="143"/>
        <v>17745</v>
      </c>
      <c r="Y320" s="8">
        <v>81144</v>
      </c>
      <c r="Z320" s="8">
        <f t="shared" si="144"/>
        <v>-771</v>
      </c>
      <c r="AA320" s="8">
        <v>1060</v>
      </c>
      <c r="AB320" s="8">
        <f t="shared" si="131"/>
        <v>780</v>
      </c>
      <c r="AC320" s="8">
        <v>80084</v>
      </c>
      <c r="AD320" s="8">
        <f t="shared" si="131"/>
        <v>-1551</v>
      </c>
      <c r="AE320" s="8">
        <v>98373</v>
      </c>
      <c r="AF320" s="8">
        <f t="shared" si="145"/>
        <v>8254</v>
      </c>
      <c r="AG320" s="8">
        <v>204970</v>
      </c>
      <c r="AH320" s="8">
        <f t="shared" si="146"/>
        <v>4689</v>
      </c>
      <c r="AI320" s="8">
        <v>-106597</v>
      </c>
      <c r="AJ320" s="8">
        <f t="shared" si="147"/>
        <v>3565</v>
      </c>
      <c r="AK320" s="8">
        <v>76758</v>
      </c>
      <c r="AL320" s="8">
        <f t="shared" si="148"/>
        <v>7618</v>
      </c>
      <c r="AM320" s="8">
        <v>196964</v>
      </c>
      <c r="AN320" s="8">
        <f t="shared" si="149"/>
        <v>3412</v>
      </c>
      <c r="AO320" s="8">
        <v>-120206</v>
      </c>
      <c r="AP320" s="8">
        <f t="shared" si="150"/>
        <v>4206</v>
      </c>
      <c r="AR320" s="8">
        <v>1916920</v>
      </c>
      <c r="AS320" s="8">
        <f t="shared" si="151"/>
        <v>186503</v>
      </c>
      <c r="AT320" s="8">
        <v>254073</v>
      </c>
      <c r="AU320" s="8">
        <f t="shared" si="152"/>
        <v>23523</v>
      </c>
      <c r="AV320" s="8">
        <v>18476</v>
      </c>
      <c r="AW320" s="8">
        <f t="shared" si="153"/>
        <v>-10118</v>
      </c>
      <c r="AX320" s="8">
        <f t="shared" si="128"/>
        <v>235597</v>
      </c>
      <c r="AY320" s="8">
        <f t="shared" si="154"/>
        <v>33641</v>
      </c>
      <c r="AZ320" s="8">
        <v>716671</v>
      </c>
      <c r="BA320" s="8">
        <f t="shared" si="155"/>
        <v>38142</v>
      </c>
      <c r="BB320" s="8">
        <v>921600</v>
      </c>
      <c r="BC320" s="8">
        <f t="shared" si="156"/>
        <v>84377</v>
      </c>
      <c r="BD320" s="8">
        <f t="shared" si="129"/>
        <v>-204929</v>
      </c>
      <c r="BE320" s="8">
        <f t="shared" si="157"/>
        <v>-46235</v>
      </c>
      <c r="BF320" s="8">
        <v>344088</v>
      </c>
      <c r="BG320" s="8">
        <f t="shared" si="158"/>
        <v>33417</v>
      </c>
      <c r="BH320" s="8">
        <v>781762</v>
      </c>
      <c r="BI320" s="8">
        <f t="shared" si="159"/>
        <v>73241</v>
      </c>
      <c r="BJ320" s="8">
        <f t="shared" si="130"/>
        <v>-437674</v>
      </c>
      <c r="BK320" s="8">
        <f t="shared" si="132"/>
        <v>-39824</v>
      </c>
    </row>
    <row r="321" spans="1:63">
      <c r="A321" s="5">
        <v>41114</v>
      </c>
      <c r="B321" s="8">
        <v>380006</v>
      </c>
      <c r="C321" s="8">
        <f t="shared" si="133"/>
        <v>-19372</v>
      </c>
      <c r="D321" s="8">
        <v>44284</v>
      </c>
      <c r="E321" s="8">
        <f t="shared" si="134"/>
        <v>-6841</v>
      </c>
      <c r="F321" s="8">
        <v>41315</v>
      </c>
      <c r="G321" s="8">
        <f t="shared" si="135"/>
        <v>216</v>
      </c>
      <c r="H321" s="8">
        <v>2969</v>
      </c>
      <c r="I321" s="8">
        <f t="shared" si="136"/>
        <v>-7057</v>
      </c>
      <c r="J321" s="8">
        <v>212517</v>
      </c>
      <c r="K321" s="8">
        <f t="shared" si="137"/>
        <v>5707</v>
      </c>
      <c r="L321" s="8">
        <v>203735</v>
      </c>
      <c r="M321" s="8">
        <f t="shared" si="138"/>
        <v>1694</v>
      </c>
      <c r="N321" s="8">
        <v>8782</v>
      </c>
      <c r="O321" s="8">
        <f t="shared" si="139"/>
        <v>4013</v>
      </c>
      <c r="P321" s="8">
        <v>117014</v>
      </c>
      <c r="Q321" s="8">
        <f t="shared" si="140"/>
        <v>7163</v>
      </c>
      <c r="R321" s="8">
        <v>188968</v>
      </c>
      <c r="S321" s="8">
        <f t="shared" si="141"/>
        <v>3566</v>
      </c>
      <c r="T321" s="8">
        <v>-71954</v>
      </c>
      <c r="U321" s="8">
        <f t="shared" si="142"/>
        <v>3597</v>
      </c>
      <c r="W321" s="8">
        <v>328687</v>
      </c>
      <c r="X321" s="8">
        <f t="shared" si="143"/>
        <v>-4877</v>
      </c>
      <c r="Y321" s="8">
        <v>72535</v>
      </c>
      <c r="Z321" s="8">
        <f t="shared" si="144"/>
        <v>-8609</v>
      </c>
      <c r="AA321" s="8">
        <v>2632</v>
      </c>
      <c r="AB321" s="8">
        <f t="shared" si="131"/>
        <v>1572</v>
      </c>
      <c r="AC321" s="8">
        <v>69903</v>
      </c>
      <c r="AD321" s="8">
        <f t="shared" si="131"/>
        <v>-10181</v>
      </c>
      <c r="AE321" s="8">
        <v>98147</v>
      </c>
      <c r="AF321" s="8">
        <f t="shared" si="145"/>
        <v>-226</v>
      </c>
      <c r="AG321" s="8">
        <v>195976</v>
      </c>
      <c r="AH321" s="8">
        <f t="shared" si="146"/>
        <v>-8994</v>
      </c>
      <c r="AI321" s="8">
        <v>-97829</v>
      </c>
      <c r="AJ321" s="8">
        <f t="shared" si="147"/>
        <v>8768</v>
      </c>
      <c r="AK321" s="8">
        <v>73508</v>
      </c>
      <c r="AL321" s="8">
        <f t="shared" si="148"/>
        <v>-3250</v>
      </c>
      <c r="AM321" s="8">
        <v>188466</v>
      </c>
      <c r="AN321" s="8">
        <f t="shared" si="149"/>
        <v>-8498</v>
      </c>
      <c r="AO321" s="8">
        <v>-114958</v>
      </c>
      <c r="AP321" s="8">
        <f t="shared" si="150"/>
        <v>5248</v>
      </c>
      <c r="AR321" s="8">
        <v>2007418</v>
      </c>
      <c r="AS321" s="8">
        <f t="shared" si="151"/>
        <v>90498</v>
      </c>
      <c r="AT321" s="8">
        <v>288092</v>
      </c>
      <c r="AU321" s="8">
        <f t="shared" si="152"/>
        <v>34019</v>
      </c>
      <c r="AV321" s="8">
        <v>8707</v>
      </c>
      <c r="AW321" s="8">
        <f t="shared" si="153"/>
        <v>-9769</v>
      </c>
      <c r="AX321" s="8">
        <f t="shared" si="128"/>
        <v>279385</v>
      </c>
      <c r="AY321" s="8">
        <f t="shared" si="154"/>
        <v>43788</v>
      </c>
      <c r="AZ321" s="8">
        <v>724216</v>
      </c>
      <c r="BA321" s="8">
        <f t="shared" si="155"/>
        <v>7545</v>
      </c>
      <c r="BB321" s="8">
        <v>954123</v>
      </c>
      <c r="BC321" s="8">
        <f t="shared" si="156"/>
        <v>32523</v>
      </c>
      <c r="BD321" s="8">
        <f t="shared" si="129"/>
        <v>-229907</v>
      </c>
      <c r="BE321" s="8">
        <f t="shared" si="157"/>
        <v>-24978</v>
      </c>
      <c r="BF321" s="8">
        <v>349895</v>
      </c>
      <c r="BG321" s="8">
        <f t="shared" si="158"/>
        <v>5807</v>
      </c>
      <c r="BH321" s="8">
        <v>810439</v>
      </c>
      <c r="BI321" s="8">
        <f t="shared" si="159"/>
        <v>28677</v>
      </c>
      <c r="BJ321" s="8">
        <f t="shared" si="130"/>
        <v>-460544</v>
      </c>
      <c r="BK321" s="8">
        <f t="shared" si="132"/>
        <v>-22870</v>
      </c>
    </row>
    <row r="322" spans="1:63">
      <c r="A322" s="5">
        <v>41121</v>
      </c>
      <c r="B322" s="8">
        <v>375015</v>
      </c>
      <c r="C322" s="8">
        <f t="shared" si="133"/>
        <v>-4991</v>
      </c>
      <c r="D322" s="8">
        <v>49314</v>
      </c>
      <c r="E322" s="8">
        <f t="shared" si="134"/>
        <v>5030</v>
      </c>
      <c r="F322" s="8">
        <v>39073</v>
      </c>
      <c r="G322" s="8">
        <f t="shared" si="135"/>
        <v>-2242</v>
      </c>
      <c r="H322" s="8">
        <v>10241</v>
      </c>
      <c r="I322" s="8">
        <f t="shared" si="136"/>
        <v>7272</v>
      </c>
      <c r="J322" s="8">
        <v>203677</v>
      </c>
      <c r="K322" s="8">
        <f t="shared" si="137"/>
        <v>-8840</v>
      </c>
      <c r="L322" s="8">
        <v>214078</v>
      </c>
      <c r="M322" s="8">
        <f t="shared" si="138"/>
        <v>10343</v>
      </c>
      <c r="N322" s="8">
        <v>-10401</v>
      </c>
      <c r="O322" s="8">
        <f t="shared" si="139"/>
        <v>-19183</v>
      </c>
      <c r="P322" s="8">
        <v>109565</v>
      </c>
      <c r="Q322" s="8">
        <f t="shared" si="140"/>
        <v>-7449</v>
      </c>
      <c r="R322" s="8">
        <v>200738</v>
      </c>
      <c r="S322" s="8">
        <f t="shared" si="141"/>
        <v>11770</v>
      </c>
      <c r="T322" s="8">
        <v>-91173</v>
      </c>
      <c r="U322" s="8">
        <f t="shared" si="142"/>
        <v>-19219</v>
      </c>
      <c r="W322" s="8">
        <v>311118</v>
      </c>
      <c r="X322" s="8">
        <f t="shared" si="143"/>
        <v>-17569</v>
      </c>
      <c r="Y322" s="8">
        <v>68656</v>
      </c>
      <c r="Z322" s="8">
        <f t="shared" si="144"/>
        <v>-3879</v>
      </c>
      <c r="AA322" s="8">
        <v>1838</v>
      </c>
      <c r="AB322" s="8">
        <f t="shared" si="131"/>
        <v>-794</v>
      </c>
      <c r="AC322" s="8">
        <v>66818</v>
      </c>
      <c r="AD322" s="8">
        <f t="shared" si="131"/>
        <v>-3085</v>
      </c>
      <c r="AE322" s="8">
        <v>92300</v>
      </c>
      <c r="AF322" s="8">
        <f t="shared" si="145"/>
        <v>-5847</v>
      </c>
      <c r="AG322" s="8">
        <v>184149</v>
      </c>
      <c r="AH322" s="8">
        <f t="shared" si="146"/>
        <v>-11827</v>
      </c>
      <c r="AI322" s="8">
        <v>-91849</v>
      </c>
      <c r="AJ322" s="8">
        <f t="shared" si="147"/>
        <v>5980</v>
      </c>
      <c r="AK322" s="8">
        <v>67405</v>
      </c>
      <c r="AL322" s="8">
        <f t="shared" si="148"/>
        <v>-6103</v>
      </c>
      <c r="AM322" s="8">
        <v>175338</v>
      </c>
      <c r="AN322" s="8">
        <f t="shared" si="149"/>
        <v>-13128</v>
      </c>
      <c r="AO322" s="8">
        <v>-107933</v>
      </c>
      <c r="AP322" s="8">
        <f t="shared" si="150"/>
        <v>7025</v>
      </c>
      <c r="AR322" s="8">
        <v>1932495</v>
      </c>
      <c r="AS322" s="8">
        <f t="shared" si="151"/>
        <v>-74923</v>
      </c>
      <c r="AT322" s="8">
        <v>291824</v>
      </c>
      <c r="AU322" s="8">
        <f t="shared" si="152"/>
        <v>3732</v>
      </c>
      <c r="AV322" s="8">
        <v>6439</v>
      </c>
      <c r="AW322" s="8">
        <f t="shared" si="153"/>
        <v>-2268</v>
      </c>
      <c r="AX322" s="8">
        <f t="shared" si="128"/>
        <v>285385</v>
      </c>
      <c r="AY322" s="8">
        <f t="shared" si="154"/>
        <v>6000</v>
      </c>
      <c r="AZ322" s="8">
        <v>713954</v>
      </c>
      <c r="BA322" s="8">
        <f t="shared" si="155"/>
        <v>-10262</v>
      </c>
      <c r="BB322" s="8">
        <v>953824</v>
      </c>
      <c r="BC322" s="8">
        <f t="shared" si="156"/>
        <v>-299</v>
      </c>
      <c r="BD322" s="8">
        <f t="shared" si="129"/>
        <v>-239870</v>
      </c>
      <c r="BE322" s="8">
        <f t="shared" si="157"/>
        <v>-9963</v>
      </c>
      <c r="BF322" s="8">
        <v>341582</v>
      </c>
      <c r="BG322" s="8">
        <f t="shared" si="158"/>
        <v>-8313</v>
      </c>
      <c r="BH322" s="8">
        <v>805193</v>
      </c>
      <c r="BI322" s="8">
        <f t="shared" si="159"/>
        <v>-5246</v>
      </c>
      <c r="BJ322" s="8">
        <f t="shared" si="130"/>
        <v>-463611</v>
      </c>
      <c r="BK322" s="8">
        <f t="shared" si="132"/>
        <v>-3067</v>
      </c>
    </row>
    <row r="323" spans="1:63">
      <c r="A323" s="5">
        <v>41128</v>
      </c>
      <c r="B323" s="8">
        <v>383411</v>
      </c>
      <c r="C323" s="8">
        <f t="shared" si="133"/>
        <v>8396</v>
      </c>
      <c r="D323" s="8">
        <v>49891</v>
      </c>
      <c r="E323" s="8">
        <f t="shared" si="134"/>
        <v>577</v>
      </c>
      <c r="F323" s="8">
        <v>48370</v>
      </c>
      <c r="G323" s="8">
        <f t="shared" si="135"/>
        <v>9297</v>
      </c>
      <c r="H323" s="8">
        <v>1521</v>
      </c>
      <c r="I323" s="8">
        <f t="shared" si="136"/>
        <v>-8720</v>
      </c>
      <c r="J323" s="8">
        <v>214360</v>
      </c>
      <c r="K323" s="8">
        <f t="shared" si="137"/>
        <v>10683</v>
      </c>
      <c r="L323" s="8">
        <v>209869</v>
      </c>
      <c r="M323" s="8">
        <f t="shared" si="138"/>
        <v>-4209</v>
      </c>
      <c r="N323" s="8">
        <v>4491</v>
      </c>
      <c r="O323" s="8">
        <f t="shared" si="139"/>
        <v>14892</v>
      </c>
      <c r="P323" s="8">
        <v>117844</v>
      </c>
      <c r="Q323" s="8">
        <f t="shared" si="140"/>
        <v>8279</v>
      </c>
      <c r="R323" s="8">
        <v>194655</v>
      </c>
      <c r="S323" s="8">
        <f t="shared" si="141"/>
        <v>-6083</v>
      </c>
      <c r="T323" s="8">
        <v>-76811</v>
      </c>
      <c r="U323" s="8">
        <f t="shared" si="142"/>
        <v>14362</v>
      </c>
      <c r="W323" s="8">
        <v>308114</v>
      </c>
      <c r="X323" s="8">
        <f t="shared" si="143"/>
        <v>-3004</v>
      </c>
      <c r="Y323" s="8">
        <v>67390</v>
      </c>
      <c r="Z323" s="8">
        <f t="shared" si="144"/>
        <v>-1266</v>
      </c>
      <c r="AA323" s="8">
        <v>3304</v>
      </c>
      <c r="AB323" s="8">
        <f t="shared" si="131"/>
        <v>1466</v>
      </c>
      <c r="AC323" s="8">
        <v>64086</v>
      </c>
      <c r="AD323" s="8">
        <f t="shared" si="131"/>
        <v>-2732</v>
      </c>
      <c r="AE323" s="8">
        <v>90612</v>
      </c>
      <c r="AF323" s="8">
        <f t="shared" si="145"/>
        <v>-1688</v>
      </c>
      <c r="AG323" s="8">
        <v>180948</v>
      </c>
      <c r="AH323" s="8">
        <f t="shared" si="146"/>
        <v>-3201</v>
      </c>
      <c r="AI323" s="8">
        <v>-90336</v>
      </c>
      <c r="AJ323" s="8">
        <f t="shared" si="147"/>
        <v>1513</v>
      </c>
      <c r="AK323" s="8">
        <v>66517</v>
      </c>
      <c r="AL323" s="8">
        <f t="shared" si="148"/>
        <v>-888</v>
      </c>
      <c r="AM323" s="8">
        <v>171626</v>
      </c>
      <c r="AN323" s="8">
        <f t="shared" si="149"/>
        <v>-3712</v>
      </c>
      <c r="AO323" s="8">
        <v>-105109</v>
      </c>
      <c r="AP323" s="8">
        <f t="shared" si="150"/>
        <v>2824</v>
      </c>
      <c r="AR323" s="8">
        <v>1944758</v>
      </c>
      <c r="AS323" s="8">
        <f t="shared" si="151"/>
        <v>12263</v>
      </c>
      <c r="AT323" s="8">
        <v>298520</v>
      </c>
      <c r="AU323" s="8">
        <f t="shared" si="152"/>
        <v>6696</v>
      </c>
      <c r="AV323" s="8">
        <v>12558</v>
      </c>
      <c r="AW323" s="8">
        <f t="shared" si="153"/>
        <v>6119</v>
      </c>
      <c r="AX323" s="8">
        <f t="shared" si="128"/>
        <v>285962</v>
      </c>
      <c r="AY323" s="8">
        <f t="shared" si="154"/>
        <v>577</v>
      </c>
      <c r="AZ323" s="8">
        <v>711948</v>
      </c>
      <c r="BA323" s="8">
        <f t="shared" si="155"/>
        <v>-2006</v>
      </c>
      <c r="BB323" s="8">
        <v>950760</v>
      </c>
      <c r="BC323" s="8">
        <f t="shared" si="156"/>
        <v>-3064</v>
      </c>
      <c r="BD323" s="8">
        <f t="shared" si="129"/>
        <v>-238812</v>
      </c>
      <c r="BE323" s="8">
        <f t="shared" si="157"/>
        <v>1058</v>
      </c>
      <c r="BF323" s="8">
        <v>341281</v>
      </c>
      <c r="BG323" s="8">
        <f t="shared" si="158"/>
        <v>-301</v>
      </c>
      <c r="BH323" s="8">
        <v>802837</v>
      </c>
      <c r="BI323" s="8">
        <f t="shared" si="159"/>
        <v>-2356</v>
      </c>
      <c r="BJ323" s="8">
        <f t="shared" si="130"/>
        <v>-461556</v>
      </c>
      <c r="BK323" s="8">
        <f t="shared" si="132"/>
        <v>2055</v>
      </c>
    </row>
    <row r="324" spans="1:63">
      <c r="A324" s="5">
        <v>41135</v>
      </c>
      <c r="B324" s="8">
        <v>385087</v>
      </c>
      <c r="C324" s="8">
        <f t="shared" si="133"/>
        <v>1676</v>
      </c>
      <c r="D324" s="8">
        <v>50171</v>
      </c>
      <c r="E324" s="8">
        <f t="shared" si="134"/>
        <v>280</v>
      </c>
      <c r="F324" s="8">
        <v>35684</v>
      </c>
      <c r="G324" s="8">
        <f t="shared" si="135"/>
        <v>-12686</v>
      </c>
      <c r="H324" s="8">
        <v>14487</v>
      </c>
      <c r="I324" s="8">
        <f t="shared" si="136"/>
        <v>12966</v>
      </c>
      <c r="J324" s="8">
        <v>203528</v>
      </c>
      <c r="K324" s="8">
        <f t="shared" si="137"/>
        <v>-10832</v>
      </c>
      <c r="L324" s="8">
        <v>215023</v>
      </c>
      <c r="M324" s="8">
        <f t="shared" si="138"/>
        <v>5154</v>
      </c>
      <c r="N324" s="8">
        <v>-11495</v>
      </c>
      <c r="O324" s="8">
        <f t="shared" si="139"/>
        <v>-15986</v>
      </c>
      <c r="P324" s="8">
        <v>107761</v>
      </c>
      <c r="Q324" s="8">
        <f t="shared" si="140"/>
        <v>-10083</v>
      </c>
      <c r="R324" s="8">
        <v>201279</v>
      </c>
      <c r="S324" s="8">
        <f t="shared" si="141"/>
        <v>6624</v>
      </c>
      <c r="T324" s="8">
        <v>-93518</v>
      </c>
      <c r="U324" s="8">
        <f t="shared" si="142"/>
        <v>-16707</v>
      </c>
      <c r="W324" s="8">
        <v>323240</v>
      </c>
      <c r="X324" s="8">
        <f t="shared" si="143"/>
        <v>15126</v>
      </c>
      <c r="Y324" s="8">
        <v>73444</v>
      </c>
      <c r="Z324" s="8">
        <f t="shared" si="144"/>
        <v>6054</v>
      </c>
      <c r="AA324" s="8">
        <v>2398</v>
      </c>
      <c r="AB324" s="8">
        <f t="shared" si="131"/>
        <v>-906</v>
      </c>
      <c r="AC324" s="8">
        <v>71046</v>
      </c>
      <c r="AD324" s="8">
        <f t="shared" si="131"/>
        <v>6960</v>
      </c>
      <c r="AE324" s="8">
        <v>89243</v>
      </c>
      <c r="AF324" s="8">
        <f t="shared" si="145"/>
        <v>-1369</v>
      </c>
      <c r="AG324" s="8">
        <v>189966</v>
      </c>
      <c r="AH324" s="8">
        <f t="shared" si="146"/>
        <v>9018</v>
      </c>
      <c r="AI324" s="8">
        <v>-100723</v>
      </c>
      <c r="AJ324" s="8">
        <f t="shared" si="147"/>
        <v>-10387</v>
      </c>
      <c r="AK324" s="8">
        <v>65171</v>
      </c>
      <c r="AL324" s="8">
        <f t="shared" si="148"/>
        <v>-1346</v>
      </c>
      <c r="AM324" s="8">
        <v>180809</v>
      </c>
      <c r="AN324" s="8">
        <f t="shared" si="149"/>
        <v>9183</v>
      </c>
      <c r="AO324" s="8">
        <v>-115638</v>
      </c>
      <c r="AP324" s="8">
        <f t="shared" si="150"/>
        <v>-10529</v>
      </c>
      <c r="AR324" s="8">
        <v>1966851</v>
      </c>
      <c r="AS324" s="8">
        <f t="shared" si="151"/>
        <v>22093</v>
      </c>
      <c r="AT324" s="8">
        <v>317200</v>
      </c>
      <c r="AU324" s="8">
        <f t="shared" si="152"/>
        <v>18680</v>
      </c>
      <c r="AV324" s="8">
        <v>14022</v>
      </c>
      <c r="AW324" s="8">
        <f t="shared" si="153"/>
        <v>1464</v>
      </c>
      <c r="AX324" s="8">
        <f t="shared" ref="AX324:AX387" si="160">AT324-AV324</f>
        <v>303178</v>
      </c>
      <c r="AY324" s="8">
        <f t="shared" si="154"/>
        <v>17216</v>
      </c>
      <c r="AZ324" s="8">
        <v>706686</v>
      </c>
      <c r="BA324" s="8">
        <f t="shared" si="155"/>
        <v>-5262</v>
      </c>
      <c r="BB324" s="8">
        <v>961892</v>
      </c>
      <c r="BC324" s="8">
        <f t="shared" si="156"/>
        <v>11132</v>
      </c>
      <c r="BD324" s="8">
        <f t="shared" ref="BD324:BD387" si="161">AZ324-BB324</f>
        <v>-255206</v>
      </c>
      <c r="BE324" s="8">
        <f t="shared" si="157"/>
        <v>-16394</v>
      </c>
      <c r="BF324" s="8">
        <v>330357</v>
      </c>
      <c r="BG324" s="8">
        <f t="shared" si="158"/>
        <v>-10924</v>
      </c>
      <c r="BH324" s="8">
        <v>807742</v>
      </c>
      <c r="BI324" s="8">
        <f t="shared" si="159"/>
        <v>4905</v>
      </c>
      <c r="BJ324" s="8">
        <f t="shared" ref="BJ324:BJ387" si="162">BF324-BH324</f>
        <v>-477385</v>
      </c>
      <c r="BK324" s="8">
        <f t="shared" si="132"/>
        <v>-15829</v>
      </c>
    </row>
    <row r="325" spans="1:63">
      <c r="A325" s="5">
        <v>41142</v>
      </c>
      <c r="B325" s="8">
        <v>391665</v>
      </c>
      <c r="C325" s="8">
        <f t="shared" si="133"/>
        <v>6578</v>
      </c>
      <c r="D325" s="8">
        <v>61321</v>
      </c>
      <c r="E325" s="8">
        <f t="shared" si="134"/>
        <v>11150</v>
      </c>
      <c r="F325" s="8">
        <v>30269</v>
      </c>
      <c r="G325" s="8">
        <f t="shared" si="135"/>
        <v>-5415</v>
      </c>
      <c r="H325" s="8">
        <v>31052</v>
      </c>
      <c r="I325" s="8">
        <f t="shared" si="136"/>
        <v>16565</v>
      </c>
      <c r="J325" s="8">
        <v>189282</v>
      </c>
      <c r="K325" s="8">
        <f t="shared" si="137"/>
        <v>-14246</v>
      </c>
      <c r="L325" s="8">
        <v>223665</v>
      </c>
      <c r="M325" s="8">
        <f t="shared" si="138"/>
        <v>8642</v>
      </c>
      <c r="N325" s="8">
        <v>-34383</v>
      </c>
      <c r="O325" s="8">
        <f t="shared" si="139"/>
        <v>-22888</v>
      </c>
      <c r="P325" s="8">
        <v>95088</v>
      </c>
      <c r="Q325" s="8">
        <f t="shared" si="140"/>
        <v>-12673</v>
      </c>
      <c r="R325" s="8">
        <v>210645</v>
      </c>
      <c r="S325" s="8">
        <f t="shared" si="141"/>
        <v>9366</v>
      </c>
      <c r="T325" s="8">
        <v>-115557</v>
      </c>
      <c r="U325" s="8">
        <f t="shared" si="142"/>
        <v>-22039</v>
      </c>
      <c r="W325" s="8">
        <v>349656</v>
      </c>
      <c r="X325" s="8">
        <f t="shared" si="143"/>
        <v>26416</v>
      </c>
      <c r="Y325" s="8">
        <v>77085</v>
      </c>
      <c r="Z325" s="8">
        <f t="shared" si="144"/>
        <v>3641</v>
      </c>
      <c r="AA325" s="8">
        <v>763</v>
      </c>
      <c r="AB325" s="8">
        <f t="shared" ref="AB325:AD388" si="163">AA325-AA324</f>
        <v>-1635</v>
      </c>
      <c r="AC325" s="8">
        <v>76322</v>
      </c>
      <c r="AD325" s="8">
        <f t="shared" si="163"/>
        <v>5276</v>
      </c>
      <c r="AE325" s="8">
        <v>95933</v>
      </c>
      <c r="AF325" s="8">
        <f t="shared" si="145"/>
        <v>6690</v>
      </c>
      <c r="AG325" s="8">
        <v>205369</v>
      </c>
      <c r="AH325" s="8">
        <f t="shared" si="146"/>
        <v>15403</v>
      </c>
      <c r="AI325" s="8">
        <v>-109436</v>
      </c>
      <c r="AJ325" s="8">
        <f t="shared" si="147"/>
        <v>-8713</v>
      </c>
      <c r="AK325" s="8">
        <v>71198</v>
      </c>
      <c r="AL325" s="8">
        <f t="shared" si="148"/>
        <v>6027</v>
      </c>
      <c r="AM325" s="8">
        <v>194757</v>
      </c>
      <c r="AN325" s="8">
        <f t="shared" si="149"/>
        <v>13948</v>
      </c>
      <c r="AO325" s="8">
        <v>-123559</v>
      </c>
      <c r="AP325" s="8">
        <f t="shared" si="150"/>
        <v>-7921</v>
      </c>
      <c r="AR325" s="8">
        <v>2073500</v>
      </c>
      <c r="AS325" s="8">
        <f t="shared" si="151"/>
        <v>106649</v>
      </c>
      <c r="AT325" s="8">
        <v>355047</v>
      </c>
      <c r="AU325" s="8">
        <f t="shared" si="152"/>
        <v>37847</v>
      </c>
      <c r="AV325" s="8">
        <v>12154</v>
      </c>
      <c r="AW325" s="8">
        <f t="shared" si="153"/>
        <v>-1868</v>
      </c>
      <c r="AX325" s="8">
        <f t="shared" si="160"/>
        <v>342893</v>
      </c>
      <c r="AY325" s="8">
        <f t="shared" si="154"/>
        <v>39715</v>
      </c>
      <c r="AZ325" s="8">
        <v>721140</v>
      </c>
      <c r="BA325" s="8">
        <f t="shared" si="155"/>
        <v>14454</v>
      </c>
      <c r="BB325" s="8">
        <v>1012663</v>
      </c>
      <c r="BC325" s="8">
        <f t="shared" si="156"/>
        <v>50771</v>
      </c>
      <c r="BD325" s="8">
        <f t="shared" si="161"/>
        <v>-291523</v>
      </c>
      <c r="BE325" s="8">
        <f t="shared" si="157"/>
        <v>-36317</v>
      </c>
      <c r="BF325" s="8">
        <v>338052</v>
      </c>
      <c r="BG325" s="8">
        <f t="shared" si="158"/>
        <v>7695</v>
      </c>
      <c r="BH325" s="8">
        <v>851230</v>
      </c>
      <c r="BI325" s="8">
        <f t="shared" si="159"/>
        <v>43488</v>
      </c>
      <c r="BJ325" s="8">
        <f t="shared" si="162"/>
        <v>-513178</v>
      </c>
      <c r="BK325" s="8">
        <f t="shared" ref="BK325:BK388" si="164">BJ325-BJ324</f>
        <v>-35793</v>
      </c>
    </row>
    <row r="326" spans="1:63">
      <c r="A326" s="5">
        <v>41149</v>
      </c>
      <c r="B326" s="8">
        <v>391175</v>
      </c>
      <c r="C326" s="8">
        <f t="shared" si="133"/>
        <v>-490</v>
      </c>
      <c r="D326" s="8">
        <v>70014</v>
      </c>
      <c r="E326" s="8">
        <f t="shared" si="134"/>
        <v>8693</v>
      </c>
      <c r="F326" s="8">
        <v>23882</v>
      </c>
      <c r="G326" s="8">
        <f t="shared" si="135"/>
        <v>-6387</v>
      </c>
      <c r="H326" s="8">
        <v>46132</v>
      </c>
      <c r="I326" s="8">
        <f t="shared" si="136"/>
        <v>15080</v>
      </c>
      <c r="J326" s="8">
        <v>180001</v>
      </c>
      <c r="K326" s="8">
        <f t="shared" si="137"/>
        <v>-9281</v>
      </c>
      <c r="L326" s="8">
        <v>231056</v>
      </c>
      <c r="M326" s="8">
        <f t="shared" si="138"/>
        <v>7391</v>
      </c>
      <c r="N326" s="8">
        <v>-51055</v>
      </c>
      <c r="O326" s="8">
        <f t="shared" si="139"/>
        <v>-16672</v>
      </c>
      <c r="P326" s="8">
        <v>85524</v>
      </c>
      <c r="Q326" s="8">
        <f t="shared" si="140"/>
        <v>-9564</v>
      </c>
      <c r="R326" s="8">
        <v>220688</v>
      </c>
      <c r="S326" s="8">
        <f t="shared" si="141"/>
        <v>10043</v>
      </c>
      <c r="T326" s="8">
        <v>-135164</v>
      </c>
      <c r="U326" s="8">
        <f t="shared" si="142"/>
        <v>-19607</v>
      </c>
      <c r="W326" s="8">
        <v>325467</v>
      </c>
      <c r="X326" s="8">
        <f t="shared" si="143"/>
        <v>-24189</v>
      </c>
      <c r="Y326" s="8">
        <v>75200</v>
      </c>
      <c r="Z326" s="8">
        <f t="shared" si="144"/>
        <v>-1885</v>
      </c>
      <c r="AA326" s="8">
        <v>1573</v>
      </c>
      <c r="AB326" s="8">
        <f t="shared" si="163"/>
        <v>810</v>
      </c>
      <c r="AC326" s="8">
        <v>73627</v>
      </c>
      <c r="AD326" s="8">
        <f t="shared" si="163"/>
        <v>-2695</v>
      </c>
      <c r="AE326" s="8">
        <v>92140</v>
      </c>
      <c r="AF326" s="8">
        <f t="shared" si="145"/>
        <v>-3793</v>
      </c>
      <c r="AG326" s="8">
        <v>192818</v>
      </c>
      <c r="AH326" s="8">
        <f t="shared" si="146"/>
        <v>-12551</v>
      </c>
      <c r="AI326" s="8">
        <v>-100678</v>
      </c>
      <c r="AJ326" s="8">
        <f t="shared" si="147"/>
        <v>8758</v>
      </c>
      <c r="AK326" s="8">
        <v>67807</v>
      </c>
      <c r="AL326" s="8">
        <f t="shared" si="148"/>
        <v>-3391</v>
      </c>
      <c r="AM326" s="8">
        <v>183405</v>
      </c>
      <c r="AN326" s="8">
        <f t="shared" si="149"/>
        <v>-11352</v>
      </c>
      <c r="AO326" s="8">
        <v>-115598</v>
      </c>
      <c r="AP326" s="8">
        <f t="shared" si="150"/>
        <v>7961</v>
      </c>
      <c r="AR326" s="8">
        <v>1810958</v>
      </c>
      <c r="AS326" s="8">
        <f t="shared" si="151"/>
        <v>-262542</v>
      </c>
      <c r="AT326" s="8">
        <v>335900</v>
      </c>
      <c r="AU326" s="8">
        <f t="shared" si="152"/>
        <v>-19147</v>
      </c>
      <c r="AV326" s="8">
        <v>20487</v>
      </c>
      <c r="AW326" s="8">
        <f t="shared" si="153"/>
        <v>8333</v>
      </c>
      <c r="AX326" s="8">
        <f t="shared" si="160"/>
        <v>315413</v>
      </c>
      <c r="AY326" s="8">
        <f t="shared" si="154"/>
        <v>-27480</v>
      </c>
      <c r="AZ326" s="8">
        <v>657882</v>
      </c>
      <c r="BA326" s="8">
        <f t="shared" si="155"/>
        <v>-63258</v>
      </c>
      <c r="BB326" s="8">
        <v>929020</v>
      </c>
      <c r="BC326" s="8">
        <f t="shared" si="156"/>
        <v>-83643</v>
      </c>
      <c r="BD326" s="8">
        <f t="shared" si="161"/>
        <v>-271138</v>
      </c>
      <c r="BE326" s="8">
        <f t="shared" si="157"/>
        <v>20385</v>
      </c>
      <c r="BF326" s="8">
        <v>294907</v>
      </c>
      <c r="BG326" s="8">
        <f t="shared" si="158"/>
        <v>-43145</v>
      </c>
      <c r="BH326" s="8">
        <v>784821</v>
      </c>
      <c r="BI326" s="8">
        <f t="shared" si="159"/>
        <v>-66409</v>
      </c>
      <c r="BJ326" s="8">
        <f t="shared" si="162"/>
        <v>-489914</v>
      </c>
      <c r="BK326" s="8">
        <f t="shared" si="164"/>
        <v>23264</v>
      </c>
    </row>
    <row r="327" spans="1:63">
      <c r="A327" s="5">
        <v>41156</v>
      </c>
      <c r="B327" s="8">
        <v>400783</v>
      </c>
      <c r="C327" s="8">
        <f t="shared" si="133"/>
        <v>9608</v>
      </c>
      <c r="D327" s="8">
        <v>74669</v>
      </c>
      <c r="E327" s="8">
        <f t="shared" si="134"/>
        <v>4655</v>
      </c>
      <c r="F327" s="8">
        <v>20492</v>
      </c>
      <c r="G327" s="8">
        <f t="shared" si="135"/>
        <v>-3390</v>
      </c>
      <c r="H327" s="8">
        <v>54177</v>
      </c>
      <c r="I327" s="8">
        <f t="shared" si="136"/>
        <v>8045</v>
      </c>
      <c r="J327" s="8">
        <v>174976</v>
      </c>
      <c r="K327" s="8">
        <f t="shared" si="137"/>
        <v>-5025</v>
      </c>
      <c r="L327" s="8">
        <v>247379</v>
      </c>
      <c r="M327" s="8">
        <f t="shared" si="138"/>
        <v>16323</v>
      </c>
      <c r="N327" s="8">
        <v>-72403</v>
      </c>
      <c r="O327" s="8">
        <f t="shared" si="139"/>
        <v>-21348</v>
      </c>
      <c r="P327" s="8">
        <v>76758</v>
      </c>
      <c r="Q327" s="8">
        <f t="shared" si="140"/>
        <v>-8766</v>
      </c>
      <c r="R327" s="8">
        <v>237031</v>
      </c>
      <c r="S327" s="8">
        <f t="shared" si="141"/>
        <v>16343</v>
      </c>
      <c r="T327" s="8">
        <v>-160273</v>
      </c>
      <c r="U327" s="8">
        <f t="shared" si="142"/>
        <v>-25109</v>
      </c>
      <c r="W327" s="8">
        <v>323361</v>
      </c>
      <c r="X327" s="8">
        <f t="shared" si="143"/>
        <v>-2106</v>
      </c>
      <c r="Y327" s="8">
        <v>76211</v>
      </c>
      <c r="Z327" s="8">
        <f t="shared" si="144"/>
        <v>1011</v>
      </c>
      <c r="AA327" s="8">
        <v>2499</v>
      </c>
      <c r="AB327" s="8">
        <f t="shared" si="163"/>
        <v>926</v>
      </c>
      <c r="AC327" s="8">
        <v>73712</v>
      </c>
      <c r="AD327" s="8">
        <f t="shared" si="163"/>
        <v>85</v>
      </c>
      <c r="AE327" s="8">
        <v>89405</v>
      </c>
      <c r="AF327" s="8">
        <f t="shared" si="145"/>
        <v>-2735</v>
      </c>
      <c r="AG327" s="8">
        <v>192165</v>
      </c>
      <c r="AH327" s="8">
        <f t="shared" si="146"/>
        <v>-653</v>
      </c>
      <c r="AI327" s="8">
        <v>-102760</v>
      </c>
      <c r="AJ327" s="8">
        <f t="shared" si="147"/>
        <v>-2082</v>
      </c>
      <c r="AK327" s="8">
        <v>64915</v>
      </c>
      <c r="AL327" s="8">
        <f t="shared" si="148"/>
        <v>-2892</v>
      </c>
      <c r="AM327" s="8">
        <v>181665</v>
      </c>
      <c r="AN327" s="8">
        <f t="shared" si="149"/>
        <v>-1740</v>
      </c>
      <c r="AO327" s="8">
        <v>-116750</v>
      </c>
      <c r="AP327" s="8">
        <f t="shared" si="150"/>
        <v>-1152</v>
      </c>
      <c r="AR327" s="8">
        <v>1804347</v>
      </c>
      <c r="AS327" s="8">
        <f t="shared" si="151"/>
        <v>-6611</v>
      </c>
      <c r="AT327" s="8">
        <v>343199</v>
      </c>
      <c r="AU327" s="8">
        <f t="shared" si="152"/>
        <v>7299</v>
      </c>
      <c r="AV327" s="8">
        <v>19570</v>
      </c>
      <c r="AW327" s="8">
        <f t="shared" si="153"/>
        <v>-917</v>
      </c>
      <c r="AX327" s="8">
        <f t="shared" si="160"/>
        <v>323629</v>
      </c>
      <c r="AY327" s="8">
        <f t="shared" si="154"/>
        <v>8216</v>
      </c>
      <c r="AZ327" s="8">
        <v>635112</v>
      </c>
      <c r="BA327" s="8">
        <f t="shared" si="155"/>
        <v>-22770</v>
      </c>
      <c r="BB327" s="8">
        <v>916920</v>
      </c>
      <c r="BC327" s="8">
        <f t="shared" si="156"/>
        <v>-12100</v>
      </c>
      <c r="BD327" s="8">
        <f t="shared" si="161"/>
        <v>-281808</v>
      </c>
      <c r="BE327" s="8">
        <f t="shared" si="157"/>
        <v>-10670</v>
      </c>
      <c r="BF327" s="8">
        <v>272015</v>
      </c>
      <c r="BG327" s="8">
        <f t="shared" si="158"/>
        <v>-22892</v>
      </c>
      <c r="BH327" s="8">
        <v>774931</v>
      </c>
      <c r="BI327" s="8">
        <f t="shared" si="159"/>
        <v>-9890</v>
      </c>
      <c r="BJ327" s="8">
        <f t="shared" si="162"/>
        <v>-502916</v>
      </c>
      <c r="BK327" s="8">
        <f t="shared" si="164"/>
        <v>-13002</v>
      </c>
    </row>
    <row r="328" spans="1:63">
      <c r="A328" s="5">
        <v>41163</v>
      </c>
      <c r="B328" s="8">
        <v>381152</v>
      </c>
      <c r="C328" s="8">
        <f t="shared" ref="C328:C391" si="165">B328-B327</f>
        <v>-19631</v>
      </c>
      <c r="D328" s="8">
        <v>74345</v>
      </c>
      <c r="E328" s="8">
        <f t="shared" ref="E328:E391" si="166">D328-D327</f>
        <v>-324</v>
      </c>
      <c r="F328" s="8">
        <v>21498</v>
      </c>
      <c r="G328" s="8">
        <f t="shared" ref="G328:G391" si="167">F328-F327</f>
        <v>1006</v>
      </c>
      <c r="H328" s="8">
        <v>52847</v>
      </c>
      <c r="I328" s="8">
        <f t="shared" ref="I328:I391" si="168">H328-H327</f>
        <v>-1330</v>
      </c>
      <c r="J328" s="8">
        <v>172060</v>
      </c>
      <c r="K328" s="8">
        <f t="shared" ref="K328:K391" si="169">J328-J327</f>
        <v>-2916</v>
      </c>
      <c r="L328" s="8">
        <v>237019</v>
      </c>
      <c r="M328" s="8">
        <f t="shared" ref="M328:M391" si="170">L328-L327</f>
        <v>-10360</v>
      </c>
      <c r="N328" s="8">
        <v>-64959</v>
      </c>
      <c r="O328" s="8">
        <f t="shared" ref="O328:O391" si="171">N328-N327</f>
        <v>7444</v>
      </c>
      <c r="P328" s="8">
        <v>74091</v>
      </c>
      <c r="Q328" s="8">
        <f t="shared" ref="Q328:Q391" si="172">P328-P327</f>
        <v>-2667</v>
      </c>
      <c r="R328" s="8">
        <v>225608</v>
      </c>
      <c r="S328" s="8">
        <f t="shared" ref="S328:S391" si="173">R328-R327</f>
        <v>-11423</v>
      </c>
      <c r="T328" s="8">
        <v>-151517</v>
      </c>
      <c r="U328" s="8">
        <f t="shared" ref="U328:U391" si="174">T328-T327</f>
        <v>8756</v>
      </c>
      <c r="W328" s="8">
        <v>310327</v>
      </c>
      <c r="X328" s="8">
        <f t="shared" ref="X328:X391" si="175">W328-W327</f>
        <v>-13034</v>
      </c>
      <c r="Y328" s="8">
        <v>72124</v>
      </c>
      <c r="Z328" s="8">
        <f t="shared" ref="Z328:Z391" si="176">Y328-Y327</f>
        <v>-4087</v>
      </c>
      <c r="AA328" s="8">
        <v>3963</v>
      </c>
      <c r="AB328" s="8">
        <f t="shared" si="163"/>
        <v>1464</v>
      </c>
      <c r="AC328" s="8">
        <v>68161</v>
      </c>
      <c r="AD328" s="8">
        <f t="shared" si="163"/>
        <v>-5551</v>
      </c>
      <c r="AE328" s="8">
        <v>89483</v>
      </c>
      <c r="AF328" s="8">
        <f t="shared" ref="AF328:AF391" si="177">AE328-AE327</f>
        <v>78</v>
      </c>
      <c r="AG328" s="8">
        <v>182236</v>
      </c>
      <c r="AH328" s="8">
        <f t="shared" ref="AH328:AH391" si="178">AG328-AG327</f>
        <v>-9929</v>
      </c>
      <c r="AI328" s="8">
        <v>-92753</v>
      </c>
      <c r="AJ328" s="8">
        <f t="shared" ref="AJ328:AJ391" si="179">AI328-AI327</f>
        <v>10007</v>
      </c>
      <c r="AK328" s="8">
        <v>64594</v>
      </c>
      <c r="AL328" s="8">
        <f t="shared" ref="AL328:AL391" si="180">AK328-AK327</f>
        <v>-321</v>
      </c>
      <c r="AM328" s="8">
        <v>171996</v>
      </c>
      <c r="AN328" s="8">
        <f t="shared" ref="AN328:AN391" si="181">AM328-AM327</f>
        <v>-9669</v>
      </c>
      <c r="AO328" s="8">
        <v>-107402</v>
      </c>
      <c r="AP328" s="8">
        <f t="shared" ref="AP328:AP391" si="182">AO328-AO327</f>
        <v>9348</v>
      </c>
      <c r="AR328" s="8">
        <v>1800348</v>
      </c>
      <c r="AS328" s="8">
        <f t="shared" ref="AS328:AS391" si="183">AR328-AR327</f>
        <v>-3999</v>
      </c>
      <c r="AT328" s="8">
        <v>320126</v>
      </c>
      <c r="AU328" s="8">
        <f t="shared" ref="AU328:AU391" si="184">AT328-AT327</f>
        <v>-23073</v>
      </c>
      <c r="AV328" s="8">
        <v>23659</v>
      </c>
      <c r="AW328" s="8">
        <f t="shared" ref="AW328:AW391" si="185">AV328-AV327</f>
        <v>4089</v>
      </c>
      <c r="AX328" s="8">
        <f t="shared" si="160"/>
        <v>296467</v>
      </c>
      <c r="AY328" s="8">
        <f t="shared" ref="AY328:AY391" si="186">AX328-AX327</f>
        <v>-27162</v>
      </c>
      <c r="AZ328" s="8">
        <v>639865</v>
      </c>
      <c r="BA328" s="8">
        <f t="shared" ref="BA328:BA391" si="187">AZ328-AZ327</f>
        <v>4753</v>
      </c>
      <c r="BB328" s="8">
        <v>889018</v>
      </c>
      <c r="BC328" s="8">
        <f t="shared" ref="BC328:BC391" si="188">BB328-BB327</f>
        <v>-27902</v>
      </c>
      <c r="BD328" s="8">
        <f t="shared" si="161"/>
        <v>-249153</v>
      </c>
      <c r="BE328" s="8">
        <f t="shared" ref="BE328:BE391" si="189">BD328-BD327</f>
        <v>32655</v>
      </c>
      <c r="BF328" s="8">
        <v>273359</v>
      </c>
      <c r="BG328" s="8">
        <f t="shared" ref="BG328:BG391" si="190">BF328-BF327</f>
        <v>1344</v>
      </c>
      <c r="BH328" s="8">
        <v>741281</v>
      </c>
      <c r="BI328" s="8">
        <f t="shared" ref="BI328:BI391" si="191">BH328-BH327</f>
        <v>-33650</v>
      </c>
      <c r="BJ328" s="8">
        <f t="shared" si="162"/>
        <v>-467922</v>
      </c>
      <c r="BK328" s="8">
        <f t="shared" si="164"/>
        <v>34994</v>
      </c>
    </row>
    <row r="329" spans="1:63">
      <c r="A329" s="5">
        <v>41170</v>
      </c>
      <c r="B329" s="8">
        <v>364847</v>
      </c>
      <c r="C329" s="8">
        <f t="shared" si="165"/>
        <v>-16305</v>
      </c>
      <c r="D329" s="8">
        <v>66555</v>
      </c>
      <c r="E329" s="8">
        <f t="shared" si="166"/>
        <v>-7790</v>
      </c>
      <c r="F329" s="8">
        <v>18787</v>
      </c>
      <c r="G329" s="8">
        <f t="shared" si="167"/>
        <v>-2711</v>
      </c>
      <c r="H329" s="8">
        <v>47768</v>
      </c>
      <c r="I329" s="8">
        <f t="shared" si="168"/>
        <v>-5079</v>
      </c>
      <c r="J329" s="8">
        <v>168857</v>
      </c>
      <c r="K329" s="8">
        <f t="shared" si="169"/>
        <v>-3203</v>
      </c>
      <c r="L329" s="8">
        <v>222214</v>
      </c>
      <c r="M329" s="8">
        <f t="shared" si="170"/>
        <v>-14805</v>
      </c>
      <c r="N329" s="8">
        <v>-53357</v>
      </c>
      <c r="O329" s="8">
        <f t="shared" si="171"/>
        <v>11602</v>
      </c>
      <c r="P329" s="8">
        <v>71007</v>
      </c>
      <c r="Q329" s="8">
        <f t="shared" si="172"/>
        <v>-3084</v>
      </c>
      <c r="R329" s="8">
        <v>210154</v>
      </c>
      <c r="S329" s="8">
        <f t="shared" si="173"/>
        <v>-15454</v>
      </c>
      <c r="T329" s="8">
        <v>-139147</v>
      </c>
      <c r="U329" s="8">
        <f t="shared" si="174"/>
        <v>12370</v>
      </c>
      <c r="W329" s="8">
        <v>312833</v>
      </c>
      <c r="X329" s="8">
        <f t="shared" si="175"/>
        <v>2506</v>
      </c>
      <c r="Y329" s="8">
        <v>65492</v>
      </c>
      <c r="Z329" s="8">
        <f t="shared" si="176"/>
        <v>-6632</v>
      </c>
      <c r="AA329" s="8">
        <v>5933</v>
      </c>
      <c r="AB329" s="8">
        <f t="shared" si="163"/>
        <v>1970</v>
      </c>
      <c r="AC329" s="8">
        <v>59559</v>
      </c>
      <c r="AD329" s="8">
        <f t="shared" si="163"/>
        <v>-8602</v>
      </c>
      <c r="AE329" s="8">
        <v>96618</v>
      </c>
      <c r="AF329" s="8">
        <f t="shared" si="177"/>
        <v>7135</v>
      </c>
      <c r="AG329" s="8">
        <v>184454</v>
      </c>
      <c r="AH329" s="8">
        <f t="shared" si="178"/>
        <v>2218</v>
      </c>
      <c r="AI329" s="8">
        <v>-87836</v>
      </c>
      <c r="AJ329" s="8">
        <f t="shared" si="179"/>
        <v>4917</v>
      </c>
      <c r="AK329" s="8">
        <v>69758</v>
      </c>
      <c r="AL329" s="8">
        <f t="shared" si="180"/>
        <v>5164</v>
      </c>
      <c r="AM329" s="8">
        <v>174095</v>
      </c>
      <c r="AN329" s="8">
        <f t="shared" si="181"/>
        <v>2099</v>
      </c>
      <c r="AO329" s="8">
        <v>-104337</v>
      </c>
      <c r="AP329" s="8">
        <f t="shared" si="182"/>
        <v>3065</v>
      </c>
      <c r="AR329" s="8">
        <v>1829734</v>
      </c>
      <c r="AS329" s="8">
        <f t="shared" si="183"/>
        <v>29386</v>
      </c>
      <c r="AT329" s="8">
        <v>305255</v>
      </c>
      <c r="AU329" s="8">
        <f t="shared" si="184"/>
        <v>-14871</v>
      </c>
      <c r="AV329" s="8">
        <v>35093</v>
      </c>
      <c r="AW329" s="8">
        <f t="shared" si="185"/>
        <v>11434</v>
      </c>
      <c r="AX329" s="8">
        <f t="shared" si="160"/>
        <v>270162</v>
      </c>
      <c r="AY329" s="8">
        <f t="shared" si="186"/>
        <v>-26305</v>
      </c>
      <c r="AZ329" s="8">
        <v>653115</v>
      </c>
      <c r="BA329" s="8">
        <f t="shared" si="187"/>
        <v>13250</v>
      </c>
      <c r="BB329" s="8">
        <v>876118</v>
      </c>
      <c r="BC329" s="8">
        <f t="shared" si="188"/>
        <v>-12900</v>
      </c>
      <c r="BD329" s="8">
        <f t="shared" si="161"/>
        <v>-223003</v>
      </c>
      <c r="BE329" s="8">
        <f t="shared" si="189"/>
        <v>26150</v>
      </c>
      <c r="BF329" s="8">
        <v>293989</v>
      </c>
      <c r="BG329" s="8">
        <f t="shared" si="190"/>
        <v>20630</v>
      </c>
      <c r="BH329" s="8">
        <v>722689</v>
      </c>
      <c r="BI329" s="8">
        <f t="shared" si="191"/>
        <v>-18592</v>
      </c>
      <c r="BJ329" s="8">
        <f t="shared" si="162"/>
        <v>-428700</v>
      </c>
      <c r="BK329" s="8">
        <f t="shared" si="164"/>
        <v>39222</v>
      </c>
    </row>
    <row r="330" spans="1:63">
      <c r="A330" s="5">
        <v>41177</v>
      </c>
      <c r="B330" s="8">
        <v>341651</v>
      </c>
      <c r="C330" s="8">
        <f t="shared" si="165"/>
        <v>-23196</v>
      </c>
      <c r="D330" s="8">
        <v>54472</v>
      </c>
      <c r="E330" s="8">
        <f t="shared" si="166"/>
        <v>-12083</v>
      </c>
      <c r="F330" s="8">
        <v>19997</v>
      </c>
      <c r="G330" s="8">
        <f t="shared" si="167"/>
        <v>1210</v>
      </c>
      <c r="H330" s="8">
        <v>34475</v>
      </c>
      <c r="I330" s="8">
        <f t="shared" si="168"/>
        <v>-13293</v>
      </c>
      <c r="J330" s="8">
        <v>172587</v>
      </c>
      <c r="K330" s="8">
        <f t="shared" si="169"/>
        <v>3730</v>
      </c>
      <c r="L330" s="8">
        <v>203426</v>
      </c>
      <c r="M330" s="8">
        <f t="shared" si="170"/>
        <v>-18788</v>
      </c>
      <c r="N330" s="8">
        <v>-30839</v>
      </c>
      <c r="O330" s="8">
        <f t="shared" si="171"/>
        <v>22518</v>
      </c>
      <c r="P330" s="8">
        <v>73301</v>
      </c>
      <c r="Q330" s="8">
        <f t="shared" si="172"/>
        <v>2294</v>
      </c>
      <c r="R330" s="8">
        <v>193925</v>
      </c>
      <c r="S330" s="8">
        <f t="shared" si="173"/>
        <v>-16229</v>
      </c>
      <c r="T330" s="8">
        <v>-120624</v>
      </c>
      <c r="U330" s="8">
        <f t="shared" si="174"/>
        <v>18523</v>
      </c>
      <c r="W330" s="8">
        <v>290177</v>
      </c>
      <c r="X330" s="8">
        <f t="shared" si="175"/>
        <v>-22656</v>
      </c>
      <c r="Y330" s="8">
        <v>55012</v>
      </c>
      <c r="Z330" s="8">
        <f t="shared" si="176"/>
        <v>-10480</v>
      </c>
      <c r="AA330" s="8">
        <v>6765</v>
      </c>
      <c r="AB330" s="8">
        <f t="shared" si="163"/>
        <v>832</v>
      </c>
      <c r="AC330" s="8">
        <v>48247</v>
      </c>
      <c r="AD330" s="8">
        <f t="shared" si="163"/>
        <v>-11312</v>
      </c>
      <c r="AE330" s="8">
        <v>100778</v>
      </c>
      <c r="AF330" s="8">
        <f t="shared" si="177"/>
        <v>4160</v>
      </c>
      <c r="AG330" s="8">
        <v>172294</v>
      </c>
      <c r="AH330" s="8">
        <f t="shared" si="178"/>
        <v>-12160</v>
      </c>
      <c r="AI330" s="8">
        <v>-71516</v>
      </c>
      <c r="AJ330" s="8">
        <f t="shared" si="179"/>
        <v>16320</v>
      </c>
      <c r="AK330" s="8">
        <v>74051</v>
      </c>
      <c r="AL330" s="8">
        <f t="shared" si="180"/>
        <v>4293</v>
      </c>
      <c r="AM330" s="8">
        <v>161209</v>
      </c>
      <c r="AN330" s="8">
        <f t="shared" si="181"/>
        <v>-12886</v>
      </c>
      <c r="AO330" s="8">
        <v>-87158</v>
      </c>
      <c r="AP330" s="8">
        <f t="shared" si="182"/>
        <v>17179</v>
      </c>
      <c r="AR330" s="8">
        <v>1772923</v>
      </c>
      <c r="AS330" s="8">
        <f t="shared" si="183"/>
        <v>-56811</v>
      </c>
      <c r="AT330" s="8">
        <v>295611</v>
      </c>
      <c r="AU330" s="8">
        <f t="shared" si="184"/>
        <v>-9644</v>
      </c>
      <c r="AV330" s="8">
        <v>23556</v>
      </c>
      <c r="AW330" s="8">
        <f t="shared" si="185"/>
        <v>-11537</v>
      </c>
      <c r="AX330" s="8">
        <f t="shared" si="160"/>
        <v>272055</v>
      </c>
      <c r="AY330" s="8">
        <f t="shared" si="186"/>
        <v>1893</v>
      </c>
      <c r="AZ330" s="8">
        <v>642892</v>
      </c>
      <c r="BA330" s="8">
        <f t="shared" si="187"/>
        <v>-10223</v>
      </c>
      <c r="BB330" s="8">
        <v>859769</v>
      </c>
      <c r="BC330" s="8">
        <f t="shared" si="188"/>
        <v>-16349</v>
      </c>
      <c r="BD330" s="8">
        <f t="shared" si="161"/>
        <v>-216877</v>
      </c>
      <c r="BE330" s="8">
        <f t="shared" si="189"/>
        <v>6126</v>
      </c>
      <c r="BF330" s="8">
        <v>287661</v>
      </c>
      <c r="BG330" s="8">
        <f t="shared" si="190"/>
        <v>-6328</v>
      </c>
      <c r="BH330" s="8">
        <v>709022</v>
      </c>
      <c r="BI330" s="8">
        <f t="shared" si="191"/>
        <v>-13667</v>
      </c>
      <c r="BJ330" s="8">
        <f t="shared" si="162"/>
        <v>-421361</v>
      </c>
      <c r="BK330" s="8">
        <f t="shared" si="164"/>
        <v>7339</v>
      </c>
    </row>
    <row r="331" spans="1:63">
      <c r="A331" s="5">
        <v>41184</v>
      </c>
      <c r="B331" s="8">
        <v>358453</v>
      </c>
      <c r="C331" s="8">
        <f t="shared" si="165"/>
        <v>16802</v>
      </c>
      <c r="D331" s="8">
        <v>45539</v>
      </c>
      <c r="E331" s="8">
        <f t="shared" si="166"/>
        <v>-8933</v>
      </c>
      <c r="F331" s="8">
        <v>29741</v>
      </c>
      <c r="G331" s="8">
        <f t="shared" si="167"/>
        <v>9744</v>
      </c>
      <c r="H331" s="8">
        <v>15798</v>
      </c>
      <c r="I331" s="8">
        <f t="shared" si="168"/>
        <v>-18677</v>
      </c>
      <c r="J331" s="8">
        <v>185102</v>
      </c>
      <c r="K331" s="8">
        <f t="shared" si="169"/>
        <v>12515</v>
      </c>
      <c r="L331" s="8">
        <v>187858</v>
      </c>
      <c r="M331" s="8">
        <f t="shared" si="170"/>
        <v>-15568</v>
      </c>
      <c r="N331" s="8">
        <v>-2756</v>
      </c>
      <c r="O331" s="8">
        <f t="shared" si="171"/>
        <v>28083</v>
      </c>
      <c r="P331" s="8">
        <v>89897</v>
      </c>
      <c r="Q331" s="8">
        <f t="shared" si="172"/>
        <v>16596</v>
      </c>
      <c r="R331" s="8">
        <v>177024</v>
      </c>
      <c r="S331" s="8">
        <f t="shared" si="173"/>
        <v>-16901</v>
      </c>
      <c r="T331" s="8">
        <v>-87127</v>
      </c>
      <c r="U331" s="8">
        <f t="shared" si="174"/>
        <v>33497</v>
      </c>
      <c r="W331" s="8">
        <v>277138</v>
      </c>
      <c r="X331" s="8">
        <f t="shared" si="175"/>
        <v>-13039</v>
      </c>
      <c r="Y331" s="8">
        <v>51398</v>
      </c>
      <c r="Z331" s="8">
        <f t="shared" si="176"/>
        <v>-3614</v>
      </c>
      <c r="AA331" s="8">
        <v>7543</v>
      </c>
      <c r="AB331" s="8">
        <f t="shared" si="163"/>
        <v>778</v>
      </c>
      <c r="AC331" s="8">
        <v>43855</v>
      </c>
      <c r="AD331" s="8">
        <f t="shared" si="163"/>
        <v>-4392</v>
      </c>
      <c r="AE331" s="8">
        <v>99788</v>
      </c>
      <c r="AF331" s="8">
        <f t="shared" si="177"/>
        <v>-990</v>
      </c>
      <c r="AG331" s="8">
        <v>165935</v>
      </c>
      <c r="AH331" s="8">
        <f t="shared" si="178"/>
        <v>-6359</v>
      </c>
      <c r="AI331" s="8">
        <v>-66147</v>
      </c>
      <c r="AJ331" s="8">
        <f t="shared" si="179"/>
        <v>5369</v>
      </c>
      <c r="AK331" s="8">
        <v>73986</v>
      </c>
      <c r="AL331" s="8">
        <f t="shared" si="180"/>
        <v>-65</v>
      </c>
      <c r="AM331" s="8">
        <v>153884</v>
      </c>
      <c r="AN331" s="8">
        <f t="shared" si="181"/>
        <v>-7325</v>
      </c>
      <c r="AO331" s="8">
        <v>-79898</v>
      </c>
      <c r="AP331" s="8">
        <f t="shared" si="182"/>
        <v>7260</v>
      </c>
      <c r="AR331" s="8">
        <v>1843335</v>
      </c>
      <c r="AS331" s="8">
        <f t="shared" si="183"/>
        <v>70412</v>
      </c>
      <c r="AT331" s="8">
        <v>297177</v>
      </c>
      <c r="AU331" s="8">
        <f t="shared" si="184"/>
        <v>1566</v>
      </c>
      <c r="AV331" s="8">
        <v>24451</v>
      </c>
      <c r="AW331" s="8">
        <f t="shared" si="185"/>
        <v>895</v>
      </c>
      <c r="AX331" s="8">
        <f t="shared" si="160"/>
        <v>272726</v>
      </c>
      <c r="AY331" s="8">
        <f t="shared" si="186"/>
        <v>671</v>
      </c>
      <c r="AZ331" s="8">
        <v>664156</v>
      </c>
      <c r="BA331" s="8">
        <f t="shared" si="187"/>
        <v>21264</v>
      </c>
      <c r="BB331" s="8">
        <v>885086</v>
      </c>
      <c r="BC331" s="8">
        <f t="shared" si="188"/>
        <v>25317</v>
      </c>
      <c r="BD331" s="8">
        <f t="shared" si="161"/>
        <v>-220930</v>
      </c>
      <c r="BE331" s="8">
        <f t="shared" si="189"/>
        <v>-4053</v>
      </c>
      <c r="BF331" s="8">
        <v>307980</v>
      </c>
      <c r="BG331" s="8">
        <f t="shared" si="190"/>
        <v>20319</v>
      </c>
      <c r="BH331" s="8">
        <v>734959</v>
      </c>
      <c r="BI331" s="8">
        <f t="shared" si="191"/>
        <v>25937</v>
      </c>
      <c r="BJ331" s="8">
        <f t="shared" si="162"/>
        <v>-426979</v>
      </c>
      <c r="BK331" s="8">
        <f t="shared" si="164"/>
        <v>-5618</v>
      </c>
    </row>
    <row r="332" spans="1:63">
      <c r="A332" s="5">
        <v>41191</v>
      </c>
      <c r="B332" s="8">
        <v>380557</v>
      </c>
      <c r="C332" s="8">
        <f t="shared" si="165"/>
        <v>22104</v>
      </c>
      <c r="D332" s="8">
        <v>44620</v>
      </c>
      <c r="E332" s="8">
        <f t="shared" si="166"/>
        <v>-919</v>
      </c>
      <c r="F332" s="8">
        <v>38948</v>
      </c>
      <c r="G332" s="8">
        <f t="shared" si="167"/>
        <v>9207</v>
      </c>
      <c r="H332" s="8">
        <v>5672</v>
      </c>
      <c r="I332" s="8">
        <f t="shared" si="168"/>
        <v>-10126</v>
      </c>
      <c r="J332" s="8">
        <v>190589</v>
      </c>
      <c r="K332" s="8">
        <f t="shared" si="169"/>
        <v>5487</v>
      </c>
      <c r="L332" s="8">
        <v>184400</v>
      </c>
      <c r="M332" s="8">
        <f t="shared" si="170"/>
        <v>-3458</v>
      </c>
      <c r="N332" s="8">
        <v>6189</v>
      </c>
      <c r="O332" s="8">
        <f t="shared" si="171"/>
        <v>8945</v>
      </c>
      <c r="P332" s="8">
        <v>98169</v>
      </c>
      <c r="Q332" s="8">
        <f t="shared" si="172"/>
        <v>8272</v>
      </c>
      <c r="R332" s="8">
        <v>175080</v>
      </c>
      <c r="S332" s="8">
        <f t="shared" si="173"/>
        <v>-1944</v>
      </c>
      <c r="T332" s="8">
        <v>-76911</v>
      </c>
      <c r="U332" s="8">
        <f t="shared" si="174"/>
        <v>10216</v>
      </c>
      <c r="W332" s="8">
        <v>275287</v>
      </c>
      <c r="X332" s="8">
        <f t="shared" si="175"/>
        <v>-1851</v>
      </c>
      <c r="Y332" s="8">
        <v>50788</v>
      </c>
      <c r="Z332" s="8">
        <f t="shared" si="176"/>
        <v>-610</v>
      </c>
      <c r="AA332" s="8">
        <v>7500</v>
      </c>
      <c r="AB332" s="8">
        <f t="shared" si="163"/>
        <v>-43</v>
      </c>
      <c r="AC332" s="8">
        <v>43288</v>
      </c>
      <c r="AD332" s="8">
        <f t="shared" si="163"/>
        <v>-567</v>
      </c>
      <c r="AE332" s="8">
        <v>94556</v>
      </c>
      <c r="AF332" s="8">
        <f t="shared" si="177"/>
        <v>-5232</v>
      </c>
      <c r="AG332" s="8">
        <v>161801</v>
      </c>
      <c r="AH332" s="8">
        <f t="shared" si="178"/>
        <v>-4134</v>
      </c>
      <c r="AI332" s="8">
        <v>-67245</v>
      </c>
      <c r="AJ332" s="8">
        <f t="shared" si="179"/>
        <v>-1098</v>
      </c>
      <c r="AK332" s="8">
        <v>71264</v>
      </c>
      <c r="AL332" s="8">
        <f t="shared" si="180"/>
        <v>-2722</v>
      </c>
      <c r="AM332" s="8">
        <v>149234</v>
      </c>
      <c r="AN332" s="8">
        <f t="shared" si="181"/>
        <v>-4650</v>
      </c>
      <c r="AO332" s="8">
        <v>-77970</v>
      </c>
      <c r="AP332" s="8">
        <f t="shared" si="182"/>
        <v>1928</v>
      </c>
      <c r="AR332" s="8">
        <v>1850087</v>
      </c>
      <c r="AS332" s="8">
        <f t="shared" si="183"/>
        <v>6752</v>
      </c>
      <c r="AT332" s="8">
        <v>286674</v>
      </c>
      <c r="AU332" s="8">
        <f t="shared" si="184"/>
        <v>-10503</v>
      </c>
      <c r="AV332" s="8">
        <v>26208</v>
      </c>
      <c r="AW332" s="8">
        <f t="shared" si="185"/>
        <v>1757</v>
      </c>
      <c r="AX332" s="8">
        <f t="shared" si="160"/>
        <v>260466</v>
      </c>
      <c r="AY332" s="8">
        <f t="shared" si="186"/>
        <v>-12260</v>
      </c>
      <c r="AZ332" s="8">
        <v>663753</v>
      </c>
      <c r="BA332" s="8">
        <f t="shared" si="187"/>
        <v>-403</v>
      </c>
      <c r="BB332" s="8">
        <v>878026</v>
      </c>
      <c r="BC332" s="8">
        <f t="shared" si="188"/>
        <v>-7060</v>
      </c>
      <c r="BD332" s="8">
        <f t="shared" si="161"/>
        <v>-214273</v>
      </c>
      <c r="BE332" s="8">
        <f t="shared" si="189"/>
        <v>6657</v>
      </c>
      <c r="BF332" s="8">
        <v>309881</v>
      </c>
      <c r="BG332" s="8">
        <f t="shared" si="190"/>
        <v>1901</v>
      </c>
      <c r="BH332" s="8">
        <v>728631</v>
      </c>
      <c r="BI332" s="8">
        <f t="shared" si="191"/>
        <v>-6328</v>
      </c>
      <c r="BJ332" s="8">
        <f t="shared" si="162"/>
        <v>-418750</v>
      </c>
      <c r="BK332" s="8">
        <f t="shared" si="164"/>
        <v>8229</v>
      </c>
    </row>
    <row r="333" spans="1:63">
      <c r="A333" s="5">
        <v>41198</v>
      </c>
      <c r="B333" s="8">
        <v>399354</v>
      </c>
      <c r="C333" s="8">
        <f t="shared" si="165"/>
        <v>18797</v>
      </c>
      <c r="D333" s="8">
        <v>40340</v>
      </c>
      <c r="E333" s="8">
        <f t="shared" si="166"/>
        <v>-4280</v>
      </c>
      <c r="F333" s="8">
        <v>52309</v>
      </c>
      <c r="G333" s="8">
        <f t="shared" si="167"/>
        <v>13361</v>
      </c>
      <c r="H333" s="8">
        <v>-11969</v>
      </c>
      <c r="I333" s="8">
        <f t="shared" si="168"/>
        <v>-17641</v>
      </c>
      <c r="J333" s="8">
        <v>201814</v>
      </c>
      <c r="K333" s="8">
        <f t="shared" si="169"/>
        <v>11225</v>
      </c>
      <c r="L333" s="8">
        <v>181461</v>
      </c>
      <c r="M333" s="8">
        <f t="shared" si="170"/>
        <v>-2939</v>
      </c>
      <c r="N333" s="8">
        <v>20353</v>
      </c>
      <c r="O333" s="8">
        <f t="shared" si="171"/>
        <v>14164</v>
      </c>
      <c r="P333" s="8">
        <v>106922</v>
      </c>
      <c r="Q333" s="8">
        <f t="shared" si="172"/>
        <v>8753</v>
      </c>
      <c r="R333" s="8">
        <v>173059</v>
      </c>
      <c r="S333" s="8">
        <f t="shared" si="173"/>
        <v>-2021</v>
      </c>
      <c r="T333" s="8">
        <v>-66137</v>
      </c>
      <c r="U333" s="8">
        <f t="shared" si="174"/>
        <v>10774</v>
      </c>
      <c r="W333" s="8">
        <v>277390</v>
      </c>
      <c r="X333" s="8">
        <f t="shared" si="175"/>
        <v>2103</v>
      </c>
      <c r="Y333" s="8">
        <v>51144</v>
      </c>
      <c r="Z333" s="8">
        <f t="shared" si="176"/>
        <v>356</v>
      </c>
      <c r="AA333" s="8">
        <v>7726</v>
      </c>
      <c r="AB333" s="8">
        <f t="shared" si="163"/>
        <v>226</v>
      </c>
      <c r="AC333" s="8">
        <v>43418</v>
      </c>
      <c r="AD333" s="8">
        <f t="shared" si="163"/>
        <v>130</v>
      </c>
      <c r="AE333" s="8">
        <v>95798</v>
      </c>
      <c r="AF333" s="8">
        <f t="shared" si="177"/>
        <v>1242</v>
      </c>
      <c r="AG333" s="8">
        <v>168558</v>
      </c>
      <c r="AH333" s="8">
        <f t="shared" si="178"/>
        <v>6757</v>
      </c>
      <c r="AI333" s="8">
        <v>-72760</v>
      </c>
      <c r="AJ333" s="8">
        <f t="shared" si="179"/>
        <v>-5515</v>
      </c>
      <c r="AK333" s="8">
        <v>69107</v>
      </c>
      <c r="AL333" s="8">
        <f t="shared" si="180"/>
        <v>-2157</v>
      </c>
      <c r="AM333" s="8">
        <v>154297</v>
      </c>
      <c r="AN333" s="8">
        <f t="shared" si="181"/>
        <v>5063</v>
      </c>
      <c r="AO333" s="8">
        <v>-85190</v>
      </c>
      <c r="AP333" s="8">
        <f t="shared" si="182"/>
        <v>-7220</v>
      </c>
      <c r="AR333" s="8">
        <v>1897016</v>
      </c>
      <c r="AS333" s="8">
        <f t="shared" si="183"/>
        <v>46929</v>
      </c>
      <c r="AT333" s="8">
        <v>286614</v>
      </c>
      <c r="AU333" s="8">
        <f t="shared" si="184"/>
        <v>-60</v>
      </c>
      <c r="AV333" s="8">
        <v>30053</v>
      </c>
      <c r="AW333" s="8">
        <f t="shared" si="185"/>
        <v>3845</v>
      </c>
      <c r="AX333" s="8">
        <f t="shared" si="160"/>
        <v>256561</v>
      </c>
      <c r="AY333" s="8">
        <f t="shared" si="186"/>
        <v>-3905</v>
      </c>
      <c r="AZ333" s="8">
        <v>693097</v>
      </c>
      <c r="BA333" s="8">
        <f t="shared" si="187"/>
        <v>29344</v>
      </c>
      <c r="BB333" s="8">
        <v>904583</v>
      </c>
      <c r="BC333" s="8">
        <f t="shared" si="188"/>
        <v>26557</v>
      </c>
      <c r="BD333" s="8">
        <f t="shared" si="161"/>
        <v>-211486</v>
      </c>
      <c r="BE333" s="8">
        <f t="shared" si="189"/>
        <v>2787</v>
      </c>
      <c r="BF333" s="8">
        <v>341168</v>
      </c>
      <c r="BG333" s="8">
        <f t="shared" si="190"/>
        <v>31287</v>
      </c>
      <c r="BH333" s="8">
        <v>756186</v>
      </c>
      <c r="BI333" s="8">
        <f t="shared" si="191"/>
        <v>27555</v>
      </c>
      <c r="BJ333" s="8">
        <f t="shared" si="162"/>
        <v>-415018</v>
      </c>
      <c r="BK333" s="8">
        <f t="shared" si="164"/>
        <v>3732</v>
      </c>
    </row>
    <row r="334" spans="1:63">
      <c r="A334" s="5">
        <v>41205</v>
      </c>
      <c r="B334" s="8">
        <v>393432</v>
      </c>
      <c r="C334" s="8">
        <f t="shared" si="165"/>
        <v>-5922</v>
      </c>
      <c r="D334" s="8">
        <v>39196</v>
      </c>
      <c r="E334" s="8">
        <f t="shared" si="166"/>
        <v>-1144</v>
      </c>
      <c r="F334" s="8">
        <v>55816</v>
      </c>
      <c r="G334" s="8">
        <f t="shared" si="167"/>
        <v>3507</v>
      </c>
      <c r="H334" s="8">
        <v>-16620</v>
      </c>
      <c r="I334" s="8">
        <f t="shared" si="168"/>
        <v>-4651</v>
      </c>
      <c r="J334" s="8">
        <v>199760</v>
      </c>
      <c r="K334" s="8">
        <f t="shared" si="169"/>
        <v>-2054</v>
      </c>
      <c r="L334" s="8">
        <v>176788</v>
      </c>
      <c r="M334" s="8">
        <f t="shared" si="170"/>
        <v>-4673</v>
      </c>
      <c r="N334" s="8">
        <v>22972</v>
      </c>
      <c r="O334" s="8">
        <f t="shared" si="171"/>
        <v>2619</v>
      </c>
      <c r="P334" s="8">
        <v>104850</v>
      </c>
      <c r="Q334" s="8">
        <f t="shared" si="172"/>
        <v>-2072</v>
      </c>
      <c r="R334" s="8">
        <v>167320</v>
      </c>
      <c r="S334" s="8">
        <f t="shared" si="173"/>
        <v>-5739</v>
      </c>
      <c r="T334" s="8">
        <v>-62470</v>
      </c>
      <c r="U334" s="8">
        <f t="shared" si="174"/>
        <v>3667</v>
      </c>
      <c r="W334" s="8">
        <v>281131</v>
      </c>
      <c r="X334" s="8">
        <f t="shared" si="175"/>
        <v>3741</v>
      </c>
      <c r="Y334" s="8">
        <v>52464</v>
      </c>
      <c r="Z334" s="8">
        <f t="shared" si="176"/>
        <v>1320</v>
      </c>
      <c r="AA334" s="8">
        <v>10525</v>
      </c>
      <c r="AB334" s="8">
        <f t="shared" si="163"/>
        <v>2799</v>
      </c>
      <c r="AC334" s="8">
        <v>41939</v>
      </c>
      <c r="AD334" s="8">
        <f t="shared" si="163"/>
        <v>-1479</v>
      </c>
      <c r="AE334" s="8">
        <v>98090</v>
      </c>
      <c r="AF334" s="8">
        <f t="shared" si="177"/>
        <v>2292</v>
      </c>
      <c r="AG334" s="8">
        <v>171298</v>
      </c>
      <c r="AH334" s="8">
        <f t="shared" si="178"/>
        <v>2740</v>
      </c>
      <c r="AI334" s="8">
        <v>-73208</v>
      </c>
      <c r="AJ334" s="8">
        <f t="shared" si="179"/>
        <v>-448</v>
      </c>
      <c r="AK334" s="8">
        <v>71063</v>
      </c>
      <c r="AL334" s="8">
        <f t="shared" si="180"/>
        <v>1956</v>
      </c>
      <c r="AM334" s="8">
        <v>156977</v>
      </c>
      <c r="AN334" s="8">
        <f t="shared" si="181"/>
        <v>2680</v>
      </c>
      <c r="AO334" s="8">
        <v>-85914</v>
      </c>
      <c r="AP334" s="8">
        <f t="shared" si="182"/>
        <v>-724</v>
      </c>
      <c r="AR334" s="8">
        <v>1935194</v>
      </c>
      <c r="AS334" s="8">
        <f t="shared" si="183"/>
        <v>38178</v>
      </c>
      <c r="AT334" s="8">
        <v>309160</v>
      </c>
      <c r="AU334" s="8">
        <f t="shared" si="184"/>
        <v>22546</v>
      </c>
      <c r="AV334" s="8">
        <v>26311</v>
      </c>
      <c r="AW334" s="8">
        <f t="shared" si="185"/>
        <v>-3742</v>
      </c>
      <c r="AX334" s="8">
        <f t="shared" si="160"/>
        <v>282849</v>
      </c>
      <c r="AY334" s="8">
        <f t="shared" si="186"/>
        <v>26288</v>
      </c>
      <c r="AZ334" s="8">
        <v>684379</v>
      </c>
      <c r="BA334" s="8">
        <f t="shared" si="187"/>
        <v>-8718</v>
      </c>
      <c r="BB334" s="8">
        <v>927371</v>
      </c>
      <c r="BC334" s="8">
        <f t="shared" si="188"/>
        <v>22788</v>
      </c>
      <c r="BD334" s="8">
        <f t="shared" si="161"/>
        <v>-242992</v>
      </c>
      <c r="BE334" s="8">
        <f t="shared" si="189"/>
        <v>-31506</v>
      </c>
      <c r="BF334" s="8">
        <v>332202</v>
      </c>
      <c r="BG334" s="8">
        <f t="shared" si="190"/>
        <v>-8966</v>
      </c>
      <c r="BH334" s="8">
        <v>777120</v>
      </c>
      <c r="BI334" s="8">
        <f t="shared" si="191"/>
        <v>20934</v>
      </c>
      <c r="BJ334" s="8">
        <f t="shared" si="162"/>
        <v>-444918</v>
      </c>
      <c r="BK334" s="8">
        <f t="shared" si="164"/>
        <v>-29900</v>
      </c>
    </row>
    <row r="335" spans="1:63">
      <c r="A335" s="5">
        <v>41212</v>
      </c>
      <c r="B335" s="8">
        <v>387813</v>
      </c>
      <c r="C335" s="8">
        <f t="shared" si="165"/>
        <v>-5619</v>
      </c>
      <c r="D335" s="8">
        <v>42783</v>
      </c>
      <c r="E335" s="8">
        <f t="shared" si="166"/>
        <v>3587</v>
      </c>
      <c r="F335" s="8">
        <v>65604</v>
      </c>
      <c r="G335" s="8">
        <f t="shared" si="167"/>
        <v>9788</v>
      </c>
      <c r="H335" s="8">
        <v>-22821</v>
      </c>
      <c r="I335" s="8">
        <f t="shared" si="168"/>
        <v>-6201</v>
      </c>
      <c r="J335" s="8">
        <v>204185</v>
      </c>
      <c r="K335" s="8">
        <f t="shared" si="169"/>
        <v>4425</v>
      </c>
      <c r="L335" s="8">
        <v>175053</v>
      </c>
      <c r="M335" s="8">
        <f t="shared" si="170"/>
        <v>-1735</v>
      </c>
      <c r="N335" s="8">
        <v>29132</v>
      </c>
      <c r="O335" s="8">
        <f t="shared" si="171"/>
        <v>6160</v>
      </c>
      <c r="P335" s="8">
        <v>106094</v>
      </c>
      <c r="Q335" s="8">
        <f t="shared" si="172"/>
        <v>1244</v>
      </c>
      <c r="R335" s="8">
        <v>163502</v>
      </c>
      <c r="S335" s="8">
        <f t="shared" si="173"/>
        <v>-3818</v>
      </c>
      <c r="T335" s="8">
        <v>-57408</v>
      </c>
      <c r="U335" s="8">
        <f t="shared" si="174"/>
        <v>5062</v>
      </c>
      <c r="W335" s="8">
        <v>289384</v>
      </c>
      <c r="X335" s="8">
        <f t="shared" si="175"/>
        <v>8253</v>
      </c>
      <c r="Y335" s="8">
        <v>59393</v>
      </c>
      <c r="Z335" s="8">
        <f t="shared" si="176"/>
        <v>6929</v>
      </c>
      <c r="AA335" s="8">
        <v>10342</v>
      </c>
      <c r="AB335" s="8">
        <f t="shared" si="163"/>
        <v>-183</v>
      </c>
      <c r="AC335" s="8">
        <v>49051</v>
      </c>
      <c r="AD335" s="8">
        <f t="shared" si="163"/>
        <v>7112</v>
      </c>
      <c r="AE335" s="8">
        <v>97834</v>
      </c>
      <c r="AF335" s="8">
        <f t="shared" si="177"/>
        <v>-256</v>
      </c>
      <c r="AG335" s="8">
        <v>178444</v>
      </c>
      <c r="AH335" s="8">
        <f t="shared" si="178"/>
        <v>7146</v>
      </c>
      <c r="AI335" s="8">
        <v>-80610</v>
      </c>
      <c r="AJ335" s="8">
        <f t="shared" si="179"/>
        <v>-7402</v>
      </c>
      <c r="AK335" s="8">
        <v>69547</v>
      </c>
      <c r="AL335" s="8">
        <f t="shared" si="180"/>
        <v>-1516</v>
      </c>
      <c r="AM335" s="8">
        <v>164978</v>
      </c>
      <c r="AN335" s="8">
        <f t="shared" si="181"/>
        <v>8001</v>
      </c>
      <c r="AO335" s="8">
        <v>-95431</v>
      </c>
      <c r="AP335" s="8">
        <f t="shared" si="182"/>
        <v>-9517</v>
      </c>
      <c r="AR335" s="8">
        <v>1874753</v>
      </c>
      <c r="AS335" s="8">
        <f t="shared" si="183"/>
        <v>-60441</v>
      </c>
      <c r="AT335" s="8">
        <v>279634</v>
      </c>
      <c r="AU335" s="8">
        <f t="shared" si="184"/>
        <v>-29526</v>
      </c>
      <c r="AV335" s="8">
        <v>43252</v>
      </c>
      <c r="AW335" s="8">
        <f t="shared" si="185"/>
        <v>16941</v>
      </c>
      <c r="AX335" s="8">
        <f t="shared" si="160"/>
        <v>236382</v>
      </c>
      <c r="AY335" s="8">
        <f t="shared" si="186"/>
        <v>-46467</v>
      </c>
      <c r="AZ335" s="8">
        <v>688105</v>
      </c>
      <c r="BA335" s="8">
        <f t="shared" si="187"/>
        <v>3726</v>
      </c>
      <c r="BB335" s="8">
        <v>886764</v>
      </c>
      <c r="BC335" s="8">
        <f t="shared" si="188"/>
        <v>-40607</v>
      </c>
      <c r="BD335" s="8">
        <f t="shared" si="161"/>
        <v>-198659</v>
      </c>
      <c r="BE335" s="8">
        <f t="shared" si="189"/>
        <v>44333</v>
      </c>
      <c r="BF335" s="8">
        <v>338784</v>
      </c>
      <c r="BG335" s="8">
        <f t="shared" si="190"/>
        <v>6582</v>
      </c>
      <c r="BH335" s="8">
        <v>738100</v>
      </c>
      <c r="BI335" s="8">
        <f t="shared" si="191"/>
        <v>-39020</v>
      </c>
      <c r="BJ335" s="8">
        <f t="shared" si="162"/>
        <v>-399316</v>
      </c>
      <c r="BK335" s="8">
        <f t="shared" si="164"/>
        <v>45602</v>
      </c>
    </row>
    <row r="336" spans="1:63">
      <c r="A336" s="5">
        <v>41219</v>
      </c>
      <c r="B336" s="8">
        <v>435951</v>
      </c>
      <c r="C336" s="8">
        <f t="shared" si="165"/>
        <v>48138</v>
      </c>
      <c r="D336" s="8">
        <v>40205</v>
      </c>
      <c r="E336" s="8">
        <f t="shared" si="166"/>
        <v>-2578</v>
      </c>
      <c r="F336" s="8">
        <v>76058</v>
      </c>
      <c r="G336" s="8">
        <f t="shared" si="167"/>
        <v>10454</v>
      </c>
      <c r="H336" s="8">
        <v>-35853</v>
      </c>
      <c r="I336" s="8">
        <f t="shared" si="168"/>
        <v>-13032</v>
      </c>
      <c r="J336" s="8">
        <v>229205</v>
      </c>
      <c r="K336" s="8">
        <f t="shared" si="169"/>
        <v>25020</v>
      </c>
      <c r="L336" s="8">
        <v>182091</v>
      </c>
      <c r="M336" s="8">
        <f t="shared" si="170"/>
        <v>7038</v>
      </c>
      <c r="N336" s="8">
        <v>47114</v>
      </c>
      <c r="O336" s="8">
        <f t="shared" si="171"/>
        <v>17982</v>
      </c>
      <c r="P336" s="8">
        <v>129606</v>
      </c>
      <c r="Q336" s="8">
        <f t="shared" si="172"/>
        <v>23512</v>
      </c>
      <c r="R336" s="8">
        <v>170453</v>
      </c>
      <c r="S336" s="8">
        <f t="shared" si="173"/>
        <v>6951</v>
      </c>
      <c r="T336" s="8">
        <v>-40847</v>
      </c>
      <c r="U336" s="8">
        <f t="shared" si="174"/>
        <v>16561</v>
      </c>
      <c r="W336" s="8">
        <v>290458</v>
      </c>
      <c r="X336" s="8">
        <f t="shared" si="175"/>
        <v>1074</v>
      </c>
      <c r="Y336" s="8">
        <v>56492</v>
      </c>
      <c r="Z336" s="8">
        <f t="shared" si="176"/>
        <v>-2901</v>
      </c>
      <c r="AA336" s="8">
        <v>10146</v>
      </c>
      <c r="AB336" s="8">
        <f t="shared" si="163"/>
        <v>-196</v>
      </c>
      <c r="AC336" s="8">
        <v>46346</v>
      </c>
      <c r="AD336" s="8">
        <f t="shared" si="163"/>
        <v>-2705</v>
      </c>
      <c r="AE336" s="8">
        <v>93257</v>
      </c>
      <c r="AF336" s="8">
        <f t="shared" si="177"/>
        <v>-4577</v>
      </c>
      <c r="AG336" s="8">
        <v>171485</v>
      </c>
      <c r="AH336" s="8">
        <f t="shared" si="178"/>
        <v>-6959</v>
      </c>
      <c r="AI336" s="8">
        <v>-78228</v>
      </c>
      <c r="AJ336" s="8">
        <f t="shared" si="179"/>
        <v>2382</v>
      </c>
      <c r="AK336" s="8">
        <v>66988</v>
      </c>
      <c r="AL336" s="8">
        <f t="shared" si="180"/>
        <v>-2559</v>
      </c>
      <c r="AM336" s="8">
        <v>160895</v>
      </c>
      <c r="AN336" s="8">
        <f t="shared" si="181"/>
        <v>-4083</v>
      </c>
      <c r="AO336" s="8">
        <v>-93907</v>
      </c>
      <c r="AP336" s="8">
        <f t="shared" si="182"/>
        <v>1524</v>
      </c>
      <c r="AR336" s="8">
        <v>1887427</v>
      </c>
      <c r="AS336" s="8">
        <f t="shared" si="183"/>
        <v>12674</v>
      </c>
      <c r="AT336" s="8">
        <v>280620</v>
      </c>
      <c r="AU336" s="8">
        <f t="shared" si="184"/>
        <v>986</v>
      </c>
      <c r="AV336" s="8">
        <v>45182</v>
      </c>
      <c r="AW336" s="8">
        <f t="shared" si="185"/>
        <v>1930</v>
      </c>
      <c r="AX336" s="8">
        <f t="shared" si="160"/>
        <v>235438</v>
      </c>
      <c r="AY336" s="8">
        <f t="shared" si="186"/>
        <v>-944</v>
      </c>
      <c r="AZ336" s="8">
        <v>705229</v>
      </c>
      <c r="BA336" s="8">
        <f t="shared" si="187"/>
        <v>17124</v>
      </c>
      <c r="BB336" s="8">
        <v>905605</v>
      </c>
      <c r="BC336" s="8">
        <f t="shared" si="188"/>
        <v>18841</v>
      </c>
      <c r="BD336" s="8">
        <f t="shared" si="161"/>
        <v>-200376</v>
      </c>
      <c r="BE336" s="8">
        <f t="shared" si="189"/>
        <v>-1717</v>
      </c>
      <c r="BF336" s="8">
        <v>353271</v>
      </c>
      <c r="BG336" s="8">
        <f t="shared" si="190"/>
        <v>14487</v>
      </c>
      <c r="BH336" s="8">
        <v>759752</v>
      </c>
      <c r="BI336" s="8">
        <f t="shared" si="191"/>
        <v>21652</v>
      </c>
      <c r="BJ336" s="8">
        <f t="shared" si="162"/>
        <v>-406481</v>
      </c>
      <c r="BK336" s="8">
        <f t="shared" si="164"/>
        <v>-7165</v>
      </c>
    </row>
    <row r="337" spans="1:63">
      <c r="A337" s="5">
        <v>41226</v>
      </c>
      <c r="B337" s="8">
        <v>447855</v>
      </c>
      <c r="C337" s="8">
        <f t="shared" si="165"/>
        <v>11904</v>
      </c>
      <c r="D337" s="8">
        <v>37019</v>
      </c>
      <c r="E337" s="8">
        <f t="shared" si="166"/>
        <v>-3186</v>
      </c>
      <c r="F337" s="8">
        <v>81159</v>
      </c>
      <c r="G337" s="8">
        <f t="shared" si="167"/>
        <v>5101</v>
      </c>
      <c r="H337" s="8">
        <v>-44140</v>
      </c>
      <c r="I337" s="8">
        <f t="shared" si="168"/>
        <v>-8287</v>
      </c>
      <c r="J337" s="8">
        <v>232966</v>
      </c>
      <c r="K337" s="8">
        <f t="shared" si="169"/>
        <v>3761</v>
      </c>
      <c r="L337" s="8">
        <v>175182</v>
      </c>
      <c r="M337" s="8">
        <f t="shared" si="170"/>
        <v>-6909</v>
      </c>
      <c r="N337" s="8">
        <v>57784</v>
      </c>
      <c r="O337" s="8">
        <f t="shared" si="171"/>
        <v>10670</v>
      </c>
      <c r="P337" s="8">
        <v>134197</v>
      </c>
      <c r="Q337" s="8">
        <f t="shared" si="172"/>
        <v>4591</v>
      </c>
      <c r="R337" s="8">
        <v>165725</v>
      </c>
      <c r="S337" s="8">
        <f t="shared" si="173"/>
        <v>-4728</v>
      </c>
      <c r="T337" s="8">
        <v>-31528</v>
      </c>
      <c r="U337" s="8">
        <f t="shared" si="174"/>
        <v>9319</v>
      </c>
      <c r="W337" s="8">
        <v>281994</v>
      </c>
      <c r="X337" s="8">
        <f t="shared" si="175"/>
        <v>-8464</v>
      </c>
      <c r="Y337" s="8">
        <v>46855</v>
      </c>
      <c r="Z337" s="8">
        <f t="shared" si="176"/>
        <v>-9637</v>
      </c>
      <c r="AA337" s="8">
        <v>17476</v>
      </c>
      <c r="AB337" s="8">
        <f t="shared" si="163"/>
        <v>7330</v>
      </c>
      <c r="AC337" s="8">
        <v>29379</v>
      </c>
      <c r="AD337" s="8">
        <f t="shared" si="163"/>
        <v>-16967</v>
      </c>
      <c r="AE337" s="8">
        <v>98087</v>
      </c>
      <c r="AF337" s="8">
        <f t="shared" si="177"/>
        <v>4830</v>
      </c>
      <c r="AG337" s="8">
        <v>155470</v>
      </c>
      <c r="AH337" s="8">
        <f t="shared" si="178"/>
        <v>-16015</v>
      </c>
      <c r="AI337" s="8">
        <v>-57383</v>
      </c>
      <c r="AJ337" s="8">
        <f t="shared" si="179"/>
        <v>20845</v>
      </c>
      <c r="AK337" s="8">
        <v>69505</v>
      </c>
      <c r="AL337" s="8">
        <f t="shared" si="180"/>
        <v>2517</v>
      </c>
      <c r="AM337" s="8">
        <v>145609</v>
      </c>
      <c r="AN337" s="8">
        <f t="shared" si="181"/>
        <v>-15286</v>
      </c>
      <c r="AO337" s="8">
        <v>-76104</v>
      </c>
      <c r="AP337" s="8">
        <f t="shared" si="182"/>
        <v>17803</v>
      </c>
      <c r="AR337" s="8">
        <v>1903443</v>
      </c>
      <c r="AS337" s="8">
        <f t="shared" si="183"/>
        <v>16016</v>
      </c>
      <c r="AT337" s="8">
        <v>256657</v>
      </c>
      <c r="AU337" s="8">
        <f t="shared" si="184"/>
        <v>-23963</v>
      </c>
      <c r="AV337" s="8">
        <v>53804</v>
      </c>
      <c r="AW337" s="8">
        <f t="shared" si="185"/>
        <v>8622</v>
      </c>
      <c r="AX337" s="8">
        <f t="shared" si="160"/>
        <v>202853</v>
      </c>
      <c r="AY337" s="8">
        <f t="shared" si="186"/>
        <v>-32585</v>
      </c>
      <c r="AZ337" s="8">
        <v>732650</v>
      </c>
      <c r="BA337" s="8">
        <f t="shared" si="187"/>
        <v>27421</v>
      </c>
      <c r="BB337" s="8">
        <v>892805</v>
      </c>
      <c r="BC337" s="8">
        <f t="shared" si="188"/>
        <v>-12800</v>
      </c>
      <c r="BD337" s="8">
        <f t="shared" si="161"/>
        <v>-160155</v>
      </c>
      <c r="BE337" s="8">
        <f t="shared" si="189"/>
        <v>40221</v>
      </c>
      <c r="BF337" s="8">
        <v>382593</v>
      </c>
      <c r="BG337" s="8">
        <f t="shared" si="190"/>
        <v>29322</v>
      </c>
      <c r="BH337" s="8">
        <v>750631</v>
      </c>
      <c r="BI337" s="8">
        <f t="shared" si="191"/>
        <v>-9121</v>
      </c>
      <c r="BJ337" s="8">
        <f t="shared" si="162"/>
        <v>-368038</v>
      </c>
      <c r="BK337" s="8">
        <f t="shared" si="164"/>
        <v>38443</v>
      </c>
    </row>
    <row r="338" spans="1:63">
      <c r="A338" s="5">
        <v>41233</v>
      </c>
      <c r="B338" s="8">
        <v>426242</v>
      </c>
      <c r="C338" s="8">
        <f t="shared" si="165"/>
        <v>-21613</v>
      </c>
      <c r="D338" s="8">
        <v>33034</v>
      </c>
      <c r="E338" s="8">
        <f t="shared" si="166"/>
        <v>-3985</v>
      </c>
      <c r="F338" s="8">
        <v>86455</v>
      </c>
      <c r="G338" s="8">
        <f t="shared" si="167"/>
        <v>5296</v>
      </c>
      <c r="H338" s="8">
        <v>-53421</v>
      </c>
      <c r="I338" s="8">
        <f t="shared" si="168"/>
        <v>-9281</v>
      </c>
      <c r="J338" s="8">
        <v>228694</v>
      </c>
      <c r="K338" s="8">
        <f t="shared" si="169"/>
        <v>-4272</v>
      </c>
      <c r="L338" s="8">
        <v>168504</v>
      </c>
      <c r="M338" s="8">
        <f t="shared" si="170"/>
        <v>-6678</v>
      </c>
      <c r="N338" s="8">
        <v>60190</v>
      </c>
      <c r="O338" s="8">
        <f t="shared" si="171"/>
        <v>2406</v>
      </c>
      <c r="P338" s="8">
        <v>134090</v>
      </c>
      <c r="Q338" s="8">
        <f t="shared" si="172"/>
        <v>-107</v>
      </c>
      <c r="R338" s="8">
        <v>159391</v>
      </c>
      <c r="S338" s="8">
        <f t="shared" si="173"/>
        <v>-6334</v>
      </c>
      <c r="T338" s="8">
        <v>-25301</v>
      </c>
      <c r="U338" s="8">
        <f t="shared" si="174"/>
        <v>6227</v>
      </c>
      <c r="W338" s="8">
        <v>280286</v>
      </c>
      <c r="X338" s="8">
        <f t="shared" si="175"/>
        <v>-1708</v>
      </c>
      <c r="Y338" s="8">
        <v>44323</v>
      </c>
      <c r="Z338" s="8">
        <f t="shared" si="176"/>
        <v>-2532</v>
      </c>
      <c r="AA338" s="8">
        <v>16797</v>
      </c>
      <c r="AB338" s="8">
        <f t="shared" si="163"/>
        <v>-679</v>
      </c>
      <c r="AC338" s="8">
        <v>27526</v>
      </c>
      <c r="AD338" s="8">
        <f t="shared" si="163"/>
        <v>-1853</v>
      </c>
      <c r="AE338" s="8">
        <v>105379</v>
      </c>
      <c r="AF338" s="8">
        <f t="shared" si="177"/>
        <v>7292</v>
      </c>
      <c r="AG338" s="8">
        <v>159983</v>
      </c>
      <c r="AH338" s="8">
        <f t="shared" si="178"/>
        <v>4513</v>
      </c>
      <c r="AI338" s="8">
        <v>-54604</v>
      </c>
      <c r="AJ338" s="8">
        <f t="shared" si="179"/>
        <v>2779</v>
      </c>
      <c r="AK338" s="8">
        <v>76494</v>
      </c>
      <c r="AL338" s="8">
        <f t="shared" si="180"/>
        <v>6989</v>
      </c>
      <c r="AM338" s="8">
        <v>150573</v>
      </c>
      <c r="AN338" s="8">
        <f t="shared" si="181"/>
        <v>4964</v>
      </c>
      <c r="AO338" s="8">
        <v>-74079</v>
      </c>
      <c r="AP338" s="8">
        <f t="shared" si="182"/>
        <v>2025</v>
      </c>
      <c r="AR338" s="8">
        <v>1880049</v>
      </c>
      <c r="AS338" s="8">
        <f t="shared" si="183"/>
        <v>-23394</v>
      </c>
      <c r="AT338" s="8">
        <v>281474</v>
      </c>
      <c r="AU338" s="8">
        <f t="shared" si="184"/>
        <v>24817</v>
      </c>
      <c r="AV338" s="8">
        <v>31246</v>
      </c>
      <c r="AW338" s="8">
        <f t="shared" si="185"/>
        <v>-22558</v>
      </c>
      <c r="AX338" s="8">
        <f t="shared" si="160"/>
        <v>250228</v>
      </c>
      <c r="AY338" s="8">
        <f t="shared" si="186"/>
        <v>47375</v>
      </c>
      <c r="AZ338" s="8">
        <v>716295</v>
      </c>
      <c r="BA338" s="8">
        <f t="shared" si="187"/>
        <v>-16355</v>
      </c>
      <c r="BB338" s="8">
        <v>925129</v>
      </c>
      <c r="BC338" s="8">
        <f t="shared" si="188"/>
        <v>32324</v>
      </c>
      <c r="BD338" s="8">
        <f t="shared" si="161"/>
        <v>-208834</v>
      </c>
      <c r="BE338" s="8">
        <f t="shared" si="189"/>
        <v>-48679</v>
      </c>
      <c r="BF338" s="8">
        <v>372154</v>
      </c>
      <c r="BG338" s="8">
        <f t="shared" si="190"/>
        <v>-10439</v>
      </c>
      <c r="BH338" s="8">
        <v>783094</v>
      </c>
      <c r="BI338" s="8">
        <f t="shared" si="191"/>
        <v>32463</v>
      </c>
      <c r="BJ338" s="8">
        <f t="shared" si="162"/>
        <v>-410940</v>
      </c>
      <c r="BK338" s="8">
        <f t="shared" si="164"/>
        <v>-42902</v>
      </c>
    </row>
    <row r="339" spans="1:63">
      <c r="A339" s="5">
        <v>41240</v>
      </c>
      <c r="B339" s="8">
        <v>370218</v>
      </c>
      <c r="C339" s="8">
        <f t="shared" si="165"/>
        <v>-56024</v>
      </c>
      <c r="D339" s="8">
        <v>36172</v>
      </c>
      <c r="E339" s="8">
        <f t="shared" si="166"/>
        <v>3138</v>
      </c>
      <c r="F339" s="8">
        <v>85327</v>
      </c>
      <c r="G339" s="8">
        <f t="shared" si="167"/>
        <v>-1128</v>
      </c>
      <c r="H339" s="8">
        <v>-49155</v>
      </c>
      <c r="I339" s="8">
        <f t="shared" si="168"/>
        <v>4266</v>
      </c>
      <c r="J339" s="8">
        <v>200654</v>
      </c>
      <c r="K339" s="8">
        <f t="shared" si="169"/>
        <v>-28040</v>
      </c>
      <c r="L339" s="8">
        <v>144846</v>
      </c>
      <c r="M339" s="8">
        <f t="shared" si="170"/>
        <v>-23658</v>
      </c>
      <c r="N339" s="8">
        <v>55808</v>
      </c>
      <c r="O339" s="8">
        <f t="shared" si="171"/>
        <v>-4382</v>
      </c>
      <c r="P339" s="8">
        <v>109099</v>
      </c>
      <c r="Q339" s="8">
        <f t="shared" si="172"/>
        <v>-24991</v>
      </c>
      <c r="R339" s="8">
        <v>139117</v>
      </c>
      <c r="S339" s="8">
        <f t="shared" si="173"/>
        <v>-20274</v>
      </c>
      <c r="T339" s="8">
        <v>-30018</v>
      </c>
      <c r="U339" s="8">
        <f t="shared" si="174"/>
        <v>-4717</v>
      </c>
      <c r="W339" s="8">
        <v>253348</v>
      </c>
      <c r="X339" s="8">
        <f t="shared" si="175"/>
        <v>-26938</v>
      </c>
      <c r="Y339" s="8">
        <v>43290</v>
      </c>
      <c r="Z339" s="8">
        <f t="shared" si="176"/>
        <v>-1033</v>
      </c>
      <c r="AA339" s="8">
        <v>19575</v>
      </c>
      <c r="AB339" s="8">
        <f t="shared" si="163"/>
        <v>2778</v>
      </c>
      <c r="AC339" s="8">
        <v>23715</v>
      </c>
      <c r="AD339" s="8">
        <f t="shared" si="163"/>
        <v>-3811</v>
      </c>
      <c r="AE339" s="8">
        <v>96867</v>
      </c>
      <c r="AF339" s="8">
        <f t="shared" si="177"/>
        <v>-8512</v>
      </c>
      <c r="AG339" s="8">
        <v>147216</v>
      </c>
      <c r="AH339" s="8">
        <f t="shared" si="178"/>
        <v>-12767</v>
      </c>
      <c r="AI339" s="8">
        <v>-50349</v>
      </c>
      <c r="AJ339" s="8">
        <f t="shared" si="179"/>
        <v>4255</v>
      </c>
      <c r="AK339" s="8">
        <v>73384</v>
      </c>
      <c r="AL339" s="8">
        <f t="shared" si="180"/>
        <v>-3110</v>
      </c>
      <c r="AM339" s="8">
        <v>139319</v>
      </c>
      <c r="AN339" s="8">
        <f t="shared" si="181"/>
        <v>-11254</v>
      </c>
      <c r="AO339" s="8">
        <v>-65935</v>
      </c>
      <c r="AP339" s="8">
        <f t="shared" si="182"/>
        <v>8144</v>
      </c>
      <c r="AR339" s="8">
        <v>1541817</v>
      </c>
      <c r="AS339" s="8">
        <f t="shared" si="183"/>
        <v>-338232</v>
      </c>
      <c r="AT339" s="8">
        <v>290232</v>
      </c>
      <c r="AU339" s="8">
        <f t="shared" si="184"/>
        <v>8758</v>
      </c>
      <c r="AV339" s="8">
        <v>33145</v>
      </c>
      <c r="AW339" s="8">
        <f t="shared" si="185"/>
        <v>1899</v>
      </c>
      <c r="AX339" s="8">
        <f t="shared" si="160"/>
        <v>257087</v>
      </c>
      <c r="AY339" s="8">
        <f t="shared" si="186"/>
        <v>6859</v>
      </c>
      <c r="AZ339" s="8">
        <v>624013</v>
      </c>
      <c r="BA339" s="8">
        <f t="shared" si="187"/>
        <v>-92282</v>
      </c>
      <c r="BB339" s="8">
        <v>849321</v>
      </c>
      <c r="BC339" s="8">
        <f t="shared" si="188"/>
        <v>-75808</v>
      </c>
      <c r="BD339" s="8">
        <f t="shared" si="161"/>
        <v>-225308</v>
      </c>
      <c r="BE339" s="8">
        <f t="shared" si="189"/>
        <v>-16474</v>
      </c>
      <c r="BF339" s="8">
        <v>321013</v>
      </c>
      <c r="BG339" s="8">
        <f t="shared" si="190"/>
        <v>-51141</v>
      </c>
      <c r="BH339" s="8">
        <v>750143</v>
      </c>
      <c r="BI339" s="8">
        <f t="shared" si="191"/>
        <v>-32951</v>
      </c>
      <c r="BJ339" s="8">
        <f t="shared" si="162"/>
        <v>-429130</v>
      </c>
      <c r="BK339" s="8">
        <f t="shared" si="164"/>
        <v>-18190</v>
      </c>
    </row>
    <row r="340" spans="1:63">
      <c r="A340" s="5">
        <v>41247</v>
      </c>
      <c r="B340" s="8">
        <v>361309</v>
      </c>
      <c r="C340" s="8">
        <f t="shared" si="165"/>
        <v>-8909</v>
      </c>
      <c r="D340" s="8">
        <v>39123</v>
      </c>
      <c r="E340" s="8">
        <f t="shared" si="166"/>
        <v>2951</v>
      </c>
      <c r="F340" s="8">
        <v>82248</v>
      </c>
      <c r="G340" s="8">
        <f t="shared" si="167"/>
        <v>-3079</v>
      </c>
      <c r="H340" s="8">
        <v>-43125</v>
      </c>
      <c r="I340" s="8">
        <f t="shared" si="168"/>
        <v>6030</v>
      </c>
      <c r="J340" s="8">
        <v>192802</v>
      </c>
      <c r="K340" s="8">
        <f t="shared" si="169"/>
        <v>-7852</v>
      </c>
      <c r="L340" s="8">
        <v>142502</v>
      </c>
      <c r="M340" s="8">
        <f t="shared" si="170"/>
        <v>-2344</v>
      </c>
      <c r="N340" s="8">
        <v>50300</v>
      </c>
      <c r="O340" s="8">
        <f t="shared" si="171"/>
        <v>-5508</v>
      </c>
      <c r="P340" s="8">
        <v>99346</v>
      </c>
      <c r="Q340" s="8">
        <f t="shared" si="172"/>
        <v>-9753</v>
      </c>
      <c r="R340" s="8">
        <v>137167</v>
      </c>
      <c r="S340" s="8">
        <f t="shared" si="173"/>
        <v>-1950</v>
      </c>
      <c r="T340" s="8">
        <v>-37821</v>
      </c>
      <c r="U340" s="8">
        <f t="shared" si="174"/>
        <v>-7803</v>
      </c>
      <c r="W340" s="8">
        <v>260574</v>
      </c>
      <c r="X340" s="8">
        <f t="shared" si="175"/>
        <v>7226</v>
      </c>
      <c r="Y340" s="8">
        <v>47054</v>
      </c>
      <c r="Z340" s="8">
        <f t="shared" si="176"/>
        <v>3764</v>
      </c>
      <c r="AA340" s="8">
        <v>19452</v>
      </c>
      <c r="AB340" s="8">
        <f t="shared" si="163"/>
        <v>-123</v>
      </c>
      <c r="AC340" s="8">
        <v>27602</v>
      </c>
      <c r="AD340" s="8">
        <f t="shared" si="163"/>
        <v>3887</v>
      </c>
      <c r="AE340" s="8">
        <v>100812</v>
      </c>
      <c r="AF340" s="8">
        <f t="shared" si="177"/>
        <v>3945</v>
      </c>
      <c r="AG340" s="8">
        <v>154658</v>
      </c>
      <c r="AH340" s="8">
        <f t="shared" si="178"/>
        <v>7442</v>
      </c>
      <c r="AI340" s="8">
        <v>-53846</v>
      </c>
      <c r="AJ340" s="8">
        <f t="shared" si="179"/>
        <v>-3497</v>
      </c>
      <c r="AK340" s="8">
        <v>73952</v>
      </c>
      <c r="AL340" s="8">
        <f t="shared" si="180"/>
        <v>568</v>
      </c>
      <c r="AM340" s="8">
        <v>144651</v>
      </c>
      <c r="AN340" s="8">
        <f t="shared" si="181"/>
        <v>5332</v>
      </c>
      <c r="AO340" s="8">
        <v>-70699</v>
      </c>
      <c r="AP340" s="8">
        <f t="shared" si="182"/>
        <v>-4764</v>
      </c>
      <c r="AR340" s="8">
        <v>1531416</v>
      </c>
      <c r="AS340" s="8">
        <f t="shared" si="183"/>
        <v>-10401</v>
      </c>
      <c r="AT340" s="8">
        <v>315947</v>
      </c>
      <c r="AU340" s="8">
        <f t="shared" si="184"/>
        <v>25715</v>
      </c>
      <c r="AV340" s="8">
        <v>36937</v>
      </c>
      <c r="AW340" s="8">
        <f t="shared" si="185"/>
        <v>3792</v>
      </c>
      <c r="AX340" s="8">
        <f t="shared" si="160"/>
        <v>279010</v>
      </c>
      <c r="AY340" s="8">
        <f t="shared" si="186"/>
        <v>21923</v>
      </c>
      <c r="AZ340" s="8">
        <v>598231</v>
      </c>
      <c r="BA340" s="8">
        <f t="shared" si="187"/>
        <v>-25782</v>
      </c>
      <c r="BB340" s="8">
        <v>844806</v>
      </c>
      <c r="BC340" s="8">
        <f t="shared" si="188"/>
        <v>-4515</v>
      </c>
      <c r="BD340" s="8">
        <f t="shared" si="161"/>
        <v>-246575</v>
      </c>
      <c r="BE340" s="8">
        <f t="shared" si="189"/>
        <v>-21267</v>
      </c>
      <c r="BF340" s="8">
        <v>294248</v>
      </c>
      <c r="BG340" s="8">
        <f t="shared" si="190"/>
        <v>-26765</v>
      </c>
      <c r="BH340" s="8">
        <v>744501</v>
      </c>
      <c r="BI340" s="8">
        <f t="shared" si="191"/>
        <v>-5642</v>
      </c>
      <c r="BJ340" s="8">
        <f t="shared" si="162"/>
        <v>-450253</v>
      </c>
      <c r="BK340" s="8">
        <f t="shared" si="164"/>
        <v>-21123</v>
      </c>
    </row>
    <row r="341" spans="1:63">
      <c r="A341" s="5">
        <v>41254</v>
      </c>
      <c r="B341" s="8">
        <v>360381</v>
      </c>
      <c r="C341" s="8">
        <f t="shared" si="165"/>
        <v>-928</v>
      </c>
      <c r="D341" s="8">
        <v>44488</v>
      </c>
      <c r="E341" s="8">
        <f t="shared" si="166"/>
        <v>5365</v>
      </c>
      <c r="F341" s="8">
        <v>73094</v>
      </c>
      <c r="G341" s="8">
        <f t="shared" si="167"/>
        <v>-9154</v>
      </c>
      <c r="H341" s="8">
        <v>-28606</v>
      </c>
      <c r="I341" s="8">
        <f t="shared" si="168"/>
        <v>14519</v>
      </c>
      <c r="J341" s="8">
        <v>182559</v>
      </c>
      <c r="K341" s="8">
        <f t="shared" si="169"/>
        <v>-10243</v>
      </c>
      <c r="L341" s="8">
        <v>147515</v>
      </c>
      <c r="M341" s="8">
        <f t="shared" si="170"/>
        <v>5013</v>
      </c>
      <c r="N341" s="8">
        <v>35044</v>
      </c>
      <c r="O341" s="8">
        <f t="shared" si="171"/>
        <v>-15256</v>
      </c>
      <c r="P341" s="8">
        <v>83836</v>
      </c>
      <c r="Q341" s="8">
        <f t="shared" si="172"/>
        <v>-15510</v>
      </c>
      <c r="R341" s="8">
        <v>141826</v>
      </c>
      <c r="S341" s="8">
        <f t="shared" si="173"/>
        <v>4659</v>
      </c>
      <c r="T341" s="8">
        <v>-57990</v>
      </c>
      <c r="U341" s="8">
        <f t="shared" si="174"/>
        <v>-20169</v>
      </c>
      <c r="W341" s="8">
        <v>270198</v>
      </c>
      <c r="X341" s="8">
        <f t="shared" si="175"/>
        <v>9624</v>
      </c>
      <c r="Y341" s="8">
        <v>53830</v>
      </c>
      <c r="Z341" s="8">
        <f t="shared" si="176"/>
        <v>6776</v>
      </c>
      <c r="AA341" s="8">
        <v>15873</v>
      </c>
      <c r="AB341" s="8">
        <f t="shared" si="163"/>
        <v>-3579</v>
      </c>
      <c r="AC341" s="8">
        <v>37957</v>
      </c>
      <c r="AD341" s="8">
        <f t="shared" si="163"/>
        <v>10355</v>
      </c>
      <c r="AE341" s="8">
        <v>102621</v>
      </c>
      <c r="AF341" s="8">
        <f t="shared" si="177"/>
        <v>1809</v>
      </c>
      <c r="AG341" s="8">
        <v>169086</v>
      </c>
      <c r="AH341" s="8">
        <f t="shared" si="178"/>
        <v>14428</v>
      </c>
      <c r="AI341" s="8">
        <v>-66465</v>
      </c>
      <c r="AJ341" s="8">
        <f t="shared" si="179"/>
        <v>-12619</v>
      </c>
      <c r="AK341" s="8">
        <v>76919</v>
      </c>
      <c r="AL341" s="8">
        <f t="shared" si="180"/>
        <v>2967</v>
      </c>
      <c r="AM341" s="8">
        <v>158586</v>
      </c>
      <c r="AN341" s="8">
        <f t="shared" si="181"/>
        <v>13935</v>
      </c>
      <c r="AO341" s="8">
        <v>-81667</v>
      </c>
      <c r="AP341" s="8">
        <f t="shared" si="182"/>
        <v>-10968</v>
      </c>
      <c r="AR341" s="8">
        <v>1550240</v>
      </c>
      <c r="AS341" s="8">
        <f t="shared" si="183"/>
        <v>18824</v>
      </c>
      <c r="AT341" s="8">
        <v>278548</v>
      </c>
      <c r="AU341" s="8">
        <f t="shared" si="184"/>
        <v>-37399</v>
      </c>
      <c r="AV341" s="8">
        <v>53010</v>
      </c>
      <c r="AW341" s="8">
        <f t="shared" si="185"/>
        <v>16073</v>
      </c>
      <c r="AX341" s="8">
        <f t="shared" si="160"/>
        <v>225538</v>
      </c>
      <c r="AY341" s="8">
        <f t="shared" si="186"/>
        <v>-53472</v>
      </c>
      <c r="AZ341" s="8">
        <v>627007</v>
      </c>
      <c r="BA341" s="8">
        <f t="shared" si="187"/>
        <v>28776</v>
      </c>
      <c r="BB341" s="8">
        <v>826754</v>
      </c>
      <c r="BC341" s="8">
        <f t="shared" si="188"/>
        <v>-18052</v>
      </c>
      <c r="BD341" s="8">
        <f t="shared" si="161"/>
        <v>-199747</v>
      </c>
      <c r="BE341" s="8">
        <f t="shared" si="189"/>
        <v>46828</v>
      </c>
      <c r="BF341" s="8">
        <v>318771</v>
      </c>
      <c r="BG341" s="8">
        <f t="shared" si="190"/>
        <v>24523</v>
      </c>
      <c r="BH341" s="8">
        <v>723470</v>
      </c>
      <c r="BI341" s="8">
        <f t="shared" si="191"/>
        <v>-21031</v>
      </c>
      <c r="BJ341" s="8">
        <f t="shared" si="162"/>
        <v>-404699</v>
      </c>
      <c r="BK341" s="8">
        <f t="shared" si="164"/>
        <v>45554</v>
      </c>
    </row>
    <row r="342" spans="1:63">
      <c r="A342" s="5">
        <v>41261</v>
      </c>
      <c r="B342" s="8">
        <v>368699</v>
      </c>
      <c r="C342" s="8">
        <f t="shared" si="165"/>
        <v>8318</v>
      </c>
      <c r="D342" s="8">
        <v>44402</v>
      </c>
      <c r="E342" s="8">
        <f t="shared" si="166"/>
        <v>-86</v>
      </c>
      <c r="F342" s="8">
        <v>76910</v>
      </c>
      <c r="G342" s="8">
        <f t="shared" si="167"/>
        <v>3816</v>
      </c>
      <c r="H342" s="8">
        <v>-32508</v>
      </c>
      <c r="I342" s="8">
        <f t="shared" si="168"/>
        <v>-3902</v>
      </c>
      <c r="J342" s="8">
        <v>185512</v>
      </c>
      <c r="K342" s="8">
        <f t="shared" si="169"/>
        <v>2953</v>
      </c>
      <c r="L342" s="8">
        <v>149546</v>
      </c>
      <c r="M342" s="8">
        <f t="shared" si="170"/>
        <v>2031</v>
      </c>
      <c r="N342" s="8">
        <v>35966</v>
      </c>
      <c r="O342" s="8">
        <f t="shared" si="171"/>
        <v>922</v>
      </c>
      <c r="P342" s="8">
        <v>89937</v>
      </c>
      <c r="Q342" s="8">
        <f t="shared" si="172"/>
        <v>6101</v>
      </c>
      <c r="R342" s="8">
        <v>142830</v>
      </c>
      <c r="S342" s="8">
        <f t="shared" si="173"/>
        <v>1004</v>
      </c>
      <c r="T342" s="8">
        <v>-52893</v>
      </c>
      <c r="U342" s="8">
        <f t="shared" si="174"/>
        <v>5097</v>
      </c>
      <c r="W342" s="8">
        <v>285846</v>
      </c>
      <c r="X342" s="8">
        <f t="shared" si="175"/>
        <v>15648</v>
      </c>
      <c r="Y342" s="8">
        <v>59457</v>
      </c>
      <c r="Z342" s="8">
        <f t="shared" si="176"/>
        <v>5627</v>
      </c>
      <c r="AA342" s="8">
        <v>13879</v>
      </c>
      <c r="AB342" s="8">
        <f t="shared" si="163"/>
        <v>-1994</v>
      </c>
      <c r="AC342" s="8">
        <v>45578</v>
      </c>
      <c r="AD342" s="8">
        <f t="shared" si="163"/>
        <v>7621</v>
      </c>
      <c r="AE342" s="8">
        <v>105796</v>
      </c>
      <c r="AF342" s="8">
        <f t="shared" si="177"/>
        <v>3175</v>
      </c>
      <c r="AG342" s="8">
        <v>180562</v>
      </c>
      <c r="AH342" s="8">
        <f t="shared" si="178"/>
        <v>11476</v>
      </c>
      <c r="AI342" s="8">
        <v>-74766</v>
      </c>
      <c r="AJ342" s="8">
        <f t="shared" si="179"/>
        <v>-8301</v>
      </c>
      <c r="AK342" s="8">
        <v>79082</v>
      </c>
      <c r="AL342" s="8">
        <f t="shared" si="180"/>
        <v>2163</v>
      </c>
      <c r="AM342" s="8">
        <v>168765</v>
      </c>
      <c r="AN342" s="8">
        <f t="shared" si="181"/>
        <v>10179</v>
      </c>
      <c r="AO342" s="8">
        <v>-89683</v>
      </c>
      <c r="AP342" s="8">
        <f t="shared" si="182"/>
        <v>-8016</v>
      </c>
      <c r="AR342" s="8">
        <v>1533350</v>
      </c>
      <c r="AS342" s="8">
        <f t="shared" si="183"/>
        <v>-16890</v>
      </c>
      <c r="AT342" s="8">
        <v>248593</v>
      </c>
      <c r="AU342" s="8">
        <f t="shared" si="184"/>
        <v>-29955</v>
      </c>
      <c r="AV342" s="8">
        <v>72962</v>
      </c>
      <c r="AW342" s="8">
        <f t="shared" si="185"/>
        <v>19952</v>
      </c>
      <c r="AX342" s="8">
        <f t="shared" si="160"/>
        <v>175631</v>
      </c>
      <c r="AY342" s="8">
        <f t="shared" si="186"/>
        <v>-49907</v>
      </c>
      <c r="AZ342" s="8">
        <v>626223</v>
      </c>
      <c r="BA342" s="8">
        <f t="shared" si="187"/>
        <v>-784</v>
      </c>
      <c r="BB342" s="8">
        <v>778194</v>
      </c>
      <c r="BC342" s="8">
        <f t="shared" si="188"/>
        <v>-48560</v>
      </c>
      <c r="BD342" s="8">
        <f t="shared" si="161"/>
        <v>-151971</v>
      </c>
      <c r="BE342" s="8">
        <f t="shared" si="189"/>
        <v>47776</v>
      </c>
      <c r="BF342" s="8">
        <v>314777</v>
      </c>
      <c r="BG342" s="8">
        <f t="shared" si="190"/>
        <v>-3994</v>
      </c>
      <c r="BH342" s="8">
        <v>684358</v>
      </c>
      <c r="BI342" s="8">
        <f t="shared" si="191"/>
        <v>-39112</v>
      </c>
      <c r="BJ342" s="8">
        <f t="shared" si="162"/>
        <v>-369581</v>
      </c>
      <c r="BK342" s="8">
        <f t="shared" si="164"/>
        <v>35118</v>
      </c>
    </row>
    <row r="343" spans="1:63">
      <c r="A343" s="5">
        <v>41268</v>
      </c>
      <c r="B343" s="8">
        <v>353164</v>
      </c>
      <c r="C343" s="8">
        <f t="shared" si="165"/>
        <v>-15535</v>
      </c>
      <c r="D343" s="8">
        <v>42581</v>
      </c>
      <c r="E343" s="8">
        <f t="shared" si="166"/>
        <v>-1821</v>
      </c>
      <c r="F343" s="8">
        <v>85005</v>
      </c>
      <c r="G343" s="8">
        <f t="shared" si="167"/>
        <v>8095</v>
      </c>
      <c r="H343" s="8">
        <v>-42424</v>
      </c>
      <c r="I343" s="8">
        <f t="shared" si="168"/>
        <v>-9916</v>
      </c>
      <c r="J343" s="8">
        <v>182068</v>
      </c>
      <c r="K343" s="8">
        <f t="shared" si="169"/>
        <v>-3444</v>
      </c>
      <c r="L343" s="8">
        <v>141191</v>
      </c>
      <c r="M343" s="8">
        <f t="shared" si="170"/>
        <v>-8355</v>
      </c>
      <c r="N343" s="8">
        <v>40877</v>
      </c>
      <c r="O343" s="8">
        <f t="shared" si="171"/>
        <v>4911</v>
      </c>
      <c r="P343" s="8">
        <v>87064</v>
      </c>
      <c r="Q343" s="8">
        <f t="shared" si="172"/>
        <v>-2873</v>
      </c>
      <c r="R343" s="8">
        <v>134525</v>
      </c>
      <c r="S343" s="8">
        <f t="shared" si="173"/>
        <v>-8305</v>
      </c>
      <c r="T343" s="8">
        <v>-47461</v>
      </c>
      <c r="U343" s="8">
        <f t="shared" si="174"/>
        <v>5432</v>
      </c>
      <c r="W343" s="8">
        <v>257334</v>
      </c>
      <c r="X343" s="8">
        <f t="shared" si="175"/>
        <v>-28512</v>
      </c>
      <c r="Y343" s="8">
        <v>54064</v>
      </c>
      <c r="Z343" s="8">
        <f t="shared" si="176"/>
        <v>-5393</v>
      </c>
      <c r="AA343" s="8">
        <v>12575</v>
      </c>
      <c r="AB343" s="8">
        <f t="shared" si="163"/>
        <v>-1304</v>
      </c>
      <c r="AC343" s="8">
        <v>41489</v>
      </c>
      <c r="AD343" s="8">
        <f t="shared" si="163"/>
        <v>-4089</v>
      </c>
      <c r="AE343" s="8">
        <v>99019</v>
      </c>
      <c r="AF343" s="8">
        <f t="shared" si="177"/>
        <v>-6777</v>
      </c>
      <c r="AG343" s="8">
        <v>166964</v>
      </c>
      <c r="AH343" s="8">
        <f t="shared" si="178"/>
        <v>-13598</v>
      </c>
      <c r="AI343" s="8">
        <v>-67945</v>
      </c>
      <c r="AJ343" s="8">
        <f t="shared" si="179"/>
        <v>6821</v>
      </c>
      <c r="AK343" s="8">
        <v>72307</v>
      </c>
      <c r="AL343" s="8">
        <f t="shared" si="180"/>
        <v>-6775</v>
      </c>
      <c r="AM343" s="8">
        <v>155544</v>
      </c>
      <c r="AN343" s="8">
        <f t="shared" si="181"/>
        <v>-13221</v>
      </c>
      <c r="AO343" s="8">
        <v>-83237</v>
      </c>
      <c r="AP343" s="8">
        <f t="shared" si="182"/>
        <v>6446</v>
      </c>
      <c r="AR343" s="8">
        <v>1519198</v>
      </c>
      <c r="AS343" s="8">
        <f t="shared" si="183"/>
        <v>-14152</v>
      </c>
      <c r="AT343" s="8">
        <v>227394</v>
      </c>
      <c r="AU343" s="8">
        <f t="shared" si="184"/>
        <v>-21199</v>
      </c>
      <c r="AV343" s="8">
        <v>87285</v>
      </c>
      <c r="AW343" s="8">
        <f t="shared" si="185"/>
        <v>14323</v>
      </c>
      <c r="AX343" s="8">
        <f t="shared" si="160"/>
        <v>140109</v>
      </c>
      <c r="AY343" s="8">
        <f t="shared" si="186"/>
        <v>-35522</v>
      </c>
      <c r="AZ343" s="8">
        <v>637952</v>
      </c>
      <c r="BA343" s="8">
        <f t="shared" si="187"/>
        <v>11729</v>
      </c>
      <c r="BB343" s="8">
        <v>742525</v>
      </c>
      <c r="BC343" s="8">
        <f t="shared" si="188"/>
        <v>-35669</v>
      </c>
      <c r="BD343" s="8">
        <f t="shared" si="161"/>
        <v>-104573</v>
      </c>
      <c r="BE343" s="8">
        <f t="shared" si="189"/>
        <v>47398</v>
      </c>
      <c r="BF343" s="8">
        <v>329713</v>
      </c>
      <c r="BG343" s="8">
        <f t="shared" si="190"/>
        <v>14936</v>
      </c>
      <c r="BH343" s="8">
        <v>654975</v>
      </c>
      <c r="BI343" s="8">
        <f t="shared" si="191"/>
        <v>-29383</v>
      </c>
      <c r="BJ343" s="8">
        <f t="shared" si="162"/>
        <v>-325262</v>
      </c>
      <c r="BK343" s="8">
        <f t="shared" si="164"/>
        <v>44319</v>
      </c>
    </row>
    <row r="344" spans="1:63">
      <c r="A344" s="5">
        <v>41275</v>
      </c>
      <c r="B344" s="8">
        <v>344337</v>
      </c>
      <c r="C344" s="8">
        <f t="shared" si="165"/>
        <v>-8827</v>
      </c>
      <c r="D344" s="8">
        <v>41804</v>
      </c>
      <c r="E344" s="8">
        <f t="shared" si="166"/>
        <v>-777</v>
      </c>
      <c r="F344" s="8">
        <v>83404</v>
      </c>
      <c r="G344" s="8">
        <f t="shared" si="167"/>
        <v>-1601</v>
      </c>
      <c r="H344" s="8">
        <v>-41600</v>
      </c>
      <c r="I344" s="8">
        <f t="shared" si="168"/>
        <v>824</v>
      </c>
      <c r="J344" s="8">
        <v>175861</v>
      </c>
      <c r="K344" s="8">
        <f t="shared" si="169"/>
        <v>-6207</v>
      </c>
      <c r="L344" s="8">
        <v>138375</v>
      </c>
      <c r="M344" s="8">
        <f t="shared" si="170"/>
        <v>-2816</v>
      </c>
      <c r="N344" s="8">
        <v>37486</v>
      </c>
      <c r="O344" s="8">
        <f t="shared" si="171"/>
        <v>-3391</v>
      </c>
      <c r="P344" s="8">
        <v>80570</v>
      </c>
      <c r="Q344" s="8">
        <f t="shared" si="172"/>
        <v>-6494</v>
      </c>
      <c r="R344" s="8">
        <v>132418</v>
      </c>
      <c r="S344" s="8">
        <f t="shared" si="173"/>
        <v>-2107</v>
      </c>
      <c r="T344" s="8">
        <v>-51848</v>
      </c>
      <c r="U344" s="8">
        <f t="shared" si="174"/>
        <v>-4387</v>
      </c>
      <c r="W344" s="8">
        <v>253318</v>
      </c>
      <c r="X344" s="8">
        <f t="shared" si="175"/>
        <v>-4016</v>
      </c>
      <c r="Y344" s="8">
        <v>52764</v>
      </c>
      <c r="Z344" s="8">
        <f t="shared" si="176"/>
        <v>-1300</v>
      </c>
      <c r="AA344" s="8">
        <v>14429</v>
      </c>
      <c r="AB344" s="8">
        <f t="shared" si="163"/>
        <v>1854</v>
      </c>
      <c r="AC344" s="8">
        <v>38335</v>
      </c>
      <c r="AD344" s="8">
        <f t="shared" si="163"/>
        <v>-3154</v>
      </c>
      <c r="AE344" s="8">
        <v>97634</v>
      </c>
      <c r="AF344" s="8">
        <f t="shared" si="177"/>
        <v>-1385</v>
      </c>
      <c r="AG344" s="8">
        <v>156483</v>
      </c>
      <c r="AH344" s="8">
        <f t="shared" si="178"/>
        <v>-10481</v>
      </c>
      <c r="AI344" s="8">
        <v>-58849</v>
      </c>
      <c r="AJ344" s="8">
        <f t="shared" si="179"/>
        <v>9096</v>
      </c>
      <c r="AK344" s="8">
        <v>67047</v>
      </c>
      <c r="AL344" s="8">
        <f t="shared" si="180"/>
        <v>-5260</v>
      </c>
      <c r="AM344" s="8">
        <v>142596</v>
      </c>
      <c r="AN344" s="8">
        <f t="shared" si="181"/>
        <v>-12948</v>
      </c>
      <c r="AO344" s="8">
        <v>-75549</v>
      </c>
      <c r="AP344" s="8">
        <f t="shared" si="182"/>
        <v>7688</v>
      </c>
      <c r="AR344" s="8">
        <v>1528736</v>
      </c>
      <c r="AS344" s="8">
        <f t="shared" si="183"/>
        <v>9538</v>
      </c>
      <c r="AT344" s="8">
        <v>220975</v>
      </c>
      <c r="AU344" s="8">
        <f t="shared" si="184"/>
        <v>-6419</v>
      </c>
      <c r="AV344" s="8">
        <v>85069</v>
      </c>
      <c r="AW344" s="8">
        <f t="shared" si="185"/>
        <v>-2216</v>
      </c>
      <c r="AX344" s="8">
        <f t="shared" si="160"/>
        <v>135906</v>
      </c>
      <c r="AY344" s="8">
        <f t="shared" si="186"/>
        <v>-4203</v>
      </c>
      <c r="AZ344" s="8">
        <v>636083</v>
      </c>
      <c r="BA344" s="8">
        <f t="shared" si="187"/>
        <v>-1869</v>
      </c>
      <c r="BB344" s="8">
        <v>740038</v>
      </c>
      <c r="BC344" s="8">
        <f t="shared" si="188"/>
        <v>-2487</v>
      </c>
      <c r="BD344" s="8">
        <f t="shared" si="161"/>
        <v>-103955</v>
      </c>
      <c r="BE344" s="8">
        <f t="shared" si="189"/>
        <v>618</v>
      </c>
      <c r="BF344" s="8">
        <v>325084</v>
      </c>
      <c r="BG344" s="8">
        <f t="shared" si="190"/>
        <v>-4629</v>
      </c>
      <c r="BH344" s="8">
        <v>649817</v>
      </c>
      <c r="BI344" s="8">
        <f t="shared" si="191"/>
        <v>-5158</v>
      </c>
      <c r="BJ344" s="8">
        <f t="shared" si="162"/>
        <v>-324733</v>
      </c>
      <c r="BK344" s="8">
        <f t="shared" si="164"/>
        <v>529</v>
      </c>
    </row>
    <row r="345" spans="1:63">
      <c r="A345" s="5">
        <v>41282</v>
      </c>
      <c r="B345" s="8">
        <v>343794</v>
      </c>
      <c r="C345" s="8">
        <f t="shared" si="165"/>
        <v>-543</v>
      </c>
      <c r="D345" s="8">
        <v>41686</v>
      </c>
      <c r="E345" s="8">
        <f t="shared" si="166"/>
        <v>-118</v>
      </c>
      <c r="F345" s="8">
        <v>78702</v>
      </c>
      <c r="G345" s="8">
        <f t="shared" si="167"/>
        <v>-4702</v>
      </c>
      <c r="H345" s="8">
        <v>-37016</v>
      </c>
      <c r="I345" s="8">
        <f t="shared" si="168"/>
        <v>4584</v>
      </c>
      <c r="J345" s="8">
        <v>179161</v>
      </c>
      <c r="K345" s="8">
        <f t="shared" si="169"/>
        <v>3300</v>
      </c>
      <c r="L345" s="8">
        <v>147180</v>
      </c>
      <c r="M345" s="8">
        <f t="shared" si="170"/>
        <v>8805</v>
      </c>
      <c r="N345" s="8">
        <v>31981</v>
      </c>
      <c r="O345" s="8">
        <f t="shared" si="171"/>
        <v>-5505</v>
      </c>
      <c r="P345" s="8">
        <v>89157</v>
      </c>
      <c r="Q345" s="8">
        <f t="shared" si="172"/>
        <v>8587</v>
      </c>
      <c r="R345" s="8">
        <v>140209</v>
      </c>
      <c r="S345" s="8">
        <f t="shared" si="173"/>
        <v>7791</v>
      </c>
      <c r="T345" s="8">
        <v>-51052</v>
      </c>
      <c r="U345" s="8">
        <f t="shared" si="174"/>
        <v>796</v>
      </c>
      <c r="W345" s="8">
        <v>275774</v>
      </c>
      <c r="X345" s="8">
        <f t="shared" si="175"/>
        <v>22456</v>
      </c>
      <c r="Y345" s="8">
        <v>54328</v>
      </c>
      <c r="Z345" s="8">
        <f t="shared" si="176"/>
        <v>1564</v>
      </c>
      <c r="AA345" s="8">
        <v>18140</v>
      </c>
      <c r="AB345" s="8">
        <f t="shared" si="163"/>
        <v>3711</v>
      </c>
      <c r="AC345" s="8">
        <v>36188</v>
      </c>
      <c r="AD345" s="8">
        <f t="shared" si="163"/>
        <v>-2147</v>
      </c>
      <c r="AE345" s="8">
        <v>114168</v>
      </c>
      <c r="AF345" s="8">
        <f t="shared" si="177"/>
        <v>16534</v>
      </c>
      <c r="AG345" s="8">
        <v>168353</v>
      </c>
      <c r="AH345" s="8">
        <f t="shared" si="178"/>
        <v>11870</v>
      </c>
      <c r="AI345" s="8">
        <v>-54185</v>
      </c>
      <c r="AJ345" s="8">
        <f t="shared" si="179"/>
        <v>4664</v>
      </c>
      <c r="AK345" s="8">
        <v>71292</v>
      </c>
      <c r="AL345" s="8">
        <f t="shared" si="180"/>
        <v>4245</v>
      </c>
      <c r="AM345" s="8">
        <v>154861</v>
      </c>
      <c r="AN345" s="8">
        <f t="shared" si="181"/>
        <v>12265</v>
      </c>
      <c r="AO345" s="8">
        <v>-83569</v>
      </c>
      <c r="AP345" s="8">
        <f t="shared" si="182"/>
        <v>-8020</v>
      </c>
      <c r="AR345" s="8">
        <v>1589423</v>
      </c>
      <c r="AS345" s="8">
        <f t="shared" si="183"/>
        <v>60687</v>
      </c>
      <c r="AT345" s="8">
        <v>218272</v>
      </c>
      <c r="AU345" s="8">
        <f t="shared" si="184"/>
        <v>-2703</v>
      </c>
      <c r="AV345" s="8">
        <v>103159</v>
      </c>
      <c r="AW345" s="8">
        <f t="shared" si="185"/>
        <v>18090</v>
      </c>
      <c r="AX345" s="8">
        <f t="shared" si="160"/>
        <v>115113</v>
      </c>
      <c r="AY345" s="8">
        <f t="shared" si="186"/>
        <v>-20793</v>
      </c>
      <c r="AZ345" s="8">
        <v>653381</v>
      </c>
      <c r="BA345" s="8">
        <f t="shared" si="187"/>
        <v>17298</v>
      </c>
      <c r="BB345" s="8">
        <v>746414</v>
      </c>
      <c r="BC345" s="8">
        <f t="shared" si="188"/>
        <v>6376</v>
      </c>
      <c r="BD345" s="8">
        <f t="shared" si="161"/>
        <v>-93033</v>
      </c>
      <c r="BE345" s="8">
        <f t="shared" si="189"/>
        <v>10922</v>
      </c>
      <c r="BF345" s="8">
        <v>344338</v>
      </c>
      <c r="BG345" s="8">
        <f t="shared" si="190"/>
        <v>19254</v>
      </c>
      <c r="BH345" s="8">
        <v>653940</v>
      </c>
      <c r="BI345" s="8">
        <f t="shared" si="191"/>
        <v>4123</v>
      </c>
      <c r="BJ345" s="8">
        <f t="shared" si="162"/>
        <v>-309602</v>
      </c>
      <c r="BK345" s="8">
        <f t="shared" si="164"/>
        <v>15131</v>
      </c>
    </row>
    <row r="346" spans="1:63">
      <c r="A346" s="5">
        <v>41289</v>
      </c>
      <c r="B346" s="8">
        <v>360034</v>
      </c>
      <c r="C346" s="8">
        <f t="shared" si="165"/>
        <v>16240</v>
      </c>
      <c r="D346" s="8">
        <v>41410</v>
      </c>
      <c r="E346" s="8">
        <f t="shared" si="166"/>
        <v>-276</v>
      </c>
      <c r="F346" s="8">
        <v>73905</v>
      </c>
      <c r="G346" s="8">
        <f t="shared" si="167"/>
        <v>-4797</v>
      </c>
      <c r="H346" s="8">
        <v>-32495</v>
      </c>
      <c r="I346" s="8">
        <f t="shared" si="168"/>
        <v>4521</v>
      </c>
      <c r="J346" s="8">
        <v>182597</v>
      </c>
      <c r="K346" s="8">
        <f t="shared" si="169"/>
        <v>3436</v>
      </c>
      <c r="L346" s="8">
        <v>158184</v>
      </c>
      <c r="M346" s="8">
        <f t="shared" si="170"/>
        <v>11004</v>
      </c>
      <c r="N346" s="8">
        <v>24413</v>
      </c>
      <c r="O346" s="8">
        <f t="shared" si="171"/>
        <v>-7568</v>
      </c>
      <c r="P346" s="8">
        <v>86658</v>
      </c>
      <c r="Q346" s="8">
        <f t="shared" si="172"/>
        <v>-2499</v>
      </c>
      <c r="R346" s="8">
        <v>150314</v>
      </c>
      <c r="S346" s="8">
        <f t="shared" si="173"/>
        <v>10105</v>
      </c>
      <c r="T346" s="8">
        <v>-63656</v>
      </c>
      <c r="U346" s="8">
        <f t="shared" si="174"/>
        <v>-12604</v>
      </c>
      <c r="W346" s="8">
        <v>289903</v>
      </c>
      <c r="X346" s="8">
        <f t="shared" si="175"/>
        <v>14129</v>
      </c>
      <c r="Y346" s="8">
        <v>53417</v>
      </c>
      <c r="Z346" s="8">
        <f t="shared" si="176"/>
        <v>-911</v>
      </c>
      <c r="AA346" s="8">
        <v>26843</v>
      </c>
      <c r="AB346" s="8">
        <f t="shared" si="163"/>
        <v>8703</v>
      </c>
      <c r="AC346" s="8">
        <v>26574</v>
      </c>
      <c r="AD346" s="8">
        <f t="shared" si="163"/>
        <v>-9614</v>
      </c>
      <c r="AE346" s="8">
        <v>129064</v>
      </c>
      <c r="AF346" s="8">
        <f t="shared" si="177"/>
        <v>14896</v>
      </c>
      <c r="AG346" s="8">
        <v>174880</v>
      </c>
      <c r="AH346" s="8">
        <f t="shared" si="178"/>
        <v>6527</v>
      </c>
      <c r="AI346" s="8">
        <v>-45816</v>
      </c>
      <c r="AJ346" s="8">
        <f t="shared" si="179"/>
        <v>8369</v>
      </c>
      <c r="AK346" s="8">
        <v>64675</v>
      </c>
      <c r="AL346" s="8">
        <f t="shared" si="180"/>
        <v>-6617</v>
      </c>
      <c r="AM346" s="8">
        <v>163641</v>
      </c>
      <c r="AN346" s="8">
        <f t="shared" si="181"/>
        <v>8780</v>
      </c>
      <c r="AO346" s="8">
        <v>-98966</v>
      </c>
      <c r="AP346" s="8">
        <f t="shared" si="182"/>
        <v>-15397</v>
      </c>
      <c r="AR346" s="8">
        <v>1658310</v>
      </c>
      <c r="AS346" s="8">
        <f t="shared" si="183"/>
        <v>68887</v>
      </c>
      <c r="AT346" s="8">
        <v>242992</v>
      </c>
      <c r="AU346" s="8">
        <f t="shared" si="184"/>
        <v>24720</v>
      </c>
      <c r="AV346" s="8">
        <v>101143</v>
      </c>
      <c r="AW346" s="8">
        <f t="shared" si="185"/>
        <v>-2016</v>
      </c>
      <c r="AX346" s="8">
        <f t="shared" si="160"/>
        <v>141849</v>
      </c>
      <c r="AY346" s="8">
        <f t="shared" si="186"/>
        <v>26736</v>
      </c>
      <c r="AZ346" s="8">
        <v>655538</v>
      </c>
      <c r="BA346" s="8">
        <f t="shared" si="187"/>
        <v>2157</v>
      </c>
      <c r="BB346" s="8">
        <v>774628</v>
      </c>
      <c r="BC346" s="8">
        <f t="shared" si="188"/>
        <v>28214</v>
      </c>
      <c r="BD346" s="8">
        <f t="shared" si="161"/>
        <v>-119090</v>
      </c>
      <c r="BE346" s="8">
        <f t="shared" si="189"/>
        <v>-26057</v>
      </c>
      <c r="BF346" s="8">
        <v>330249</v>
      </c>
      <c r="BG346" s="8">
        <f t="shared" si="190"/>
        <v>-14089</v>
      </c>
      <c r="BH346" s="8">
        <v>680852</v>
      </c>
      <c r="BI346" s="8">
        <f t="shared" si="191"/>
        <v>26912</v>
      </c>
      <c r="BJ346" s="8">
        <f t="shared" si="162"/>
        <v>-350603</v>
      </c>
      <c r="BK346" s="8">
        <f t="shared" si="164"/>
        <v>-41001</v>
      </c>
    </row>
    <row r="347" spans="1:63">
      <c r="A347" s="5">
        <v>41296</v>
      </c>
      <c r="B347" s="8">
        <v>361600</v>
      </c>
      <c r="C347" s="8">
        <f t="shared" si="165"/>
        <v>1566</v>
      </c>
      <c r="D347" s="8">
        <v>51194</v>
      </c>
      <c r="E347" s="8">
        <f t="shared" si="166"/>
        <v>9784</v>
      </c>
      <c r="F347" s="8">
        <v>61190</v>
      </c>
      <c r="G347" s="8">
        <f t="shared" si="167"/>
        <v>-12715</v>
      </c>
      <c r="H347" s="8">
        <v>-9996</v>
      </c>
      <c r="I347" s="8">
        <f t="shared" si="168"/>
        <v>22499</v>
      </c>
      <c r="J347" s="8">
        <v>174577</v>
      </c>
      <c r="K347" s="8">
        <f t="shared" si="169"/>
        <v>-8020</v>
      </c>
      <c r="L347" s="8">
        <v>167776</v>
      </c>
      <c r="M347" s="8">
        <f t="shared" si="170"/>
        <v>9592</v>
      </c>
      <c r="N347" s="8">
        <v>6801</v>
      </c>
      <c r="O347" s="8">
        <f t="shared" si="171"/>
        <v>-17612</v>
      </c>
      <c r="P347" s="8">
        <v>77201</v>
      </c>
      <c r="Q347" s="8">
        <f t="shared" si="172"/>
        <v>-9457</v>
      </c>
      <c r="R347" s="8">
        <v>159095</v>
      </c>
      <c r="S347" s="8">
        <f t="shared" si="173"/>
        <v>8781</v>
      </c>
      <c r="T347" s="8">
        <v>-81894</v>
      </c>
      <c r="U347" s="8">
        <f t="shared" si="174"/>
        <v>-18238</v>
      </c>
      <c r="W347" s="8">
        <v>305333</v>
      </c>
      <c r="X347" s="8">
        <f t="shared" si="175"/>
        <v>15430</v>
      </c>
      <c r="Y347" s="8">
        <v>57523</v>
      </c>
      <c r="Z347" s="8">
        <f t="shared" si="176"/>
        <v>4106</v>
      </c>
      <c r="AA347" s="8">
        <v>21165</v>
      </c>
      <c r="AB347" s="8">
        <f t="shared" si="163"/>
        <v>-5678</v>
      </c>
      <c r="AC347" s="8">
        <v>36358</v>
      </c>
      <c r="AD347" s="8">
        <f t="shared" si="163"/>
        <v>9784</v>
      </c>
      <c r="AE347" s="8">
        <v>131512</v>
      </c>
      <c r="AF347" s="8">
        <f t="shared" si="177"/>
        <v>2448</v>
      </c>
      <c r="AG347" s="8">
        <v>186486</v>
      </c>
      <c r="AH347" s="8">
        <f t="shared" si="178"/>
        <v>11606</v>
      </c>
      <c r="AI347" s="8">
        <v>-54974</v>
      </c>
      <c r="AJ347" s="8">
        <f t="shared" si="179"/>
        <v>-9158</v>
      </c>
      <c r="AK347" s="8">
        <v>64775</v>
      </c>
      <c r="AL347" s="8">
        <f t="shared" si="180"/>
        <v>100</v>
      </c>
      <c r="AM347" s="8">
        <v>170800</v>
      </c>
      <c r="AN347" s="8">
        <f t="shared" si="181"/>
        <v>7159</v>
      </c>
      <c r="AO347" s="8">
        <v>-106025</v>
      </c>
      <c r="AP347" s="8">
        <f t="shared" si="182"/>
        <v>-7059</v>
      </c>
      <c r="AR347" s="8">
        <v>1653458</v>
      </c>
      <c r="AS347" s="8">
        <f t="shared" si="183"/>
        <v>-4852</v>
      </c>
      <c r="AT347" s="8">
        <v>248762</v>
      </c>
      <c r="AU347" s="8">
        <f t="shared" si="184"/>
        <v>5770</v>
      </c>
      <c r="AV347" s="8">
        <v>97255</v>
      </c>
      <c r="AW347" s="8">
        <f t="shared" si="185"/>
        <v>-3888</v>
      </c>
      <c r="AX347" s="8">
        <f t="shared" si="160"/>
        <v>151507</v>
      </c>
      <c r="AY347" s="8">
        <f t="shared" si="186"/>
        <v>9658</v>
      </c>
      <c r="AZ347" s="8">
        <v>650658</v>
      </c>
      <c r="BA347" s="8">
        <f t="shared" si="187"/>
        <v>-4880</v>
      </c>
      <c r="BB347" s="8">
        <v>775315</v>
      </c>
      <c r="BC347" s="8">
        <f t="shared" si="188"/>
        <v>687</v>
      </c>
      <c r="BD347" s="8">
        <f t="shared" si="161"/>
        <v>-124657</v>
      </c>
      <c r="BE347" s="8">
        <f t="shared" si="189"/>
        <v>-5567</v>
      </c>
      <c r="BF347" s="8">
        <v>321253</v>
      </c>
      <c r="BG347" s="8">
        <f t="shared" si="190"/>
        <v>-8996</v>
      </c>
      <c r="BH347" s="8">
        <v>684289</v>
      </c>
      <c r="BI347" s="8">
        <f t="shared" si="191"/>
        <v>3437</v>
      </c>
      <c r="BJ347" s="8">
        <f t="shared" si="162"/>
        <v>-363036</v>
      </c>
      <c r="BK347" s="8">
        <f t="shared" si="164"/>
        <v>-12433</v>
      </c>
    </row>
    <row r="348" spans="1:63">
      <c r="A348" s="5">
        <v>41303</v>
      </c>
      <c r="B348" s="8">
        <v>361369</v>
      </c>
      <c r="C348" s="8">
        <f t="shared" si="165"/>
        <v>-231</v>
      </c>
      <c r="D348" s="8">
        <v>55396</v>
      </c>
      <c r="E348" s="8">
        <f t="shared" si="166"/>
        <v>4202</v>
      </c>
      <c r="F348" s="8">
        <v>58110</v>
      </c>
      <c r="G348" s="8">
        <f t="shared" si="167"/>
        <v>-3080</v>
      </c>
      <c r="H348" s="8">
        <v>-2714</v>
      </c>
      <c r="I348" s="8">
        <f t="shared" si="168"/>
        <v>7282</v>
      </c>
      <c r="J348" s="8">
        <v>174951</v>
      </c>
      <c r="K348" s="8">
        <f t="shared" si="169"/>
        <v>374</v>
      </c>
      <c r="L348" s="8">
        <v>173941</v>
      </c>
      <c r="M348" s="8">
        <f t="shared" si="170"/>
        <v>6165</v>
      </c>
      <c r="N348" s="8">
        <v>1010</v>
      </c>
      <c r="O348" s="8">
        <f t="shared" si="171"/>
        <v>-5791</v>
      </c>
      <c r="P348" s="8">
        <v>79466</v>
      </c>
      <c r="Q348" s="8">
        <f t="shared" si="172"/>
        <v>2265</v>
      </c>
      <c r="R348" s="8">
        <v>162894</v>
      </c>
      <c r="S348" s="8">
        <f t="shared" si="173"/>
        <v>3799</v>
      </c>
      <c r="T348" s="8">
        <v>-83428</v>
      </c>
      <c r="U348" s="8">
        <f t="shared" si="174"/>
        <v>-1534</v>
      </c>
      <c r="W348" s="8">
        <v>323734</v>
      </c>
      <c r="X348" s="8">
        <f t="shared" si="175"/>
        <v>18401</v>
      </c>
      <c r="Y348" s="8">
        <v>58796</v>
      </c>
      <c r="Z348" s="8">
        <f t="shared" si="176"/>
        <v>1273</v>
      </c>
      <c r="AA348" s="8">
        <v>22844</v>
      </c>
      <c r="AB348" s="8">
        <f t="shared" si="163"/>
        <v>1679</v>
      </c>
      <c r="AC348" s="8">
        <v>35952</v>
      </c>
      <c r="AD348" s="8">
        <f t="shared" si="163"/>
        <v>-406</v>
      </c>
      <c r="AE348" s="8">
        <v>139306</v>
      </c>
      <c r="AF348" s="8">
        <f t="shared" si="177"/>
        <v>7794</v>
      </c>
      <c r="AG348" s="8">
        <v>194708</v>
      </c>
      <c r="AH348" s="8">
        <f t="shared" si="178"/>
        <v>8222</v>
      </c>
      <c r="AI348" s="8">
        <v>-55402</v>
      </c>
      <c r="AJ348" s="8">
        <f t="shared" si="179"/>
        <v>-428</v>
      </c>
      <c r="AK348" s="8">
        <v>68070</v>
      </c>
      <c r="AL348" s="8">
        <f t="shared" si="180"/>
        <v>3295</v>
      </c>
      <c r="AM348" s="8">
        <v>177136</v>
      </c>
      <c r="AN348" s="8">
        <f t="shared" si="181"/>
        <v>6336</v>
      </c>
      <c r="AO348" s="8">
        <v>-109066</v>
      </c>
      <c r="AP348" s="8">
        <f t="shared" si="182"/>
        <v>-3041</v>
      </c>
      <c r="AR348" s="8">
        <v>1638105</v>
      </c>
      <c r="AS348" s="8">
        <f t="shared" si="183"/>
        <v>-15353</v>
      </c>
      <c r="AT348" s="8">
        <v>260641</v>
      </c>
      <c r="AU348" s="8">
        <f t="shared" si="184"/>
        <v>11879</v>
      </c>
      <c r="AV348" s="8">
        <v>96207</v>
      </c>
      <c r="AW348" s="8">
        <f t="shared" si="185"/>
        <v>-1048</v>
      </c>
      <c r="AX348" s="8">
        <f t="shared" si="160"/>
        <v>164434</v>
      </c>
      <c r="AY348" s="8">
        <f t="shared" si="186"/>
        <v>12927</v>
      </c>
      <c r="AZ348" s="8">
        <v>650406</v>
      </c>
      <c r="BA348" s="8">
        <f t="shared" si="187"/>
        <v>-252</v>
      </c>
      <c r="BB348" s="8">
        <v>774509</v>
      </c>
      <c r="BC348" s="8">
        <f t="shared" si="188"/>
        <v>-806</v>
      </c>
      <c r="BD348" s="8">
        <f t="shared" si="161"/>
        <v>-124103</v>
      </c>
      <c r="BE348" s="8">
        <f t="shared" si="189"/>
        <v>554</v>
      </c>
      <c r="BF348" s="8">
        <v>323375</v>
      </c>
      <c r="BG348" s="8">
        <f t="shared" si="190"/>
        <v>2122</v>
      </c>
      <c r="BH348" s="8">
        <v>684756</v>
      </c>
      <c r="BI348" s="8">
        <f t="shared" si="191"/>
        <v>467</v>
      </c>
      <c r="BJ348" s="8">
        <f t="shared" si="162"/>
        <v>-361381</v>
      </c>
      <c r="BK348" s="8">
        <f t="shared" si="164"/>
        <v>1655</v>
      </c>
    </row>
    <row r="349" spans="1:63">
      <c r="A349" s="5">
        <v>41310</v>
      </c>
      <c r="B349" s="8">
        <v>373905</v>
      </c>
      <c r="C349" s="8">
        <f t="shared" si="165"/>
        <v>12536</v>
      </c>
      <c r="D349" s="8">
        <v>61233</v>
      </c>
      <c r="E349" s="8">
        <f t="shared" si="166"/>
        <v>5837</v>
      </c>
      <c r="F349" s="8">
        <v>53814</v>
      </c>
      <c r="G349" s="8">
        <f t="shared" si="167"/>
        <v>-4296</v>
      </c>
      <c r="H349" s="8">
        <v>7419</v>
      </c>
      <c r="I349" s="8">
        <f t="shared" si="168"/>
        <v>10133</v>
      </c>
      <c r="J349" s="8">
        <v>172839</v>
      </c>
      <c r="K349" s="8">
        <f t="shared" si="169"/>
        <v>-2112</v>
      </c>
      <c r="L349" s="8">
        <v>183015</v>
      </c>
      <c r="M349" s="8">
        <f t="shared" si="170"/>
        <v>9074</v>
      </c>
      <c r="N349" s="8">
        <v>-10176</v>
      </c>
      <c r="O349" s="8">
        <f t="shared" si="171"/>
        <v>-11186</v>
      </c>
      <c r="P349" s="8">
        <v>77540</v>
      </c>
      <c r="Q349" s="8">
        <f t="shared" si="172"/>
        <v>-1926</v>
      </c>
      <c r="R349" s="8">
        <v>170188</v>
      </c>
      <c r="S349" s="8">
        <f t="shared" si="173"/>
        <v>7294</v>
      </c>
      <c r="T349" s="8">
        <v>-92648</v>
      </c>
      <c r="U349" s="8">
        <f t="shared" si="174"/>
        <v>-9220</v>
      </c>
      <c r="W349" s="8">
        <v>343842</v>
      </c>
      <c r="X349" s="8">
        <f t="shared" si="175"/>
        <v>20108</v>
      </c>
      <c r="Y349" s="8">
        <v>64226</v>
      </c>
      <c r="Z349" s="8">
        <f t="shared" si="176"/>
        <v>5430</v>
      </c>
      <c r="AA349" s="8">
        <v>18715</v>
      </c>
      <c r="AB349" s="8">
        <f t="shared" si="163"/>
        <v>-4129</v>
      </c>
      <c r="AC349" s="8">
        <v>45511</v>
      </c>
      <c r="AD349" s="8">
        <f t="shared" si="163"/>
        <v>9559</v>
      </c>
      <c r="AE349" s="8">
        <v>146670</v>
      </c>
      <c r="AF349" s="8">
        <f t="shared" si="177"/>
        <v>7364</v>
      </c>
      <c r="AG349" s="8">
        <v>211559</v>
      </c>
      <c r="AH349" s="8">
        <f t="shared" si="178"/>
        <v>16851</v>
      </c>
      <c r="AI349" s="8">
        <v>-64889</v>
      </c>
      <c r="AJ349" s="8">
        <f t="shared" si="179"/>
        <v>-9487</v>
      </c>
      <c r="AK349" s="8">
        <v>72554</v>
      </c>
      <c r="AL349" s="8">
        <f t="shared" si="180"/>
        <v>4484</v>
      </c>
      <c r="AM349" s="8">
        <v>193266</v>
      </c>
      <c r="AN349" s="8">
        <f t="shared" si="181"/>
        <v>16130</v>
      </c>
      <c r="AO349" s="8">
        <v>-120712</v>
      </c>
      <c r="AP349" s="8">
        <f t="shared" si="182"/>
        <v>-11646</v>
      </c>
      <c r="AR349" s="8">
        <v>1720772</v>
      </c>
      <c r="AS349" s="8">
        <f t="shared" si="183"/>
        <v>82667</v>
      </c>
      <c r="AT349" s="8">
        <v>285960</v>
      </c>
      <c r="AU349" s="8">
        <f t="shared" si="184"/>
        <v>25319</v>
      </c>
      <c r="AV349" s="8">
        <v>102993</v>
      </c>
      <c r="AW349" s="8">
        <f t="shared" si="185"/>
        <v>6786</v>
      </c>
      <c r="AX349" s="8">
        <f t="shared" si="160"/>
        <v>182967</v>
      </c>
      <c r="AY349" s="8">
        <f t="shared" si="186"/>
        <v>18533</v>
      </c>
      <c r="AZ349" s="8">
        <v>673963</v>
      </c>
      <c r="BA349" s="8">
        <f t="shared" si="187"/>
        <v>23557</v>
      </c>
      <c r="BB349" s="8">
        <v>812290</v>
      </c>
      <c r="BC349" s="8">
        <f t="shared" si="188"/>
        <v>37781</v>
      </c>
      <c r="BD349" s="8">
        <f t="shared" si="161"/>
        <v>-138327</v>
      </c>
      <c r="BE349" s="8">
        <f t="shared" si="189"/>
        <v>-14224</v>
      </c>
      <c r="BF349" s="8">
        <v>337303</v>
      </c>
      <c r="BG349" s="8">
        <f t="shared" si="190"/>
        <v>13928</v>
      </c>
      <c r="BH349" s="8">
        <v>718747</v>
      </c>
      <c r="BI349" s="8">
        <f t="shared" si="191"/>
        <v>33991</v>
      </c>
      <c r="BJ349" s="8">
        <f t="shared" si="162"/>
        <v>-381444</v>
      </c>
      <c r="BK349" s="8">
        <f t="shared" si="164"/>
        <v>-20063</v>
      </c>
    </row>
    <row r="350" spans="1:63">
      <c r="A350" s="5">
        <v>41317</v>
      </c>
      <c r="B350" s="8">
        <v>381490</v>
      </c>
      <c r="C350" s="8">
        <f t="shared" si="165"/>
        <v>7585</v>
      </c>
      <c r="D350" s="8">
        <v>51938</v>
      </c>
      <c r="E350" s="8">
        <f t="shared" si="166"/>
        <v>-9295</v>
      </c>
      <c r="F350" s="8">
        <v>63980</v>
      </c>
      <c r="G350" s="8">
        <f t="shared" si="167"/>
        <v>10166</v>
      </c>
      <c r="H350" s="8">
        <v>-12042</v>
      </c>
      <c r="I350" s="8">
        <f t="shared" si="168"/>
        <v>-19461</v>
      </c>
      <c r="J350" s="8">
        <v>188926</v>
      </c>
      <c r="K350" s="8">
        <f t="shared" si="169"/>
        <v>16087</v>
      </c>
      <c r="L350" s="8">
        <v>179325</v>
      </c>
      <c r="M350" s="8">
        <f t="shared" si="170"/>
        <v>-3690</v>
      </c>
      <c r="N350" s="8">
        <v>9601</v>
      </c>
      <c r="O350" s="8">
        <f t="shared" si="171"/>
        <v>19777</v>
      </c>
      <c r="P350" s="8">
        <v>92162</v>
      </c>
      <c r="Q350" s="8">
        <f t="shared" si="172"/>
        <v>14622</v>
      </c>
      <c r="R350" s="8">
        <v>166841</v>
      </c>
      <c r="S350" s="8">
        <f t="shared" si="173"/>
        <v>-3347</v>
      </c>
      <c r="T350" s="8">
        <v>-74679</v>
      </c>
      <c r="U350" s="8">
        <f t="shared" si="174"/>
        <v>17969</v>
      </c>
      <c r="W350" s="8">
        <v>338173</v>
      </c>
      <c r="X350" s="8">
        <f t="shared" si="175"/>
        <v>-5669</v>
      </c>
      <c r="Y350" s="8">
        <v>68647</v>
      </c>
      <c r="Z350" s="8">
        <f t="shared" si="176"/>
        <v>4421</v>
      </c>
      <c r="AA350" s="8">
        <v>21327</v>
      </c>
      <c r="AB350" s="8">
        <f t="shared" si="163"/>
        <v>2612</v>
      </c>
      <c r="AC350" s="8">
        <v>47320</v>
      </c>
      <c r="AD350" s="8">
        <f t="shared" si="163"/>
        <v>1809</v>
      </c>
      <c r="AE350" s="8">
        <v>144102</v>
      </c>
      <c r="AF350" s="8">
        <f t="shared" si="177"/>
        <v>-2568</v>
      </c>
      <c r="AG350" s="8">
        <v>212266</v>
      </c>
      <c r="AH350" s="8">
        <f t="shared" si="178"/>
        <v>707</v>
      </c>
      <c r="AI350" s="8">
        <v>-68164</v>
      </c>
      <c r="AJ350" s="8">
        <f t="shared" si="179"/>
        <v>-3275</v>
      </c>
      <c r="AK350" s="8">
        <v>71628</v>
      </c>
      <c r="AL350" s="8">
        <f t="shared" si="180"/>
        <v>-926</v>
      </c>
      <c r="AM350" s="8">
        <v>193384</v>
      </c>
      <c r="AN350" s="8">
        <f t="shared" si="181"/>
        <v>118</v>
      </c>
      <c r="AO350" s="8">
        <v>-121756</v>
      </c>
      <c r="AP350" s="8">
        <f t="shared" si="182"/>
        <v>-1044</v>
      </c>
      <c r="AR350" s="8">
        <v>1768034</v>
      </c>
      <c r="AS350" s="8">
        <f t="shared" si="183"/>
        <v>47262</v>
      </c>
      <c r="AT350" s="8">
        <v>244271</v>
      </c>
      <c r="AU350" s="8">
        <f t="shared" si="184"/>
        <v>-41689</v>
      </c>
      <c r="AV350" s="8">
        <v>117908</v>
      </c>
      <c r="AW350" s="8">
        <f t="shared" si="185"/>
        <v>14915</v>
      </c>
      <c r="AX350" s="8">
        <f t="shared" si="160"/>
        <v>126363</v>
      </c>
      <c r="AY350" s="8">
        <f t="shared" si="186"/>
        <v>-56604</v>
      </c>
      <c r="AZ350" s="8">
        <v>732209</v>
      </c>
      <c r="BA350" s="8">
        <f t="shared" si="187"/>
        <v>58246</v>
      </c>
      <c r="BB350" s="8">
        <v>808041</v>
      </c>
      <c r="BC350" s="8">
        <f t="shared" si="188"/>
        <v>-4249</v>
      </c>
      <c r="BD350" s="8">
        <f t="shared" si="161"/>
        <v>-75832</v>
      </c>
      <c r="BE350" s="8">
        <f t="shared" si="189"/>
        <v>62495</v>
      </c>
      <c r="BF350" s="8">
        <v>389391</v>
      </c>
      <c r="BG350" s="8">
        <f t="shared" si="190"/>
        <v>52088</v>
      </c>
      <c r="BH350" s="8">
        <v>706136</v>
      </c>
      <c r="BI350" s="8">
        <f t="shared" si="191"/>
        <v>-12611</v>
      </c>
      <c r="BJ350" s="8">
        <f t="shared" si="162"/>
        <v>-316745</v>
      </c>
      <c r="BK350" s="8">
        <f t="shared" si="164"/>
        <v>64699</v>
      </c>
    </row>
    <row r="351" spans="1:63">
      <c r="A351" s="5">
        <v>41324</v>
      </c>
      <c r="B351" s="8">
        <v>372877</v>
      </c>
      <c r="C351" s="8">
        <f t="shared" si="165"/>
        <v>-8613</v>
      </c>
      <c r="D351" s="8">
        <v>50884</v>
      </c>
      <c r="E351" s="8">
        <f t="shared" si="166"/>
        <v>-1054</v>
      </c>
      <c r="F351" s="8">
        <v>64190</v>
      </c>
      <c r="G351" s="8">
        <f t="shared" si="167"/>
        <v>210</v>
      </c>
      <c r="H351" s="8">
        <v>-13306</v>
      </c>
      <c r="I351" s="8">
        <f t="shared" si="168"/>
        <v>-1264</v>
      </c>
      <c r="J351" s="8">
        <v>180507</v>
      </c>
      <c r="K351" s="8">
        <f t="shared" si="169"/>
        <v>-8419</v>
      </c>
      <c r="L351" s="8">
        <v>178698</v>
      </c>
      <c r="M351" s="8">
        <f t="shared" si="170"/>
        <v>-627</v>
      </c>
      <c r="N351" s="8">
        <v>1809</v>
      </c>
      <c r="O351" s="8">
        <f t="shared" si="171"/>
        <v>-7792</v>
      </c>
      <c r="P351" s="8">
        <v>86257</v>
      </c>
      <c r="Q351" s="8">
        <f t="shared" si="172"/>
        <v>-5905</v>
      </c>
      <c r="R351" s="8">
        <v>165140</v>
      </c>
      <c r="S351" s="8">
        <f t="shared" si="173"/>
        <v>-1701</v>
      </c>
      <c r="T351" s="8">
        <v>-78883</v>
      </c>
      <c r="U351" s="8">
        <f t="shared" si="174"/>
        <v>-4204</v>
      </c>
      <c r="W351" s="8">
        <v>337965</v>
      </c>
      <c r="X351" s="8">
        <f t="shared" si="175"/>
        <v>-208</v>
      </c>
      <c r="Y351" s="8">
        <v>66080</v>
      </c>
      <c r="Z351" s="8">
        <f t="shared" si="176"/>
        <v>-2567</v>
      </c>
      <c r="AA351" s="8">
        <v>25101</v>
      </c>
      <c r="AB351" s="8">
        <f t="shared" si="163"/>
        <v>3774</v>
      </c>
      <c r="AC351" s="8">
        <v>40979</v>
      </c>
      <c r="AD351" s="8">
        <f t="shared" si="163"/>
        <v>-6341</v>
      </c>
      <c r="AE351" s="8">
        <v>149075</v>
      </c>
      <c r="AF351" s="8">
        <f t="shared" si="177"/>
        <v>4973</v>
      </c>
      <c r="AG351" s="8">
        <v>213971</v>
      </c>
      <c r="AH351" s="8">
        <f t="shared" si="178"/>
        <v>1705</v>
      </c>
      <c r="AI351" s="8">
        <v>-64896</v>
      </c>
      <c r="AJ351" s="8">
        <f t="shared" si="179"/>
        <v>3268</v>
      </c>
      <c r="AK351" s="8">
        <v>76340</v>
      </c>
      <c r="AL351" s="8">
        <f t="shared" si="180"/>
        <v>4712</v>
      </c>
      <c r="AM351" s="8">
        <v>195391</v>
      </c>
      <c r="AN351" s="8">
        <f t="shared" si="181"/>
        <v>2007</v>
      </c>
      <c r="AO351" s="8">
        <v>-119051</v>
      </c>
      <c r="AP351" s="8">
        <f t="shared" si="182"/>
        <v>2705</v>
      </c>
      <c r="AR351" s="8">
        <v>1798722</v>
      </c>
      <c r="AS351" s="8">
        <f t="shared" si="183"/>
        <v>30688</v>
      </c>
      <c r="AT351" s="8">
        <v>220541</v>
      </c>
      <c r="AU351" s="8">
        <f t="shared" si="184"/>
        <v>-23730</v>
      </c>
      <c r="AV351" s="8">
        <v>155238</v>
      </c>
      <c r="AW351" s="8">
        <f t="shared" si="185"/>
        <v>37330</v>
      </c>
      <c r="AX351" s="8">
        <f t="shared" si="160"/>
        <v>65303</v>
      </c>
      <c r="AY351" s="8">
        <f t="shared" si="186"/>
        <v>-61060</v>
      </c>
      <c r="AZ351" s="8">
        <v>750026</v>
      </c>
      <c r="BA351" s="8">
        <f t="shared" si="187"/>
        <v>17817</v>
      </c>
      <c r="BB351" s="8">
        <v>783715</v>
      </c>
      <c r="BC351" s="8">
        <f t="shared" si="188"/>
        <v>-24326</v>
      </c>
      <c r="BD351" s="8">
        <f t="shared" si="161"/>
        <v>-33689</v>
      </c>
      <c r="BE351" s="8">
        <f t="shared" si="189"/>
        <v>42143</v>
      </c>
      <c r="BF351" s="8">
        <v>411936</v>
      </c>
      <c r="BG351" s="8">
        <f t="shared" si="190"/>
        <v>22545</v>
      </c>
      <c r="BH351" s="8">
        <v>684543</v>
      </c>
      <c r="BI351" s="8">
        <f t="shared" si="191"/>
        <v>-21593</v>
      </c>
      <c r="BJ351" s="8">
        <f t="shared" si="162"/>
        <v>-272607</v>
      </c>
      <c r="BK351" s="8">
        <f t="shared" si="164"/>
        <v>44138</v>
      </c>
    </row>
    <row r="352" spans="1:63">
      <c r="A352" s="5">
        <v>41331</v>
      </c>
      <c r="B352" s="8">
        <v>355022</v>
      </c>
      <c r="C352" s="8">
        <f t="shared" si="165"/>
        <v>-17855</v>
      </c>
      <c r="D352" s="8">
        <v>41732</v>
      </c>
      <c r="E352" s="8">
        <f t="shared" si="166"/>
        <v>-9152</v>
      </c>
      <c r="F352" s="8">
        <v>83429</v>
      </c>
      <c r="G352" s="8">
        <f t="shared" si="167"/>
        <v>19239</v>
      </c>
      <c r="H352" s="8">
        <v>-41697</v>
      </c>
      <c r="I352" s="8">
        <f t="shared" si="168"/>
        <v>-28391</v>
      </c>
      <c r="J352" s="8">
        <v>191464</v>
      </c>
      <c r="K352" s="8">
        <f t="shared" si="169"/>
        <v>10957</v>
      </c>
      <c r="L352" s="8">
        <v>155889</v>
      </c>
      <c r="M352" s="8">
        <f t="shared" si="170"/>
        <v>-22809</v>
      </c>
      <c r="N352" s="8">
        <v>35575</v>
      </c>
      <c r="O352" s="8">
        <f t="shared" si="171"/>
        <v>33766</v>
      </c>
      <c r="P352" s="8">
        <v>106190</v>
      </c>
      <c r="Q352" s="8">
        <f t="shared" si="172"/>
        <v>19933</v>
      </c>
      <c r="R352" s="8">
        <v>147947</v>
      </c>
      <c r="S352" s="8">
        <f t="shared" si="173"/>
        <v>-17193</v>
      </c>
      <c r="T352" s="8">
        <v>-41757</v>
      </c>
      <c r="U352" s="8">
        <f t="shared" si="174"/>
        <v>37126</v>
      </c>
      <c r="W352" s="8">
        <v>316590</v>
      </c>
      <c r="X352" s="8">
        <f t="shared" si="175"/>
        <v>-21375</v>
      </c>
      <c r="Y352" s="8">
        <v>68662</v>
      </c>
      <c r="Z352" s="8">
        <f t="shared" si="176"/>
        <v>2582</v>
      </c>
      <c r="AA352" s="8">
        <v>20822</v>
      </c>
      <c r="AB352" s="8">
        <f t="shared" si="163"/>
        <v>-4279</v>
      </c>
      <c r="AC352" s="8">
        <v>47840</v>
      </c>
      <c r="AD352" s="8">
        <f t="shared" si="163"/>
        <v>6861</v>
      </c>
      <c r="AE352" s="8">
        <v>140480</v>
      </c>
      <c r="AF352" s="8">
        <f t="shared" si="177"/>
        <v>-8595</v>
      </c>
      <c r="AG352" s="8">
        <v>207107</v>
      </c>
      <c r="AH352" s="8">
        <f t="shared" si="178"/>
        <v>-6864</v>
      </c>
      <c r="AI352" s="8">
        <v>-66627</v>
      </c>
      <c r="AJ352" s="8">
        <f t="shared" si="179"/>
        <v>-1731</v>
      </c>
      <c r="AK352" s="8">
        <v>73228</v>
      </c>
      <c r="AL352" s="8">
        <f t="shared" si="180"/>
        <v>-3112</v>
      </c>
      <c r="AM352" s="8">
        <v>191818</v>
      </c>
      <c r="AN352" s="8">
        <f t="shared" si="181"/>
        <v>-3573</v>
      </c>
      <c r="AO352" s="8">
        <v>-118590</v>
      </c>
      <c r="AP352" s="8">
        <f t="shared" si="182"/>
        <v>461</v>
      </c>
      <c r="AR352" s="8">
        <v>1633637</v>
      </c>
      <c r="AS352" s="8">
        <f t="shared" si="183"/>
        <v>-165085</v>
      </c>
      <c r="AT352" s="8">
        <v>218350</v>
      </c>
      <c r="AU352" s="8">
        <f t="shared" si="184"/>
        <v>-2191</v>
      </c>
      <c r="AV352" s="8">
        <v>166275</v>
      </c>
      <c r="AW352" s="8">
        <f t="shared" si="185"/>
        <v>11037</v>
      </c>
      <c r="AX352" s="8">
        <f t="shared" si="160"/>
        <v>52075</v>
      </c>
      <c r="AY352" s="8">
        <f t="shared" si="186"/>
        <v>-13228</v>
      </c>
      <c r="AZ352" s="8">
        <v>677733</v>
      </c>
      <c r="BA352" s="8">
        <f t="shared" si="187"/>
        <v>-72293</v>
      </c>
      <c r="BB352" s="8">
        <v>706798</v>
      </c>
      <c r="BC352" s="8">
        <f t="shared" si="188"/>
        <v>-76917</v>
      </c>
      <c r="BD352" s="8">
        <f t="shared" si="161"/>
        <v>-29065</v>
      </c>
      <c r="BE352" s="8">
        <f t="shared" si="189"/>
        <v>4624</v>
      </c>
      <c r="BF352" s="8">
        <v>353043</v>
      </c>
      <c r="BG352" s="8">
        <f t="shared" si="190"/>
        <v>-58893</v>
      </c>
      <c r="BH352" s="8">
        <v>636865</v>
      </c>
      <c r="BI352" s="8">
        <f t="shared" si="191"/>
        <v>-47678</v>
      </c>
      <c r="BJ352" s="8">
        <f t="shared" si="162"/>
        <v>-283822</v>
      </c>
      <c r="BK352" s="8">
        <f t="shared" si="164"/>
        <v>-11215</v>
      </c>
    </row>
    <row r="353" spans="1:63">
      <c r="A353" s="5">
        <v>41338</v>
      </c>
      <c r="B353" s="8">
        <v>361249</v>
      </c>
      <c r="C353" s="8">
        <f t="shared" si="165"/>
        <v>6227</v>
      </c>
      <c r="D353" s="8">
        <v>36795</v>
      </c>
      <c r="E353" s="8">
        <f t="shared" si="166"/>
        <v>-4937</v>
      </c>
      <c r="F353" s="8">
        <v>91906</v>
      </c>
      <c r="G353" s="8">
        <f t="shared" si="167"/>
        <v>8477</v>
      </c>
      <c r="H353" s="8">
        <v>-55111</v>
      </c>
      <c r="I353" s="8">
        <f t="shared" si="168"/>
        <v>-13414</v>
      </c>
      <c r="J353" s="8">
        <v>199899</v>
      </c>
      <c r="K353" s="8">
        <f t="shared" si="169"/>
        <v>8435</v>
      </c>
      <c r="L353" s="8">
        <v>147688</v>
      </c>
      <c r="M353" s="8">
        <f t="shared" si="170"/>
        <v>-8201</v>
      </c>
      <c r="N353" s="8">
        <v>52211</v>
      </c>
      <c r="O353" s="8">
        <f t="shared" si="171"/>
        <v>16636</v>
      </c>
      <c r="P353" s="8">
        <v>116856</v>
      </c>
      <c r="Q353" s="8">
        <f t="shared" si="172"/>
        <v>10666</v>
      </c>
      <c r="R353" s="8">
        <v>139582</v>
      </c>
      <c r="S353" s="8">
        <f t="shared" si="173"/>
        <v>-8365</v>
      </c>
      <c r="T353" s="8">
        <v>-22726</v>
      </c>
      <c r="U353" s="8">
        <f t="shared" si="174"/>
        <v>19031</v>
      </c>
      <c r="W353" s="8">
        <v>324926</v>
      </c>
      <c r="X353" s="8">
        <f t="shared" si="175"/>
        <v>8336</v>
      </c>
      <c r="Y353" s="8">
        <v>75578</v>
      </c>
      <c r="Z353" s="8">
        <f t="shared" si="176"/>
        <v>6916</v>
      </c>
      <c r="AA353" s="8">
        <v>19151</v>
      </c>
      <c r="AB353" s="8">
        <f t="shared" si="163"/>
        <v>-1671</v>
      </c>
      <c r="AC353" s="8">
        <v>56427</v>
      </c>
      <c r="AD353" s="8">
        <f t="shared" si="163"/>
        <v>8587</v>
      </c>
      <c r="AE353" s="8">
        <v>131406</v>
      </c>
      <c r="AF353" s="8">
        <f t="shared" si="177"/>
        <v>-9074</v>
      </c>
      <c r="AG353" s="8">
        <v>206725</v>
      </c>
      <c r="AH353" s="8">
        <f t="shared" si="178"/>
        <v>-382</v>
      </c>
      <c r="AI353" s="8">
        <v>-75319</v>
      </c>
      <c r="AJ353" s="8">
        <f t="shared" si="179"/>
        <v>-8692</v>
      </c>
      <c r="AK353" s="8">
        <v>64457</v>
      </c>
      <c r="AL353" s="8">
        <f t="shared" si="180"/>
        <v>-8771</v>
      </c>
      <c r="AM353" s="8">
        <v>191979</v>
      </c>
      <c r="AN353" s="8">
        <f t="shared" si="181"/>
        <v>161</v>
      </c>
      <c r="AO353" s="8">
        <v>-127522</v>
      </c>
      <c r="AP353" s="8">
        <f t="shared" si="182"/>
        <v>-8932</v>
      </c>
      <c r="AR353" s="8">
        <v>1627540</v>
      </c>
      <c r="AS353" s="8">
        <f t="shared" si="183"/>
        <v>-6097</v>
      </c>
      <c r="AT353" s="8">
        <v>225211</v>
      </c>
      <c r="AU353" s="8">
        <f t="shared" si="184"/>
        <v>6861</v>
      </c>
      <c r="AV353" s="8">
        <v>162347</v>
      </c>
      <c r="AW353" s="8">
        <f t="shared" si="185"/>
        <v>-3928</v>
      </c>
      <c r="AX353" s="8">
        <f t="shared" si="160"/>
        <v>62864</v>
      </c>
      <c r="AY353" s="8">
        <f t="shared" si="186"/>
        <v>10789</v>
      </c>
      <c r="AZ353" s="8">
        <v>649980</v>
      </c>
      <c r="BA353" s="8">
        <f t="shared" si="187"/>
        <v>-27753</v>
      </c>
      <c r="BB353" s="8">
        <v>694311</v>
      </c>
      <c r="BC353" s="8">
        <f t="shared" si="188"/>
        <v>-12487</v>
      </c>
      <c r="BD353" s="8">
        <f t="shared" si="161"/>
        <v>-44331</v>
      </c>
      <c r="BE353" s="8">
        <f t="shared" si="189"/>
        <v>-15266</v>
      </c>
      <c r="BF353" s="8">
        <v>320074</v>
      </c>
      <c r="BG353" s="8">
        <f t="shared" si="190"/>
        <v>-32969</v>
      </c>
      <c r="BH353" s="8">
        <v>621460</v>
      </c>
      <c r="BI353" s="8">
        <f t="shared" si="191"/>
        <v>-15405</v>
      </c>
      <c r="BJ353" s="8">
        <f t="shared" si="162"/>
        <v>-301386</v>
      </c>
      <c r="BK353" s="8">
        <f t="shared" si="164"/>
        <v>-17564</v>
      </c>
    </row>
    <row r="354" spans="1:63">
      <c r="A354" s="5">
        <v>41345</v>
      </c>
      <c r="B354" s="8">
        <v>365440</v>
      </c>
      <c r="C354" s="8">
        <f t="shared" si="165"/>
        <v>4191</v>
      </c>
      <c r="D354" s="8">
        <v>41428</v>
      </c>
      <c r="E354" s="8">
        <f t="shared" si="166"/>
        <v>4633</v>
      </c>
      <c r="F354" s="8">
        <v>92005</v>
      </c>
      <c r="G354" s="8">
        <f t="shared" si="167"/>
        <v>99</v>
      </c>
      <c r="H354" s="8">
        <v>-50577</v>
      </c>
      <c r="I354" s="8">
        <f t="shared" si="168"/>
        <v>4534</v>
      </c>
      <c r="J354" s="8">
        <v>201268</v>
      </c>
      <c r="K354" s="8">
        <f t="shared" si="169"/>
        <v>1369</v>
      </c>
      <c r="L354" s="8">
        <v>151140</v>
      </c>
      <c r="M354" s="8">
        <f t="shared" si="170"/>
        <v>3452</v>
      </c>
      <c r="N354" s="8">
        <v>50128</v>
      </c>
      <c r="O354" s="8">
        <f t="shared" si="171"/>
        <v>-2083</v>
      </c>
      <c r="P354" s="8">
        <v>118740</v>
      </c>
      <c r="Q354" s="8">
        <f t="shared" si="172"/>
        <v>1884</v>
      </c>
      <c r="R354" s="8">
        <v>142233</v>
      </c>
      <c r="S354" s="8">
        <f t="shared" si="173"/>
        <v>2651</v>
      </c>
      <c r="T354" s="8">
        <v>-23493</v>
      </c>
      <c r="U354" s="8">
        <f t="shared" si="174"/>
        <v>-767</v>
      </c>
      <c r="W354" s="8">
        <v>334363</v>
      </c>
      <c r="X354" s="8">
        <f t="shared" si="175"/>
        <v>9437</v>
      </c>
      <c r="Y354" s="8">
        <v>83063</v>
      </c>
      <c r="Z354" s="8">
        <f t="shared" si="176"/>
        <v>7485</v>
      </c>
      <c r="AA354" s="8">
        <v>19861</v>
      </c>
      <c r="AB354" s="8">
        <f t="shared" si="163"/>
        <v>710</v>
      </c>
      <c r="AC354" s="8">
        <v>63202</v>
      </c>
      <c r="AD354" s="8">
        <f t="shared" si="163"/>
        <v>6775</v>
      </c>
      <c r="AE354" s="8">
        <v>130701</v>
      </c>
      <c r="AF354" s="8">
        <f t="shared" si="177"/>
        <v>-705</v>
      </c>
      <c r="AG354" s="8">
        <v>213180</v>
      </c>
      <c r="AH354" s="8">
        <f t="shared" si="178"/>
        <v>6455</v>
      </c>
      <c r="AI354" s="8">
        <v>-82479</v>
      </c>
      <c r="AJ354" s="8">
        <f t="shared" si="179"/>
        <v>-7160</v>
      </c>
      <c r="AK354" s="8">
        <v>64406</v>
      </c>
      <c r="AL354" s="8">
        <f t="shared" si="180"/>
        <v>-51</v>
      </c>
      <c r="AM354" s="8">
        <v>198359</v>
      </c>
      <c r="AN354" s="8">
        <f t="shared" si="181"/>
        <v>6380</v>
      </c>
      <c r="AO354" s="8">
        <v>-133953</v>
      </c>
      <c r="AP354" s="8">
        <f t="shared" si="182"/>
        <v>-6431</v>
      </c>
      <c r="AR354" s="8">
        <v>1683071</v>
      </c>
      <c r="AS354" s="8">
        <f t="shared" si="183"/>
        <v>55531</v>
      </c>
      <c r="AT354" s="8">
        <v>235827</v>
      </c>
      <c r="AU354" s="8">
        <f t="shared" si="184"/>
        <v>10616</v>
      </c>
      <c r="AV354" s="8">
        <v>148156</v>
      </c>
      <c r="AW354" s="8">
        <f t="shared" si="185"/>
        <v>-14191</v>
      </c>
      <c r="AX354" s="8">
        <f t="shared" si="160"/>
        <v>87671</v>
      </c>
      <c r="AY354" s="8">
        <f t="shared" si="186"/>
        <v>24807</v>
      </c>
      <c r="AZ354" s="8">
        <v>665613</v>
      </c>
      <c r="BA354" s="8">
        <f t="shared" si="187"/>
        <v>15633</v>
      </c>
      <c r="BB354" s="8">
        <v>728236</v>
      </c>
      <c r="BC354" s="8">
        <f t="shared" si="188"/>
        <v>33925</v>
      </c>
      <c r="BD354" s="8">
        <f t="shared" si="161"/>
        <v>-62623</v>
      </c>
      <c r="BE354" s="8">
        <f t="shared" si="189"/>
        <v>-18292</v>
      </c>
      <c r="BF354" s="8">
        <v>323511</v>
      </c>
      <c r="BG354" s="8">
        <f t="shared" si="190"/>
        <v>3437</v>
      </c>
      <c r="BH354" s="8">
        <v>647170</v>
      </c>
      <c r="BI354" s="8">
        <f t="shared" si="191"/>
        <v>25710</v>
      </c>
      <c r="BJ354" s="8">
        <f t="shared" si="162"/>
        <v>-323659</v>
      </c>
      <c r="BK354" s="8">
        <f t="shared" si="164"/>
        <v>-22273</v>
      </c>
    </row>
    <row r="355" spans="1:63">
      <c r="A355" s="5">
        <v>41352</v>
      </c>
      <c r="B355" s="8">
        <v>381703</v>
      </c>
      <c r="C355" s="8">
        <f t="shared" si="165"/>
        <v>16263</v>
      </c>
      <c r="D355" s="8">
        <v>43900</v>
      </c>
      <c r="E355" s="8">
        <f t="shared" si="166"/>
        <v>2472</v>
      </c>
      <c r="F355" s="8">
        <v>93076</v>
      </c>
      <c r="G355" s="8">
        <f t="shared" si="167"/>
        <v>1071</v>
      </c>
      <c r="H355" s="8">
        <v>-49176</v>
      </c>
      <c r="I355" s="8">
        <f t="shared" si="168"/>
        <v>1401</v>
      </c>
      <c r="J355" s="8">
        <v>213181</v>
      </c>
      <c r="K355" s="8">
        <f t="shared" si="169"/>
        <v>11913</v>
      </c>
      <c r="L355" s="8">
        <v>159300</v>
      </c>
      <c r="M355" s="8">
        <f t="shared" si="170"/>
        <v>8160</v>
      </c>
      <c r="N355" s="8">
        <v>53881</v>
      </c>
      <c r="O355" s="8">
        <f t="shared" si="171"/>
        <v>3753</v>
      </c>
      <c r="P355" s="8">
        <v>125198</v>
      </c>
      <c r="Q355" s="8">
        <f t="shared" si="172"/>
        <v>6458</v>
      </c>
      <c r="R355" s="8">
        <v>148674</v>
      </c>
      <c r="S355" s="8">
        <f t="shared" si="173"/>
        <v>6441</v>
      </c>
      <c r="T355" s="8">
        <v>-23476</v>
      </c>
      <c r="U355" s="8">
        <f t="shared" si="174"/>
        <v>17</v>
      </c>
      <c r="W355" s="8">
        <v>322376</v>
      </c>
      <c r="X355" s="8">
        <f t="shared" si="175"/>
        <v>-11987</v>
      </c>
      <c r="Y355" s="8">
        <v>71191</v>
      </c>
      <c r="Z355" s="8">
        <f t="shared" si="176"/>
        <v>-11872</v>
      </c>
      <c r="AA355" s="8">
        <v>20683</v>
      </c>
      <c r="AB355" s="8">
        <f t="shared" si="163"/>
        <v>822</v>
      </c>
      <c r="AC355" s="8">
        <v>50508</v>
      </c>
      <c r="AD355" s="8">
        <f t="shared" si="163"/>
        <v>-12694</v>
      </c>
      <c r="AE355" s="8">
        <v>133076</v>
      </c>
      <c r="AF355" s="8">
        <f t="shared" si="177"/>
        <v>2375</v>
      </c>
      <c r="AG355" s="8">
        <v>199312</v>
      </c>
      <c r="AH355" s="8">
        <f t="shared" si="178"/>
        <v>-13868</v>
      </c>
      <c r="AI355" s="8">
        <v>-66236</v>
      </c>
      <c r="AJ355" s="8">
        <f t="shared" si="179"/>
        <v>16243</v>
      </c>
      <c r="AK355" s="8">
        <v>66099</v>
      </c>
      <c r="AL355" s="8">
        <f t="shared" si="180"/>
        <v>1693</v>
      </c>
      <c r="AM355" s="8">
        <v>185819</v>
      </c>
      <c r="AN355" s="8">
        <f t="shared" si="181"/>
        <v>-12540</v>
      </c>
      <c r="AO355" s="8">
        <v>-119720</v>
      </c>
      <c r="AP355" s="8">
        <f t="shared" si="182"/>
        <v>14233</v>
      </c>
      <c r="AR355" s="8">
        <v>1775631</v>
      </c>
      <c r="AS355" s="8">
        <f t="shared" si="183"/>
        <v>92560</v>
      </c>
      <c r="AT355" s="8">
        <v>272690</v>
      </c>
      <c r="AU355" s="8">
        <f t="shared" si="184"/>
        <v>36863</v>
      </c>
      <c r="AV355" s="8">
        <v>127155</v>
      </c>
      <c r="AW355" s="8">
        <f t="shared" si="185"/>
        <v>-21001</v>
      </c>
      <c r="AX355" s="8">
        <f t="shared" si="160"/>
        <v>145535</v>
      </c>
      <c r="AY355" s="8">
        <f t="shared" si="186"/>
        <v>57864</v>
      </c>
      <c r="AZ355" s="8">
        <v>697845</v>
      </c>
      <c r="BA355" s="8">
        <f t="shared" si="187"/>
        <v>32232</v>
      </c>
      <c r="BB355" s="8">
        <v>819641</v>
      </c>
      <c r="BC355" s="8">
        <f t="shared" si="188"/>
        <v>91405</v>
      </c>
      <c r="BD355" s="8">
        <f t="shared" si="161"/>
        <v>-121796</v>
      </c>
      <c r="BE355" s="8">
        <f t="shared" si="189"/>
        <v>-59173</v>
      </c>
      <c r="BF355" s="8">
        <v>346718</v>
      </c>
      <c r="BG355" s="8">
        <f t="shared" si="190"/>
        <v>23207</v>
      </c>
      <c r="BH355" s="8">
        <v>732104</v>
      </c>
      <c r="BI355" s="8">
        <f t="shared" si="191"/>
        <v>84934</v>
      </c>
      <c r="BJ355" s="8">
        <f t="shared" si="162"/>
        <v>-385386</v>
      </c>
      <c r="BK355" s="8">
        <f t="shared" si="164"/>
        <v>-61727</v>
      </c>
    </row>
    <row r="356" spans="1:63">
      <c r="A356" s="5">
        <v>41359</v>
      </c>
      <c r="B356" s="8">
        <v>377229</v>
      </c>
      <c r="C356" s="8">
        <f t="shared" si="165"/>
        <v>-4474</v>
      </c>
      <c r="D356" s="8">
        <v>50592</v>
      </c>
      <c r="E356" s="8">
        <f t="shared" si="166"/>
        <v>6692</v>
      </c>
      <c r="F356" s="8">
        <v>82140</v>
      </c>
      <c r="G356" s="8">
        <f t="shared" si="167"/>
        <v>-10936</v>
      </c>
      <c r="H356" s="8">
        <v>-31548</v>
      </c>
      <c r="I356" s="8">
        <f t="shared" si="168"/>
        <v>17628</v>
      </c>
      <c r="J356" s="8">
        <v>198403</v>
      </c>
      <c r="K356" s="8">
        <f t="shared" si="169"/>
        <v>-14778</v>
      </c>
      <c r="L356" s="8">
        <v>165919</v>
      </c>
      <c r="M356" s="8">
        <f t="shared" si="170"/>
        <v>6619</v>
      </c>
      <c r="N356" s="8">
        <v>32484</v>
      </c>
      <c r="O356" s="8">
        <f t="shared" si="171"/>
        <v>-21397</v>
      </c>
      <c r="P356" s="8">
        <v>110715</v>
      </c>
      <c r="Q356" s="8">
        <f t="shared" si="172"/>
        <v>-14483</v>
      </c>
      <c r="R356" s="8">
        <v>154394</v>
      </c>
      <c r="S356" s="8">
        <f t="shared" si="173"/>
        <v>5720</v>
      </c>
      <c r="T356" s="8">
        <v>-43679</v>
      </c>
      <c r="U356" s="8">
        <f t="shared" si="174"/>
        <v>-20203</v>
      </c>
      <c r="W356" s="8">
        <v>318015</v>
      </c>
      <c r="X356" s="8">
        <f t="shared" si="175"/>
        <v>-4361</v>
      </c>
      <c r="Y356" s="8">
        <v>62909</v>
      </c>
      <c r="Z356" s="8">
        <f t="shared" si="176"/>
        <v>-8282</v>
      </c>
      <c r="AA356" s="8">
        <v>20912</v>
      </c>
      <c r="AB356" s="8">
        <f t="shared" si="163"/>
        <v>229</v>
      </c>
      <c r="AC356" s="8">
        <v>41997</v>
      </c>
      <c r="AD356" s="8">
        <f t="shared" si="163"/>
        <v>-8511</v>
      </c>
      <c r="AE356" s="8">
        <v>137940</v>
      </c>
      <c r="AF356" s="8">
        <f t="shared" si="177"/>
        <v>4864</v>
      </c>
      <c r="AG356" s="8">
        <v>196254</v>
      </c>
      <c r="AH356" s="8">
        <f t="shared" si="178"/>
        <v>-3058</v>
      </c>
      <c r="AI356" s="8">
        <v>-58314</v>
      </c>
      <c r="AJ356" s="8">
        <f t="shared" si="179"/>
        <v>7922</v>
      </c>
      <c r="AK356" s="8">
        <v>66937</v>
      </c>
      <c r="AL356" s="8">
        <f t="shared" si="180"/>
        <v>838</v>
      </c>
      <c r="AM356" s="8">
        <v>180958</v>
      </c>
      <c r="AN356" s="8">
        <f t="shared" si="181"/>
        <v>-4861</v>
      </c>
      <c r="AO356" s="8">
        <v>-114021</v>
      </c>
      <c r="AP356" s="8">
        <f t="shared" si="182"/>
        <v>5699</v>
      </c>
      <c r="AR356" s="8">
        <v>1818556</v>
      </c>
      <c r="AS356" s="8">
        <f t="shared" si="183"/>
        <v>42925</v>
      </c>
      <c r="AT356" s="8">
        <v>308793</v>
      </c>
      <c r="AU356" s="8">
        <f t="shared" si="184"/>
        <v>36103</v>
      </c>
      <c r="AV356" s="8">
        <v>116232</v>
      </c>
      <c r="AW356" s="8">
        <f t="shared" si="185"/>
        <v>-10923</v>
      </c>
      <c r="AX356" s="8">
        <f t="shared" si="160"/>
        <v>192561</v>
      </c>
      <c r="AY356" s="8">
        <f t="shared" si="186"/>
        <v>47026</v>
      </c>
      <c r="AZ356" s="8">
        <v>723631</v>
      </c>
      <c r="BA356" s="8">
        <f t="shared" si="187"/>
        <v>25786</v>
      </c>
      <c r="BB356" s="8">
        <v>878855</v>
      </c>
      <c r="BC356" s="8">
        <f t="shared" si="188"/>
        <v>59214</v>
      </c>
      <c r="BD356" s="8">
        <f t="shared" si="161"/>
        <v>-155224</v>
      </c>
      <c r="BE356" s="8">
        <f t="shared" si="189"/>
        <v>-33428</v>
      </c>
      <c r="BF356" s="8">
        <v>360893</v>
      </c>
      <c r="BG356" s="8">
        <f t="shared" si="190"/>
        <v>14175</v>
      </c>
      <c r="BH356" s="8">
        <v>777511</v>
      </c>
      <c r="BI356" s="8">
        <f t="shared" si="191"/>
        <v>45407</v>
      </c>
      <c r="BJ356" s="8">
        <f t="shared" si="162"/>
        <v>-416618</v>
      </c>
      <c r="BK356" s="8">
        <f t="shared" si="164"/>
        <v>-31232</v>
      </c>
    </row>
    <row r="357" spans="1:63">
      <c r="A357" s="5">
        <v>41366</v>
      </c>
      <c r="B357" s="8">
        <v>383549</v>
      </c>
      <c r="C357" s="8">
        <f t="shared" si="165"/>
        <v>6320</v>
      </c>
      <c r="D357" s="8">
        <v>48554</v>
      </c>
      <c r="E357" s="8">
        <f t="shared" si="166"/>
        <v>-2038</v>
      </c>
      <c r="F357" s="8">
        <v>81843</v>
      </c>
      <c r="G357" s="8">
        <f t="shared" si="167"/>
        <v>-297</v>
      </c>
      <c r="H357" s="8">
        <v>-33289</v>
      </c>
      <c r="I357" s="8">
        <f t="shared" si="168"/>
        <v>-1741</v>
      </c>
      <c r="J357" s="8">
        <v>205060</v>
      </c>
      <c r="K357" s="8">
        <f t="shared" si="169"/>
        <v>6657</v>
      </c>
      <c r="L357" s="8">
        <v>161260</v>
      </c>
      <c r="M357" s="8">
        <f t="shared" si="170"/>
        <v>-4659</v>
      </c>
      <c r="N357" s="8">
        <v>43800</v>
      </c>
      <c r="O357" s="8">
        <f t="shared" si="171"/>
        <v>11316</v>
      </c>
      <c r="P357" s="8">
        <v>117090</v>
      </c>
      <c r="Q357" s="8">
        <f t="shared" si="172"/>
        <v>6375</v>
      </c>
      <c r="R357" s="8">
        <v>149469</v>
      </c>
      <c r="S357" s="8">
        <f t="shared" si="173"/>
        <v>-4925</v>
      </c>
      <c r="T357" s="8">
        <v>-32379</v>
      </c>
      <c r="U357" s="8">
        <f t="shared" si="174"/>
        <v>11300</v>
      </c>
      <c r="W357" s="8">
        <v>302995</v>
      </c>
      <c r="X357" s="8">
        <f t="shared" si="175"/>
        <v>-15020</v>
      </c>
      <c r="Y357" s="8">
        <v>53297</v>
      </c>
      <c r="Z357" s="8">
        <f t="shared" si="176"/>
        <v>-9612</v>
      </c>
      <c r="AA357" s="8">
        <v>26044</v>
      </c>
      <c r="AB357" s="8">
        <f t="shared" si="163"/>
        <v>5132</v>
      </c>
      <c r="AC357" s="8">
        <v>27253</v>
      </c>
      <c r="AD357" s="8">
        <f t="shared" si="163"/>
        <v>-14744</v>
      </c>
      <c r="AE357" s="8">
        <v>140848</v>
      </c>
      <c r="AF357" s="8">
        <f t="shared" si="177"/>
        <v>2908</v>
      </c>
      <c r="AG357" s="8">
        <v>177980</v>
      </c>
      <c r="AH357" s="8">
        <f t="shared" si="178"/>
        <v>-18274</v>
      </c>
      <c r="AI357" s="8">
        <v>-37132</v>
      </c>
      <c r="AJ357" s="8">
        <f t="shared" si="179"/>
        <v>21182</v>
      </c>
      <c r="AK357" s="8">
        <v>69000</v>
      </c>
      <c r="AL357" s="8">
        <f t="shared" si="180"/>
        <v>2063</v>
      </c>
      <c r="AM357" s="8">
        <v>162346</v>
      </c>
      <c r="AN357" s="8">
        <f t="shared" si="181"/>
        <v>-18612</v>
      </c>
      <c r="AO357" s="8">
        <v>-93346</v>
      </c>
      <c r="AP357" s="8">
        <f t="shared" si="182"/>
        <v>20675</v>
      </c>
      <c r="AR357" s="8">
        <v>1895395</v>
      </c>
      <c r="AS357" s="8">
        <f t="shared" si="183"/>
        <v>76839</v>
      </c>
      <c r="AT357" s="8">
        <v>250202</v>
      </c>
      <c r="AU357" s="8">
        <f t="shared" si="184"/>
        <v>-58591</v>
      </c>
      <c r="AV357" s="8">
        <v>155887</v>
      </c>
      <c r="AW357" s="8">
        <f t="shared" si="185"/>
        <v>39655</v>
      </c>
      <c r="AX357" s="8">
        <f t="shared" si="160"/>
        <v>94315</v>
      </c>
      <c r="AY357" s="8">
        <f t="shared" si="186"/>
        <v>-98246</v>
      </c>
      <c r="AZ357" s="8">
        <v>767307</v>
      </c>
      <c r="BA357" s="8">
        <f t="shared" si="187"/>
        <v>43676</v>
      </c>
      <c r="BB357" s="8">
        <v>834471</v>
      </c>
      <c r="BC357" s="8">
        <f t="shared" si="188"/>
        <v>-44384</v>
      </c>
      <c r="BD357" s="8">
        <f t="shared" si="161"/>
        <v>-67164</v>
      </c>
      <c r="BE357" s="8">
        <f t="shared" si="189"/>
        <v>88060</v>
      </c>
      <c r="BF357" s="8">
        <v>407000</v>
      </c>
      <c r="BG357" s="8">
        <f t="shared" si="190"/>
        <v>46107</v>
      </c>
      <c r="BH357" s="8">
        <v>732043</v>
      </c>
      <c r="BI357" s="8">
        <f t="shared" si="191"/>
        <v>-45468</v>
      </c>
      <c r="BJ357" s="8">
        <f t="shared" si="162"/>
        <v>-325043</v>
      </c>
      <c r="BK357" s="8">
        <f t="shared" si="164"/>
        <v>91575</v>
      </c>
    </row>
    <row r="358" spans="1:63">
      <c r="A358" s="5">
        <v>41373</v>
      </c>
      <c r="B358" s="8">
        <v>407260</v>
      </c>
      <c r="C358" s="8">
        <f t="shared" si="165"/>
        <v>23711</v>
      </c>
      <c r="D358" s="8">
        <v>47243</v>
      </c>
      <c r="E358" s="8">
        <f t="shared" si="166"/>
        <v>-1311</v>
      </c>
      <c r="F358" s="8">
        <v>90453</v>
      </c>
      <c r="G358" s="8">
        <f t="shared" si="167"/>
        <v>8610</v>
      </c>
      <c r="H358" s="8">
        <v>-43210</v>
      </c>
      <c r="I358" s="8">
        <f t="shared" si="168"/>
        <v>-9921</v>
      </c>
      <c r="J358" s="8">
        <v>220038</v>
      </c>
      <c r="K358" s="8">
        <f t="shared" si="169"/>
        <v>14978</v>
      </c>
      <c r="L358" s="8">
        <v>163445</v>
      </c>
      <c r="M358" s="8">
        <f t="shared" si="170"/>
        <v>2185</v>
      </c>
      <c r="N358" s="8">
        <v>56593</v>
      </c>
      <c r="O358" s="8">
        <f t="shared" si="171"/>
        <v>12793</v>
      </c>
      <c r="P358" s="8">
        <v>132958</v>
      </c>
      <c r="Q358" s="8">
        <f t="shared" si="172"/>
        <v>15868</v>
      </c>
      <c r="R358" s="8">
        <v>152505</v>
      </c>
      <c r="S358" s="8">
        <f t="shared" si="173"/>
        <v>3036</v>
      </c>
      <c r="T358" s="8">
        <v>-19547</v>
      </c>
      <c r="U358" s="8">
        <f t="shared" si="174"/>
        <v>12832</v>
      </c>
      <c r="W358" s="8">
        <v>303800</v>
      </c>
      <c r="X358" s="8">
        <f t="shared" si="175"/>
        <v>805</v>
      </c>
      <c r="Y358" s="8">
        <v>49901</v>
      </c>
      <c r="Z358" s="8">
        <f t="shared" si="176"/>
        <v>-3396</v>
      </c>
      <c r="AA358" s="8">
        <v>33480</v>
      </c>
      <c r="AB358" s="8">
        <f t="shared" si="163"/>
        <v>7436</v>
      </c>
      <c r="AC358" s="8">
        <v>16421</v>
      </c>
      <c r="AD358" s="8">
        <f t="shared" si="163"/>
        <v>-10832</v>
      </c>
      <c r="AE358" s="8">
        <v>148113</v>
      </c>
      <c r="AF358" s="8">
        <f t="shared" si="177"/>
        <v>7265</v>
      </c>
      <c r="AG358" s="8">
        <v>169833</v>
      </c>
      <c r="AH358" s="8">
        <f t="shared" si="178"/>
        <v>-8147</v>
      </c>
      <c r="AI358" s="8">
        <v>-21720</v>
      </c>
      <c r="AJ358" s="8">
        <f t="shared" si="179"/>
        <v>15412</v>
      </c>
      <c r="AK358" s="8">
        <v>82673</v>
      </c>
      <c r="AL358" s="8">
        <f t="shared" si="180"/>
        <v>13673</v>
      </c>
      <c r="AM358" s="8">
        <v>159640</v>
      </c>
      <c r="AN358" s="8">
        <f t="shared" si="181"/>
        <v>-2706</v>
      </c>
      <c r="AO358" s="8">
        <v>-76967</v>
      </c>
      <c r="AP358" s="8">
        <f t="shared" si="182"/>
        <v>16379</v>
      </c>
      <c r="AR358" s="8">
        <v>1907259</v>
      </c>
      <c r="AS358" s="8">
        <f t="shared" si="183"/>
        <v>11864</v>
      </c>
      <c r="AT358" s="8">
        <v>223885</v>
      </c>
      <c r="AU358" s="8">
        <f t="shared" si="184"/>
        <v>-26317</v>
      </c>
      <c r="AV358" s="8">
        <v>172908</v>
      </c>
      <c r="AW358" s="8">
        <f t="shared" si="185"/>
        <v>17021</v>
      </c>
      <c r="AX358" s="8">
        <f t="shared" si="160"/>
        <v>50977</v>
      </c>
      <c r="AY358" s="8">
        <f t="shared" si="186"/>
        <v>-43338</v>
      </c>
      <c r="AZ358" s="8">
        <v>780951</v>
      </c>
      <c r="BA358" s="8">
        <f t="shared" si="187"/>
        <v>13644</v>
      </c>
      <c r="BB358" s="8">
        <v>788242</v>
      </c>
      <c r="BC358" s="8">
        <f t="shared" si="188"/>
        <v>-46229</v>
      </c>
      <c r="BD358" s="8">
        <f t="shared" si="161"/>
        <v>-7291</v>
      </c>
      <c r="BE358" s="8">
        <f t="shared" si="189"/>
        <v>59873</v>
      </c>
      <c r="BF358" s="8">
        <v>413014</v>
      </c>
      <c r="BG358" s="8">
        <f t="shared" si="190"/>
        <v>6014</v>
      </c>
      <c r="BH358" s="8">
        <v>687210</v>
      </c>
      <c r="BI358" s="8">
        <f t="shared" si="191"/>
        <v>-44833</v>
      </c>
      <c r="BJ358" s="8">
        <f t="shared" si="162"/>
        <v>-274196</v>
      </c>
      <c r="BK358" s="8">
        <f t="shared" si="164"/>
        <v>50847</v>
      </c>
    </row>
    <row r="359" spans="1:63">
      <c r="A359" s="5">
        <v>41380</v>
      </c>
      <c r="B359" s="8">
        <v>408373</v>
      </c>
      <c r="C359" s="8">
        <f t="shared" si="165"/>
        <v>1113</v>
      </c>
      <c r="D359" s="8">
        <v>47873</v>
      </c>
      <c r="E359" s="8">
        <f t="shared" si="166"/>
        <v>630</v>
      </c>
      <c r="F359" s="8">
        <v>90214</v>
      </c>
      <c r="G359" s="8">
        <f t="shared" si="167"/>
        <v>-239</v>
      </c>
      <c r="H359" s="8">
        <v>-42341</v>
      </c>
      <c r="I359" s="8">
        <f t="shared" si="168"/>
        <v>869</v>
      </c>
      <c r="J359" s="8">
        <v>226713</v>
      </c>
      <c r="K359" s="8">
        <f t="shared" si="169"/>
        <v>6675</v>
      </c>
      <c r="L359" s="8">
        <v>163941</v>
      </c>
      <c r="M359" s="8">
        <f t="shared" si="170"/>
        <v>496</v>
      </c>
      <c r="N359" s="8">
        <v>62772</v>
      </c>
      <c r="O359" s="8">
        <f t="shared" si="171"/>
        <v>6179</v>
      </c>
      <c r="P359" s="8">
        <v>137670</v>
      </c>
      <c r="Q359" s="8">
        <f t="shared" si="172"/>
        <v>4712</v>
      </c>
      <c r="R359" s="8">
        <v>151484</v>
      </c>
      <c r="S359" s="8">
        <f t="shared" si="173"/>
        <v>-1021</v>
      </c>
      <c r="T359" s="8">
        <v>-13814</v>
      </c>
      <c r="U359" s="8">
        <f t="shared" si="174"/>
        <v>5733</v>
      </c>
      <c r="W359" s="8">
        <v>301745</v>
      </c>
      <c r="X359" s="8">
        <f t="shared" si="175"/>
        <v>-2055</v>
      </c>
      <c r="Y359" s="8">
        <v>52885</v>
      </c>
      <c r="Z359" s="8">
        <f t="shared" si="176"/>
        <v>2984</v>
      </c>
      <c r="AA359" s="8">
        <v>28955</v>
      </c>
      <c r="AB359" s="8">
        <f t="shared" si="163"/>
        <v>-4525</v>
      </c>
      <c r="AC359" s="8">
        <v>23930</v>
      </c>
      <c r="AD359" s="8">
        <f t="shared" si="163"/>
        <v>7509</v>
      </c>
      <c r="AE359" s="8">
        <v>144448</v>
      </c>
      <c r="AF359" s="8">
        <f t="shared" si="177"/>
        <v>-3665</v>
      </c>
      <c r="AG359" s="8">
        <v>174315</v>
      </c>
      <c r="AH359" s="8">
        <f t="shared" si="178"/>
        <v>4482</v>
      </c>
      <c r="AI359" s="8">
        <v>-29867</v>
      </c>
      <c r="AJ359" s="8">
        <f t="shared" si="179"/>
        <v>-8147</v>
      </c>
      <c r="AK359" s="8">
        <v>82229</v>
      </c>
      <c r="AL359" s="8">
        <f t="shared" si="180"/>
        <v>-444</v>
      </c>
      <c r="AM359" s="8">
        <v>161624</v>
      </c>
      <c r="AN359" s="8">
        <f t="shared" si="181"/>
        <v>1984</v>
      </c>
      <c r="AO359" s="8">
        <v>-79395</v>
      </c>
      <c r="AP359" s="8">
        <f t="shared" si="182"/>
        <v>-2428</v>
      </c>
      <c r="AR359" s="8">
        <v>1910349</v>
      </c>
      <c r="AS359" s="8">
        <f t="shared" si="183"/>
        <v>3090</v>
      </c>
      <c r="AT359" s="8">
        <v>225356</v>
      </c>
      <c r="AU359" s="8">
        <f t="shared" si="184"/>
        <v>1471</v>
      </c>
      <c r="AV359" s="8">
        <v>172968</v>
      </c>
      <c r="AW359" s="8">
        <f t="shared" si="185"/>
        <v>60</v>
      </c>
      <c r="AX359" s="8">
        <f t="shared" si="160"/>
        <v>52388</v>
      </c>
      <c r="AY359" s="8">
        <f t="shared" si="186"/>
        <v>1411</v>
      </c>
      <c r="AZ359" s="8">
        <v>780249</v>
      </c>
      <c r="BA359" s="8">
        <f t="shared" si="187"/>
        <v>-702</v>
      </c>
      <c r="BB359" s="8">
        <v>782538</v>
      </c>
      <c r="BC359" s="8">
        <f t="shared" si="188"/>
        <v>-5704</v>
      </c>
      <c r="BD359" s="8">
        <f t="shared" si="161"/>
        <v>-2289</v>
      </c>
      <c r="BE359" s="8">
        <f t="shared" si="189"/>
        <v>5002</v>
      </c>
      <c r="BF359" s="8">
        <v>406425</v>
      </c>
      <c r="BG359" s="8">
        <f t="shared" si="190"/>
        <v>-6589</v>
      </c>
      <c r="BH359" s="8">
        <v>675825</v>
      </c>
      <c r="BI359" s="8">
        <f t="shared" si="191"/>
        <v>-11385</v>
      </c>
      <c r="BJ359" s="8">
        <f t="shared" si="162"/>
        <v>-269400</v>
      </c>
      <c r="BK359" s="8">
        <f t="shared" si="164"/>
        <v>4796</v>
      </c>
    </row>
    <row r="360" spans="1:63">
      <c r="A360" s="5">
        <v>41387</v>
      </c>
      <c r="B360" s="8">
        <v>404688</v>
      </c>
      <c r="C360" s="8">
        <f t="shared" si="165"/>
        <v>-3685</v>
      </c>
      <c r="D360" s="8">
        <v>51033</v>
      </c>
      <c r="E360" s="8">
        <f t="shared" si="166"/>
        <v>3160</v>
      </c>
      <c r="F360" s="8">
        <v>84758</v>
      </c>
      <c r="G360" s="8">
        <f t="shared" si="167"/>
        <v>-5456</v>
      </c>
      <c r="H360" s="8">
        <v>-33725</v>
      </c>
      <c r="I360" s="8">
        <f t="shared" si="168"/>
        <v>8616</v>
      </c>
      <c r="J360" s="8">
        <v>226186</v>
      </c>
      <c r="K360" s="8">
        <f t="shared" si="169"/>
        <v>-527</v>
      </c>
      <c r="L360" s="8">
        <v>154991</v>
      </c>
      <c r="M360" s="8">
        <f t="shared" si="170"/>
        <v>-8950</v>
      </c>
      <c r="N360" s="8">
        <v>71195</v>
      </c>
      <c r="O360" s="8">
        <f t="shared" si="171"/>
        <v>8423</v>
      </c>
      <c r="P360" s="8">
        <v>137464</v>
      </c>
      <c r="Q360" s="8">
        <f t="shared" si="172"/>
        <v>-206</v>
      </c>
      <c r="R360" s="8">
        <v>143454</v>
      </c>
      <c r="S360" s="8">
        <f t="shared" si="173"/>
        <v>-8030</v>
      </c>
      <c r="T360" s="8">
        <v>-5990</v>
      </c>
      <c r="U360" s="8">
        <f t="shared" si="174"/>
        <v>7824</v>
      </c>
      <c r="W360" s="8">
        <v>298215</v>
      </c>
      <c r="X360" s="8">
        <f t="shared" si="175"/>
        <v>-3530</v>
      </c>
      <c r="Y360" s="8">
        <v>56022</v>
      </c>
      <c r="Z360" s="8">
        <f t="shared" si="176"/>
        <v>3137</v>
      </c>
      <c r="AA360" s="8">
        <v>30613</v>
      </c>
      <c r="AB360" s="8">
        <f t="shared" si="163"/>
        <v>1658</v>
      </c>
      <c r="AC360" s="8">
        <v>25409</v>
      </c>
      <c r="AD360" s="8">
        <f t="shared" si="163"/>
        <v>1479</v>
      </c>
      <c r="AE360" s="8">
        <v>136869</v>
      </c>
      <c r="AF360" s="8">
        <f t="shared" si="177"/>
        <v>-7579</v>
      </c>
      <c r="AG360" s="8">
        <v>172607</v>
      </c>
      <c r="AH360" s="8">
        <f t="shared" si="178"/>
        <v>-1708</v>
      </c>
      <c r="AI360" s="8">
        <v>-35738</v>
      </c>
      <c r="AJ360" s="8">
        <f t="shared" si="179"/>
        <v>-5871</v>
      </c>
      <c r="AK360" s="8">
        <v>74295</v>
      </c>
      <c r="AL360" s="8">
        <f t="shared" si="180"/>
        <v>-7934</v>
      </c>
      <c r="AM360" s="8">
        <v>160156</v>
      </c>
      <c r="AN360" s="8">
        <f t="shared" si="181"/>
        <v>-1468</v>
      </c>
      <c r="AO360" s="8">
        <v>-85861</v>
      </c>
      <c r="AP360" s="8">
        <f t="shared" si="182"/>
        <v>-6466</v>
      </c>
      <c r="AR360" s="8">
        <v>1922177</v>
      </c>
      <c r="AS360" s="8">
        <f t="shared" si="183"/>
        <v>11828</v>
      </c>
      <c r="AT360" s="8">
        <v>209463</v>
      </c>
      <c r="AU360" s="8">
        <f t="shared" si="184"/>
        <v>-15893</v>
      </c>
      <c r="AV360" s="8">
        <v>197224</v>
      </c>
      <c r="AW360" s="8">
        <f t="shared" si="185"/>
        <v>24256</v>
      </c>
      <c r="AX360" s="8">
        <f t="shared" si="160"/>
        <v>12239</v>
      </c>
      <c r="AY360" s="8">
        <f t="shared" si="186"/>
        <v>-40149</v>
      </c>
      <c r="AZ360" s="8">
        <v>784776</v>
      </c>
      <c r="BA360" s="8">
        <f t="shared" si="187"/>
        <v>4527</v>
      </c>
      <c r="BB360" s="8">
        <v>763814</v>
      </c>
      <c r="BC360" s="8">
        <f t="shared" si="188"/>
        <v>-18724</v>
      </c>
      <c r="BD360" s="8">
        <f t="shared" si="161"/>
        <v>20962</v>
      </c>
      <c r="BE360" s="8">
        <f t="shared" si="189"/>
        <v>23251</v>
      </c>
      <c r="BF360" s="8">
        <v>415390</v>
      </c>
      <c r="BG360" s="8">
        <f t="shared" si="190"/>
        <v>8965</v>
      </c>
      <c r="BH360" s="8">
        <v>655822</v>
      </c>
      <c r="BI360" s="8">
        <f t="shared" si="191"/>
        <v>-20003</v>
      </c>
      <c r="BJ360" s="8">
        <f t="shared" si="162"/>
        <v>-240432</v>
      </c>
      <c r="BK360" s="8">
        <f t="shared" si="164"/>
        <v>28968</v>
      </c>
    </row>
    <row r="361" spans="1:63">
      <c r="A361" s="5">
        <v>41394</v>
      </c>
      <c r="B361" s="8">
        <v>375540</v>
      </c>
      <c r="C361" s="8">
        <f t="shared" si="165"/>
        <v>-29148</v>
      </c>
      <c r="D361" s="8">
        <v>56200</v>
      </c>
      <c r="E361" s="8">
        <f t="shared" si="166"/>
        <v>5167</v>
      </c>
      <c r="F361" s="8">
        <v>81488</v>
      </c>
      <c r="G361" s="8">
        <f t="shared" si="167"/>
        <v>-3270</v>
      </c>
      <c r="H361" s="8">
        <v>-25288</v>
      </c>
      <c r="I361" s="8">
        <f t="shared" si="168"/>
        <v>8437</v>
      </c>
      <c r="J361" s="8">
        <v>204949</v>
      </c>
      <c r="K361" s="8">
        <f t="shared" si="169"/>
        <v>-21237</v>
      </c>
      <c r="L361" s="8">
        <v>149049</v>
      </c>
      <c r="M361" s="8">
        <f t="shared" si="170"/>
        <v>-5942</v>
      </c>
      <c r="N361" s="8">
        <v>55900</v>
      </c>
      <c r="O361" s="8">
        <f t="shared" si="171"/>
        <v>-15295</v>
      </c>
      <c r="P361" s="8">
        <v>119820</v>
      </c>
      <c r="Q361" s="8">
        <f t="shared" si="172"/>
        <v>-17644</v>
      </c>
      <c r="R361" s="8">
        <v>140501</v>
      </c>
      <c r="S361" s="8">
        <f t="shared" si="173"/>
        <v>-2953</v>
      </c>
      <c r="T361" s="8">
        <v>-20681</v>
      </c>
      <c r="U361" s="8">
        <f t="shared" si="174"/>
        <v>-14691</v>
      </c>
      <c r="W361" s="8">
        <v>292184</v>
      </c>
      <c r="X361" s="8">
        <f t="shared" si="175"/>
        <v>-6031</v>
      </c>
      <c r="Y361" s="8">
        <v>61113</v>
      </c>
      <c r="Z361" s="8">
        <f t="shared" si="176"/>
        <v>5091</v>
      </c>
      <c r="AA361" s="8">
        <v>31067</v>
      </c>
      <c r="AB361" s="8">
        <f t="shared" si="163"/>
        <v>454</v>
      </c>
      <c r="AC361" s="8">
        <v>30046</v>
      </c>
      <c r="AD361" s="8">
        <f t="shared" si="163"/>
        <v>4637</v>
      </c>
      <c r="AE361" s="8">
        <v>131760</v>
      </c>
      <c r="AF361" s="8">
        <f t="shared" si="177"/>
        <v>-5109</v>
      </c>
      <c r="AG361" s="8">
        <v>179296</v>
      </c>
      <c r="AH361" s="8">
        <f t="shared" si="178"/>
        <v>6689</v>
      </c>
      <c r="AI361" s="8">
        <v>-47536</v>
      </c>
      <c r="AJ361" s="8">
        <f t="shared" si="179"/>
        <v>-11798</v>
      </c>
      <c r="AK361" s="8">
        <v>70742</v>
      </c>
      <c r="AL361" s="8">
        <f t="shared" si="180"/>
        <v>-3553</v>
      </c>
      <c r="AM361" s="8">
        <v>166703</v>
      </c>
      <c r="AN361" s="8">
        <f t="shared" si="181"/>
        <v>6547</v>
      </c>
      <c r="AO361" s="8">
        <v>-95961</v>
      </c>
      <c r="AP361" s="8">
        <f t="shared" si="182"/>
        <v>-10100</v>
      </c>
      <c r="AR361" s="8">
        <v>1694481</v>
      </c>
      <c r="AS361" s="8">
        <f t="shared" si="183"/>
        <v>-227696</v>
      </c>
      <c r="AT361" s="8">
        <v>216132</v>
      </c>
      <c r="AU361" s="8">
        <f t="shared" si="184"/>
        <v>6669</v>
      </c>
      <c r="AV361" s="8">
        <v>170635</v>
      </c>
      <c r="AW361" s="8">
        <f t="shared" si="185"/>
        <v>-26589</v>
      </c>
      <c r="AX361" s="8">
        <f t="shared" si="160"/>
        <v>45497</v>
      </c>
      <c r="AY361" s="8">
        <f t="shared" si="186"/>
        <v>33258</v>
      </c>
      <c r="AZ361" s="8">
        <v>705333</v>
      </c>
      <c r="BA361" s="8">
        <f t="shared" si="187"/>
        <v>-79443</v>
      </c>
      <c r="BB361" s="8">
        <v>721832</v>
      </c>
      <c r="BC361" s="8">
        <f t="shared" si="188"/>
        <v>-41982</v>
      </c>
      <c r="BD361" s="8">
        <f t="shared" si="161"/>
        <v>-16499</v>
      </c>
      <c r="BE361" s="8">
        <f t="shared" si="189"/>
        <v>-37461</v>
      </c>
      <c r="BF361" s="8">
        <v>351782</v>
      </c>
      <c r="BG361" s="8">
        <f t="shared" si="190"/>
        <v>-63608</v>
      </c>
      <c r="BH361" s="8">
        <v>636623</v>
      </c>
      <c r="BI361" s="8">
        <f t="shared" si="191"/>
        <v>-19199</v>
      </c>
      <c r="BJ361" s="8">
        <f t="shared" si="162"/>
        <v>-284841</v>
      </c>
      <c r="BK361" s="8">
        <f t="shared" si="164"/>
        <v>-44409</v>
      </c>
    </row>
    <row r="362" spans="1:63">
      <c r="A362" s="5">
        <v>41401</v>
      </c>
      <c r="B362" s="8">
        <v>382289</v>
      </c>
      <c r="C362" s="8">
        <f t="shared" si="165"/>
        <v>6749</v>
      </c>
      <c r="D362" s="8">
        <v>57002</v>
      </c>
      <c r="E362" s="8">
        <f t="shared" si="166"/>
        <v>802</v>
      </c>
      <c r="F362" s="8">
        <v>78832</v>
      </c>
      <c r="G362" s="8">
        <f t="shared" si="167"/>
        <v>-2656</v>
      </c>
      <c r="H362" s="8">
        <v>-21830</v>
      </c>
      <c r="I362" s="8">
        <f t="shared" si="168"/>
        <v>3458</v>
      </c>
      <c r="J362" s="8">
        <v>207149</v>
      </c>
      <c r="K362" s="8">
        <f t="shared" si="169"/>
        <v>2200</v>
      </c>
      <c r="L362" s="8">
        <v>152918</v>
      </c>
      <c r="M362" s="8">
        <f t="shared" si="170"/>
        <v>3869</v>
      </c>
      <c r="N362" s="8">
        <v>54231</v>
      </c>
      <c r="O362" s="8">
        <f t="shared" si="171"/>
        <v>-1669</v>
      </c>
      <c r="P362" s="8">
        <v>122362</v>
      </c>
      <c r="Q362" s="8">
        <f t="shared" si="172"/>
        <v>2542</v>
      </c>
      <c r="R362" s="8">
        <v>144100</v>
      </c>
      <c r="S362" s="8">
        <f t="shared" si="173"/>
        <v>3599</v>
      </c>
      <c r="T362" s="8">
        <v>-21738</v>
      </c>
      <c r="U362" s="8">
        <f t="shared" si="174"/>
        <v>-1057</v>
      </c>
      <c r="W362" s="8">
        <v>290739</v>
      </c>
      <c r="X362" s="8">
        <f t="shared" si="175"/>
        <v>-1445</v>
      </c>
      <c r="Y362" s="8">
        <v>59436</v>
      </c>
      <c r="Z362" s="8">
        <f t="shared" si="176"/>
        <v>-1677</v>
      </c>
      <c r="AA362" s="8">
        <v>30730</v>
      </c>
      <c r="AB362" s="8">
        <f t="shared" si="163"/>
        <v>-337</v>
      </c>
      <c r="AC362" s="8">
        <v>28706</v>
      </c>
      <c r="AD362" s="8">
        <f t="shared" si="163"/>
        <v>-1340</v>
      </c>
      <c r="AE362" s="8">
        <v>130127</v>
      </c>
      <c r="AF362" s="8">
        <f t="shared" si="177"/>
        <v>-1633</v>
      </c>
      <c r="AG362" s="8">
        <v>177296</v>
      </c>
      <c r="AH362" s="8">
        <f t="shared" si="178"/>
        <v>-2000</v>
      </c>
      <c r="AI362" s="8">
        <v>-47169</v>
      </c>
      <c r="AJ362" s="8">
        <f t="shared" si="179"/>
        <v>367</v>
      </c>
      <c r="AK362" s="8">
        <v>68778</v>
      </c>
      <c r="AL362" s="8">
        <f t="shared" si="180"/>
        <v>-1964</v>
      </c>
      <c r="AM362" s="8">
        <v>165127</v>
      </c>
      <c r="AN362" s="8">
        <f t="shared" si="181"/>
        <v>-1576</v>
      </c>
      <c r="AO362" s="8">
        <v>-96349</v>
      </c>
      <c r="AP362" s="8">
        <f t="shared" si="182"/>
        <v>-388</v>
      </c>
      <c r="AR362" s="8">
        <v>1711663</v>
      </c>
      <c r="AS362" s="8">
        <f t="shared" si="183"/>
        <v>17182</v>
      </c>
      <c r="AT362" s="8">
        <v>221213</v>
      </c>
      <c r="AU362" s="8">
        <f t="shared" si="184"/>
        <v>5081</v>
      </c>
      <c r="AV362" s="8">
        <v>159581</v>
      </c>
      <c r="AW362" s="8">
        <f t="shared" si="185"/>
        <v>-11054</v>
      </c>
      <c r="AX362" s="8">
        <f t="shared" si="160"/>
        <v>61632</v>
      </c>
      <c r="AY362" s="8">
        <f t="shared" si="186"/>
        <v>16135</v>
      </c>
      <c r="AZ362" s="8">
        <v>699964</v>
      </c>
      <c r="BA362" s="8">
        <f t="shared" si="187"/>
        <v>-5369</v>
      </c>
      <c r="BB362" s="8">
        <v>718516</v>
      </c>
      <c r="BC362" s="8">
        <f t="shared" si="188"/>
        <v>-3316</v>
      </c>
      <c r="BD362" s="8">
        <f t="shared" si="161"/>
        <v>-18552</v>
      </c>
      <c r="BE362" s="8">
        <f t="shared" si="189"/>
        <v>-2053</v>
      </c>
      <c r="BF362" s="8">
        <v>346399</v>
      </c>
      <c r="BG362" s="8">
        <f t="shared" si="190"/>
        <v>-5383</v>
      </c>
      <c r="BH362" s="8">
        <v>629164</v>
      </c>
      <c r="BI362" s="8">
        <f t="shared" si="191"/>
        <v>-7459</v>
      </c>
      <c r="BJ362" s="8">
        <f t="shared" si="162"/>
        <v>-282765</v>
      </c>
      <c r="BK362" s="8">
        <f t="shared" si="164"/>
        <v>2076</v>
      </c>
    </row>
    <row r="363" spans="1:63">
      <c r="A363" s="5">
        <v>41408</v>
      </c>
      <c r="B363" s="8">
        <v>381834</v>
      </c>
      <c r="C363" s="8">
        <f t="shared" si="165"/>
        <v>-455</v>
      </c>
      <c r="D363" s="8">
        <v>59451</v>
      </c>
      <c r="E363" s="8">
        <f t="shared" si="166"/>
        <v>2449</v>
      </c>
      <c r="F363" s="8">
        <v>72618</v>
      </c>
      <c r="G363" s="8">
        <f t="shared" si="167"/>
        <v>-6214</v>
      </c>
      <c r="H363" s="8">
        <v>-13167</v>
      </c>
      <c r="I363" s="8">
        <f t="shared" si="168"/>
        <v>8663</v>
      </c>
      <c r="J363" s="8">
        <v>197027</v>
      </c>
      <c r="K363" s="8">
        <f t="shared" si="169"/>
        <v>-10122</v>
      </c>
      <c r="L363" s="8">
        <v>156983</v>
      </c>
      <c r="M363" s="8">
        <f t="shared" si="170"/>
        <v>4065</v>
      </c>
      <c r="N363" s="8">
        <v>40044</v>
      </c>
      <c r="O363" s="8">
        <f t="shared" si="171"/>
        <v>-14187</v>
      </c>
      <c r="P363" s="8">
        <v>112120</v>
      </c>
      <c r="Q363" s="8">
        <f t="shared" si="172"/>
        <v>-10242</v>
      </c>
      <c r="R363" s="8">
        <v>147894</v>
      </c>
      <c r="S363" s="8">
        <f t="shared" si="173"/>
        <v>3794</v>
      </c>
      <c r="T363" s="8">
        <v>-35774</v>
      </c>
      <c r="U363" s="8">
        <f t="shared" si="174"/>
        <v>-14036</v>
      </c>
      <c r="W363" s="8">
        <v>293883</v>
      </c>
      <c r="X363" s="8">
        <f t="shared" si="175"/>
        <v>3144</v>
      </c>
      <c r="Y363" s="8">
        <v>63292</v>
      </c>
      <c r="Z363" s="8">
        <f t="shared" si="176"/>
        <v>3856</v>
      </c>
      <c r="AA363" s="8">
        <v>26798</v>
      </c>
      <c r="AB363" s="8">
        <f t="shared" si="163"/>
        <v>-3932</v>
      </c>
      <c r="AC363" s="8">
        <v>36494</v>
      </c>
      <c r="AD363" s="8">
        <f t="shared" si="163"/>
        <v>7788</v>
      </c>
      <c r="AE363" s="8">
        <v>121955</v>
      </c>
      <c r="AF363" s="8">
        <f t="shared" si="177"/>
        <v>-8172</v>
      </c>
      <c r="AG363" s="8">
        <v>183323</v>
      </c>
      <c r="AH363" s="8">
        <f t="shared" si="178"/>
        <v>6027</v>
      </c>
      <c r="AI363" s="8">
        <v>-61368</v>
      </c>
      <c r="AJ363" s="8">
        <f t="shared" si="179"/>
        <v>-14199</v>
      </c>
      <c r="AK363" s="8">
        <v>61386</v>
      </c>
      <c r="AL363" s="8">
        <f t="shared" si="180"/>
        <v>-7392</v>
      </c>
      <c r="AM363" s="8">
        <v>170539</v>
      </c>
      <c r="AN363" s="8">
        <f t="shared" si="181"/>
        <v>5412</v>
      </c>
      <c r="AO363" s="8">
        <v>-109153</v>
      </c>
      <c r="AP363" s="8">
        <f t="shared" si="182"/>
        <v>-12804</v>
      </c>
      <c r="AR363" s="8">
        <v>1729183</v>
      </c>
      <c r="AS363" s="8">
        <f t="shared" si="183"/>
        <v>17520</v>
      </c>
      <c r="AT363" s="8">
        <v>234474</v>
      </c>
      <c r="AU363" s="8">
        <f t="shared" si="184"/>
        <v>13261</v>
      </c>
      <c r="AV363" s="8">
        <v>158842</v>
      </c>
      <c r="AW363" s="8">
        <f t="shared" si="185"/>
        <v>-739</v>
      </c>
      <c r="AX363" s="8">
        <f t="shared" si="160"/>
        <v>75632</v>
      </c>
      <c r="AY363" s="8">
        <f t="shared" si="186"/>
        <v>14000</v>
      </c>
      <c r="AZ363" s="8">
        <v>693993</v>
      </c>
      <c r="BA363" s="8">
        <f t="shared" si="187"/>
        <v>-5971</v>
      </c>
      <c r="BB363" s="8">
        <v>705964</v>
      </c>
      <c r="BC363" s="8">
        <f t="shared" si="188"/>
        <v>-12552</v>
      </c>
      <c r="BD363" s="8">
        <f t="shared" si="161"/>
        <v>-11971</v>
      </c>
      <c r="BE363" s="8">
        <f t="shared" si="189"/>
        <v>6581</v>
      </c>
      <c r="BF363" s="8">
        <v>347817</v>
      </c>
      <c r="BG363" s="8">
        <f t="shared" si="190"/>
        <v>1418</v>
      </c>
      <c r="BH363" s="8">
        <v>622595</v>
      </c>
      <c r="BI363" s="8">
        <f t="shared" si="191"/>
        <v>-6569</v>
      </c>
      <c r="BJ363" s="8">
        <f t="shared" si="162"/>
        <v>-274778</v>
      </c>
      <c r="BK363" s="8">
        <f t="shared" si="164"/>
        <v>7987</v>
      </c>
    </row>
    <row r="364" spans="1:63">
      <c r="A364" s="5">
        <v>41415</v>
      </c>
      <c r="B364" s="8">
        <v>391895</v>
      </c>
      <c r="C364" s="8">
        <f t="shared" si="165"/>
        <v>10061</v>
      </c>
      <c r="D364" s="8">
        <v>57989</v>
      </c>
      <c r="E364" s="8">
        <f t="shared" si="166"/>
        <v>-1462</v>
      </c>
      <c r="F364" s="8">
        <v>68998</v>
      </c>
      <c r="G364" s="8">
        <f t="shared" si="167"/>
        <v>-3620</v>
      </c>
      <c r="H364" s="8">
        <v>-11009</v>
      </c>
      <c r="I364" s="8">
        <f t="shared" si="168"/>
        <v>2158</v>
      </c>
      <c r="J364" s="8">
        <v>203341</v>
      </c>
      <c r="K364" s="8">
        <f t="shared" si="169"/>
        <v>6314</v>
      </c>
      <c r="L364" s="8">
        <v>168584</v>
      </c>
      <c r="M364" s="8">
        <f t="shared" si="170"/>
        <v>11601</v>
      </c>
      <c r="N364" s="8">
        <v>34757</v>
      </c>
      <c r="O364" s="8">
        <f t="shared" si="171"/>
        <v>-5287</v>
      </c>
      <c r="P364" s="8">
        <v>114104</v>
      </c>
      <c r="Q364" s="8">
        <f t="shared" si="172"/>
        <v>1984</v>
      </c>
      <c r="R364" s="8">
        <v>158551</v>
      </c>
      <c r="S364" s="8">
        <f t="shared" si="173"/>
        <v>10657</v>
      </c>
      <c r="T364" s="8">
        <v>-44447</v>
      </c>
      <c r="U364" s="8">
        <f t="shared" si="174"/>
        <v>-8673</v>
      </c>
      <c r="W364" s="8">
        <v>307233</v>
      </c>
      <c r="X364" s="8">
        <f t="shared" si="175"/>
        <v>13350</v>
      </c>
      <c r="Y364" s="8">
        <v>68745</v>
      </c>
      <c r="Z364" s="8">
        <f t="shared" si="176"/>
        <v>5453</v>
      </c>
      <c r="AA364" s="8">
        <v>22493</v>
      </c>
      <c r="AB364" s="8">
        <f t="shared" si="163"/>
        <v>-4305</v>
      </c>
      <c r="AC364" s="8">
        <v>46252</v>
      </c>
      <c r="AD364" s="8">
        <f t="shared" si="163"/>
        <v>9758</v>
      </c>
      <c r="AE364" s="8">
        <v>120445</v>
      </c>
      <c r="AF364" s="8">
        <f t="shared" si="177"/>
        <v>-1510</v>
      </c>
      <c r="AG364" s="8">
        <v>197781</v>
      </c>
      <c r="AH364" s="8">
        <f t="shared" si="178"/>
        <v>14458</v>
      </c>
      <c r="AI364" s="8">
        <v>-77336</v>
      </c>
      <c r="AJ364" s="8">
        <f t="shared" si="179"/>
        <v>-15968</v>
      </c>
      <c r="AK364" s="8">
        <v>62144</v>
      </c>
      <c r="AL364" s="8">
        <f t="shared" si="180"/>
        <v>758</v>
      </c>
      <c r="AM364" s="8">
        <v>185385</v>
      </c>
      <c r="AN364" s="8">
        <f t="shared" si="181"/>
        <v>14846</v>
      </c>
      <c r="AO364" s="8">
        <v>-123241</v>
      </c>
      <c r="AP364" s="8">
        <f t="shared" si="182"/>
        <v>-14088</v>
      </c>
      <c r="AR364" s="8">
        <v>1781563</v>
      </c>
      <c r="AS364" s="8">
        <f t="shared" si="183"/>
        <v>52380</v>
      </c>
      <c r="AT364" s="8">
        <v>244455</v>
      </c>
      <c r="AU364" s="8">
        <f t="shared" si="184"/>
        <v>9981</v>
      </c>
      <c r="AV364" s="8">
        <v>190003</v>
      </c>
      <c r="AW364" s="8">
        <f t="shared" si="185"/>
        <v>31161</v>
      </c>
      <c r="AX364" s="8">
        <f t="shared" si="160"/>
        <v>54452</v>
      </c>
      <c r="AY364" s="8">
        <f t="shared" si="186"/>
        <v>-21180</v>
      </c>
      <c r="AZ364" s="8">
        <v>701554</v>
      </c>
      <c r="BA364" s="8">
        <f t="shared" si="187"/>
        <v>7561</v>
      </c>
      <c r="BB364" s="8">
        <v>691536</v>
      </c>
      <c r="BC364" s="8">
        <f t="shared" si="188"/>
        <v>-14428</v>
      </c>
      <c r="BD364" s="8">
        <f t="shared" si="161"/>
        <v>10018</v>
      </c>
      <c r="BE364" s="8">
        <f t="shared" si="189"/>
        <v>21989</v>
      </c>
      <c r="BF364" s="8">
        <v>356621</v>
      </c>
      <c r="BG364" s="8">
        <f t="shared" si="190"/>
        <v>8804</v>
      </c>
      <c r="BH364" s="8">
        <v>607662</v>
      </c>
      <c r="BI364" s="8">
        <f t="shared" si="191"/>
        <v>-14933</v>
      </c>
      <c r="BJ364" s="8">
        <f t="shared" si="162"/>
        <v>-251041</v>
      </c>
      <c r="BK364" s="8">
        <f t="shared" si="164"/>
        <v>23737</v>
      </c>
    </row>
    <row r="365" spans="1:63">
      <c r="A365" s="5">
        <v>41422</v>
      </c>
      <c r="B365" s="8">
        <v>396958</v>
      </c>
      <c r="C365" s="8">
        <f t="shared" si="165"/>
        <v>5063</v>
      </c>
      <c r="D365" s="8">
        <v>59758</v>
      </c>
      <c r="E365" s="8">
        <f t="shared" si="166"/>
        <v>1769</v>
      </c>
      <c r="F365" s="8">
        <v>65387</v>
      </c>
      <c r="G365" s="8">
        <f t="shared" si="167"/>
        <v>-3611</v>
      </c>
      <c r="H365" s="8">
        <v>-5629</v>
      </c>
      <c r="I365" s="8">
        <f t="shared" si="168"/>
        <v>5380</v>
      </c>
      <c r="J365" s="8">
        <v>205725</v>
      </c>
      <c r="K365" s="8">
        <f t="shared" si="169"/>
        <v>2384</v>
      </c>
      <c r="L365" s="8">
        <v>178669</v>
      </c>
      <c r="M365" s="8">
        <f t="shared" si="170"/>
        <v>10085</v>
      </c>
      <c r="N365" s="8">
        <v>27056</v>
      </c>
      <c r="O365" s="8">
        <f t="shared" si="171"/>
        <v>-7701</v>
      </c>
      <c r="P365" s="8">
        <v>113580</v>
      </c>
      <c r="Q365" s="8">
        <f t="shared" si="172"/>
        <v>-524</v>
      </c>
      <c r="R365" s="8">
        <v>166863</v>
      </c>
      <c r="S365" s="8">
        <f t="shared" si="173"/>
        <v>8312</v>
      </c>
      <c r="T365" s="8">
        <v>-53283</v>
      </c>
      <c r="U365" s="8">
        <f t="shared" si="174"/>
        <v>-8836</v>
      </c>
      <c r="W365" s="8">
        <v>317536</v>
      </c>
      <c r="X365" s="8">
        <f t="shared" si="175"/>
        <v>10303</v>
      </c>
      <c r="Y365" s="8">
        <v>75222</v>
      </c>
      <c r="Z365" s="8">
        <f t="shared" si="176"/>
        <v>6477</v>
      </c>
      <c r="AA365" s="8">
        <v>20907</v>
      </c>
      <c r="AB365" s="8">
        <f t="shared" si="163"/>
        <v>-1586</v>
      </c>
      <c r="AC365" s="8">
        <v>54315</v>
      </c>
      <c r="AD365" s="8">
        <f t="shared" si="163"/>
        <v>8063</v>
      </c>
      <c r="AE365" s="8">
        <v>122980</v>
      </c>
      <c r="AF365" s="8">
        <f t="shared" si="177"/>
        <v>2535</v>
      </c>
      <c r="AG365" s="8">
        <v>203432</v>
      </c>
      <c r="AH365" s="8">
        <f t="shared" si="178"/>
        <v>5651</v>
      </c>
      <c r="AI365" s="8">
        <v>-80452</v>
      </c>
      <c r="AJ365" s="8">
        <f t="shared" si="179"/>
        <v>-3116</v>
      </c>
      <c r="AK365" s="8">
        <v>64314</v>
      </c>
      <c r="AL365" s="8">
        <f t="shared" si="180"/>
        <v>2170</v>
      </c>
      <c r="AM365" s="8">
        <v>188514</v>
      </c>
      <c r="AN365" s="8">
        <f t="shared" si="181"/>
        <v>3129</v>
      </c>
      <c r="AO365" s="8">
        <v>-124200</v>
      </c>
      <c r="AP365" s="8">
        <f t="shared" si="182"/>
        <v>-959</v>
      </c>
      <c r="AR365" s="8">
        <v>1766679</v>
      </c>
      <c r="AS365" s="8">
        <f t="shared" si="183"/>
        <v>-14884</v>
      </c>
      <c r="AT365" s="8">
        <v>265648</v>
      </c>
      <c r="AU365" s="8">
        <f t="shared" si="184"/>
        <v>21193</v>
      </c>
      <c r="AV365" s="8">
        <v>167268</v>
      </c>
      <c r="AW365" s="8">
        <f t="shared" si="185"/>
        <v>-22735</v>
      </c>
      <c r="AX365" s="8">
        <f t="shared" si="160"/>
        <v>98380</v>
      </c>
      <c r="AY365" s="8">
        <f t="shared" si="186"/>
        <v>43928</v>
      </c>
      <c r="AZ365" s="8">
        <v>687830</v>
      </c>
      <c r="BA365" s="8">
        <f t="shared" si="187"/>
        <v>-13724</v>
      </c>
      <c r="BB365" s="8">
        <v>717648</v>
      </c>
      <c r="BC365" s="8">
        <f t="shared" si="188"/>
        <v>26112</v>
      </c>
      <c r="BD365" s="8">
        <f t="shared" si="161"/>
        <v>-29818</v>
      </c>
      <c r="BE365" s="8">
        <f t="shared" si="189"/>
        <v>-39836</v>
      </c>
      <c r="BF365" s="8">
        <v>348678</v>
      </c>
      <c r="BG365" s="8">
        <f t="shared" si="190"/>
        <v>-7943</v>
      </c>
      <c r="BH365" s="8">
        <v>632130</v>
      </c>
      <c r="BI365" s="8">
        <f t="shared" si="191"/>
        <v>24468</v>
      </c>
      <c r="BJ365" s="8">
        <f t="shared" si="162"/>
        <v>-283452</v>
      </c>
      <c r="BK365" s="8">
        <f t="shared" si="164"/>
        <v>-32411</v>
      </c>
    </row>
    <row r="366" spans="1:63">
      <c r="A366" s="5">
        <v>41429</v>
      </c>
      <c r="B366" s="8">
        <v>407723</v>
      </c>
      <c r="C366" s="8">
        <f t="shared" si="165"/>
        <v>10765</v>
      </c>
      <c r="D366" s="8">
        <v>55144</v>
      </c>
      <c r="E366" s="8">
        <f t="shared" si="166"/>
        <v>-4614</v>
      </c>
      <c r="F366" s="8">
        <v>76184</v>
      </c>
      <c r="G366" s="8">
        <f t="shared" si="167"/>
        <v>10797</v>
      </c>
      <c r="H366" s="8">
        <v>-21040</v>
      </c>
      <c r="I366" s="8">
        <f t="shared" si="168"/>
        <v>-15411</v>
      </c>
      <c r="J366" s="8">
        <v>219474</v>
      </c>
      <c r="K366" s="8">
        <f t="shared" si="169"/>
        <v>13749</v>
      </c>
      <c r="L366" s="8">
        <v>174853</v>
      </c>
      <c r="M366" s="8">
        <f t="shared" si="170"/>
        <v>-3816</v>
      </c>
      <c r="N366" s="8">
        <v>44621</v>
      </c>
      <c r="O366" s="8">
        <f t="shared" si="171"/>
        <v>17565</v>
      </c>
      <c r="P366" s="8">
        <v>127038</v>
      </c>
      <c r="Q366" s="8">
        <f t="shared" si="172"/>
        <v>13458</v>
      </c>
      <c r="R366" s="8">
        <v>161069</v>
      </c>
      <c r="S366" s="8">
        <f t="shared" si="173"/>
        <v>-5794</v>
      </c>
      <c r="T366" s="8">
        <v>-34031</v>
      </c>
      <c r="U366" s="8">
        <f t="shared" si="174"/>
        <v>19252</v>
      </c>
      <c r="W366" s="8">
        <v>330323</v>
      </c>
      <c r="X366" s="8">
        <f t="shared" si="175"/>
        <v>12787</v>
      </c>
      <c r="Y366" s="8">
        <v>79934</v>
      </c>
      <c r="Z366" s="8">
        <f t="shared" si="176"/>
        <v>4712</v>
      </c>
      <c r="AA366" s="8">
        <v>19337</v>
      </c>
      <c r="AB366" s="8">
        <f t="shared" si="163"/>
        <v>-1570</v>
      </c>
      <c r="AC366" s="8">
        <v>60597</v>
      </c>
      <c r="AD366" s="8">
        <f t="shared" si="163"/>
        <v>6282</v>
      </c>
      <c r="AE366" s="8">
        <v>127205</v>
      </c>
      <c r="AF366" s="8">
        <f t="shared" si="177"/>
        <v>4225</v>
      </c>
      <c r="AG366" s="8">
        <v>211442</v>
      </c>
      <c r="AH366" s="8">
        <f t="shared" si="178"/>
        <v>8010</v>
      </c>
      <c r="AI366" s="8">
        <v>-84237</v>
      </c>
      <c r="AJ366" s="8">
        <f t="shared" si="179"/>
        <v>-3785</v>
      </c>
      <c r="AK366" s="8">
        <v>63526</v>
      </c>
      <c r="AL366" s="8">
        <f t="shared" si="180"/>
        <v>-788</v>
      </c>
      <c r="AM366" s="8">
        <v>192477</v>
      </c>
      <c r="AN366" s="8">
        <f t="shared" si="181"/>
        <v>3963</v>
      </c>
      <c r="AO366" s="8">
        <v>-128951</v>
      </c>
      <c r="AP366" s="8">
        <f t="shared" si="182"/>
        <v>-4751</v>
      </c>
      <c r="AR366" s="8">
        <v>1756977</v>
      </c>
      <c r="AS366" s="8">
        <f t="shared" si="183"/>
        <v>-9702</v>
      </c>
      <c r="AT366" s="8">
        <v>258352</v>
      </c>
      <c r="AU366" s="8">
        <f t="shared" si="184"/>
        <v>-7296</v>
      </c>
      <c r="AV366" s="8">
        <v>167404</v>
      </c>
      <c r="AW366" s="8">
        <f t="shared" si="185"/>
        <v>136</v>
      </c>
      <c r="AX366" s="8">
        <f t="shared" si="160"/>
        <v>90948</v>
      </c>
      <c r="AY366" s="8">
        <f t="shared" si="186"/>
        <v>-7432</v>
      </c>
      <c r="AZ366" s="8">
        <v>703165</v>
      </c>
      <c r="BA366" s="8">
        <f t="shared" si="187"/>
        <v>15335</v>
      </c>
      <c r="BB366" s="8">
        <v>722495</v>
      </c>
      <c r="BC366" s="8">
        <f t="shared" si="188"/>
        <v>4847</v>
      </c>
      <c r="BD366" s="8">
        <f t="shared" si="161"/>
        <v>-19330</v>
      </c>
      <c r="BE366" s="8">
        <f t="shared" si="189"/>
        <v>10488</v>
      </c>
      <c r="BF366" s="8">
        <v>361476</v>
      </c>
      <c r="BG366" s="8">
        <f t="shared" si="190"/>
        <v>12798</v>
      </c>
      <c r="BH366" s="8">
        <v>634814</v>
      </c>
      <c r="BI366" s="8">
        <f t="shared" si="191"/>
        <v>2684</v>
      </c>
      <c r="BJ366" s="8">
        <f t="shared" si="162"/>
        <v>-273338</v>
      </c>
      <c r="BK366" s="8">
        <f t="shared" si="164"/>
        <v>10114</v>
      </c>
    </row>
    <row r="367" spans="1:63">
      <c r="A367" s="5">
        <v>41436</v>
      </c>
      <c r="B367" s="8">
        <v>407184</v>
      </c>
      <c r="C367" s="8">
        <f t="shared" si="165"/>
        <v>-539</v>
      </c>
      <c r="D367" s="8">
        <v>56741</v>
      </c>
      <c r="E367" s="8">
        <f t="shared" si="166"/>
        <v>1597</v>
      </c>
      <c r="F367" s="8">
        <v>75844</v>
      </c>
      <c r="G367" s="8">
        <f t="shared" si="167"/>
        <v>-340</v>
      </c>
      <c r="H367" s="8">
        <v>-19103</v>
      </c>
      <c r="I367" s="8">
        <f t="shared" si="168"/>
        <v>1937</v>
      </c>
      <c r="J367" s="8">
        <v>219729</v>
      </c>
      <c r="K367" s="8">
        <f t="shared" si="169"/>
        <v>255</v>
      </c>
      <c r="L367" s="8">
        <v>173327</v>
      </c>
      <c r="M367" s="8">
        <f t="shared" si="170"/>
        <v>-1526</v>
      </c>
      <c r="N367" s="8">
        <v>46402</v>
      </c>
      <c r="O367" s="8">
        <f t="shared" si="171"/>
        <v>1781</v>
      </c>
      <c r="P367" s="8">
        <v>128480</v>
      </c>
      <c r="Q367" s="8">
        <f t="shared" si="172"/>
        <v>1442</v>
      </c>
      <c r="R367" s="8">
        <v>159484</v>
      </c>
      <c r="S367" s="8">
        <f t="shared" si="173"/>
        <v>-1585</v>
      </c>
      <c r="T367" s="8">
        <v>-31004</v>
      </c>
      <c r="U367" s="8">
        <f t="shared" si="174"/>
        <v>3027</v>
      </c>
      <c r="W367" s="8">
        <v>351193</v>
      </c>
      <c r="X367" s="8">
        <f t="shared" si="175"/>
        <v>20870</v>
      </c>
      <c r="Y367" s="8">
        <v>89763</v>
      </c>
      <c r="Z367" s="8">
        <f t="shared" si="176"/>
        <v>9829</v>
      </c>
      <c r="AA367" s="8">
        <v>19873</v>
      </c>
      <c r="AB367" s="8">
        <f t="shared" si="163"/>
        <v>536</v>
      </c>
      <c r="AC367" s="8">
        <v>69890</v>
      </c>
      <c r="AD367" s="8">
        <f t="shared" si="163"/>
        <v>9293</v>
      </c>
      <c r="AE367" s="8">
        <v>127133</v>
      </c>
      <c r="AF367" s="8">
        <f t="shared" si="177"/>
        <v>-72</v>
      </c>
      <c r="AG367" s="8">
        <v>222970</v>
      </c>
      <c r="AH367" s="8">
        <f t="shared" si="178"/>
        <v>11528</v>
      </c>
      <c r="AI367" s="8">
        <v>-95837</v>
      </c>
      <c r="AJ367" s="8">
        <f t="shared" si="179"/>
        <v>-11600</v>
      </c>
      <c r="AK367" s="8">
        <v>65781</v>
      </c>
      <c r="AL367" s="8">
        <f t="shared" si="180"/>
        <v>2255</v>
      </c>
      <c r="AM367" s="8">
        <v>205026</v>
      </c>
      <c r="AN367" s="8">
        <f t="shared" si="181"/>
        <v>12549</v>
      </c>
      <c r="AO367" s="8">
        <v>-139245</v>
      </c>
      <c r="AP367" s="8">
        <f t="shared" si="182"/>
        <v>-10294</v>
      </c>
      <c r="AR367" s="8">
        <v>1794071</v>
      </c>
      <c r="AS367" s="8">
        <f t="shared" si="183"/>
        <v>37094</v>
      </c>
      <c r="AT367" s="8">
        <v>253139</v>
      </c>
      <c r="AU367" s="8">
        <f t="shared" si="184"/>
        <v>-5213</v>
      </c>
      <c r="AV367" s="8">
        <v>170622</v>
      </c>
      <c r="AW367" s="8">
        <f t="shared" si="185"/>
        <v>3218</v>
      </c>
      <c r="AX367" s="8">
        <f t="shared" si="160"/>
        <v>82517</v>
      </c>
      <c r="AY367" s="8">
        <f t="shared" si="186"/>
        <v>-8431</v>
      </c>
      <c r="AZ367" s="8">
        <v>715200</v>
      </c>
      <c r="BA367" s="8">
        <f t="shared" si="187"/>
        <v>12035</v>
      </c>
      <c r="BB367" s="8">
        <v>729503</v>
      </c>
      <c r="BC367" s="8">
        <f t="shared" si="188"/>
        <v>7008</v>
      </c>
      <c r="BD367" s="8">
        <f t="shared" si="161"/>
        <v>-14303</v>
      </c>
      <c r="BE367" s="8">
        <f t="shared" si="189"/>
        <v>5027</v>
      </c>
      <c r="BF367" s="8">
        <v>369859</v>
      </c>
      <c r="BG367" s="8">
        <f t="shared" si="190"/>
        <v>8383</v>
      </c>
      <c r="BH367" s="8">
        <v>638915</v>
      </c>
      <c r="BI367" s="8">
        <f t="shared" si="191"/>
        <v>4101</v>
      </c>
      <c r="BJ367" s="8">
        <f t="shared" si="162"/>
        <v>-269056</v>
      </c>
      <c r="BK367" s="8">
        <f t="shared" si="164"/>
        <v>4282</v>
      </c>
    </row>
    <row r="368" spans="1:63">
      <c r="A368" s="5">
        <v>41443</v>
      </c>
      <c r="B368" s="8">
        <v>393039</v>
      </c>
      <c r="C368" s="8">
        <f t="shared" si="165"/>
        <v>-14145</v>
      </c>
      <c r="D368" s="8">
        <v>57945</v>
      </c>
      <c r="E368" s="8">
        <f t="shared" si="166"/>
        <v>1204</v>
      </c>
      <c r="F368" s="8">
        <v>79937</v>
      </c>
      <c r="G368" s="8">
        <f t="shared" si="167"/>
        <v>4093</v>
      </c>
      <c r="H368" s="8">
        <v>-21992</v>
      </c>
      <c r="I368" s="8">
        <f t="shared" si="168"/>
        <v>-2889</v>
      </c>
      <c r="J368" s="8">
        <v>207960</v>
      </c>
      <c r="K368" s="8">
        <f t="shared" si="169"/>
        <v>-11769</v>
      </c>
      <c r="L368" s="8">
        <v>171727</v>
      </c>
      <c r="M368" s="8">
        <f t="shared" si="170"/>
        <v>-1600</v>
      </c>
      <c r="N368" s="8">
        <v>36233</v>
      </c>
      <c r="O368" s="8">
        <f t="shared" si="171"/>
        <v>-10169</v>
      </c>
      <c r="P368" s="8">
        <v>117231</v>
      </c>
      <c r="Q368" s="8">
        <f t="shared" si="172"/>
        <v>-11249</v>
      </c>
      <c r="R368" s="8">
        <v>159762</v>
      </c>
      <c r="S368" s="8">
        <f t="shared" si="173"/>
        <v>278</v>
      </c>
      <c r="T368" s="8">
        <v>-42531</v>
      </c>
      <c r="U368" s="8">
        <f t="shared" si="174"/>
        <v>-11527</v>
      </c>
      <c r="W368" s="8">
        <v>362307</v>
      </c>
      <c r="X368" s="8">
        <f t="shared" si="175"/>
        <v>11114</v>
      </c>
      <c r="Y368" s="8">
        <v>88355</v>
      </c>
      <c r="Z368" s="8">
        <f t="shared" si="176"/>
        <v>-1408</v>
      </c>
      <c r="AA368" s="8">
        <v>23484</v>
      </c>
      <c r="AB368" s="8">
        <f t="shared" si="163"/>
        <v>3611</v>
      </c>
      <c r="AC368" s="8">
        <v>64871</v>
      </c>
      <c r="AD368" s="8">
        <f t="shared" si="163"/>
        <v>-5019</v>
      </c>
      <c r="AE368" s="8">
        <v>137564</v>
      </c>
      <c r="AF368" s="8">
        <f t="shared" si="177"/>
        <v>10431</v>
      </c>
      <c r="AG368" s="8">
        <v>223971</v>
      </c>
      <c r="AH368" s="8">
        <f t="shared" si="178"/>
        <v>1001</v>
      </c>
      <c r="AI368" s="8">
        <v>-86407</v>
      </c>
      <c r="AJ368" s="8">
        <f t="shared" si="179"/>
        <v>9430</v>
      </c>
      <c r="AK368" s="8">
        <v>73671</v>
      </c>
      <c r="AL368" s="8">
        <f t="shared" si="180"/>
        <v>7890</v>
      </c>
      <c r="AM368" s="8">
        <v>206107</v>
      </c>
      <c r="AN368" s="8">
        <f t="shared" si="181"/>
        <v>1081</v>
      </c>
      <c r="AO368" s="8">
        <v>-132436</v>
      </c>
      <c r="AP368" s="8">
        <f t="shared" si="182"/>
        <v>6809</v>
      </c>
      <c r="AR368" s="8">
        <v>1818654</v>
      </c>
      <c r="AS368" s="8">
        <f t="shared" si="183"/>
        <v>24583</v>
      </c>
      <c r="AT368" s="8">
        <v>255920</v>
      </c>
      <c r="AU368" s="8">
        <f t="shared" si="184"/>
        <v>2781</v>
      </c>
      <c r="AV368" s="8">
        <v>181515</v>
      </c>
      <c r="AW368" s="8">
        <f t="shared" si="185"/>
        <v>10893</v>
      </c>
      <c r="AX368" s="8">
        <f t="shared" si="160"/>
        <v>74405</v>
      </c>
      <c r="AY368" s="8">
        <f t="shared" si="186"/>
        <v>-8112</v>
      </c>
      <c r="AZ368" s="8">
        <v>719216</v>
      </c>
      <c r="BA368" s="8">
        <f t="shared" si="187"/>
        <v>4016</v>
      </c>
      <c r="BB368" s="8">
        <v>722942</v>
      </c>
      <c r="BC368" s="8">
        <f t="shared" si="188"/>
        <v>-6561</v>
      </c>
      <c r="BD368" s="8">
        <f t="shared" si="161"/>
        <v>-3726</v>
      </c>
      <c r="BE368" s="8">
        <f t="shared" si="189"/>
        <v>10577</v>
      </c>
      <c r="BF368" s="8">
        <v>365162</v>
      </c>
      <c r="BG368" s="8">
        <f t="shared" si="190"/>
        <v>-4697</v>
      </c>
      <c r="BH368" s="8">
        <v>630246</v>
      </c>
      <c r="BI368" s="8">
        <f t="shared" si="191"/>
        <v>-8669</v>
      </c>
      <c r="BJ368" s="8">
        <f t="shared" si="162"/>
        <v>-265084</v>
      </c>
      <c r="BK368" s="8">
        <f t="shared" si="164"/>
        <v>3972</v>
      </c>
    </row>
    <row r="369" spans="1:63">
      <c r="A369" s="5">
        <v>41450</v>
      </c>
      <c r="B369" s="8">
        <v>363708</v>
      </c>
      <c r="C369" s="8">
        <f t="shared" si="165"/>
        <v>-29331</v>
      </c>
      <c r="D369" s="8">
        <v>56232</v>
      </c>
      <c r="E369" s="8">
        <f t="shared" si="166"/>
        <v>-1713</v>
      </c>
      <c r="F369" s="8">
        <v>84204</v>
      </c>
      <c r="G369" s="8">
        <f t="shared" si="167"/>
        <v>4267</v>
      </c>
      <c r="H369" s="8">
        <v>-27972</v>
      </c>
      <c r="I369" s="8">
        <f t="shared" si="168"/>
        <v>-5980</v>
      </c>
      <c r="J369" s="8">
        <v>197887</v>
      </c>
      <c r="K369" s="8">
        <f t="shared" si="169"/>
        <v>-10073</v>
      </c>
      <c r="L369" s="8">
        <v>158528</v>
      </c>
      <c r="M369" s="8">
        <f t="shared" si="170"/>
        <v>-13199</v>
      </c>
      <c r="N369" s="8">
        <v>39359</v>
      </c>
      <c r="O369" s="8">
        <f t="shared" si="171"/>
        <v>3126</v>
      </c>
      <c r="P369" s="8">
        <v>113641</v>
      </c>
      <c r="Q369" s="8">
        <f t="shared" si="172"/>
        <v>-3590</v>
      </c>
      <c r="R369" s="8">
        <v>152050</v>
      </c>
      <c r="S369" s="8">
        <f t="shared" si="173"/>
        <v>-7712</v>
      </c>
      <c r="T369" s="8">
        <v>-38409</v>
      </c>
      <c r="U369" s="8">
        <f t="shared" si="174"/>
        <v>4122</v>
      </c>
      <c r="W369" s="8">
        <v>348744</v>
      </c>
      <c r="X369" s="8">
        <f t="shared" si="175"/>
        <v>-13563</v>
      </c>
      <c r="Y369" s="8">
        <v>87000</v>
      </c>
      <c r="Z369" s="8">
        <f t="shared" si="176"/>
        <v>-1355</v>
      </c>
      <c r="AA369" s="8">
        <v>25388</v>
      </c>
      <c r="AB369" s="8">
        <f t="shared" si="163"/>
        <v>1904</v>
      </c>
      <c r="AC369" s="8">
        <v>61612</v>
      </c>
      <c r="AD369" s="8">
        <f t="shared" si="163"/>
        <v>-3259</v>
      </c>
      <c r="AE369" s="8">
        <v>138604</v>
      </c>
      <c r="AF369" s="8">
        <f t="shared" si="177"/>
        <v>1040</v>
      </c>
      <c r="AG369" s="8">
        <v>217141</v>
      </c>
      <c r="AH369" s="8">
        <f t="shared" si="178"/>
        <v>-6830</v>
      </c>
      <c r="AI369" s="8">
        <v>-78537</v>
      </c>
      <c r="AJ369" s="8">
        <f t="shared" si="179"/>
        <v>7870</v>
      </c>
      <c r="AK369" s="8">
        <v>75546</v>
      </c>
      <c r="AL369" s="8">
        <f t="shared" si="180"/>
        <v>1875</v>
      </c>
      <c r="AM369" s="8">
        <v>202989</v>
      </c>
      <c r="AN369" s="8">
        <f t="shared" si="181"/>
        <v>-3118</v>
      </c>
      <c r="AO369" s="8">
        <v>-127443</v>
      </c>
      <c r="AP369" s="8">
        <f t="shared" si="182"/>
        <v>4993</v>
      </c>
      <c r="AR369" s="8">
        <v>1639001</v>
      </c>
      <c r="AS369" s="8">
        <f t="shared" si="183"/>
        <v>-179653</v>
      </c>
      <c r="AT369" s="8">
        <v>256430</v>
      </c>
      <c r="AU369" s="8">
        <f t="shared" si="184"/>
        <v>510</v>
      </c>
      <c r="AV369" s="8">
        <v>185729</v>
      </c>
      <c r="AW369" s="8">
        <f t="shared" si="185"/>
        <v>4214</v>
      </c>
      <c r="AX369" s="8">
        <f t="shared" si="160"/>
        <v>70701</v>
      </c>
      <c r="AY369" s="8">
        <f t="shared" si="186"/>
        <v>-3704</v>
      </c>
      <c r="AZ369" s="8">
        <v>652538</v>
      </c>
      <c r="BA369" s="8">
        <f t="shared" si="187"/>
        <v>-66678</v>
      </c>
      <c r="BB369" s="8">
        <v>657487</v>
      </c>
      <c r="BC369" s="8">
        <f t="shared" si="188"/>
        <v>-65455</v>
      </c>
      <c r="BD369" s="8">
        <f t="shared" si="161"/>
        <v>-4949</v>
      </c>
      <c r="BE369" s="8">
        <f t="shared" si="189"/>
        <v>-1223</v>
      </c>
      <c r="BF369" s="8">
        <v>330615</v>
      </c>
      <c r="BG369" s="8">
        <f t="shared" si="190"/>
        <v>-34547</v>
      </c>
      <c r="BH369" s="8">
        <v>597196</v>
      </c>
      <c r="BI369" s="8">
        <f t="shared" si="191"/>
        <v>-33050</v>
      </c>
      <c r="BJ369" s="8">
        <f t="shared" si="162"/>
        <v>-266581</v>
      </c>
      <c r="BK369" s="8">
        <f t="shared" si="164"/>
        <v>-1497</v>
      </c>
    </row>
    <row r="370" spans="1:63">
      <c r="A370" s="5">
        <v>41457</v>
      </c>
      <c r="B370" s="8">
        <v>367255</v>
      </c>
      <c r="C370" s="8">
        <f t="shared" si="165"/>
        <v>3547</v>
      </c>
      <c r="D370" s="8">
        <v>52789</v>
      </c>
      <c r="E370" s="8">
        <f t="shared" si="166"/>
        <v>-3443</v>
      </c>
      <c r="F370" s="8">
        <v>88613</v>
      </c>
      <c r="G370" s="8">
        <f t="shared" si="167"/>
        <v>4409</v>
      </c>
      <c r="H370" s="8">
        <v>-35824</v>
      </c>
      <c r="I370" s="8">
        <f t="shared" si="168"/>
        <v>-7852</v>
      </c>
      <c r="J370" s="8">
        <v>200914</v>
      </c>
      <c r="K370" s="8">
        <f t="shared" si="169"/>
        <v>3027</v>
      </c>
      <c r="L370" s="8">
        <v>152594</v>
      </c>
      <c r="M370" s="8">
        <f t="shared" si="170"/>
        <v>-5934</v>
      </c>
      <c r="N370" s="8">
        <v>48320</v>
      </c>
      <c r="O370" s="8">
        <f t="shared" si="171"/>
        <v>8961</v>
      </c>
      <c r="P370" s="8">
        <v>116126</v>
      </c>
      <c r="Q370" s="8">
        <f t="shared" si="172"/>
        <v>2485</v>
      </c>
      <c r="R370" s="8">
        <v>147217</v>
      </c>
      <c r="S370" s="8">
        <f t="shared" si="173"/>
        <v>-4833</v>
      </c>
      <c r="T370" s="8">
        <v>-31091</v>
      </c>
      <c r="U370" s="8">
        <f t="shared" si="174"/>
        <v>7318</v>
      </c>
      <c r="W370" s="8">
        <v>329351</v>
      </c>
      <c r="X370" s="8">
        <f t="shared" si="175"/>
        <v>-19393</v>
      </c>
      <c r="Y370" s="8">
        <v>78511</v>
      </c>
      <c r="Z370" s="8">
        <f t="shared" si="176"/>
        <v>-8489</v>
      </c>
      <c r="AA370" s="8">
        <v>25377</v>
      </c>
      <c r="AB370" s="8">
        <f t="shared" si="163"/>
        <v>-11</v>
      </c>
      <c r="AC370" s="8">
        <v>53134</v>
      </c>
      <c r="AD370" s="8">
        <f t="shared" si="163"/>
        <v>-8478</v>
      </c>
      <c r="AE370" s="8">
        <v>132453</v>
      </c>
      <c r="AF370" s="8">
        <f t="shared" si="177"/>
        <v>-6151</v>
      </c>
      <c r="AG370" s="8">
        <v>205315</v>
      </c>
      <c r="AH370" s="8">
        <f t="shared" si="178"/>
        <v>-11826</v>
      </c>
      <c r="AI370" s="8">
        <v>-72862</v>
      </c>
      <c r="AJ370" s="8">
        <f t="shared" si="179"/>
        <v>5675</v>
      </c>
      <c r="AK370" s="8">
        <v>71388</v>
      </c>
      <c r="AL370" s="8">
        <f t="shared" si="180"/>
        <v>-4158</v>
      </c>
      <c r="AM370" s="8">
        <v>191090</v>
      </c>
      <c r="AN370" s="8">
        <f t="shared" si="181"/>
        <v>-11899</v>
      </c>
      <c r="AO370" s="8">
        <v>-119702</v>
      </c>
      <c r="AP370" s="8">
        <f t="shared" si="182"/>
        <v>7741</v>
      </c>
      <c r="AR370" s="8">
        <v>1677959</v>
      </c>
      <c r="AS370" s="8">
        <f t="shared" si="183"/>
        <v>38958</v>
      </c>
      <c r="AT370" s="8">
        <v>218503</v>
      </c>
      <c r="AU370" s="8">
        <f t="shared" si="184"/>
        <v>-37927</v>
      </c>
      <c r="AV370" s="8">
        <v>238446</v>
      </c>
      <c r="AW370" s="8">
        <f t="shared" si="185"/>
        <v>52717</v>
      </c>
      <c r="AX370" s="8">
        <f t="shared" si="160"/>
        <v>-19943</v>
      </c>
      <c r="AY370" s="8">
        <f t="shared" si="186"/>
        <v>-90644</v>
      </c>
      <c r="AZ370" s="8">
        <v>686796</v>
      </c>
      <c r="BA370" s="8">
        <f t="shared" si="187"/>
        <v>34258</v>
      </c>
      <c r="BB370" s="8">
        <v>583958</v>
      </c>
      <c r="BC370" s="8">
        <f t="shared" si="188"/>
        <v>-73529</v>
      </c>
      <c r="BD370" s="8">
        <f t="shared" si="161"/>
        <v>102838</v>
      </c>
      <c r="BE370" s="8">
        <f t="shared" si="189"/>
        <v>107787</v>
      </c>
      <c r="BF370" s="8">
        <v>366609</v>
      </c>
      <c r="BG370" s="8">
        <f t="shared" si="190"/>
        <v>35994</v>
      </c>
      <c r="BH370" s="8">
        <v>524990</v>
      </c>
      <c r="BI370" s="8">
        <f t="shared" si="191"/>
        <v>-72206</v>
      </c>
      <c r="BJ370" s="8">
        <f t="shared" si="162"/>
        <v>-158381</v>
      </c>
      <c r="BK370" s="8">
        <f t="shared" si="164"/>
        <v>108200</v>
      </c>
    </row>
    <row r="371" spans="1:63">
      <c r="A371" s="5">
        <v>41464</v>
      </c>
      <c r="B371" s="8">
        <v>367860</v>
      </c>
      <c r="C371" s="8">
        <f t="shared" si="165"/>
        <v>605</v>
      </c>
      <c r="D371" s="8">
        <v>54186</v>
      </c>
      <c r="E371" s="8">
        <f t="shared" si="166"/>
        <v>1397</v>
      </c>
      <c r="F371" s="8">
        <v>92236</v>
      </c>
      <c r="G371" s="8">
        <f t="shared" si="167"/>
        <v>3623</v>
      </c>
      <c r="H371" s="8">
        <v>-38050</v>
      </c>
      <c r="I371" s="8">
        <f t="shared" si="168"/>
        <v>-2226</v>
      </c>
      <c r="J371" s="8">
        <v>202879</v>
      </c>
      <c r="K371" s="8">
        <f t="shared" si="169"/>
        <v>1965</v>
      </c>
      <c r="L371" s="8">
        <v>154182</v>
      </c>
      <c r="M371" s="8">
        <f t="shared" si="170"/>
        <v>1588</v>
      </c>
      <c r="N371" s="8">
        <v>48697</v>
      </c>
      <c r="O371" s="8">
        <f t="shared" si="171"/>
        <v>377</v>
      </c>
      <c r="P371" s="8">
        <v>116697</v>
      </c>
      <c r="Q371" s="8">
        <f t="shared" si="172"/>
        <v>571</v>
      </c>
      <c r="R371" s="8">
        <v>147989</v>
      </c>
      <c r="S371" s="8">
        <f t="shared" si="173"/>
        <v>772</v>
      </c>
      <c r="T371" s="8">
        <v>-31292</v>
      </c>
      <c r="U371" s="8">
        <f t="shared" si="174"/>
        <v>-201</v>
      </c>
      <c r="W371" s="8">
        <v>325953</v>
      </c>
      <c r="X371" s="8">
        <f t="shared" si="175"/>
        <v>-3398</v>
      </c>
      <c r="Y371" s="8">
        <v>72872</v>
      </c>
      <c r="Z371" s="8">
        <f t="shared" si="176"/>
        <v>-5639</v>
      </c>
      <c r="AA371" s="8">
        <v>24564</v>
      </c>
      <c r="AB371" s="8">
        <f t="shared" si="163"/>
        <v>-813</v>
      </c>
      <c r="AC371" s="8">
        <v>48308</v>
      </c>
      <c r="AD371" s="8">
        <f t="shared" si="163"/>
        <v>-4826</v>
      </c>
      <c r="AE371" s="8">
        <v>131587</v>
      </c>
      <c r="AF371" s="8">
        <f t="shared" si="177"/>
        <v>-866</v>
      </c>
      <c r="AG371" s="8">
        <v>204133</v>
      </c>
      <c r="AH371" s="8">
        <f t="shared" si="178"/>
        <v>-1182</v>
      </c>
      <c r="AI371" s="8">
        <v>-72546</v>
      </c>
      <c r="AJ371" s="8">
        <f t="shared" si="179"/>
        <v>316</v>
      </c>
      <c r="AK371" s="8">
        <v>70817</v>
      </c>
      <c r="AL371" s="8">
        <f t="shared" si="180"/>
        <v>-571</v>
      </c>
      <c r="AM371" s="8">
        <v>189213</v>
      </c>
      <c r="AN371" s="8">
        <f t="shared" si="181"/>
        <v>-1877</v>
      </c>
      <c r="AO371" s="8">
        <v>-118396</v>
      </c>
      <c r="AP371" s="8">
        <f t="shared" si="182"/>
        <v>1306</v>
      </c>
      <c r="AR371" s="8">
        <v>1677143</v>
      </c>
      <c r="AS371" s="8">
        <f t="shared" si="183"/>
        <v>-816</v>
      </c>
      <c r="AT371" s="8">
        <v>209900</v>
      </c>
      <c r="AU371" s="8">
        <f t="shared" si="184"/>
        <v>-8603</v>
      </c>
      <c r="AV371" s="8">
        <v>265667</v>
      </c>
      <c r="AW371" s="8">
        <f t="shared" si="185"/>
        <v>27221</v>
      </c>
      <c r="AX371" s="8">
        <f t="shared" si="160"/>
        <v>-55767</v>
      </c>
      <c r="AY371" s="8">
        <f t="shared" si="186"/>
        <v>-35824</v>
      </c>
      <c r="AZ371" s="8">
        <v>685440</v>
      </c>
      <c r="BA371" s="8">
        <f t="shared" si="187"/>
        <v>-1356</v>
      </c>
      <c r="BB371" s="8">
        <v>567254</v>
      </c>
      <c r="BC371" s="8">
        <f t="shared" si="188"/>
        <v>-16704</v>
      </c>
      <c r="BD371" s="8">
        <f t="shared" si="161"/>
        <v>118186</v>
      </c>
      <c r="BE371" s="8">
        <f t="shared" si="189"/>
        <v>15348</v>
      </c>
      <c r="BF371" s="8">
        <v>361864</v>
      </c>
      <c r="BG371" s="8">
        <f t="shared" si="190"/>
        <v>-4745</v>
      </c>
      <c r="BH371" s="8">
        <v>506334</v>
      </c>
      <c r="BI371" s="8">
        <f t="shared" si="191"/>
        <v>-18656</v>
      </c>
      <c r="BJ371" s="8">
        <f t="shared" si="162"/>
        <v>-144470</v>
      </c>
      <c r="BK371" s="8">
        <f t="shared" si="164"/>
        <v>13911</v>
      </c>
    </row>
    <row r="372" spans="1:63">
      <c r="A372" s="5">
        <v>41471</v>
      </c>
      <c r="B372" s="8">
        <v>378189</v>
      </c>
      <c r="C372" s="8">
        <f t="shared" si="165"/>
        <v>10329</v>
      </c>
      <c r="D372" s="8">
        <v>53065</v>
      </c>
      <c r="E372" s="8">
        <f t="shared" si="166"/>
        <v>-1121</v>
      </c>
      <c r="F372" s="8">
        <v>89170</v>
      </c>
      <c r="G372" s="8">
        <f t="shared" si="167"/>
        <v>-3066</v>
      </c>
      <c r="H372" s="8">
        <v>-36105</v>
      </c>
      <c r="I372" s="8">
        <f t="shared" si="168"/>
        <v>1945</v>
      </c>
      <c r="J372" s="8">
        <v>202862</v>
      </c>
      <c r="K372" s="8">
        <f t="shared" si="169"/>
        <v>-17</v>
      </c>
      <c r="L372" s="8">
        <v>156154</v>
      </c>
      <c r="M372" s="8">
        <f t="shared" si="170"/>
        <v>1972</v>
      </c>
      <c r="N372" s="8">
        <v>46708</v>
      </c>
      <c r="O372" s="8">
        <f t="shared" si="171"/>
        <v>-1989</v>
      </c>
      <c r="P372" s="8">
        <v>112957</v>
      </c>
      <c r="Q372" s="8">
        <f t="shared" si="172"/>
        <v>-3740</v>
      </c>
      <c r="R372" s="8">
        <v>149345</v>
      </c>
      <c r="S372" s="8">
        <f t="shared" si="173"/>
        <v>1356</v>
      </c>
      <c r="T372" s="8">
        <v>-36388</v>
      </c>
      <c r="U372" s="8">
        <f t="shared" si="174"/>
        <v>-5096</v>
      </c>
      <c r="W372" s="8">
        <v>337145</v>
      </c>
      <c r="X372" s="8">
        <f t="shared" si="175"/>
        <v>11192</v>
      </c>
      <c r="Y372" s="8">
        <v>76489</v>
      </c>
      <c r="Z372" s="8">
        <f t="shared" si="176"/>
        <v>3617</v>
      </c>
      <c r="AA372" s="8">
        <v>25130</v>
      </c>
      <c r="AB372" s="8">
        <f t="shared" si="163"/>
        <v>566</v>
      </c>
      <c r="AC372" s="8">
        <v>51359</v>
      </c>
      <c r="AD372" s="8">
        <f t="shared" si="163"/>
        <v>3051</v>
      </c>
      <c r="AE372" s="8">
        <v>134509</v>
      </c>
      <c r="AF372" s="8">
        <f t="shared" si="177"/>
        <v>2922</v>
      </c>
      <c r="AG372" s="8">
        <v>210421</v>
      </c>
      <c r="AH372" s="8">
        <f t="shared" si="178"/>
        <v>6288</v>
      </c>
      <c r="AI372" s="8">
        <v>-75912</v>
      </c>
      <c r="AJ372" s="8">
        <f t="shared" si="179"/>
        <v>-3366</v>
      </c>
      <c r="AK372" s="8">
        <v>74575</v>
      </c>
      <c r="AL372" s="8">
        <f t="shared" si="180"/>
        <v>3758</v>
      </c>
      <c r="AM372" s="8">
        <v>196308</v>
      </c>
      <c r="AN372" s="8">
        <f t="shared" si="181"/>
        <v>7095</v>
      </c>
      <c r="AO372" s="8">
        <v>-121733</v>
      </c>
      <c r="AP372" s="8">
        <f t="shared" si="182"/>
        <v>-3337</v>
      </c>
      <c r="AR372" s="8">
        <v>1686068</v>
      </c>
      <c r="AS372" s="8">
        <f t="shared" si="183"/>
        <v>8925</v>
      </c>
      <c r="AT372" s="8">
        <v>218332</v>
      </c>
      <c r="AU372" s="8">
        <f t="shared" si="184"/>
        <v>8432</v>
      </c>
      <c r="AV372" s="8">
        <v>255594</v>
      </c>
      <c r="AW372" s="8">
        <f t="shared" si="185"/>
        <v>-10073</v>
      </c>
      <c r="AX372" s="8">
        <f t="shared" si="160"/>
        <v>-37262</v>
      </c>
      <c r="AY372" s="8">
        <f t="shared" si="186"/>
        <v>18505</v>
      </c>
      <c r="AZ372" s="8">
        <v>693033</v>
      </c>
      <c r="BA372" s="8">
        <f t="shared" si="187"/>
        <v>7593</v>
      </c>
      <c r="BB372" s="8">
        <v>571759</v>
      </c>
      <c r="BC372" s="8">
        <f t="shared" si="188"/>
        <v>4505</v>
      </c>
      <c r="BD372" s="8">
        <f t="shared" si="161"/>
        <v>121274</v>
      </c>
      <c r="BE372" s="8">
        <f t="shared" si="189"/>
        <v>3088</v>
      </c>
      <c r="BF372" s="8">
        <v>370102</v>
      </c>
      <c r="BG372" s="8">
        <f t="shared" si="190"/>
        <v>8238</v>
      </c>
      <c r="BH372" s="8">
        <v>510597</v>
      </c>
      <c r="BI372" s="8">
        <f t="shared" si="191"/>
        <v>4263</v>
      </c>
      <c r="BJ372" s="8">
        <f t="shared" si="162"/>
        <v>-140495</v>
      </c>
      <c r="BK372" s="8">
        <f t="shared" si="164"/>
        <v>3975</v>
      </c>
    </row>
    <row r="373" spans="1:63">
      <c r="A373" s="5">
        <v>41478</v>
      </c>
      <c r="B373" s="8">
        <v>382575</v>
      </c>
      <c r="C373" s="8">
        <f t="shared" si="165"/>
        <v>4386</v>
      </c>
      <c r="D373" s="8">
        <v>48865</v>
      </c>
      <c r="E373" s="8">
        <f t="shared" si="166"/>
        <v>-4200</v>
      </c>
      <c r="F373" s="8">
        <v>96358</v>
      </c>
      <c r="G373" s="8">
        <f t="shared" si="167"/>
        <v>7188</v>
      </c>
      <c r="H373" s="8">
        <v>-47493</v>
      </c>
      <c r="I373" s="8">
        <f t="shared" si="168"/>
        <v>-11388</v>
      </c>
      <c r="J373" s="8">
        <v>202204</v>
      </c>
      <c r="K373" s="8">
        <f t="shared" si="169"/>
        <v>-658</v>
      </c>
      <c r="L373" s="8">
        <v>145247</v>
      </c>
      <c r="M373" s="8">
        <f t="shared" si="170"/>
        <v>-10907</v>
      </c>
      <c r="N373" s="8">
        <v>56957</v>
      </c>
      <c r="O373" s="8">
        <f t="shared" si="171"/>
        <v>10249</v>
      </c>
      <c r="P373" s="8">
        <v>110612</v>
      </c>
      <c r="Q373" s="8">
        <f t="shared" si="172"/>
        <v>-2345</v>
      </c>
      <c r="R373" s="8">
        <v>137630</v>
      </c>
      <c r="S373" s="8">
        <f t="shared" si="173"/>
        <v>-11715</v>
      </c>
      <c r="T373" s="8">
        <v>-27018</v>
      </c>
      <c r="U373" s="8">
        <f t="shared" si="174"/>
        <v>9370</v>
      </c>
      <c r="W373" s="8">
        <v>332430</v>
      </c>
      <c r="X373" s="8">
        <f t="shared" si="175"/>
        <v>-4715</v>
      </c>
      <c r="Y373" s="8">
        <v>72725</v>
      </c>
      <c r="Z373" s="8">
        <f t="shared" si="176"/>
        <v>-3764</v>
      </c>
      <c r="AA373" s="8">
        <v>25977</v>
      </c>
      <c r="AB373" s="8">
        <f t="shared" si="163"/>
        <v>847</v>
      </c>
      <c r="AC373" s="8">
        <v>46748</v>
      </c>
      <c r="AD373" s="8">
        <f t="shared" si="163"/>
        <v>-4611</v>
      </c>
      <c r="AE373" s="8">
        <v>132975</v>
      </c>
      <c r="AF373" s="8">
        <f t="shared" si="177"/>
        <v>-1534</v>
      </c>
      <c r="AG373" s="8">
        <v>197696</v>
      </c>
      <c r="AH373" s="8">
        <f t="shared" si="178"/>
        <v>-12725</v>
      </c>
      <c r="AI373" s="8">
        <v>-64721</v>
      </c>
      <c r="AJ373" s="8">
        <f t="shared" si="179"/>
        <v>11191</v>
      </c>
      <c r="AK373" s="8">
        <v>70536</v>
      </c>
      <c r="AL373" s="8">
        <f t="shared" si="180"/>
        <v>-4039</v>
      </c>
      <c r="AM373" s="8">
        <v>182705</v>
      </c>
      <c r="AN373" s="8">
        <f t="shared" si="181"/>
        <v>-13603</v>
      </c>
      <c r="AO373" s="8">
        <v>-112169</v>
      </c>
      <c r="AP373" s="8">
        <f t="shared" si="182"/>
        <v>9564</v>
      </c>
      <c r="AR373" s="8">
        <v>1797856</v>
      </c>
      <c r="AS373" s="8">
        <f t="shared" si="183"/>
        <v>111788</v>
      </c>
      <c r="AT373" s="8">
        <v>215397</v>
      </c>
      <c r="AU373" s="8">
        <f t="shared" si="184"/>
        <v>-2935</v>
      </c>
      <c r="AV373" s="8">
        <v>298758</v>
      </c>
      <c r="AW373" s="8">
        <f t="shared" si="185"/>
        <v>43164</v>
      </c>
      <c r="AX373" s="8">
        <f t="shared" si="160"/>
        <v>-83361</v>
      </c>
      <c r="AY373" s="8">
        <f t="shared" si="186"/>
        <v>-46099</v>
      </c>
      <c r="AZ373" s="8">
        <v>732735</v>
      </c>
      <c r="BA373" s="8">
        <f t="shared" si="187"/>
        <v>39702</v>
      </c>
      <c r="BB373" s="8">
        <v>569755</v>
      </c>
      <c r="BC373" s="8">
        <f t="shared" si="188"/>
        <v>-2004</v>
      </c>
      <c r="BD373" s="8">
        <f t="shared" si="161"/>
        <v>162980</v>
      </c>
      <c r="BE373" s="8">
        <f t="shared" si="189"/>
        <v>41706</v>
      </c>
      <c r="BF373" s="8">
        <v>402100</v>
      </c>
      <c r="BG373" s="8">
        <f t="shared" si="190"/>
        <v>31998</v>
      </c>
      <c r="BH373" s="8">
        <v>504160</v>
      </c>
      <c r="BI373" s="8">
        <f t="shared" si="191"/>
        <v>-6437</v>
      </c>
      <c r="BJ373" s="8">
        <f t="shared" si="162"/>
        <v>-102060</v>
      </c>
      <c r="BK373" s="8">
        <f t="shared" si="164"/>
        <v>38435</v>
      </c>
    </row>
    <row r="374" spans="1:63">
      <c r="A374" s="5">
        <v>41485</v>
      </c>
      <c r="B374" s="8">
        <v>366575</v>
      </c>
      <c r="C374" s="8">
        <f t="shared" si="165"/>
        <v>-16000</v>
      </c>
      <c r="D374" s="8">
        <v>49912</v>
      </c>
      <c r="E374" s="8">
        <f t="shared" si="166"/>
        <v>1047</v>
      </c>
      <c r="F374" s="8">
        <v>93716</v>
      </c>
      <c r="G374" s="8">
        <f t="shared" si="167"/>
        <v>-2642</v>
      </c>
      <c r="H374" s="8">
        <v>-43804</v>
      </c>
      <c r="I374" s="8">
        <f t="shared" si="168"/>
        <v>3689</v>
      </c>
      <c r="J374" s="8">
        <v>186693</v>
      </c>
      <c r="K374" s="8">
        <f t="shared" si="169"/>
        <v>-15511</v>
      </c>
      <c r="L374" s="8">
        <v>131717</v>
      </c>
      <c r="M374" s="8">
        <f t="shared" si="170"/>
        <v>-13530</v>
      </c>
      <c r="N374" s="8">
        <v>54976</v>
      </c>
      <c r="O374" s="8">
        <f t="shared" si="171"/>
        <v>-1981</v>
      </c>
      <c r="P374" s="8">
        <v>104986</v>
      </c>
      <c r="Q374" s="8">
        <f t="shared" si="172"/>
        <v>-5626</v>
      </c>
      <c r="R374" s="8">
        <v>123496</v>
      </c>
      <c r="S374" s="8">
        <f t="shared" si="173"/>
        <v>-14134</v>
      </c>
      <c r="T374" s="8">
        <v>-18510</v>
      </c>
      <c r="U374" s="8">
        <f t="shared" si="174"/>
        <v>8508</v>
      </c>
      <c r="W374" s="8">
        <v>303012</v>
      </c>
      <c r="X374" s="8">
        <f t="shared" si="175"/>
        <v>-29418</v>
      </c>
      <c r="Y374" s="8">
        <v>66161</v>
      </c>
      <c r="Z374" s="8">
        <f t="shared" si="176"/>
        <v>-6564</v>
      </c>
      <c r="AA374" s="8">
        <v>33495</v>
      </c>
      <c r="AB374" s="8">
        <f t="shared" si="163"/>
        <v>7518</v>
      </c>
      <c r="AC374" s="8">
        <v>32666</v>
      </c>
      <c r="AD374" s="8">
        <f t="shared" si="163"/>
        <v>-14082</v>
      </c>
      <c r="AE374" s="8">
        <v>129211</v>
      </c>
      <c r="AF374" s="8">
        <f t="shared" si="177"/>
        <v>-3764</v>
      </c>
      <c r="AG374" s="8">
        <v>175580</v>
      </c>
      <c r="AH374" s="8">
        <f t="shared" si="178"/>
        <v>-22116</v>
      </c>
      <c r="AI374" s="8">
        <v>-46369</v>
      </c>
      <c r="AJ374" s="8">
        <f t="shared" si="179"/>
        <v>18352</v>
      </c>
      <c r="AK374" s="8">
        <v>66438</v>
      </c>
      <c r="AL374" s="8">
        <f t="shared" si="180"/>
        <v>-4098</v>
      </c>
      <c r="AM374" s="8">
        <v>162373</v>
      </c>
      <c r="AN374" s="8">
        <f t="shared" si="181"/>
        <v>-20332</v>
      </c>
      <c r="AO374" s="8">
        <v>-95935</v>
      </c>
      <c r="AP374" s="8">
        <f t="shared" si="182"/>
        <v>16234</v>
      </c>
      <c r="AR374" s="8">
        <v>1787673</v>
      </c>
      <c r="AS374" s="8">
        <f t="shared" si="183"/>
        <v>-10183</v>
      </c>
      <c r="AT374" s="8">
        <v>206517</v>
      </c>
      <c r="AU374" s="8">
        <f t="shared" si="184"/>
        <v>-8880</v>
      </c>
      <c r="AV374" s="8">
        <v>314606</v>
      </c>
      <c r="AW374" s="8">
        <f t="shared" si="185"/>
        <v>15848</v>
      </c>
      <c r="AX374" s="8">
        <f t="shared" si="160"/>
        <v>-108089</v>
      </c>
      <c r="AY374" s="8">
        <f t="shared" si="186"/>
        <v>-24728</v>
      </c>
      <c r="AZ374" s="8">
        <v>740195</v>
      </c>
      <c r="BA374" s="8">
        <f t="shared" si="187"/>
        <v>7460</v>
      </c>
      <c r="BB374" s="8">
        <v>554625</v>
      </c>
      <c r="BC374" s="8">
        <f t="shared" si="188"/>
        <v>-15130</v>
      </c>
      <c r="BD374" s="8">
        <f t="shared" si="161"/>
        <v>185570</v>
      </c>
      <c r="BE374" s="8">
        <f t="shared" si="189"/>
        <v>22590</v>
      </c>
      <c r="BF374" s="8">
        <v>407682</v>
      </c>
      <c r="BG374" s="8">
        <f t="shared" si="190"/>
        <v>5582</v>
      </c>
      <c r="BH374" s="8">
        <v>488728</v>
      </c>
      <c r="BI374" s="8">
        <f t="shared" si="191"/>
        <v>-15432</v>
      </c>
      <c r="BJ374" s="8">
        <f t="shared" si="162"/>
        <v>-81046</v>
      </c>
      <c r="BK374" s="8">
        <f t="shared" si="164"/>
        <v>21014</v>
      </c>
    </row>
    <row r="375" spans="1:63">
      <c r="A375" s="5">
        <v>41492</v>
      </c>
      <c r="B375" s="8">
        <v>356336</v>
      </c>
      <c r="C375" s="8">
        <f t="shared" si="165"/>
        <v>-10239</v>
      </c>
      <c r="D375" s="8">
        <v>50558</v>
      </c>
      <c r="E375" s="8">
        <f t="shared" si="166"/>
        <v>646</v>
      </c>
      <c r="F375" s="8">
        <v>105074</v>
      </c>
      <c r="G375" s="8">
        <f t="shared" si="167"/>
        <v>11358</v>
      </c>
      <c r="H375" s="8">
        <v>-54516</v>
      </c>
      <c r="I375" s="8">
        <f t="shared" si="168"/>
        <v>-10712</v>
      </c>
      <c r="J375" s="8">
        <v>179195</v>
      </c>
      <c r="K375" s="8">
        <f t="shared" si="169"/>
        <v>-7498</v>
      </c>
      <c r="L375" s="8">
        <v>113965</v>
      </c>
      <c r="M375" s="8">
        <f t="shared" si="170"/>
        <v>-17752</v>
      </c>
      <c r="N375" s="8">
        <v>65230</v>
      </c>
      <c r="O375" s="8">
        <f t="shared" si="171"/>
        <v>10254</v>
      </c>
      <c r="P375" s="8">
        <v>98975</v>
      </c>
      <c r="Q375" s="8">
        <f t="shared" si="172"/>
        <v>-6011</v>
      </c>
      <c r="R375" s="8">
        <v>106353</v>
      </c>
      <c r="S375" s="8">
        <f t="shared" si="173"/>
        <v>-17143</v>
      </c>
      <c r="T375" s="8">
        <v>-7378</v>
      </c>
      <c r="U375" s="8">
        <f t="shared" si="174"/>
        <v>11132</v>
      </c>
      <c r="W375" s="8">
        <v>298173</v>
      </c>
      <c r="X375" s="8">
        <f t="shared" si="175"/>
        <v>-4839</v>
      </c>
      <c r="Y375" s="8">
        <v>60657</v>
      </c>
      <c r="Z375" s="8">
        <f t="shared" si="176"/>
        <v>-5504</v>
      </c>
      <c r="AA375" s="8">
        <v>37284</v>
      </c>
      <c r="AB375" s="8">
        <f t="shared" si="163"/>
        <v>3789</v>
      </c>
      <c r="AC375" s="8">
        <v>23373</v>
      </c>
      <c r="AD375" s="8">
        <f t="shared" si="163"/>
        <v>-9293</v>
      </c>
      <c r="AE375" s="8">
        <v>127578</v>
      </c>
      <c r="AF375" s="8">
        <f t="shared" si="177"/>
        <v>-1633</v>
      </c>
      <c r="AG375" s="8">
        <v>161435</v>
      </c>
      <c r="AH375" s="8">
        <f t="shared" si="178"/>
        <v>-14145</v>
      </c>
      <c r="AI375" s="8">
        <v>-33857</v>
      </c>
      <c r="AJ375" s="8">
        <f t="shared" si="179"/>
        <v>12512</v>
      </c>
      <c r="AK375" s="8">
        <v>63975</v>
      </c>
      <c r="AL375" s="8">
        <f t="shared" si="180"/>
        <v>-2463</v>
      </c>
      <c r="AM375" s="8">
        <v>150473</v>
      </c>
      <c r="AN375" s="8">
        <f t="shared" si="181"/>
        <v>-11900</v>
      </c>
      <c r="AO375" s="8">
        <v>-86498</v>
      </c>
      <c r="AP375" s="8">
        <f t="shared" si="182"/>
        <v>9437</v>
      </c>
      <c r="AR375" s="8">
        <v>1851640</v>
      </c>
      <c r="AS375" s="8">
        <f t="shared" si="183"/>
        <v>63967</v>
      </c>
      <c r="AT375" s="8">
        <v>221413</v>
      </c>
      <c r="AU375" s="8">
        <f t="shared" si="184"/>
        <v>14896</v>
      </c>
      <c r="AV375" s="8">
        <v>334485</v>
      </c>
      <c r="AW375" s="8">
        <f t="shared" si="185"/>
        <v>19879</v>
      </c>
      <c r="AX375" s="8">
        <f t="shared" si="160"/>
        <v>-113072</v>
      </c>
      <c r="AY375" s="8">
        <f t="shared" si="186"/>
        <v>-4983</v>
      </c>
      <c r="AZ375" s="8">
        <v>749725</v>
      </c>
      <c r="BA375" s="8">
        <f t="shared" si="187"/>
        <v>9530</v>
      </c>
      <c r="BB375" s="8">
        <v>546367</v>
      </c>
      <c r="BC375" s="8">
        <f t="shared" si="188"/>
        <v>-8258</v>
      </c>
      <c r="BD375" s="8">
        <f t="shared" si="161"/>
        <v>203358</v>
      </c>
      <c r="BE375" s="8">
        <f t="shared" si="189"/>
        <v>17788</v>
      </c>
      <c r="BF375" s="8">
        <v>416444</v>
      </c>
      <c r="BG375" s="8">
        <f t="shared" si="190"/>
        <v>8762</v>
      </c>
      <c r="BH375" s="8">
        <v>475762</v>
      </c>
      <c r="BI375" s="8">
        <f t="shared" si="191"/>
        <v>-12966</v>
      </c>
      <c r="BJ375" s="8">
        <f t="shared" si="162"/>
        <v>-59318</v>
      </c>
      <c r="BK375" s="8">
        <f t="shared" si="164"/>
        <v>21728</v>
      </c>
    </row>
    <row r="376" spans="1:63">
      <c r="A376" s="5">
        <v>41499</v>
      </c>
      <c r="B376" s="8">
        <v>355432</v>
      </c>
      <c r="C376" s="8">
        <f t="shared" si="165"/>
        <v>-904</v>
      </c>
      <c r="D376" s="8">
        <v>51639</v>
      </c>
      <c r="E376" s="8">
        <f t="shared" si="166"/>
        <v>1081</v>
      </c>
      <c r="F376" s="8">
        <v>99910</v>
      </c>
      <c r="G376" s="8">
        <f t="shared" si="167"/>
        <v>-5164</v>
      </c>
      <c r="H376" s="8">
        <v>-48271</v>
      </c>
      <c r="I376" s="8">
        <f t="shared" si="168"/>
        <v>6245</v>
      </c>
      <c r="J376" s="8">
        <v>173758</v>
      </c>
      <c r="K376" s="8">
        <f t="shared" si="169"/>
        <v>-5437</v>
      </c>
      <c r="L376" s="8">
        <v>119562</v>
      </c>
      <c r="M376" s="8">
        <f t="shared" si="170"/>
        <v>5597</v>
      </c>
      <c r="N376" s="8">
        <v>54196</v>
      </c>
      <c r="O376" s="8">
        <f t="shared" si="171"/>
        <v>-11034</v>
      </c>
      <c r="P376" s="8">
        <v>96239</v>
      </c>
      <c r="Q376" s="8">
        <f t="shared" si="172"/>
        <v>-2736</v>
      </c>
      <c r="R376" s="8">
        <v>111886</v>
      </c>
      <c r="S376" s="8">
        <f t="shared" si="173"/>
        <v>5533</v>
      </c>
      <c r="T376" s="8">
        <v>-15647</v>
      </c>
      <c r="U376" s="8">
        <f t="shared" si="174"/>
        <v>-8269</v>
      </c>
      <c r="W376" s="8">
        <v>303192</v>
      </c>
      <c r="X376" s="8">
        <f t="shared" si="175"/>
        <v>5019</v>
      </c>
      <c r="Y376" s="8">
        <v>62962</v>
      </c>
      <c r="Z376" s="8">
        <f t="shared" si="176"/>
        <v>2305</v>
      </c>
      <c r="AA376" s="8">
        <v>37167</v>
      </c>
      <c r="AB376" s="8">
        <f t="shared" si="163"/>
        <v>-117</v>
      </c>
      <c r="AC376" s="8">
        <v>25795</v>
      </c>
      <c r="AD376" s="8">
        <f t="shared" si="163"/>
        <v>2422</v>
      </c>
      <c r="AE376" s="8">
        <v>129435</v>
      </c>
      <c r="AF376" s="8">
        <f t="shared" si="177"/>
        <v>1857</v>
      </c>
      <c r="AG376" s="8">
        <v>171050</v>
      </c>
      <c r="AH376" s="8">
        <f t="shared" si="178"/>
        <v>9615</v>
      </c>
      <c r="AI376" s="8">
        <v>-41615</v>
      </c>
      <c r="AJ376" s="8">
        <f t="shared" si="179"/>
        <v>-7758</v>
      </c>
      <c r="AK376" s="8">
        <v>65991</v>
      </c>
      <c r="AL376" s="8">
        <f t="shared" si="180"/>
        <v>2016</v>
      </c>
      <c r="AM376" s="8">
        <v>159662</v>
      </c>
      <c r="AN376" s="8">
        <f t="shared" si="181"/>
        <v>9189</v>
      </c>
      <c r="AO376" s="8">
        <v>-93671</v>
      </c>
      <c r="AP376" s="8">
        <f t="shared" si="182"/>
        <v>-7173</v>
      </c>
      <c r="AR376" s="8">
        <v>1934066</v>
      </c>
      <c r="AS376" s="8">
        <f t="shared" si="183"/>
        <v>82426</v>
      </c>
      <c r="AT376" s="8">
        <v>220394</v>
      </c>
      <c r="AU376" s="8">
        <f t="shared" si="184"/>
        <v>-1019</v>
      </c>
      <c r="AV376" s="8">
        <v>343615</v>
      </c>
      <c r="AW376" s="8">
        <f t="shared" si="185"/>
        <v>9130</v>
      </c>
      <c r="AX376" s="8">
        <f t="shared" si="160"/>
        <v>-123221</v>
      </c>
      <c r="AY376" s="8">
        <f t="shared" si="186"/>
        <v>-10149</v>
      </c>
      <c r="AZ376" s="8">
        <v>770449</v>
      </c>
      <c r="BA376" s="8">
        <f t="shared" si="187"/>
        <v>20724</v>
      </c>
      <c r="BB376" s="8">
        <v>573852</v>
      </c>
      <c r="BC376" s="8">
        <f t="shared" si="188"/>
        <v>27485</v>
      </c>
      <c r="BD376" s="8">
        <f t="shared" si="161"/>
        <v>196597</v>
      </c>
      <c r="BE376" s="8">
        <f t="shared" si="189"/>
        <v>-6761</v>
      </c>
      <c r="BF376" s="8">
        <v>429608</v>
      </c>
      <c r="BG376" s="8">
        <f t="shared" si="190"/>
        <v>13164</v>
      </c>
      <c r="BH376" s="8">
        <v>494570</v>
      </c>
      <c r="BI376" s="8">
        <f t="shared" si="191"/>
        <v>18808</v>
      </c>
      <c r="BJ376" s="8">
        <f t="shared" si="162"/>
        <v>-64962</v>
      </c>
      <c r="BK376" s="8">
        <f t="shared" si="164"/>
        <v>-5644</v>
      </c>
    </row>
    <row r="377" spans="1:63">
      <c r="A377" s="5">
        <v>41506</v>
      </c>
      <c r="B377" s="8">
        <v>340979</v>
      </c>
      <c r="C377" s="8">
        <f t="shared" si="165"/>
        <v>-14453</v>
      </c>
      <c r="D377" s="8">
        <v>53638</v>
      </c>
      <c r="E377" s="8">
        <f t="shared" si="166"/>
        <v>1999</v>
      </c>
      <c r="F377" s="8">
        <v>88642</v>
      </c>
      <c r="G377" s="8">
        <f t="shared" si="167"/>
        <v>-11268</v>
      </c>
      <c r="H377" s="8">
        <v>-35004</v>
      </c>
      <c r="I377" s="8">
        <f t="shared" si="168"/>
        <v>13267</v>
      </c>
      <c r="J377" s="8">
        <v>160553</v>
      </c>
      <c r="K377" s="8">
        <f t="shared" si="169"/>
        <v>-13205</v>
      </c>
      <c r="L377" s="8">
        <v>118875</v>
      </c>
      <c r="M377" s="8">
        <f t="shared" si="170"/>
        <v>-687</v>
      </c>
      <c r="N377" s="8">
        <v>41678</v>
      </c>
      <c r="O377" s="8">
        <f t="shared" si="171"/>
        <v>-12518</v>
      </c>
      <c r="P377" s="8">
        <v>80736</v>
      </c>
      <c r="Q377" s="8">
        <f t="shared" si="172"/>
        <v>-15503</v>
      </c>
      <c r="R377" s="8">
        <v>111304</v>
      </c>
      <c r="S377" s="8">
        <f t="shared" si="173"/>
        <v>-582</v>
      </c>
      <c r="T377" s="8">
        <v>-30568</v>
      </c>
      <c r="U377" s="8">
        <f t="shared" si="174"/>
        <v>-14921</v>
      </c>
      <c r="W377" s="8">
        <v>319582</v>
      </c>
      <c r="X377" s="8">
        <f t="shared" si="175"/>
        <v>16390</v>
      </c>
      <c r="Y377" s="8">
        <v>74873</v>
      </c>
      <c r="Z377" s="8">
        <f t="shared" si="176"/>
        <v>11911</v>
      </c>
      <c r="AA377" s="8">
        <v>30290</v>
      </c>
      <c r="AB377" s="8">
        <f t="shared" si="163"/>
        <v>-6877</v>
      </c>
      <c r="AC377" s="8">
        <v>44583</v>
      </c>
      <c r="AD377" s="8">
        <f t="shared" si="163"/>
        <v>18788</v>
      </c>
      <c r="AE377" s="8">
        <v>125750</v>
      </c>
      <c r="AF377" s="8">
        <f t="shared" si="177"/>
        <v>-3685</v>
      </c>
      <c r="AG377" s="8">
        <v>194965</v>
      </c>
      <c r="AH377" s="8">
        <f t="shared" si="178"/>
        <v>23915</v>
      </c>
      <c r="AI377" s="8">
        <v>-69215</v>
      </c>
      <c r="AJ377" s="8">
        <f t="shared" si="179"/>
        <v>-27600</v>
      </c>
      <c r="AK377" s="8">
        <v>64979</v>
      </c>
      <c r="AL377" s="8">
        <f t="shared" si="180"/>
        <v>-1012</v>
      </c>
      <c r="AM377" s="8">
        <v>184237</v>
      </c>
      <c r="AN377" s="8">
        <f t="shared" si="181"/>
        <v>24575</v>
      </c>
      <c r="AO377" s="8">
        <v>-119258</v>
      </c>
      <c r="AP377" s="8">
        <f t="shared" si="182"/>
        <v>-25587</v>
      </c>
      <c r="AR377" s="8">
        <v>1871279</v>
      </c>
      <c r="AS377" s="8">
        <f t="shared" si="183"/>
        <v>-62787</v>
      </c>
      <c r="AT377" s="8">
        <v>203378</v>
      </c>
      <c r="AU377" s="8">
        <f t="shared" si="184"/>
        <v>-17016</v>
      </c>
      <c r="AV377" s="8">
        <v>295156</v>
      </c>
      <c r="AW377" s="8">
        <f t="shared" si="185"/>
        <v>-48459</v>
      </c>
      <c r="AX377" s="8">
        <f t="shared" si="160"/>
        <v>-91778</v>
      </c>
      <c r="AY377" s="8">
        <f t="shared" si="186"/>
        <v>31443</v>
      </c>
      <c r="AZ377" s="8">
        <v>766186</v>
      </c>
      <c r="BA377" s="8">
        <f t="shared" si="187"/>
        <v>-4263</v>
      </c>
      <c r="BB377" s="8">
        <v>612716</v>
      </c>
      <c r="BC377" s="8">
        <f t="shared" si="188"/>
        <v>38864</v>
      </c>
      <c r="BD377" s="8">
        <f t="shared" si="161"/>
        <v>153470</v>
      </c>
      <c r="BE377" s="8">
        <f t="shared" si="189"/>
        <v>-43127</v>
      </c>
      <c r="BF377" s="8">
        <v>411866</v>
      </c>
      <c r="BG377" s="8">
        <f t="shared" si="190"/>
        <v>-17742</v>
      </c>
      <c r="BH377" s="8">
        <v>536692</v>
      </c>
      <c r="BI377" s="8">
        <f t="shared" si="191"/>
        <v>42122</v>
      </c>
      <c r="BJ377" s="8">
        <f t="shared" si="162"/>
        <v>-124826</v>
      </c>
      <c r="BK377" s="8">
        <f t="shared" si="164"/>
        <v>-59864</v>
      </c>
    </row>
    <row r="378" spans="1:63">
      <c r="A378" s="5">
        <v>41513</v>
      </c>
      <c r="B378" s="8">
        <v>326771</v>
      </c>
      <c r="C378" s="8">
        <f t="shared" si="165"/>
        <v>-14208</v>
      </c>
      <c r="D378" s="8">
        <v>53645</v>
      </c>
      <c r="E378" s="8">
        <f t="shared" si="166"/>
        <v>7</v>
      </c>
      <c r="F378" s="8">
        <v>71280</v>
      </c>
      <c r="G378" s="8">
        <f t="shared" si="167"/>
        <v>-17362</v>
      </c>
      <c r="H378" s="8">
        <v>-17635</v>
      </c>
      <c r="I378" s="8">
        <f t="shared" si="168"/>
        <v>17369</v>
      </c>
      <c r="J378" s="8">
        <v>149288</v>
      </c>
      <c r="K378" s="8">
        <f t="shared" si="169"/>
        <v>-11265</v>
      </c>
      <c r="L378" s="8">
        <v>134526</v>
      </c>
      <c r="M378" s="8">
        <f t="shared" si="170"/>
        <v>15651</v>
      </c>
      <c r="N378" s="8">
        <v>14762</v>
      </c>
      <c r="O378" s="8">
        <f t="shared" si="171"/>
        <v>-26916</v>
      </c>
      <c r="P378" s="8">
        <v>70835</v>
      </c>
      <c r="Q378" s="8">
        <f t="shared" si="172"/>
        <v>-9901</v>
      </c>
      <c r="R378" s="8">
        <v>128017</v>
      </c>
      <c r="S378" s="8">
        <f t="shared" si="173"/>
        <v>16713</v>
      </c>
      <c r="T378" s="8">
        <v>-57182</v>
      </c>
      <c r="U378" s="8">
        <f t="shared" si="174"/>
        <v>-26614</v>
      </c>
      <c r="W378" s="8">
        <v>322437</v>
      </c>
      <c r="X378" s="8">
        <f t="shared" si="175"/>
        <v>2855</v>
      </c>
      <c r="Y378" s="8">
        <v>78696</v>
      </c>
      <c r="Z378" s="8">
        <f t="shared" si="176"/>
        <v>3823</v>
      </c>
      <c r="AA378" s="8">
        <v>21734</v>
      </c>
      <c r="AB378" s="8">
        <f t="shared" si="163"/>
        <v>-8556</v>
      </c>
      <c r="AC378" s="8">
        <v>56962</v>
      </c>
      <c r="AD378" s="8">
        <f t="shared" si="163"/>
        <v>12379</v>
      </c>
      <c r="AE378" s="8">
        <v>119847</v>
      </c>
      <c r="AF378" s="8">
        <f t="shared" si="177"/>
        <v>-5903</v>
      </c>
      <c r="AG378" s="8">
        <v>203979</v>
      </c>
      <c r="AH378" s="8">
        <f t="shared" si="178"/>
        <v>9014</v>
      </c>
      <c r="AI378" s="8">
        <v>-84132</v>
      </c>
      <c r="AJ378" s="8">
        <f t="shared" si="179"/>
        <v>-14917</v>
      </c>
      <c r="AK378" s="8">
        <v>59862</v>
      </c>
      <c r="AL378" s="8">
        <f t="shared" si="180"/>
        <v>-5117</v>
      </c>
      <c r="AM378" s="8">
        <v>190148</v>
      </c>
      <c r="AN378" s="8">
        <f t="shared" si="181"/>
        <v>5911</v>
      </c>
      <c r="AO378" s="8">
        <v>-130286</v>
      </c>
      <c r="AP378" s="8">
        <f t="shared" si="182"/>
        <v>-11028</v>
      </c>
      <c r="AR378" s="8">
        <v>1585788</v>
      </c>
      <c r="AS378" s="8">
        <f t="shared" si="183"/>
        <v>-285491</v>
      </c>
      <c r="AT378" s="8">
        <v>200568</v>
      </c>
      <c r="AU378" s="8">
        <f t="shared" si="184"/>
        <v>-2810</v>
      </c>
      <c r="AV378" s="8">
        <v>257996</v>
      </c>
      <c r="AW378" s="8">
        <f t="shared" si="185"/>
        <v>-37160</v>
      </c>
      <c r="AX378" s="8">
        <f t="shared" si="160"/>
        <v>-57428</v>
      </c>
      <c r="AY378" s="8">
        <f t="shared" si="186"/>
        <v>34350</v>
      </c>
      <c r="AZ378" s="8">
        <v>669615</v>
      </c>
      <c r="BA378" s="8">
        <f t="shared" si="187"/>
        <v>-96571</v>
      </c>
      <c r="BB378" s="8">
        <v>551224</v>
      </c>
      <c r="BC378" s="8">
        <f t="shared" si="188"/>
        <v>-61492</v>
      </c>
      <c r="BD378" s="8">
        <f t="shared" si="161"/>
        <v>118391</v>
      </c>
      <c r="BE378" s="8">
        <f t="shared" si="189"/>
        <v>-35079</v>
      </c>
      <c r="BF378" s="8">
        <v>349803</v>
      </c>
      <c r="BG378" s="8">
        <f t="shared" si="190"/>
        <v>-62063</v>
      </c>
      <c r="BH378" s="8">
        <v>504644</v>
      </c>
      <c r="BI378" s="8">
        <f t="shared" si="191"/>
        <v>-32048</v>
      </c>
      <c r="BJ378" s="8">
        <f t="shared" si="162"/>
        <v>-154841</v>
      </c>
      <c r="BK378" s="8">
        <f t="shared" si="164"/>
        <v>-30015</v>
      </c>
    </row>
    <row r="379" spans="1:63">
      <c r="A379" s="5">
        <v>41520</v>
      </c>
      <c r="B379" s="8">
        <v>319881</v>
      </c>
      <c r="C379" s="8">
        <f t="shared" si="165"/>
        <v>-6890</v>
      </c>
      <c r="D379" s="8">
        <v>53182</v>
      </c>
      <c r="E379" s="8">
        <f t="shared" si="166"/>
        <v>-463</v>
      </c>
      <c r="F379" s="8">
        <v>68934</v>
      </c>
      <c r="G379" s="8">
        <f t="shared" si="167"/>
        <v>-2346</v>
      </c>
      <c r="H379" s="8">
        <v>-15752</v>
      </c>
      <c r="I379" s="8">
        <f t="shared" si="168"/>
        <v>1883</v>
      </c>
      <c r="J379" s="8">
        <v>150350</v>
      </c>
      <c r="K379" s="8">
        <f t="shared" si="169"/>
        <v>1062</v>
      </c>
      <c r="L379" s="8">
        <v>136098</v>
      </c>
      <c r="M379" s="8">
        <f t="shared" si="170"/>
        <v>1572</v>
      </c>
      <c r="N379" s="8">
        <v>14252</v>
      </c>
      <c r="O379" s="8">
        <f t="shared" si="171"/>
        <v>-510</v>
      </c>
      <c r="P379" s="8">
        <v>72144</v>
      </c>
      <c r="Q379" s="8">
        <f t="shared" si="172"/>
        <v>1309</v>
      </c>
      <c r="R379" s="8">
        <v>129407</v>
      </c>
      <c r="S379" s="8">
        <f t="shared" si="173"/>
        <v>1390</v>
      </c>
      <c r="T379" s="8">
        <v>-57263</v>
      </c>
      <c r="U379" s="8">
        <f t="shared" si="174"/>
        <v>-81</v>
      </c>
      <c r="W379" s="8">
        <v>320739</v>
      </c>
      <c r="X379" s="8">
        <f t="shared" si="175"/>
        <v>-1698</v>
      </c>
      <c r="Y379" s="8">
        <v>83041</v>
      </c>
      <c r="Z379" s="8">
        <f t="shared" si="176"/>
        <v>4345</v>
      </c>
      <c r="AA379" s="8">
        <v>18309</v>
      </c>
      <c r="AB379" s="8">
        <f t="shared" si="163"/>
        <v>-3425</v>
      </c>
      <c r="AC379" s="8">
        <v>64732</v>
      </c>
      <c r="AD379" s="8">
        <f t="shared" si="163"/>
        <v>7770</v>
      </c>
      <c r="AE379" s="8">
        <v>116286</v>
      </c>
      <c r="AF379" s="8">
        <f t="shared" si="177"/>
        <v>-3561</v>
      </c>
      <c r="AG379" s="8">
        <v>203256</v>
      </c>
      <c r="AH379" s="8">
        <f t="shared" si="178"/>
        <v>-723</v>
      </c>
      <c r="AI379" s="8">
        <v>-86970</v>
      </c>
      <c r="AJ379" s="8">
        <f t="shared" si="179"/>
        <v>-2838</v>
      </c>
      <c r="AK379" s="8">
        <v>56322</v>
      </c>
      <c r="AL379" s="8">
        <f t="shared" si="180"/>
        <v>-3540</v>
      </c>
      <c r="AM379" s="8">
        <v>188370</v>
      </c>
      <c r="AN379" s="8">
        <f t="shared" si="181"/>
        <v>-1778</v>
      </c>
      <c r="AO379" s="8">
        <v>-132048</v>
      </c>
      <c r="AP379" s="8">
        <f t="shared" si="182"/>
        <v>-1762</v>
      </c>
      <c r="AR379" s="8">
        <v>1578535</v>
      </c>
      <c r="AS379" s="8">
        <f t="shared" si="183"/>
        <v>-7253</v>
      </c>
      <c r="AT379" s="8">
        <v>196120</v>
      </c>
      <c r="AU379" s="8">
        <f t="shared" si="184"/>
        <v>-4448</v>
      </c>
      <c r="AV379" s="8">
        <v>260626</v>
      </c>
      <c r="AW379" s="8">
        <f t="shared" si="185"/>
        <v>2630</v>
      </c>
      <c r="AX379" s="8">
        <f t="shared" si="160"/>
        <v>-64506</v>
      </c>
      <c r="AY379" s="8">
        <f t="shared" si="186"/>
        <v>-7078</v>
      </c>
      <c r="AZ379" s="8">
        <v>658712</v>
      </c>
      <c r="BA379" s="8">
        <f t="shared" si="187"/>
        <v>-10903</v>
      </c>
      <c r="BB379" s="8">
        <v>529588</v>
      </c>
      <c r="BC379" s="8">
        <f t="shared" si="188"/>
        <v>-21636</v>
      </c>
      <c r="BD379" s="8">
        <f t="shared" si="161"/>
        <v>129124</v>
      </c>
      <c r="BE379" s="8">
        <f t="shared" si="189"/>
        <v>10733</v>
      </c>
      <c r="BF379" s="8">
        <v>339619</v>
      </c>
      <c r="BG379" s="8">
        <f t="shared" si="190"/>
        <v>-10184</v>
      </c>
      <c r="BH379" s="8">
        <v>483262</v>
      </c>
      <c r="BI379" s="8">
        <f t="shared" si="191"/>
        <v>-21382</v>
      </c>
      <c r="BJ379" s="8">
        <f t="shared" si="162"/>
        <v>-143643</v>
      </c>
      <c r="BK379" s="8">
        <f t="shared" si="164"/>
        <v>11198</v>
      </c>
    </row>
    <row r="380" spans="1:63">
      <c r="A380" s="5">
        <v>41527</v>
      </c>
      <c r="B380" s="8">
        <v>322210</v>
      </c>
      <c r="C380" s="8">
        <f t="shared" si="165"/>
        <v>2329</v>
      </c>
      <c r="D380" s="8">
        <v>51228</v>
      </c>
      <c r="E380" s="8">
        <f t="shared" si="166"/>
        <v>-1954</v>
      </c>
      <c r="F380" s="8">
        <v>68701</v>
      </c>
      <c r="G380" s="8">
        <f t="shared" si="167"/>
        <v>-233</v>
      </c>
      <c r="H380" s="8">
        <v>-17473</v>
      </c>
      <c r="I380" s="8">
        <f t="shared" si="168"/>
        <v>-1721</v>
      </c>
      <c r="J380" s="8">
        <v>152627</v>
      </c>
      <c r="K380" s="8">
        <f t="shared" si="169"/>
        <v>2277</v>
      </c>
      <c r="L380" s="8">
        <v>133966</v>
      </c>
      <c r="M380" s="8">
        <f t="shared" si="170"/>
        <v>-2132</v>
      </c>
      <c r="N380" s="8">
        <v>18661</v>
      </c>
      <c r="O380" s="8">
        <f t="shared" si="171"/>
        <v>4409</v>
      </c>
      <c r="P380" s="8">
        <v>76245</v>
      </c>
      <c r="Q380" s="8">
        <f t="shared" si="172"/>
        <v>4101</v>
      </c>
      <c r="R380" s="8">
        <v>127174</v>
      </c>
      <c r="S380" s="8">
        <f t="shared" si="173"/>
        <v>-2233</v>
      </c>
      <c r="T380" s="8">
        <v>-50929</v>
      </c>
      <c r="U380" s="8">
        <f t="shared" si="174"/>
        <v>6334</v>
      </c>
      <c r="W380" s="8">
        <v>327580</v>
      </c>
      <c r="X380" s="8">
        <f t="shared" si="175"/>
        <v>6841</v>
      </c>
      <c r="Y380" s="8">
        <v>80946</v>
      </c>
      <c r="Z380" s="8">
        <f t="shared" si="176"/>
        <v>-2095</v>
      </c>
      <c r="AA380" s="8">
        <v>12162</v>
      </c>
      <c r="AB380" s="8">
        <f t="shared" si="163"/>
        <v>-6147</v>
      </c>
      <c r="AC380" s="8">
        <v>68784</v>
      </c>
      <c r="AD380" s="8">
        <f t="shared" si="163"/>
        <v>4052</v>
      </c>
      <c r="AE380" s="8">
        <v>117219</v>
      </c>
      <c r="AF380" s="8">
        <f t="shared" si="177"/>
        <v>933</v>
      </c>
      <c r="AG380" s="8">
        <v>204782</v>
      </c>
      <c r="AH380" s="8">
        <f t="shared" si="178"/>
        <v>1526</v>
      </c>
      <c r="AI380" s="8">
        <v>-87563</v>
      </c>
      <c r="AJ380" s="8">
        <f t="shared" si="179"/>
        <v>-593</v>
      </c>
      <c r="AK380" s="8">
        <v>58065</v>
      </c>
      <c r="AL380" s="8">
        <f t="shared" si="180"/>
        <v>1743</v>
      </c>
      <c r="AM380" s="8">
        <v>188784</v>
      </c>
      <c r="AN380" s="8">
        <f t="shared" si="181"/>
        <v>414</v>
      </c>
      <c r="AO380" s="8">
        <v>-130719</v>
      </c>
      <c r="AP380" s="8">
        <f t="shared" si="182"/>
        <v>1329</v>
      </c>
      <c r="AR380" s="8">
        <v>1600221</v>
      </c>
      <c r="AS380" s="8">
        <f t="shared" si="183"/>
        <v>21686</v>
      </c>
      <c r="AT380" s="8">
        <v>197824</v>
      </c>
      <c r="AU380" s="8">
        <f t="shared" si="184"/>
        <v>1704</v>
      </c>
      <c r="AV380" s="8">
        <v>262510</v>
      </c>
      <c r="AW380" s="8">
        <f t="shared" si="185"/>
        <v>1884</v>
      </c>
      <c r="AX380" s="8">
        <f t="shared" si="160"/>
        <v>-64686</v>
      </c>
      <c r="AY380" s="8">
        <f t="shared" si="186"/>
        <v>-180</v>
      </c>
      <c r="AZ380" s="8">
        <v>656931</v>
      </c>
      <c r="BA380" s="8">
        <f t="shared" si="187"/>
        <v>-1781</v>
      </c>
      <c r="BB380" s="8">
        <v>516394</v>
      </c>
      <c r="BC380" s="8">
        <f t="shared" si="188"/>
        <v>-13194</v>
      </c>
      <c r="BD380" s="8">
        <f t="shared" si="161"/>
        <v>140537</v>
      </c>
      <c r="BE380" s="8">
        <f t="shared" si="189"/>
        <v>11413</v>
      </c>
      <c r="BF380" s="8">
        <v>335796</v>
      </c>
      <c r="BG380" s="8">
        <f t="shared" si="190"/>
        <v>-3823</v>
      </c>
      <c r="BH380" s="8">
        <v>469910</v>
      </c>
      <c r="BI380" s="8">
        <f t="shared" si="191"/>
        <v>-13352</v>
      </c>
      <c r="BJ380" s="8">
        <f t="shared" si="162"/>
        <v>-134114</v>
      </c>
      <c r="BK380" s="8">
        <f t="shared" si="164"/>
        <v>9529</v>
      </c>
    </row>
    <row r="381" spans="1:63">
      <c r="A381" s="5">
        <v>41534</v>
      </c>
      <c r="B381" s="8">
        <v>327856</v>
      </c>
      <c r="C381" s="8">
        <f t="shared" si="165"/>
        <v>5646</v>
      </c>
      <c r="D381" s="8">
        <v>49200</v>
      </c>
      <c r="E381" s="8">
        <f t="shared" si="166"/>
        <v>-2028</v>
      </c>
      <c r="F381" s="8">
        <v>71973</v>
      </c>
      <c r="G381" s="8">
        <f t="shared" si="167"/>
        <v>3272</v>
      </c>
      <c r="H381" s="8">
        <v>-22773</v>
      </c>
      <c r="I381" s="8">
        <f t="shared" si="168"/>
        <v>-5300</v>
      </c>
      <c r="J381" s="8">
        <v>158222</v>
      </c>
      <c r="K381" s="8">
        <f t="shared" si="169"/>
        <v>5595</v>
      </c>
      <c r="L381" s="8">
        <v>128811</v>
      </c>
      <c r="M381" s="8">
        <f t="shared" si="170"/>
        <v>-5155</v>
      </c>
      <c r="N381" s="8">
        <v>29411</v>
      </c>
      <c r="O381" s="8">
        <f t="shared" si="171"/>
        <v>10750</v>
      </c>
      <c r="P381" s="8">
        <v>82290</v>
      </c>
      <c r="Q381" s="8">
        <f t="shared" si="172"/>
        <v>6045</v>
      </c>
      <c r="R381" s="8">
        <v>122134</v>
      </c>
      <c r="S381" s="8">
        <f t="shared" si="173"/>
        <v>-5040</v>
      </c>
      <c r="T381" s="8">
        <v>-39844</v>
      </c>
      <c r="U381" s="8">
        <f t="shared" si="174"/>
        <v>11085</v>
      </c>
      <c r="W381" s="8">
        <v>329168</v>
      </c>
      <c r="X381" s="8">
        <f t="shared" si="175"/>
        <v>1588</v>
      </c>
      <c r="Y381" s="8">
        <v>75929</v>
      </c>
      <c r="Z381" s="8">
        <f t="shared" si="176"/>
        <v>-5017</v>
      </c>
      <c r="AA381" s="8">
        <v>12539</v>
      </c>
      <c r="AB381" s="8">
        <f t="shared" si="163"/>
        <v>377</v>
      </c>
      <c r="AC381" s="8">
        <v>63390</v>
      </c>
      <c r="AD381" s="8">
        <f t="shared" si="163"/>
        <v>-5394</v>
      </c>
      <c r="AE381" s="8">
        <v>126525</v>
      </c>
      <c r="AF381" s="8">
        <f t="shared" si="177"/>
        <v>9306</v>
      </c>
      <c r="AG381" s="8">
        <v>204869</v>
      </c>
      <c r="AH381" s="8">
        <f t="shared" si="178"/>
        <v>87</v>
      </c>
      <c r="AI381" s="8">
        <v>-78344</v>
      </c>
      <c r="AJ381" s="8">
        <f t="shared" si="179"/>
        <v>9219</v>
      </c>
      <c r="AK381" s="8">
        <v>66036</v>
      </c>
      <c r="AL381" s="8">
        <f t="shared" si="180"/>
        <v>7971</v>
      </c>
      <c r="AM381" s="8">
        <v>187343</v>
      </c>
      <c r="AN381" s="8">
        <f t="shared" si="181"/>
        <v>-1441</v>
      </c>
      <c r="AO381" s="8">
        <v>-121307</v>
      </c>
      <c r="AP381" s="8">
        <f t="shared" si="182"/>
        <v>9412</v>
      </c>
      <c r="AR381" s="8">
        <v>1664579</v>
      </c>
      <c r="AS381" s="8">
        <f t="shared" si="183"/>
        <v>64358</v>
      </c>
      <c r="AT381" s="8">
        <v>192063</v>
      </c>
      <c r="AU381" s="8">
        <f t="shared" si="184"/>
        <v>-5761</v>
      </c>
      <c r="AV381" s="8">
        <v>296274</v>
      </c>
      <c r="AW381" s="8">
        <f t="shared" si="185"/>
        <v>33764</v>
      </c>
      <c r="AX381" s="8">
        <f t="shared" si="160"/>
        <v>-104211</v>
      </c>
      <c r="AY381" s="8">
        <f t="shared" si="186"/>
        <v>-39525</v>
      </c>
      <c r="AZ381" s="8">
        <v>679648</v>
      </c>
      <c r="BA381" s="8">
        <f t="shared" si="187"/>
        <v>22717</v>
      </c>
      <c r="BB381" s="8">
        <v>498183</v>
      </c>
      <c r="BC381" s="8">
        <f t="shared" si="188"/>
        <v>-18211</v>
      </c>
      <c r="BD381" s="8">
        <f t="shared" si="161"/>
        <v>181465</v>
      </c>
      <c r="BE381" s="8">
        <f t="shared" si="189"/>
        <v>40928</v>
      </c>
      <c r="BF381" s="8">
        <v>357488</v>
      </c>
      <c r="BG381" s="8">
        <f t="shared" si="190"/>
        <v>21692</v>
      </c>
      <c r="BH381" s="8">
        <v>450659</v>
      </c>
      <c r="BI381" s="8">
        <f t="shared" si="191"/>
        <v>-19251</v>
      </c>
      <c r="BJ381" s="8">
        <f t="shared" si="162"/>
        <v>-93171</v>
      </c>
      <c r="BK381" s="8">
        <f t="shared" si="164"/>
        <v>40943</v>
      </c>
    </row>
    <row r="382" spans="1:63">
      <c r="A382" s="5">
        <v>41541</v>
      </c>
      <c r="B382" s="8">
        <v>332467</v>
      </c>
      <c r="C382" s="8">
        <f t="shared" si="165"/>
        <v>4611</v>
      </c>
      <c r="D382" s="8">
        <v>50466</v>
      </c>
      <c r="E382" s="8">
        <f t="shared" si="166"/>
        <v>1266</v>
      </c>
      <c r="F382" s="8">
        <v>75047</v>
      </c>
      <c r="G382" s="8">
        <f t="shared" si="167"/>
        <v>3074</v>
      </c>
      <c r="H382" s="8">
        <v>-24581</v>
      </c>
      <c r="I382" s="8">
        <f t="shared" si="168"/>
        <v>-1808</v>
      </c>
      <c r="J382" s="8">
        <v>156341</v>
      </c>
      <c r="K382" s="8">
        <f t="shared" si="169"/>
        <v>-1881</v>
      </c>
      <c r="L382" s="8">
        <v>123080</v>
      </c>
      <c r="M382" s="8">
        <f t="shared" si="170"/>
        <v>-5731</v>
      </c>
      <c r="N382" s="8">
        <v>33261</v>
      </c>
      <c r="O382" s="8">
        <f t="shared" si="171"/>
        <v>3850</v>
      </c>
      <c r="P382" s="8">
        <v>81699</v>
      </c>
      <c r="Q382" s="8">
        <f t="shared" si="172"/>
        <v>-591</v>
      </c>
      <c r="R382" s="8">
        <v>118486</v>
      </c>
      <c r="S382" s="8">
        <f t="shared" si="173"/>
        <v>-3648</v>
      </c>
      <c r="T382" s="8">
        <v>-36787</v>
      </c>
      <c r="U382" s="8">
        <f t="shared" si="174"/>
        <v>3057</v>
      </c>
      <c r="W382" s="8">
        <v>325409</v>
      </c>
      <c r="X382" s="8">
        <f t="shared" si="175"/>
        <v>-3759</v>
      </c>
      <c r="Y382" s="8">
        <v>76122</v>
      </c>
      <c r="Z382" s="8">
        <f t="shared" si="176"/>
        <v>193</v>
      </c>
      <c r="AA382" s="8">
        <v>14824</v>
      </c>
      <c r="AB382" s="8">
        <f t="shared" si="163"/>
        <v>2285</v>
      </c>
      <c r="AC382" s="8">
        <v>61298</v>
      </c>
      <c r="AD382" s="8">
        <f t="shared" si="163"/>
        <v>-2092</v>
      </c>
      <c r="AE382" s="8">
        <v>128770</v>
      </c>
      <c r="AF382" s="8">
        <f t="shared" si="177"/>
        <v>2245</v>
      </c>
      <c r="AG382" s="8">
        <v>201893</v>
      </c>
      <c r="AH382" s="8">
        <f t="shared" si="178"/>
        <v>-2976</v>
      </c>
      <c r="AI382" s="8">
        <v>-73123</v>
      </c>
      <c r="AJ382" s="8">
        <f t="shared" si="179"/>
        <v>5221</v>
      </c>
      <c r="AK382" s="8">
        <v>69242</v>
      </c>
      <c r="AL382" s="8">
        <f t="shared" si="180"/>
        <v>3206</v>
      </c>
      <c r="AM382" s="8">
        <v>183332</v>
      </c>
      <c r="AN382" s="8">
        <f t="shared" si="181"/>
        <v>-4011</v>
      </c>
      <c r="AO382" s="8">
        <v>-114090</v>
      </c>
      <c r="AP382" s="8">
        <f t="shared" si="182"/>
        <v>7217</v>
      </c>
      <c r="AR382" s="8">
        <v>1677801</v>
      </c>
      <c r="AS382" s="8">
        <f t="shared" si="183"/>
        <v>13222</v>
      </c>
      <c r="AT382" s="8">
        <v>192454</v>
      </c>
      <c r="AU382" s="8">
        <f t="shared" si="184"/>
        <v>391</v>
      </c>
      <c r="AV382" s="8">
        <v>318799</v>
      </c>
      <c r="AW382" s="8">
        <f t="shared" si="185"/>
        <v>22525</v>
      </c>
      <c r="AX382" s="8">
        <f t="shared" si="160"/>
        <v>-126345</v>
      </c>
      <c r="AY382" s="8">
        <f t="shared" si="186"/>
        <v>-22134</v>
      </c>
      <c r="AZ382" s="8">
        <v>700882</v>
      </c>
      <c r="BA382" s="8">
        <f t="shared" si="187"/>
        <v>21234</v>
      </c>
      <c r="BB382" s="8">
        <v>494716</v>
      </c>
      <c r="BC382" s="8">
        <f t="shared" si="188"/>
        <v>-3467</v>
      </c>
      <c r="BD382" s="8">
        <f t="shared" si="161"/>
        <v>206166</v>
      </c>
      <c r="BE382" s="8">
        <f t="shared" si="189"/>
        <v>24701</v>
      </c>
      <c r="BF382" s="8">
        <v>379050</v>
      </c>
      <c r="BG382" s="8">
        <f t="shared" si="190"/>
        <v>21562</v>
      </c>
      <c r="BH382" s="8">
        <v>442989</v>
      </c>
      <c r="BI382" s="8">
        <f t="shared" si="191"/>
        <v>-7670</v>
      </c>
      <c r="BJ382" s="8">
        <f t="shared" si="162"/>
        <v>-63939</v>
      </c>
      <c r="BK382" s="8">
        <f t="shared" si="164"/>
        <v>29232</v>
      </c>
    </row>
    <row r="383" spans="1:63">
      <c r="A383" s="5">
        <v>41548</v>
      </c>
      <c r="B383" s="8">
        <v>346017</v>
      </c>
      <c r="C383" s="8">
        <f t="shared" si="165"/>
        <v>13550</v>
      </c>
      <c r="D383" s="8">
        <v>48616</v>
      </c>
      <c r="E383" s="8">
        <f t="shared" si="166"/>
        <v>-1850</v>
      </c>
      <c r="F383" s="8">
        <v>75083</v>
      </c>
      <c r="G383" s="8">
        <f t="shared" si="167"/>
        <v>36</v>
      </c>
      <c r="H383" s="8">
        <v>-26467</v>
      </c>
      <c r="I383" s="8">
        <f t="shared" si="168"/>
        <v>-1886</v>
      </c>
      <c r="J383" s="8">
        <v>156746</v>
      </c>
      <c r="K383" s="8">
        <f t="shared" si="169"/>
        <v>405</v>
      </c>
      <c r="L383" s="8">
        <v>121313</v>
      </c>
      <c r="M383" s="8">
        <f t="shared" si="170"/>
        <v>-1767</v>
      </c>
      <c r="N383" s="8">
        <v>35433</v>
      </c>
      <c r="O383" s="8">
        <f t="shared" si="171"/>
        <v>2172</v>
      </c>
      <c r="P383" s="8">
        <v>80714</v>
      </c>
      <c r="Q383" s="8">
        <f t="shared" si="172"/>
        <v>-985</v>
      </c>
      <c r="R383" s="8">
        <v>115742</v>
      </c>
      <c r="S383" s="8">
        <f t="shared" si="173"/>
        <v>-2744</v>
      </c>
      <c r="T383" s="8">
        <v>-35028</v>
      </c>
      <c r="U383" s="8">
        <f t="shared" si="174"/>
        <v>1759</v>
      </c>
      <c r="W383" s="8">
        <v>314384</v>
      </c>
      <c r="X383" s="8">
        <f t="shared" si="175"/>
        <v>-11025</v>
      </c>
      <c r="Y383" s="8">
        <v>72440</v>
      </c>
      <c r="Z383" s="8">
        <f t="shared" si="176"/>
        <v>-3682</v>
      </c>
      <c r="AA383" s="8">
        <v>16566</v>
      </c>
      <c r="AB383" s="8">
        <f t="shared" si="163"/>
        <v>1742</v>
      </c>
      <c r="AC383" s="8">
        <v>55874</v>
      </c>
      <c r="AD383" s="8">
        <f t="shared" si="163"/>
        <v>-5424</v>
      </c>
      <c r="AE383" s="8">
        <v>124400</v>
      </c>
      <c r="AF383" s="8">
        <f t="shared" si="177"/>
        <v>-4370</v>
      </c>
      <c r="AG383" s="8">
        <v>186047</v>
      </c>
      <c r="AH383" s="8">
        <f t="shared" si="178"/>
        <v>-15846</v>
      </c>
      <c r="AI383" s="8">
        <v>-61647</v>
      </c>
      <c r="AJ383" s="8">
        <f t="shared" si="179"/>
        <v>11476</v>
      </c>
      <c r="AK383" s="8">
        <v>62114</v>
      </c>
      <c r="AL383" s="8">
        <f t="shared" si="180"/>
        <v>-7128</v>
      </c>
      <c r="AM383" s="8">
        <v>166139</v>
      </c>
      <c r="AN383" s="8">
        <f t="shared" si="181"/>
        <v>-17193</v>
      </c>
      <c r="AO383" s="8">
        <v>-104025</v>
      </c>
      <c r="AP383" s="8">
        <f t="shared" si="182"/>
        <v>10065</v>
      </c>
      <c r="AR383" s="8">
        <v>1755882</v>
      </c>
      <c r="AS383" s="8">
        <f t="shared" si="183"/>
        <v>78081</v>
      </c>
      <c r="AT383" s="8">
        <v>193452</v>
      </c>
      <c r="AU383" s="8">
        <f t="shared" si="184"/>
        <v>998</v>
      </c>
      <c r="AV383" s="8">
        <v>345370</v>
      </c>
      <c r="AW383" s="8">
        <f t="shared" si="185"/>
        <v>26571</v>
      </c>
      <c r="AX383" s="8">
        <f t="shared" si="160"/>
        <v>-151918</v>
      </c>
      <c r="AY383" s="8">
        <f t="shared" si="186"/>
        <v>-25573</v>
      </c>
      <c r="AZ383" s="8">
        <v>731270</v>
      </c>
      <c r="BA383" s="8">
        <f t="shared" si="187"/>
        <v>30388</v>
      </c>
      <c r="BB383" s="8">
        <v>502486</v>
      </c>
      <c r="BC383" s="8">
        <f t="shared" si="188"/>
        <v>7770</v>
      </c>
      <c r="BD383" s="8">
        <f t="shared" si="161"/>
        <v>228784</v>
      </c>
      <c r="BE383" s="8">
        <f t="shared" si="189"/>
        <v>22618</v>
      </c>
      <c r="BF383" s="8">
        <v>399472</v>
      </c>
      <c r="BG383" s="8">
        <f t="shared" si="190"/>
        <v>20422</v>
      </c>
      <c r="BH383" s="8">
        <v>442916</v>
      </c>
      <c r="BI383" s="8">
        <f t="shared" si="191"/>
        <v>-73</v>
      </c>
      <c r="BJ383" s="8">
        <f t="shared" si="162"/>
        <v>-43444</v>
      </c>
      <c r="BK383" s="8">
        <f t="shared" si="164"/>
        <v>20495</v>
      </c>
    </row>
    <row r="384" spans="1:63">
      <c r="A384" s="5">
        <v>41555</v>
      </c>
      <c r="B384" s="8">
        <v>345712</v>
      </c>
      <c r="C384" s="8">
        <f t="shared" si="165"/>
        <v>-305</v>
      </c>
      <c r="D384" s="8">
        <v>48609</v>
      </c>
      <c r="E384" s="8">
        <f t="shared" si="166"/>
        <v>-7</v>
      </c>
      <c r="F384" s="8">
        <v>74593</v>
      </c>
      <c r="G384" s="8">
        <f t="shared" si="167"/>
        <v>-490</v>
      </c>
      <c r="H384" s="8">
        <v>-25984</v>
      </c>
      <c r="I384" s="8">
        <f t="shared" si="168"/>
        <v>483</v>
      </c>
      <c r="J384" s="8">
        <v>155474</v>
      </c>
      <c r="K384" s="8">
        <f t="shared" si="169"/>
        <v>-1272</v>
      </c>
      <c r="L384" s="8">
        <v>118472</v>
      </c>
      <c r="M384" s="8">
        <f t="shared" si="170"/>
        <v>-2841</v>
      </c>
      <c r="N384" s="8">
        <v>37002</v>
      </c>
      <c r="O384" s="8">
        <f t="shared" si="171"/>
        <v>1569</v>
      </c>
      <c r="P384" s="8">
        <v>78544</v>
      </c>
      <c r="Q384" s="8">
        <f t="shared" si="172"/>
        <v>-2170</v>
      </c>
      <c r="R384" s="8">
        <v>113625</v>
      </c>
      <c r="S384" s="8">
        <f t="shared" si="173"/>
        <v>-2117</v>
      </c>
      <c r="T384" s="8">
        <v>-35081</v>
      </c>
      <c r="U384" s="8">
        <f t="shared" si="174"/>
        <v>-53</v>
      </c>
      <c r="W384" s="8">
        <v>318758</v>
      </c>
      <c r="X384" s="8">
        <f t="shared" si="175"/>
        <v>4374</v>
      </c>
      <c r="Y384" s="8">
        <v>69149</v>
      </c>
      <c r="Z384" s="8">
        <f t="shared" si="176"/>
        <v>-3291</v>
      </c>
      <c r="AA384" s="8">
        <v>17995</v>
      </c>
      <c r="AB384" s="8">
        <f t="shared" si="163"/>
        <v>1429</v>
      </c>
      <c r="AC384" s="8">
        <v>51154</v>
      </c>
      <c r="AD384" s="8">
        <f t="shared" si="163"/>
        <v>-4720</v>
      </c>
      <c r="AE384" s="8">
        <v>123653</v>
      </c>
      <c r="AF384" s="8">
        <f t="shared" si="177"/>
        <v>-747</v>
      </c>
      <c r="AG384" s="8">
        <v>187593</v>
      </c>
      <c r="AH384" s="8">
        <f t="shared" si="178"/>
        <v>1546</v>
      </c>
      <c r="AI384" s="8">
        <v>-63940</v>
      </c>
      <c r="AJ384" s="8">
        <f t="shared" si="179"/>
        <v>-2293</v>
      </c>
      <c r="AK384" s="8">
        <v>59489</v>
      </c>
      <c r="AL384" s="8">
        <f t="shared" si="180"/>
        <v>-2625</v>
      </c>
      <c r="AM384" s="8">
        <v>169833</v>
      </c>
      <c r="AN384" s="8">
        <f t="shared" si="181"/>
        <v>3694</v>
      </c>
      <c r="AO384" s="8">
        <v>-110344</v>
      </c>
      <c r="AP384" s="8">
        <f t="shared" si="182"/>
        <v>-6319</v>
      </c>
      <c r="AR384" s="8">
        <v>1783725</v>
      </c>
      <c r="AS384" s="8">
        <f t="shared" si="183"/>
        <v>27843</v>
      </c>
      <c r="AT384" s="8">
        <v>190295</v>
      </c>
      <c r="AU384" s="8">
        <f t="shared" si="184"/>
        <v>-3157</v>
      </c>
      <c r="AV384" s="8">
        <v>344942</v>
      </c>
      <c r="AW384" s="8">
        <f t="shared" si="185"/>
        <v>-428</v>
      </c>
      <c r="AX384" s="8">
        <f t="shared" si="160"/>
        <v>-154647</v>
      </c>
      <c r="AY384" s="8">
        <f t="shared" si="186"/>
        <v>-2729</v>
      </c>
      <c r="AZ384" s="8">
        <v>740511</v>
      </c>
      <c r="BA384" s="8">
        <f t="shared" si="187"/>
        <v>9241</v>
      </c>
      <c r="BB384" s="8">
        <v>506954</v>
      </c>
      <c r="BC384" s="8">
        <f t="shared" si="188"/>
        <v>4468</v>
      </c>
      <c r="BD384" s="8">
        <f t="shared" si="161"/>
        <v>233557</v>
      </c>
      <c r="BE384" s="8">
        <f t="shared" si="189"/>
        <v>4773</v>
      </c>
      <c r="BF384" s="8">
        <v>409885</v>
      </c>
      <c r="BG384" s="8">
        <f t="shared" si="190"/>
        <v>10413</v>
      </c>
      <c r="BH384" s="8">
        <v>441804</v>
      </c>
      <c r="BI384" s="8">
        <f t="shared" si="191"/>
        <v>-1112</v>
      </c>
      <c r="BJ384" s="8">
        <f t="shared" si="162"/>
        <v>-31919</v>
      </c>
      <c r="BK384" s="8">
        <f t="shared" si="164"/>
        <v>11525</v>
      </c>
    </row>
    <row r="385" spans="1:63">
      <c r="A385" s="5">
        <v>41562</v>
      </c>
      <c r="B385" s="8">
        <v>348570</v>
      </c>
      <c r="C385" s="8">
        <f t="shared" si="165"/>
        <v>2858</v>
      </c>
      <c r="D385" s="8">
        <v>44196</v>
      </c>
      <c r="E385" s="8">
        <f t="shared" si="166"/>
        <v>-4413</v>
      </c>
      <c r="F385" s="8">
        <v>71933</v>
      </c>
      <c r="G385" s="8">
        <f t="shared" si="167"/>
        <v>-2660</v>
      </c>
      <c r="H385" s="8">
        <v>-27737</v>
      </c>
      <c r="I385" s="8">
        <f t="shared" si="168"/>
        <v>-1753</v>
      </c>
      <c r="J385" s="8">
        <v>160178</v>
      </c>
      <c r="K385" s="8">
        <f t="shared" si="169"/>
        <v>4704</v>
      </c>
      <c r="L385" s="8">
        <v>124380</v>
      </c>
      <c r="M385" s="8">
        <f t="shared" si="170"/>
        <v>5908</v>
      </c>
      <c r="N385" s="8">
        <v>35798</v>
      </c>
      <c r="O385" s="8">
        <f t="shared" si="171"/>
        <v>-1204</v>
      </c>
      <c r="P385" s="8">
        <v>82261</v>
      </c>
      <c r="Q385" s="8">
        <f t="shared" si="172"/>
        <v>3717</v>
      </c>
      <c r="R385" s="8">
        <v>117907</v>
      </c>
      <c r="S385" s="8">
        <f t="shared" si="173"/>
        <v>4282</v>
      </c>
      <c r="T385" s="8">
        <v>-35646</v>
      </c>
      <c r="U385" s="8">
        <f t="shared" si="174"/>
        <v>-565</v>
      </c>
      <c r="W385" s="8">
        <v>320430</v>
      </c>
      <c r="X385" s="8">
        <f t="shared" si="175"/>
        <v>1672</v>
      </c>
      <c r="Y385" s="8">
        <v>69164</v>
      </c>
      <c r="Z385" s="8">
        <f t="shared" si="176"/>
        <v>15</v>
      </c>
      <c r="AA385" s="8">
        <v>20676</v>
      </c>
      <c r="AB385" s="8">
        <f t="shared" si="163"/>
        <v>2681</v>
      </c>
      <c r="AC385" s="8">
        <v>48488</v>
      </c>
      <c r="AD385" s="8">
        <f t="shared" si="163"/>
        <v>-2666</v>
      </c>
      <c r="AE385" s="8">
        <v>123359</v>
      </c>
      <c r="AF385" s="8">
        <f t="shared" si="177"/>
        <v>-294</v>
      </c>
      <c r="AG385" s="8">
        <v>184826</v>
      </c>
      <c r="AH385" s="8">
        <f t="shared" si="178"/>
        <v>-2767</v>
      </c>
      <c r="AI385" s="8">
        <v>-61467</v>
      </c>
      <c r="AJ385" s="8">
        <f t="shared" si="179"/>
        <v>2473</v>
      </c>
      <c r="AK385" s="8">
        <v>57114</v>
      </c>
      <c r="AL385" s="8">
        <f t="shared" si="180"/>
        <v>-2375</v>
      </c>
      <c r="AM385" s="8">
        <v>166313</v>
      </c>
      <c r="AN385" s="8">
        <f t="shared" si="181"/>
        <v>-3520</v>
      </c>
      <c r="AO385" s="8">
        <v>-109199</v>
      </c>
      <c r="AP385" s="8">
        <f t="shared" si="182"/>
        <v>1145</v>
      </c>
      <c r="AR385" s="8">
        <v>1811735</v>
      </c>
      <c r="AS385" s="8">
        <f t="shared" si="183"/>
        <v>28010</v>
      </c>
      <c r="AT385" s="8">
        <v>195690</v>
      </c>
      <c r="AU385" s="8">
        <f t="shared" si="184"/>
        <v>5395</v>
      </c>
      <c r="AV385" s="8">
        <v>349227</v>
      </c>
      <c r="AW385" s="8">
        <f t="shared" si="185"/>
        <v>4285</v>
      </c>
      <c r="AX385" s="8">
        <f t="shared" si="160"/>
        <v>-153537</v>
      </c>
      <c r="AY385" s="8">
        <f t="shared" si="186"/>
        <v>1110</v>
      </c>
      <c r="AZ385" s="8">
        <v>755469</v>
      </c>
      <c r="BA385" s="8">
        <f t="shared" si="187"/>
        <v>14958</v>
      </c>
      <c r="BB385" s="8">
        <v>519875</v>
      </c>
      <c r="BC385" s="8">
        <f t="shared" si="188"/>
        <v>12921</v>
      </c>
      <c r="BD385" s="8">
        <f t="shared" si="161"/>
        <v>235594</v>
      </c>
      <c r="BE385" s="8">
        <f t="shared" si="189"/>
        <v>2037</v>
      </c>
      <c r="BF385" s="8">
        <v>422304</v>
      </c>
      <c r="BG385" s="8">
        <f t="shared" si="190"/>
        <v>12419</v>
      </c>
      <c r="BH385" s="8">
        <v>453677</v>
      </c>
      <c r="BI385" s="8">
        <f t="shared" si="191"/>
        <v>11873</v>
      </c>
      <c r="BJ385" s="8">
        <f t="shared" si="162"/>
        <v>-31373</v>
      </c>
      <c r="BK385" s="8">
        <f t="shared" si="164"/>
        <v>546</v>
      </c>
    </row>
    <row r="386" spans="1:63">
      <c r="A386" s="5">
        <v>41569</v>
      </c>
      <c r="B386" s="8">
        <v>364389</v>
      </c>
      <c r="C386" s="8">
        <f t="shared" si="165"/>
        <v>15819</v>
      </c>
      <c r="D386" s="8">
        <v>47571</v>
      </c>
      <c r="E386" s="8">
        <f t="shared" si="166"/>
        <v>3375</v>
      </c>
      <c r="F386" s="8">
        <v>68130</v>
      </c>
      <c r="G386" s="8">
        <f t="shared" si="167"/>
        <v>-3803</v>
      </c>
      <c r="H386" s="8">
        <v>-20559</v>
      </c>
      <c r="I386" s="8">
        <f t="shared" si="168"/>
        <v>7178</v>
      </c>
      <c r="J386" s="8">
        <v>163650</v>
      </c>
      <c r="K386" s="8">
        <f t="shared" si="169"/>
        <v>3472</v>
      </c>
      <c r="L386" s="8">
        <v>142782</v>
      </c>
      <c r="M386" s="8">
        <f t="shared" si="170"/>
        <v>18402</v>
      </c>
      <c r="N386" s="8">
        <v>20868</v>
      </c>
      <c r="O386" s="8">
        <f t="shared" si="171"/>
        <v>-14930</v>
      </c>
      <c r="P386" s="8">
        <v>84895</v>
      </c>
      <c r="Q386" s="8">
        <f t="shared" si="172"/>
        <v>2634</v>
      </c>
      <c r="R386" s="8">
        <v>134603</v>
      </c>
      <c r="S386" s="8">
        <f t="shared" si="173"/>
        <v>16696</v>
      </c>
      <c r="T386" s="8">
        <v>-49708</v>
      </c>
      <c r="U386" s="8">
        <f t="shared" si="174"/>
        <v>-14062</v>
      </c>
      <c r="W386" s="8">
        <v>331482</v>
      </c>
      <c r="X386" s="8">
        <f t="shared" si="175"/>
        <v>11052</v>
      </c>
      <c r="Y386" s="8">
        <v>72567</v>
      </c>
      <c r="Z386" s="8">
        <f t="shared" si="176"/>
        <v>3403</v>
      </c>
      <c r="AA386" s="8">
        <v>19528</v>
      </c>
      <c r="AB386" s="8">
        <f t="shared" si="163"/>
        <v>-1148</v>
      </c>
      <c r="AC386" s="8">
        <v>53039</v>
      </c>
      <c r="AD386" s="8">
        <f t="shared" si="163"/>
        <v>4551</v>
      </c>
      <c r="AE386" s="8">
        <v>122077</v>
      </c>
      <c r="AF386" s="8">
        <f t="shared" si="177"/>
        <v>-1282</v>
      </c>
      <c r="AG386" s="8">
        <v>190737</v>
      </c>
      <c r="AH386" s="8">
        <f t="shared" si="178"/>
        <v>5911</v>
      </c>
      <c r="AI386" s="8">
        <v>-68660</v>
      </c>
      <c r="AJ386" s="8">
        <f t="shared" si="179"/>
        <v>-7193</v>
      </c>
      <c r="AK386" s="8">
        <v>55204</v>
      </c>
      <c r="AL386" s="8">
        <f t="shared" si="180"/>
        <v>-1910</v>
      </c>
      <c r="AM386" s="8">
        <v>170742</v>
      </c>
      <c r="AN386" s="8">
        <f t="shared" si="181"/>
        <v>4429</v>
      </c>
      <c r="AO386" s="8">
        <v>-115538</v>
      </c>
      <c r="AP386" s="8">
        <f t="shared" si="182"/>
        <v>-6339</v>
      </c>
      <c r="AR386" s="8">
        <v>1869789</v>
      </c>
      <c r="AS386" s="8">
        <f t="shared" si="183"/>
        <v>58054</v>
      </c>
      <c r="AT386" s="8">
        <v>197709</v>
      </c>
      <c r="AU386" s="8">
        <f t="shared" si="184"/>
        <v>2019</v>
      </c>
      <c r="AV386" s="8">
        <v>356951</v>
      </c>
      <c r="AW386" s="8">
        <f t="shared" si="185"/>
        <v>7724</v>
      </c>
      <c r="AX386" s="8">
        <f t="shared" si="160"/>
        <v>-159242</v>
      </c>
      <c r="AY386" s="8">
        <f t="shared" si="186"/>
        <v>-5705</v>
      </c>
      <c r="AZ386" s="8">
        <v>777720</v>
      </c>
      <c r="BA386" s="8">
        <f t="shared" si="187"/>
        <v>22251</v>
      </c>
      <c r="BB386" s="8">
        <v>529926</v>
      </c>
      <c r="BC386" s="8">
        <f t="shared" si="188"/>
        <v>10051</v>
      </c>
      <c r="BD386" s="8">
        <f t="shared" si="161"/>
        <v>247794</v>
      </c>
      <c r="BE386" s="8">
        <f t="shared" si="189"/>
        <v>12200</v>
      </c>
      <c r="BF386" s="8">
        <v>440520</v>
      </c>
      <c r="BG386" s="8">
        <f t="shared" si="190"/>
        <v>18216</v>
      </c>
      <c r="BH386" s="8">
        <v>461135</v>
      </c>
      <c r="BI386" s="8">
        <f t="shared" si="191"/>
        <v>7458</v>
      </c>
      <c r="BJ386" s="8">
        <f t="shared" si="162"/>
        <v>-20615</v>
      </c>
      <c r="BK386" s="8">
        <f t="shared" si="164"/>
        <v>10758</v>
      </c>
    </row>
    <row r="387" spans="1:63">
      <c r="A387" s="5">
        <v>41576</v>
      </c>
      <c r="B387" s="8">
        <v>367273</v>
      </c>
      <c r="C387" s="8">
        <f t="shared" si="165"/>
        <v>2884</v>
      </c>
      <c r="D387" s="8">
        <v>48695</v>
      </c>
      <c r="E387" s="8">
        <f t="shared" si="166"/>
        <v>1124</v>
      </c>
      <c r="F387" s="8">
        <v>67309</v>
      </c>
      <c r="G387" s="8">
        <f t="shared" si="167"/>
        <v>-821</v>
      </c>
      <c r="H387" s="8">
        <v>-18614</v>
      </c>
      <c r="I387" s="8">
        <f t="shared" si="168"/>
        <v>1945</v>
      </c>
      <c r="J387" s="8">
        <v>170944</v>
      </c>
      <c r="K387" s="8">
        <f t="shared" si="169"/>
        <v>7294</v>
      </c>
      <c r="L387" s="8">
        <v>150339</v>
      </c>
      <c r="M387" s="8">
        <f t="shared" si="170"/>
        <v>7557</v>
      </c>
      <c r="N387" s="8">
        <v>20605</v>
      </c>
      <c r="O387" s="8">
        <f t="shared" si="171"/>
        <v>-263</v>
      </c>
      <c r="P387" s="8">
        <v>91148</v>
      </c>
      <c r="Q387" s="8">
        <f t="shared" si="172"/>
        <v>6253</v>
      </c>
      <c r="R387" s="8">
        <v>143084</v>
      </c>
      <c r="S387" s="8">
        <f t="shared" si="173"/>
        <v>8481</v>
      </c>
      <c r="T387" s="8">
        <v>-51936</v>
      </c>
      <c r="U387" s="8">
        <f t="shared" si="174"/>
        <v>-2228</v>
      </c>
      <c r="W387" s="8">
        <v>337119</v>
      </c>
      <c r="X387" s="8">
        <f t="shared" si="175"/>
        <v>5637</v>
      </c>
      <c r="Y387" s="8">
        <v>77292</v>
      </c>
      <c r="Z387" s="8">
        <f t="shared" si="176"/>
        <v>4725</v>
      </c>
      <c r="AA387" s="8">
        <v>19872</v>
      </c>
      <c r="AB387" s="8">
        <f t="shared" si="163"/>
        <v>344</v>
      </c>
      <c r="AC387" s="8">
        <v>57420</v>
      </c>
      <c r="AD387" s="8">
        <f t="shared" si="163"/>
        <v>4381</v>
      </c>
      <c r="AE387" s="8">
        <v>123227</v>
      </c>
      <c r="AF387" s="8">
        <f t="shared" si="177"/>
        <v>1150</v>
      </c>
      <c r="AG387" s="8">
        <v>194876</v>
      </c>
      <c r="AH387" s="8">
        <f t="shared" si="178"/>
        <v>4139</v>
      </c>
      <c r="AI387" s="8">
        <v>-71649</v>
      </c>
      <c r="AJ387" s="8">
        <f t="shared" si="179"/>
        <v>-2989</v>
      </c>
      <c r="AK387" s="8">
        <v>56085</v>
      </c>
      <c r="AL387" s="8">
        <f t="shared" si="180"/>
        <v>881</v>
      </c>
      <c r="AM387" s="8">
        <v>176274</v>
      </c>
      <c r="AN387" s="8">
        <f t="shared" si="181"/>
        <v>5532</v>
      </c>
      <c r="AO387" s="8">
        <v>-120189</v>
      </c>
      <c r="AP387" s="8">
        <f t="shared" si="182"/>
        <v>-4651</v>
      </c>
      <c r="AR387" s="8">
        <v>1902900</v>
      </c>
      <c r="AS387" s="8">
        <f t="shared" si="183"/>
        <v>33111</v>
      </c>
      <c r="AT387" s="8">
        <v>201994</v>
      </c>
      <c r="AU387" s="8">
        <f t="shared" si="184"/>
        <v>4285</v>
      </c>
      <c r="AV387" s="8">
        <v>382621</v>
      </c>
      <c r="AW387" s="8">
        <f t="shared" si="185"/>
        <v>25670</v>
      </c>
      <c r="AX387" s="8">
        <f t="shared" si="160"/>
        <v>-180627</v>
      </c>
      <c r="AY387" s="8">
        <f t="shared" si="186"/>
        <v>-21385</v>
      </c>
      <c r="AZ387" s="8">
        <v>801502</v>
      </c>
      <c r="BA387" s="8">
        <f t="shared" si="187"/>
        <v>23782</v>
      </c>
      <c r="BB387" s="8">
        <v>545890</v>
      </c>
      <c r="BC387" s="8">
        <f t="shared" si="188"/>
        <v>15964</v>
      </c>
      <c r="BD387" s="8">
        <f t="shared" si="161"/>
        <v>255612</v>
      </c>
      <c r="BE387" s="8">
        <f t="shared" si="189"/>
        <v>7818</v>
      </c>
      <c r="BF387" s="8">
        <v>458825</v>
      </c>
      <c r="BG387" s="8">
        <f t="shared" si="190"/>
        <v>18305</v>
      </c>
      <c r="BH387" s="8">
        <v>471188</v>
      </c>
      <c r="BI387" s="8">
        <f t="shared" si="191"/>
        <v>10053</v>
      </c>
      <c r="BJ387" s="8">
        <f t="shared" si="162"/>
        <v>-12363</v>
      </c>
      <c r="BK387" s="8">
        <f t="shared" si="164"/>
        <v>8252</v>
      </c>
    </row>
    <row r="388" spans="1:63">
      <c r="A388" s="5">
        <v>41583</v>
      </c>
      <c r="B388" s="8">
        <v>371848</v>
      </c>
      <c r="C388" s="8">
        <f t="shared" si="165"/>
        <v>4575</v>
      </c>
      <c r="D388" s="8">
        <v>46154</v>
      </c>
      <c r="E388" s="8">
        <f t="shared" si="166"/>
        <v>-2541</v>
      </c>
      <c r="F388" s="8">
        <v>65737</v>
      </c>
      <c r="G388" s="8">
        <f t="shared" si="167"/>
        <v>-1572</v>
      </c>
      <c r="H388" s="8">
        <v>-19583</v>
      </c>
      <c r="I388" s="8">
        <f t="shared" si="168"/>
        <v>-969</v>
      </c>
      <c r="J388" s="8">
        <v>173209</v>
      </c>
      <c r="K388" s="8">
        <f t="shared" si="169"/>
        <v>2265</v>
      </c>
      <c r="L388" s="8">
        <v>161458</v>
      </c>
      <c r="M388" s="8">
        <f t="shared" si="170"/>
        <v>11119</v>
      </c>
      <c r="N388" s="8">
        <v>11751</v>
      </c>
      <c r="O388" s="8">
        <f t="shared" si="171"/>
        <v>-8854</v>
      </c>
      <c r="P388" s="8">
        <v>94656</v>
      </c>
      <c r="Q388" s="8">
        <f t="shared" si="172"/>
        <v>3508</v>
      </c>
      <c r="R388" s="8">
        <v>152638</v>
      </c>
      <c r="S388" s="8">
        <f t="shared" si="173"/>
        <v>9554</v>
      </c>
      <c r="T388" s="8">
        <v>-57982</v>
      </c>
      <c r="U388" s="8">
        <f t="shared" si="174"/>
        <v>-6046</v>
      </c>
      <c r="W388" s="8">
        <v>331480</v>
      </c>
      <c r="X388" s="8">
        <f t="shared" si="175"/>
        <v>-5639</v>
      </c>
      <c r="Y388" s="8">
        <v>65888</v>
      </c>
      <c r="Z388" s="8">
        <f t="shared" si="176"/>
        <v>-11404</v>
      </c>
      <c r="AA388" s="8">
        <v>24029</v>
      </c>
      <c r="AB388" s="8">
        <f t="shared" si="163"/>
        <v>4157</v>
      </c>
      <c r="AC388" s="8">
        <v>41859</v>
      </c>
      <c r="AD388" s="8">
        <f t="shared" si="163"/>
        <v>-15561</v>
      </c>
      <c r="AE388" s="8">
        <v>129171</v>
      </c>
      <c r="AF388" s="8">
        <f t="shared" si="177"/>
        <v>5944</v>
      </c>
      <c r="AG388" s="8">
        <v>178179</v>
      </c>
      <c r="AH388" s="8">
        <f t="shared" si="178"/>
        <v>-16697</v>
      </c>
      <c r="AI388" s="8">
        <v>-49008</v>
      </c>
      <c r="AJ388" s="8">
        <f t="shared" si="179"/>
        <v>22641</v>
      </c>
      <c r="AK388" s="8">
        <v>59744</v>
      </c>
      <c r="AL388" s="8">
        <f t="shared" si="180"/>
        <v>3659</v>
      </c>
      <c r="AM388" s="8">
        <v>157935</v>
      </c>
      <c r="AN388" s="8">
        <f t="shared" si="181"/>
        <v>-18339</v>
      </c>
      <c r="AO388" s="8">
        <v>-98191</v>
      </c>
      <c r="AP388" s="8">
        <f t="shared" si="182"/>
        <v>21998</v>
      </c>
      <c r="AR388" s="8">
        <v>1941041</v>
      </c>
      <c r="AS388" s="8">
        <f t="shared" si="183"/>
        <v>38141</v>
      </c>
      <c r="AT388" s="8">
        <v>206554</v>
      </c>
      <c r="AU388" s="8">
        <f t="shared" si="184"/>
        <v>4560</v>
      </c>
      <c r="AV388" s="8">
        <v>385274</v>
      </c>
      <c r="AW388" s="8">
        <f t="shared" si="185"/>
        <v>2653</v>
      </c>
      <c r="AX388" s="8">
        <f t="shared" ref="AX388:AX451" si="192">AT388-AV388</f>
        <v>-178720</v>
      </c>
      <c r="AY388" s="8">
        <f t="shared" si="186"/>
        <v>1907</v>
      </c>
      <c r="AZ388" s="8">
        <v>821842</v>
      </c>
      <c r="BA388" s="8">
        <f t="shared" si="187"/>
        <v>20340</v>
      </c>
      <c r="BB388" s="8">
        <v>566744</v>
      </c>
      <c r="BC388" s="8">
        <f t="shared" si="188"/>
        <v>20854</v>
      </c>
      <c r="BD388" s="8">
        <f t="shared" ref="BD388:BD451" si="193">AZ388-BB388</f>
        <v>255098</v>
      </c>
      <c r="BE388" s="8">
        <f t="shared" si="189"/>
        <v>-514</v>
      </c>
      <c r="BF388" s="8">
        <v>475039</v>
      </c>
      <c r="BG388" s="8">
        <f t="shared" si="190"/>
        <v>16214</v>
      </c>
      <c r="BH388" s="8">
        <v>488435</v>
      </c>
      <c r="BI388" s="8">
        <f t="shared" si="191"/>
        <v>17247</v>
      </c>
      <c r="BJ388" s="8">
        <f t="shared" ref="BJ388:BJ451" si="194">BF388-BH388</f>
        <v>-13396</v>
      </c>
      <c r="BK388" s="8">
        <f t="shared" si="164"/>
        <v>-1033</v>
      </c>
    </row>
    <row r="389" spans="1:63">
      <c r="A389" s="5">
        <v>41590</v>
      </c>
      <c r="B389" s="8">
        <v>377183</v>
      </c>
      <c r="C389" s="8">
        <f t="shared" si="165"/>
        <v>5335</v>
      </c>
      <c r="D389" s="8">
        <v>47164</v>
      </c>
      <c r="E389" s="8">
        <f t="shared" si="166"/>
        <v>1010</v>
      </c>
      <c r="F389" s="8">
        <v>70256</v>
      </c>
      <c r="G389" s="8">
        <f t="shared" si="167"/>
        <v>4519</v>
      </c>
      <c r="H389" s="8">
        <v>-23092</v>
      </c>
      <c r="I389" s="8">
        <f t="shared" si="168"/>
        <v>-3509</v>
      </c>
      <c r="J389" s="8">
        <v>181039</v>
      </c>
      <c r="K389" s="8">
        <f t="shared" si="169"/>
        <v>7830</v>
      </c>
      <c r="L389" s="8">
        <v>164515</v>
      </c>
      <c r="M389" s="8">
        <f t="shared" si="170"/>
        <v>3057</v>
      </c>
      <c r="N389" s="8">
        <v>16524</v>
      </c>
      <c r="O389" s="8">
        <f t="shared" si="171"/>
        <v>4773</v>
      </c>
      <c r="P389" s="8">
        <v>102966</v>
      </c>
      <c r="Q389" s="8">
        <f t="shared" si="172"/>
        <v>8310</v>
      </c>
      <c r="R389" s="8">
        <v>155675</v>
      </c>
      <c r="S389" s="8">
        <f t="shared" si="173"/>
        <v>3037</v>
      </c>
      <c r="T389" s="8">
        <v>-52709</v>
      </c>
      <c r="U389" s="8">
        <f t="shared" si="174"/>
        <v>5273</v>
      </c>
      <c r="W389" s="8">
        <v>345046</v>
      </c>
      <c r="X389" s="8">
        <f t="shared" si="175"/>
        <v>13566</v>
      </c>
      <c r="Y389" s="8">
        <v>71051</v>
      </c>
      <c r="Z389" s="8">
        <f t="shared" si="176"/>
        <v>5163</v>
      </c>
      <c r="AA389" s="8">
        <v>19691</v>
      </c>
      <c r="AB389" s="8">
        <f t="shared" ref="AB389:AD452" si="195">AA389-AA388</f>
        <v>-4338</v>
      </c>
      <c r="AC389" s="8">
        <v>51360</v>
      </c>
      <c r="AD389" s="8">
        <f t="shared" si="195"/>
        <v>9501</v>
      </c>
      <c r="AE389" s="8">
        <v>128150</v>
      </c>
      <c r="AF389" s="8">
        <f t="shared" si="177"/>
        <v>-1021</v>
      </c>
      <c r="AG389" s="8">
        <v>192798</v>
      </c>
      <c r="AH389" s="8">
        <f t="shared" si="178"/>
        <v>14619</v>
      </c>
      <c r="AI389" s="8">
        <v>-64648</v>
      </c>
      <c r="AJ389" s="8">
        <f t="shared" si="179"/>
        <v>-15640</v>
      </c>
      <c r="AK389" s="8">
        <v>56862</v>
      </c>
      <c r="AL389" s="8">
        <f t="shared" si="180"/>
        <v>-2882</v>
      </c>
      <c r="AM389" s="8">
        <v>168977</v>
      </c>
      <c r="AN389" s="8">
        <f t="shared" si="181"/>
        <v>11042</v>
      </c>
      <c r="AO389" s="8">
        <v>-112115</v>
      </c>
      <c r="AP389" s="8">
        <f t="shared" si="182"/>
        <v>-13924</v>
      </c>
      <c r="AR389" s="8">
        <v>1945827</v>
      </c>
      <c r="AS389" s="8">
        <f t="shared" si="183"/>
        <v>4786</v>
      </c>
      <c r="AT389" s="8">
        <v>210488</v>
      </c>
      <c r="AU389" s="8">
        <f t="shared" si="184"/>
        <v>3934</v>
      </c>
      <c r="AV389" s="8">
        <v>349548</v>
      </c>
      <c r="AW389" s="8">
        <f t="shared" si="185"/>
        <v>-35726</v>
      </c>
      <c r="AX389" s="8">
        <f t="shared" si="192"/>
        <v>-139060</v>
      </c>
      <c r="AY389" s="8">
        <f t="shared" si="186"/>
        <v>39660</v>
      </c>
      <c r="AZ389" s="8">
        <v>813577</v>
      </c>
      <c r="BA389" s="8">
        <f t="shared" si="187"/>
        <v>-8265</v>
      </c>
      <c r="BB389" s="8">
        <v>619908</v>
      </c>
      <c r="BC389" s="8">
        <f t="shared" si="188"/>
        <v>53164</v>
      </c>
      <c r="BD389" s="8">
        <f t="shared" si="193"/>
        <v>193669</v>
      </c>
      <c r="BE389" s="8">
        <f t="shared" si="189"/>
        <v>-61429</v>
      </c>
      <c r="BF389" s="8">
        <v>464147</v>
      </c>
      <c r="BG389" s="8">
        <f t="shared" si="190"/>
        <v>-10892</v>
      </c>
      <c r="BH389" s="8">
        <v>534434</v>
      </c>
      <c r="BI389" s="8">
        <f t="shared" si="191"/>
        <v>45999</v>
      </c>
      <c r="BJ389" s="8">
        <f t="shared" si="194"/>
        <v>-70287</v>
      </c>
      <c r="BK389" s="8">
        <f t="shared" ref="BK389:BK452" si="196">BJ389-BJ388</f>
        <v>-56891</v>
      </c>
    </row>
    <row r="390" spans="1:63">
      <c r="A390" s="5">
        <v>41597</v>
      </c>
      <c r="B390" s="8">
        <v>382274</v>
      </c>
      <c r="C390" s="8">
        <f t="shared" si="165"/>
        <v>5091</v>
      </c>
      <c r="D390" s="8">
        <v>44772</v>
      </c>
      <c r="E390" s="8">
        <f t="shared" si="166"/>
        <v>-2392</v>
      </c>
      <c r="F390" s="8">
        <v>77131</v>
      </c>
      <c r="G390" s="8">
        <f t="shared" si="167"/>
        <v>6875</v>
      </c>
      <c r="H390" s="8">
        <v>-32359</v>
      </c>
      <c r="I390" s="8">
        <f t="shared" si="168"/>
        <v>-9267</v>
      </c>
      <c r="J390" s="8">
        <v>195127</v>
      </c>
      <c r="K390" s="8">
        <f t="shared" si="169"/>
        <v>14088</v>
      </c>
      <c r="L390" s="8">
        <v>163750</v>
      </c>
      <c r="M390" s="8">
        <f t="shared" si="170"/>
        <v>-765</v>
      </c>
      <c r="N390" s="8">
        <v>31377</v>
      </c>
      <c r="O390" s="8">
        <f t="shared" si="171"/>
        <v>14853</v>
      </c>
      <c r="P390" s="8">
        <v>119475</v>
      </c>
      <c r="Q390" s="8">
        <f t="shared" si="172"/>
        <v>16509</v>
      </c>
      <c r="R390" s="8">
        <v>154688</v>
      </c>
      <c r="S390" s="8">
        <f t="shared" si="173"/>
        <v>-987</v>
      </c>
      <c r="T390" s="8">
        <v>-35213</v>
      </c>
      <c r="U390" s="8">
        <f t="shared" si="174"/>
        <v>17496</v>
      </c>
      <c r="W390" s="8">
        <v>342903</v>
      </c>
      <c r="X390" s="8">
        <f t="shared" si="175"/>
        <v>-2143</v>
      </c>
      <c r="Y390" s="8">
        <v>73370</v>
      </c>
      <c r="Z390" s="8">
        <f t="shared" si="176"/>
        <v>2319</v>
      </c>
      <c r="AA390" s="8">
        <v>24025</v>
      </c>
      <c r="AB390" s="8">
        <f t="shared" si="195"/>
        <v>4334</v>
      </c>
      <c r="AC390" s="8">
        <v>49345</v>
      </c>
      <c r="AD390" s="8">
        <f t="shared" si="195"/>
        <v>-2015</v>
      </c>
      <c r="AE390" s="8">
        <v>128781</v>
      </c>
      <c r="AF390" s="8">
        <f t="shared" si="177"/>
        <v>631</v>
      </c>
      <c r="AG390" s="8">
        <v>189985</v>
      </c>
      <c r="AH390" s="8">
        <f t="shared" si="178"/>
        <v>-2813</v>
      </c>
      <c r="AI390" s="8">
        <v>-61204</v>
      </c>
      <c r="AJ390" s="8">
        <f t="shared" si="179"/>
        <v>3444</v>
      </c>
      <c r="AK390" s="8">
        <v>58783</v>
      </c>
      <c r="AL390" s="8">
        <f t="shared" si="180"/>
        <v>1921</v>
      </c>
      <c r="AM390" s="8">
        <v>166533</v>
      </c>
      <c r="AN390" s="8">
        <f t="shared" si="181"/>
        <v>-2444</v>
      </c>
      <c r="AO390" s="8">
        <v>-107750</v>
      </c>
      <c r="AP390" s="8">
        <f t="shared" si="182"/>
        <v>4365</v>
      </c>
      <c r="AR390" s="8">
        <v>2014849</v>
      </c>
      <c r="AS390" s="8">
        <f t="shared" si="183"/>
        <v>69022</v>
      </c>
      <c r="AT390" s="8">
        <v>210251</v>
      </c>
      <c r="AU390" s="8">
        <f t="shared" si="184"/>
        <v>-237</v>
      </c>
      <c r="AV390" s="8">
        <v>356337</v>
      </c>
      <c r="AW390" s="8">
        <f t="shared" si="185"/>
        <v>6789</v>
      </c>
      <c r="AX390" s="8">
        <f t="shared" si="192"/>
        <v>-146086</v>
      </c>
      <c r="AY390" s="8">
        <f t="shared" si="186"/>
        <v>-7026</v>
      </c>
      <c r="AZ390" s="8">
        <v>847082</v>
      </c>
      <c r="BA390" s="8">
        <f t="shared" si="187"/>
        <v>33505</v>
      </c>
      <c r="BB390" s="8">
        <v>637444</v>
      </c>
      <c r="BC390" s="8">
        <f t="shared" si="188"/>
        <v>17536</v>
      </c>
      <c r="BD390" s="8">
        <f t="shared" si="193"/>
        <v>209638</v>
      </c>
      <c r="BE390" s="8">
        <f t="shared" si="189"/>
        <v>15969</v>
      </c>
      <c r="BF390" s="8">
        <v>497058</v>
      </c>
      <c r="BG390" s="8">
        <f t="shared" si="190"/>
        <v>32911</v>
      </c>
      <c r="BH390" s="8">
        <v>545141</v>
      </c>
      <c r="BI390" s="8">
        <f t="shared" si="191"/>
        <v>10707</v>
      </c>
      <c r="BJ390" s="8">
        <f t="shared" si="194"/>
        <v>-48083</v>
      </c>
      <c r="BK390" s="8">
        <f t="shared" si="196"/>
        <v>22204</v>
      </c>
    </row>
    <row r="391" spans="1:63">
      <c r="A391" s="5">
        <v>41604</v>
      </c>
      <c r="B391" s="8">
        <v>359489</v>
      </c>
      <c r="C391" s="8">
        <f t="shared" si="165"/>
        <v>-22785</v>
      </c>
      <c r="D391" s="8">
        <v>45410</v>
      </c>
      <c r="E391" s="8">
        <f t="shared" si="166"/>
        <v>638</v>
      </c>
      <c r="F391" s="8">
        <v>72100</v>
      </c>
      <c r="G391" s="8">
        <f t="shared" si="167"/>
        <v>-5031</v>
      </c>
      <c r="H391" s="8">
        <v>-26690</v>
      </c>
      <c r="I391" s="8">
        <f t="shared" si="168"/>
        <v>5669</v>
      </c>
      <c r="J391" s="8">
        <v>187728</v>
      </c>
      <c r="K391" s="8">
        <f t="shared" si="169"/>
        <v>-7399</v>
      </c>
      <c r="L391" s="8">
        <v>167766</v>
      </c>
      <c r="M391" s="8">
        <f t="shared" si="170"/>
        <v>4016</v>
      </c>
      <c r="N391" s="8">
        <v>19962</v>
      </c>
      <c r="O391" s="8">
        <f t="shared" si="171"/>
        <v>-11415</v>
      </c>
      <c r="P391" s="8">
        <v>113329</v>
      </c>
      <c r="Q391" s="8">
        <f t="shared" si="172"/>
        <v>-6146</v>
      </c>
      <c r="R391" s="8">
        <v>161021</v>
      </c>
      <c r="S391" s="8">
        <f t="shared" si="173"/>
        <v>6333</v>
      </c>
      <c r="T391" s="8">
        <v>-47692</v>
      </c>
      <c r="U391" s="8">
        <f t="shared" si="174"/>
        <v>-12479</v>
      </c>
      <c r="W391" s="8">
        <v>306137</v>
      </c>
      <c r="X391" s="8">
        <f t="shared" si="175"/>
        <v>-36766</v>
      </c>
      <c r="Y391" s="8">
        <v>76270</v>
      </c>
      <c r="Z391" s="8">
        <f t="shared" si="176"/>
        <v>2900</v>
      </c>
      <c r="AA391" s="8">
        <v>22261</v>
      </c>
      <c r="AB391" s="8">
        <f t="shared" si="195"/>
        <v>-1764</v>
      </c>
      <c r="AC391" s="8">
        <v>54009</v>
      </c>
      <c r="AD391" s="8">
        <f t="shared" si="195"/>
        <v>4664</v>
      </c>
      <c r="AE391" s="8">
        <v>108639</v>
      </c>
      <c r="AF391" s="8">
        <f t="shared" si="177"/>
        <v>-20142</v>
      </c>
      <c r="AG391" s="8">
        <v>181660</v>
      </c>
      <c r="AH391" s="8">
        <f t="shared" si="178"/>
        <v>-8325</v>
      </c>
      <c r="AI391" s="8">
        <v>-73021</v>
      </c>
      <c r="AJ391" s="8">
        <f t="shared" si="179"/>
        <v>-11817</v>
      </c>
      <c r="AK391" s="8">
        <v>45186</v>
      </c>
      <c r="AL391" s="8">
        <f t="shared" si="180"/>
        <v>-13597</v>
      </c>
      <c r="AM391" s="8">
        <v>162488</v>
      </c>
      <c r="AN391" s="8">
        <f t="shared" si="181"/>
        <v>-4045</v>
      </c>
      <c r="AO391" s="8">
        <v>-117302</v>
      </c>
      <c r="AP391" s="8">
        <f t="shared" si="182"/>
        <v>-9552</v>
      </c>
      <c r="AR391" s="8">
        <v>1557202</v>
      </c>
      <c r="AS391" s="8">
        <f t="shared" si="183"/>
        <v>-457647</v>
      </c>
      <c r="AT391" s="8">
        <v>198118</v>
      </c>
      <c r="AU391" s="8">
        <f t="shared" si="184"/>
        <v>-12133</v>
      </c>
      <c r="AV391" s="8">
        <v>339169</v>
      </c>
      <c r="AW391" s="8">
        <f t="shared" si="185"/>
        <v>-17168</v>
      </c>
      <c r="AX391" s="8">
        <f t="shared" si="192"/>
        <v>-141051</v>
      </c>
      <c r="AY391" s="8">
        <f t="shared" si="186"/>
        <v>5035</v>
      </c>
      <c r="AZ391" s="8">
        <v>709275</v>
      </c>
      <c r="BA391" s="8">
        <f t="shared" si="187"/>
        <v>-137807</v>
      </c>
      <c r="BB391" s="8">
        <v>501664</v>
      </c>
      <c r="BC391" s="8">
        <f t="shared" si="188"/>
        <v>-135780</v>
      </c>
      <c r="BD391" s="8">
        <f t="shared" si="193"/>
        <v>207611</v>
      </c>
      <c r="BE391" s="8">
        <f t="shared" si="189"/>
        <v>-2027</v>
      </c>
      <c r="BF391" s="8">
        <v>406234</v>
      </c>
      <c r="BG391" s="8">
        <f t="shared" si="190"/>
        <v>-90824</v>
      </c>
      <c r="BH391" s="8">
        <v>463229</v>
      </c>
      <c r="BI391" s="8">
        <f t="shared" si="191"/>
        <v>-81912</v>
      </c>
      <c r="BJ391" s="8">
        <f t="shared" si="194"/>
        <v>-56995</v>
      </c>
      <c r="BK391" s="8">
        <f t="shared" si="196"/>
        <v>-8912</v>
      </c>
    </row>
    <row r="392" spans="1:63">
      <c r="A392" s="5">
        <v>41611</v>
      </c>
      <c r="B392" s="8">
        <v>367320</v>
      </c>
      <c r="C392" s="8">
        <f t="shared" ref="C392:C455" si="197">B392-B391</f>
        <v>7831</v>
      </c>
      <c r="D392" s="8">
        <v>44319</v>
      </c>
      <c r="E392" s="8">
        <f t="shared" ref="E392:E455" si="198">D392-D391</f>
        <v>-1091</v>
      </c>
      <c r="F392" s="8">
        <v>80273</v>
      </c>
      <c r="G392" s="8">
        <f t="shared" ref="G392:G455" si="199">F392-F391</f>
        <v>8173</v>
      </c>
      <c r="H392" s="8">
        <v>-35954</v>
      </c>
      <c r="I392" s="8">
        <f t="shared" ref="I392:I455" si="200">H392-H391</f>
        <v>-9264</v>
      </c>
      <c r="J392" s="8">
        <v>192988</v>
      </c>
      <c r="K392" s="8">
        <f t="shared" ref="K392:K455" si="201">J392-J391</f>
        <v>5260</v>
      </c>
      <c r="L392" s="8">
        <v>160816</v>
      </c>
      <c r="M392" s="8">
        <f t="shared" ref="M392:M455" si="202">L392-L391</f>
        <v>-6950</v>
      </c>
      <c r="N392" s="8">
        <v>32172</v>
      </c>
      <c r="O392" s="8">
        <f t="shared" ref="O392:O455" si="203">N392-N391</f>
        <v>12210</v>
      </c>
      <c r="P392" s="8">
        <v>119272</v>
      </c>
      <c r="Q392" s="8">
        <f t="shared" ref="Q392:Q455" si="204">P392-P391</f>
        <v>5943</v>
      </c>
      <c r="R392" s="8">
        <v>154680</v>
      </c>
      <c r="S392" s="8">
        <f t="shared" ref="S392:S455" si="205">R392-R391</f>
        <v>-6341</v>
      </c>
      <c r="T392" s="8">
        <v>-35408</v>
      </c>
      <c r="U392" s="8">
        <f t="shared" ref="U392:U455" si="206">T392-T391</f>
        <v>12284</v>
      </c>
      <c r="W392" s="8">
        <v>312476</v>
      </c>
      <c r="X392" s="8">
        <f t="shared" ref="X392:X455" si="207">W392-W391</f>
        <v>6339</v>
      </c>
      <c r="Y392" s="8">
        <v>78222</v>
      </c>
      <c r="Z392" s="8">
        <f t="shared" ref="Z392:Z455" si="208">Y392-Y391</f>
        <v>1952</v>
      </c>
      <c r="AA392" s="8">
        <v>19691</v>
      </c>
      <c r="AB392" s="8">
        <f t="shared" si="195"/>
        <v>-2570</v>
      </c>
      <c r="AC392" s="8">
        <v>58531</v>
      </c>
      <c r="AD392" s="8">
        <f t="shared" si="195"/>
        <v>4522</v>
      </c>
      <c r="AE392" s="8">
        <v>110311</v>
      </c>
      <c r="AF392" s="8">
        <f t="shared" ref="AF392:AF455" si="209">AE392-AE391</f>
        <v>1672</v>
      </c>
      <c r="AG392" s="8">
        <v>188428</v>
      </c>
      <c r="AH392" s="8">
        <f t="shared" ref="AH392:AH455" si="210">AG392-AG391</f>
        <v>6768</v>
      </c>
      <c r="AI392" s="8">
        <v>-78117</v>
      </c>
      <c r="AJ392" s="8">
        <f t="shared" ref="AJ392:AJ455" si="211">AI392-AI391</f>
        <v>-5096</v>
      </c>
      <c r="AK392" s="8">
        <v>46711</v>
      </c>
      <c r="AL392" s="8">
        <f t="shared" ref="AL392:AL455" si="212">AK392-AK391</f>
        <v>1525</v>
      </c>
      <c r="AM392" s="8">
        <v>167531</v>
      </c>
      <c r="AN392" s="8">
        <f t="shared" ref="AN392:AN455" si="213">AM392-AM391</f>
        <v>5043</v>
      </c>
      <c r="AO392" s="8">
        <v>-120820</v>
      </c>
      <c r="AP392" s="8">
        <f t="shared" ref="AP392:AP455" si="214">AO392-AO391</f>
        <v>-3518</v>
      </c>
      <c r="AR392" s="8">
        <v>1521559</v>
      </c>
      <c r="AS392" s="8">
        <f t="shared" ref="AS392:AS455" si="215">AR392-AR391</f>
        <v>-35643</v>
      </c>
      <c r="AT392" s="8">
        <v>203840</v>
      </c>
      <c r="AU392" s="8">
        <f t="shared" ref="AU392:AU455" si="216">AT392-AT391</f>
        <v>5722</v>
      </c>
      <c r="AV392" s="8">
        <v>322654</v>
      </c>
      <c r="AW392" s="8">
        <f t="shared" ref="AW392:AW455" si="217">AV392-AV391</f>
        <v>-16515</v>
      </c>
      <c r="AX392" s="8">
        <f t="shared" si="192"/>
        <v>-118814</v>
      </c>
      <c r="AY392" s="8">
        <f t="shared" ref="AY392:AY455" si="218">AX392-AX391</f>
        <v>22237</v>
      </c>
      <c r="AZ392" s="8">
        <v>674658</v>
      </c>
      <c r="BA392" s="8">
        <f t="shared" ref="BA392:BA455" si="219">AZ392-AZ391</f>
        <v>-34617</v>
      </c>
      <c r="BB392" s="8">
        <v>488035</v>
      </c>
      <c r="BC392" s="8">
        <f t="shared" ref="BC392:BC455" si="220">BB392-BB391</f>
        <v>-13629</v>
      </c>
      <c r="BD392" s="8">
        <f t="shared" si="193"/>
        <v>186623</v>
      </c>
      <c r="BE392" s="8">
        <f t="shared" ref="BE392:BE455" si="221">BD392-BD391</f>
        <v>-20988</v>
      </c>
      <c r="BF392" s="8">
        <v>378095</v>
      </c>
      <c r="BG392" s="8">
        <f t="shared" ref="BG392:BG455" si="222">BF392-BF391</f>
        <v>-28139</v>
      </c>
      <c r="BH392" s="8">
        <v>452587</v>
      </c>
      <c r="BI392" s="8">
        <f t="shared" ref="BI392:BI455" si="223">BH392-BH391</f>
        <v>-10642</v>
      </c>
      <c r="BJ392" s="8">
        <f t="shared" si="194"/>
        <v>-74492</v>
      </c>
      <c r="BK392" s="8">
        <f t="shared" si="196"/>
        <v>-17497</v>
      </c>
    </row>
    <row r="393" spans="1:63">
      <c r="A393" s="5">
        <v>41618</v>
      </c>
      <c r="B393" s="8">
        <v>374086</v>
      </c>
      <c r="C393" s="8">
        <f t="shared" si="197"/>
        <v>6766</v>
      </c>
      <c r="D393" s="8">
        <v>41772</v>
      </c>
      <c r="E393" s="8">
        <f t="shared" si="198"/>
        <v>-2547</v>
      </c>
      <c r="F393" s="8">
        <v>83488</v>
      </c>
      <c r="G393" s="8">
        <f t="shared" si="199"/>
        <v>3215</v>
      </c>
      <c r="H393" s="8">
        <v>-41716</v>
      </c>
      <c r="I393" s="8">
        <f t="shared" si="200"/>
        <v>-5762</v>
      </c>
      <c r="J393" s="8">
        <v>199519</v>
      </c>
      <c r="K393" s="8">
        <f t="shared" si="201"/>
        <v>6531</v>
      </c>
      <c r="L393" s="8">
        <v>162905</v>
      </c>
      <c r="M393" s="8">
        <f t="shared" si="202"/>
        <v>2089</v>
      </c>
      <c r="N393" s="8">
        <v>36614</v>
      </c>
      <c r="O393" s="8">
        <f t="shared" si="203"/>
        <v>4442</v>
      </c>
      <c r="P393" s="8">
        <v>123895</v>
      </c>
      <c r="Q393" s="8">
        <f t="shared" si="204"/>
        <v>4623</v>
      </c>
      <c r="R393" s="8">
        <v>152938</v>
      </c>
      <c r="S393" s="8">
        <f t="shared" si="205"/>
        <v>-1742</v>
      </c>
      <c r="T393" s="8">
        <v>-29043</v>
      </c>
      <c r="U393" s="8">
        <f t="shared" si="206"/>
        <v>6365</v>
      </c>
      <c r="W393" s="8">
        <v>317475</v>
      </c>
      <c r="X393" s="8">
        <f t="shared" si="207"/>
        <v>4999</v>
      </c>
      <c r="Y393" s="8">
        <v>82616</v>
      </c>
      <c r="Z393" s="8">
        <f t="shared" si="208"/>
        <v>4394</v>
      </c>
      <c r="AA393" s="8">
        <v>19158</v>
      </c>
      <c r="AB393" s="8">
        <f t="shared" si="195"/>
        <v>-533</v>
      </c>
      <c r="AC393" s="8">
        <v>63458</v>
      </c>
      <c r="AD393" s="8">
        <f t="shared" si="195"/>
        <v>4927</v>
      </c>
      <c r="AE393" s="8">
        <v>108350</v>
      </c>
      <c r="AF393" s="8">
        <f t="shared" si="209"/>
        <v>-1961</v>
      </c>
      <c r="AG393" s="8">
        <v>189468</v>
      </c>
      <c r="AH393" s="8">
        <f t="shared" si="210"/>
        <v>1040</v>
      </c>
      <c r="AI393" s="8">
        <v>-81118</v>
      </c>
      <c r="AJ393" s="8">
        <f t="shared" si="211"/>
        <v>-3001</v>
      </c>
      <c r="AK393" s="8">
        <v>47455</v>
      </c>
      <c r="AL393" s="8">
        <f t="shared" si="212"/>
        <v>744</v>
      </c>
      <c r="AM393" s="8">
        <v>168741</v>
      </c>
      <c r="AN393" s="8">
        <f t="shared" si="213"/>
        <v>1210</v>
      </c>
      <c r="AO393" s="8">
        <v>-121286</v>
      </c>
      <c r="AP393" s="8">
        <f t="shared" si="214"/>
        <v>-466</v>
      </c>
      <c r="AR393" s="8">
        <v>1536489</v>
      </c>
      <c r="AS393" s="8">
        <f t="shared" si="215"/>
        <v>14930</v>
      </c>
      <c r="AT393" s="8">
        <v>202863</v>
      </c>
      <c r="AU393" s="8">
        <f t="shared" si="216"/>
        <v>-977</v>
      </c>
      <c r="AV393" s="8">
        <v>295079</v>
      </c>
      <c r="AW393" s="8">
        <f t="shared" si="217"/>
        <v>-27575</v>
      </c>
      <c r="AX393" s="8">
        <f t="shared" si="192"/>
        <v>-92216</v>
      </c>
      <c r="AY393" s="8">
        <f t="shared" si="218"/>
        <v>26598</v>
      </c>
      <c r="AZ393" s="8">
        <v>673373</v>
      </c>
      <c r="BA393" s="8">
        <f t="shared" si="219"/>
        <v>-1285</v>
      </c>
      <c r="BB393" s="8">
        <v>510470</v>
      </c>
      <c r="BC393" s="8">
        <f t="shared" si="220"/>
        <v>22435</v>
      </c>
      <c r="BD393" s="8">
        <f t="shared" si="193"/>
        <v>162903</v>
      </c>
      <c r="BE393" s="8">
        <f t="shared" si="221"/>
        <v>-23720</v>
      </c>
      <c r="BF393" s="8">
        <v>377779</v>
      </c>
      <c r="BG393" s="8">
        <f t="shared" si="222"/>
        <v>-316</v>
      </c>
      <c r="BH393" s="8">
        <v>473112</v>
      </c>
      <c r="BI393" s="8">
        <f t="shared" si="223"/>
        <v>20525</v>
      </c>
      <c r="BJ393" s="8">
        <f t="shared" si="194"/>
        <v>-95333</v>
      </c>
      <c r="BK393" s="8">
        <f t="shared" si="196"/>
        <v>-20841</v>
      </c>
    </row>
    <row r="394" spans="1:63">
      <c r="A394" s="5">
        <v>41625</v>
      </c>
      <c r="B394" s="8">
        <v>379546</v>
      </c>
      <c r="C394" s="8">
        <f t="shared" si="197"/>
        <v>5460</v>
      </c>
      <c r="D394" s="8">
        <v>42982</v>
      </c>
      <c r="E394" s="8">
        <f t="shared" si="198"/>
        <v>1210</v>
      </c>
      <c r="F394" s="8">
        <v>84932</v>
      </c>
      <c r="G394" s="8">
        <f t="shared" si="199"/>
        <v>1444</v>
      </c>
      <c r="H394" s="8">
        <v>-41950</v>
      </c>
      <c r="I394" s="8">
        <f t="shared" si="200"/>
        <v>-234</v>
      </c>
      <c r="J394" s="8">
        <v>196673</v>
      </c>
      <c r="K394" s="8">
        <f t="shared" si="201"/>
        <v>-2846</v>
      </c>
      <c r="L394" s="8">
        <v>156762</v>
      </c>
      <c r="M394" s="8">
        <f t="shared" si="202"/>
        <v>-6143</v>
      </c>
      <c r="N394" s="8">
        <v>39911</v>
      </c>
      <c r="O394" s="8">
        <f t="shared" si="203"/>
        <v>3297</v>
      </c>
      <c r="P394" s="8">
        <v>124954</v>
      </c>
      <c r="Q394" s="8">
        <f t="shared" si="204"/>
        <v>1059</v>
      </c>
      <c r="R394" s="8">
        <v>147203</v>
      </c>
      <c r="S394" s="8">
        <f t="shared" si="205"/>
        <v>-5735</v>
      </c>
      <c r="T394" s="8">
        <v>-22249</v>
      </c>
      <c r="U394" s="8">
        <f t="shared" si="206"/>
        <v>6794</v>
      </c>
      <c r="W394" s="8">
        <v>328819</v>
      </c>
      <c r="X394" s="8">
        <f t="shared" si="207"/>
        <v>11344</v>
      </c>
      <c r="Y394" s="8">
        <v>84886</v>
      </c>
      <c r="Z394" s="8">
        <f t="shared" si="208"/>
        <v>2270</v>
      </c>
      <c r="AA394" s="8">
        <v>21524</v>
      </c>
      <c r="AB394" s="8">
        <f t="shared" si="195"/>
        <v>2366</v>
      </c>
      <c r="AC394" s="8">
        <v>63362</v>
      </c>
      <c r="AD394" s="8">
        <f t="shared" si="195"/>
        <v>-96</v>
      </c>
      <c r="AE394" s="8">
        <v>110797</v>
      </c>
      <c r="AF394" s="8">
        <f t="shared" si="209"/>
        <v>2447</v>
      </c>
      <c r="AG394" s="8">
        <v>192452</v>
      </c>
      <c r="AH394" s="8">
        <f t="shared" si="210"/>
        <v>2984</v>
      </c>
      <c r="AI394" s="8">
        <v>-81655</v>
      </c>
      <c r="AJ394" s="8">
        <f t="shared" si="211"/>
        <v>-537</v>
      </c>
      <c r="AK394" s="8">
        <v>51167</v>
      </c>
      <c r="AL394" s="8">
        <f t="shared" si="212"/>
        <v>3712</v>
      </c>
      <c r="AM394" s="8">
        <v>171596</v>
      </c>
      <c r="AN394" s="8">
        <f t="shared" si="213"/>
        <v>2855</v>
      </c>
      <c r="AO394" s="8">
        <v>-120429</v>
      </c>
      <c r="AP394" s="8">
        <f t="shared" si="214"/>
        <v>857</v>
      </c>
      <c r="AR394" s="8">
        <v>1550962</v>
      </c>
      <c r="AS394" s="8">
        <f t="shared" si="215"/>
        <v>14473</v>
      </c>
      <c r="AT394" s="8">
        <v>200065</v>
      </c>
      <c r="AU394" s="8">
        <f t="shared" si="216"/>
        <v>-2798</v>
      </c>
      <c r="AV394" s="8">
        <v>304910</v>
      </c>
      <c r="AW394" s="8">
        <f t="shared" si="217"/>
        <v>9831</v>
      </c>
      <c r="AX394" s="8">
        <f t="shared" si="192"/>
        <v>-104845</v>
      </c>
      <c r="AY394" s="8">
        <f t="shared" si="218"/>
        <v>-12629</v>
      </c>
      <c r="AZ394" s="8">
        <v>674604</v>
      </c>
      <c r="BA394" s="8">
        <f t="shared" si="219"/>
        <v>1231</v>
      </c>
      <c r="BB394" s="8">
        <v>500089</v>
      </c>
      <c r="BC394" s="8">
        <f t="shared" si="220"/>
        <v>-10381</v>
      </c>
      <c r="BD394" s="8">
        <f t="shared" si="193"/>
        <v>174515</v>
      </c>
      <c r="BE394" s="8">
        <f t="shared" si="221"/>
        <v>11612</v>
      </c>
      <c r="BF394" s="8">
        <v>383282</v>
      </c>
      <c r="BG394" s="8">
        <f t="shared" si="222"/>
        <v>5503</v>
      </c>
      <c r="BH394" s="8">
        <v>462958</v>
      </c>
      <c r="BI394" s="8">
        <f t="shared" si="223"/>
        <v>-10154</v>
      </c>
      <c r="BJ394" s="8">
        <f t="shared" si="194"/>
        <v>-79676</v>
      </c>
      <c r="BK394" s="8">
        <f t="shared" si="196"/>
        <v>15657</v>
      </c>
    </row>
    <row r="395" spans="1:63">
      <c r="A395" s="5">
        <v>41632</v>
      </c>
      <c r="B395" s="8">
        <v>372123</v>
      </c>
      <c r="C395" s="8">
        <f t="shared" si="197"/>
        <v>-7423</v>
      </c>
      <c r="D395" s="8">
        <v>42621</v>
      </c>
      <c r="E395" s="8">
        <f t="shared" si="198"/>
        <v>-361</v>
      </c>
      <c r="F395" s="8">
        <v>86631</v>
      </c>
      <c r="G395" s="8">
        <f t="shared" si="199"/>
        <v>1699</v>
      </c>
      <c r="H395" s="8">
        <v>-44010</v>
      </c>
      <c r="I395" s="8">
        <f t="shared" si="200"/>
        <v>-2060</v>
      </c>
      <c r="J395" s="8">
        <v>193393</v>
      </c>
      <c r="K395" s="8">
        <f t="shared" si="201"/>
        <v>-3280</v>
      </c>
      <c r="L395" s="8">
        <v>154932</v>
      </c>
      <c r="M395" s="8">
        <f t="shared" si="202"/>
        <v>-1830</v>
      </c>
      <c r="N395" s="8">
        <v>38461</v>
      </c>
      <c r="O395" s="8">
        <f t="shared" si="203"/>
        <v>-1450</v>
      </c>
      <c r="P395" s="8">
        <v>122441</v>
      </c>
      <c r="Q395" s="8">
        <f t="shared" si="204"/>
        <v>-2513</v>
      </c>
      <c r="R395" s="8">
        <v>144794</v>
      </c>
      <c r="S395" s="8">
        <f t="shared" si="205"/>
        <v>-2409</v>
      </c>
      <c r="T395" s="8">
        <v>-22353</v>
      </c>
      <c r="U395" s="8">
        <f t="shared" si="206"/>
        <v>-104</v>
      </c>
      <c r="W395" s="8">
        <v>322741</v>
      </c>
      <c r="X395" s="8">
        <f t="shared" si="207"/>
        <v>-6078</v>
      </c>
      <c r="Y395" s="8">
        <v>81247</v>
      </c>
      <c r="Z395" s="8">
        <f t="shared" si="208"/>
        <v>-3639</v>
      </c>
      <c r="AA395" s="8">
        <v>20934</v>
      </c>
      <c r="AB395" s="8">
        <f t="shared" si="195"/>
        <v>-590</v>
      </c>
      <c r="AC395" s="8">
        <v>60313</v>
      </c>
      <c r="AD395" s="8">
        <f t="shared" si="195"/>
        <v>-3049</v>
      </c>
      <c r="AE395" s="8">
        <v>112976</v>
      </c>
      <c r="AF395" s="8">
        <f t="shared" si="209"/>
        <v>2179</v>
      </c>
      <c r="AG395" s="8">
        <v>187730</v>
      </c>
      <c r="AH395" s="8">
        <f t="shared" si="210"/>
        <v>-4722</v>
      </c>
      <c r="AI395" s="8">
        <v>-74754</v>
      </c>
      <c r="AJ395" s="8">
        <f t="shared" si="211"/>
        <v>6901</v>
      </c>
      <c r="AK395" s="8">
        <v>53357</v>
      </c>
      <c r="AL395" s="8">
        <f t="shared" si="212"/>
        <v>2190</v>
      </c>
      <c r="AM395" s="8">
        <v>166262</v>
      </c>
      <c r="AN395" s="8">
        <f t="shared" si="213"/>
        <v>-5334</v>
      </c>
      <c r="AO395" s="8">
        <v>-112905</v>
      </c>
      <c r="AP395" s="8">
        <f t="shared" si="214"/>
        <v>7524</v>
      </c>
      <c r="AR395" s="8">
        <v>1524435</v>
      </c>
      <c r="AS395" s="8">
        <f t="shared" si="215"/>
        <v>-26527</v>
      </c>
      <c r="AT395" s="8">
        <v>200091</v>
      </c>
      <c r="AU395" s="8">
        <f t="shared" si="216"/>
        <v>26</v>
      </c>
      <c r="AV395" s="8">
        <v>287885</v>
      </c>
      <c r="AW395" s="8">
        <f t="shared" si="217"/>
        <v>-17025</v>
      </c>
      <c r="AX395" s="8">
        <f t="shared" si="192"/>
        <v>-87794</v>
      </c>
      <c r="AY395" s="8">
        <f t="shared" si="218"/>
        <v>17051</v>
      </c>
      <c r="AZ395" s="8">
        <v>658175</v>
      </c>
      <c r="BA395" s="8">
        <f t="shared" si="219"/>
        <v>-16429</v>
      </c>
      <c r="BB395" s="8">
        <v>493036</v>
      </c>
      <c r="BC395" s="8">
        <f t="shared" si="220"/>
        <v>-7053</v>
      </c>
      <c r="BD395" s="8">
        <f t="shared" si="193"/>
        <v>165139</v>
      </c>
      <c r="BE395" s="8">
        <f t="shared" si="221"/>
        <v>-9376</v>
      </c>
      <c r="BF395" s="8">
        <v>368493</v>
      </c>
      <c r="BG395" s="8">
        <f t="shared" si="222"/>
        <v>-14789</v>
      </c>
      <c r="BH395" s="8">
        <v>455711</v>
      </c>
      <c r="BI395" s="8">
        <f t="shared" si="223"/>
        <v>-7247</v>
      </c>
      <c r="BJ395" s="8">
        <f t="shared" si="194"/>
        <v>-87218</v>
      </c>
      <c r="BK395" s="8">
        <f t="shared" si="196"/>
        <v>-7542</v>
      </c>
    </row>
    <row r="396" spans="1:63">
      <c r="A396" s="5">
        <v>41639</v>
      </c>
      <c r="B396" s="8">
        <v>361655</v>
      </c>
      <c r="C396" s="8">
        <f t="shared" si="197"/>
        <v>-10468</v>
      </c>
      <c r="D396" s="8">
        <v>42385</v>
      </c>
      <c r="E396" s="8">
        <f t="shared" si="198"/>
        <v>-236</v>
      </c>
      <c r="F396" s="8">
        <v>89034</v>
      </c>
      <c r="G396" s="8">
        <f t="shared" si="199"/>
        <v>2403</v>
      </c>
      <c r="H396" s="8">
        <v>-46649</v>
      </c>
      <c r="I396" s="8">
        <f t="shared" si="200"/>
        <v>-2639</v>
      </c>
      <c r="J396" s="8">
        <v>191215</v>
      </c>
      <c r="K396" s="8">
        <f t="shared" si="201"/>
        <v>-2178</v>
      </c>
      <c r="L396" s="8">
        <v>150991</v>
      </c>
      <c r="M396" s="8">
        <f t="shared" si="202"/>
        <v>-3941</v>
      </c>
      <c r="N396" s="8">
        <v>40224</v>
      </c>
      <c r="O396" s="8">
        <f t="shared" si="203"/>
        <v>1763</v>
      </c>
      <c r="P396" s="8">
        <v>123151</v>
      </c>
      <c r="Q396" s="8">
        <f t="shared" si="204"/>
        <v>710</v>
      </c>
      <c r="R396" s="8">
        <v>141038</v>
      </c>
      <c r="S396" s="8">
        <f t="shared" si="205"/>
        <v>-3756</v>
      </c>
      <c r="T396" s="8">
        <v>-17887</v>
      </c>
      <c r="U396" s="8">
        <f t="shared" si="206"/>
        <v>4466</v>
      </c>
      <c r="W396" s="8">
        <v>298229</v>
      </c>
      <c r="X396" s="8">
        <f t="shared" si="207"/>
        <v>-24512</v>
      </c>
      <c r="Y396" s="8">
        <v>80499</v>
      </c>
      <c r="Z396" s="8">
        <f t="shared" si="208"/>
        <v>-748</v>
      </c>
      <c r="AA396" s="8">
        <v>22568</v>
      </c>
      <c r="AB396" s="8">
        <f t="shared" si="195"/>
        <v>1634</v>
      </c>
      <c r="AC396" s="8">
        <v>57931</v>
      </c>
      <c r="AD396" s="8">
        <f t="shared" si="195"/>
        <v>-2382</v>
      </c>
      <c r="AE396" s="8">
        <v>104629</v>
      </c>
      <c r="AF396" s="8">
        <f t="shared" si="209"/>
        <v>-8347</v>
      </c>
      <c r="AG396" s="8">
        <v>172921</v>
      </c>
      <c r="AH396" s="8">
        <f t="shared" si="210"/>
        <v>-14809</v>
      </c>
      <c r="AI396" s="8">
        <v>-68292</v>
      </c>
      <c r="AJ396" s="8">
        <f t="shared" si="211"/>
        <v>6462</v>
      </c>
      <c r="AK396" s="8">
        <v>48272</v>
      </c>
      <c r="AL396" s="8">
        <f t="shared" si="212"/>
        <v>-5085</v>
      </c>
      <c r="AM396" s="8">
        <v>155293</v>
      </c>
      <c r="AN396" s="8">
        <f t="shared" si="213"/>
        <v>-10969</v>
      </c>
      <c r="AO396" s="8">
        <v>-107021</v>
      </c>
      <c r="AP396" s="8">
        <f t="shared" si="214"/>
        <v>5884</v>
      </c>
      <c r="AR396" s="8">
        <v>1531779</v>
      </c>
      <c r="AS396" s="8">
        <f t="shared" si="215"/>
        <v>7344</v>
      </c>
      <c r="AT396" s="8">
        <v>198447</v>
      </c>
      <c r="AU396" s="8">
        <f t="shared" si="216"/>
        <v>-1644</v>
      </c>
      <c r="AV396" s="8">
        <v>293259</v>
      </c>
      <c r="AW396" s="8">
        <f t="shared" si="217"/>
        <v>5374</v>
      </c>
      <c r="AX396" s="8">
        <f t="shared" si="192"/>
        <v>-94812</v>
      </c>
      <c r="AY396" s="8">
        <f t="shared" si="218"/>
        <v>-7018</v>
      </c>
      <c r="AZ396" s="8">
        <v>670593</v>
      </c>
      <c r="BA396" s="8">
        <f t="shared" si="219"/>
        <v>12418</v>
      </c>
      <c r="BB396" s="8">
        <v>491438</v>
      </c>
      <c r="BC396" s="8">
        <f t="shared" si="220"/>
        <v>-1598</v>
      </c>
      <c r="BD396" s="8">
        <f t="shared" si="193"/>
        <v>179155</v>
      </c>
      <c r="BE396" s="8">
        <f t="shared" si="221"/>
        <v>14016</v>
      </c>
      <c r="BF396" s="8">
        <v>382705</v>
      </c>
      <c r="BG396" s="8">
        <f t="shared" si="222"/>
        <v>14212</v>
      </c>
      <c r="BH396" s="8">
        <v>453830</v>
      </c>
      <c r="BI396" s="8">
        <f t="shared" si="223"/>
        <v>-1881</v>
      </c>
      <c r="BJ396" s="8">
        <f t="shared" si="194"/>
        <v>-71125</v>
      </c>
      <c r="BK396" s="8">
        <f t="shared" si="196"/>
        <v>16093</v>
      </c>
    </row>
    <row r="397" spans="1:63">
      <c r="A397" s="5">
        <v>41646</v>
      </c>
      <c r="B397" s="8">
        <v>372673</v>
      </c>
      <c r="C397" s="8">
        <f t="shared" si="197"/>
        <v>11018</v>
      </c>
      <c r="D397" s="8">
        <v>42885</v>
      </c>
      <c r="E397" s="8">
        <f t="shared" si="198"/>
        <v>500</v>
      </c>
      <c r="F397" s="8">
        <v>92914</v>
      </c>
      <c r="G397" s="8">
        <f t="shared" si="199"/>
        <v>3880</v>
      </c>
      <c r="H397" s="8">
        <v>-50029</v>
      </c>
      <c r="I397" s="8">
        <f t="shared" si="200"/>
        <v>-3380</v>
      </c>
      <c r="J397" s="8">
        <v>195813</v>
      </c>
      <c r="K397" s="8">
        <f t="shared" si="201"/>
        <v>4598</v>
      </c>
      <c r="L397" s="8">
        <v>147219</v>
      </c>
      <c r="M397" s="8">
        <f t="shared" si="202"/>
        <v>-3772</v>
      </c>
      <c r="N397" s="8">
        <v>48594</v>
      </c>
      <c r="O397" s="8">
        <f t="shared" si="203"/>
        <v>8370</v>
      </c>
      <c r="P397" s="8">
        <v>127125</v>
      </c>
      <c r="Q397" s="8">
        <f t="shared" si="204"/>
        <v>3974</v>
      </c>
      <c r="R397" s="8">
        <v>136159</v>
      </c>
      <c r="S397" s="8">
        <f t="shared" si="205"/>
        <v>-4879</v>
      </c>
      <c r="T397" s="8">
        <v>-9034</v>
      </c>
      <c r="U397" s="8">
        <f t="shared" si="206"/>
        <v>8853</v>
      </c>
      <c r="W397" s="8">
        <v>295709</v>
      </c>
      <c r="X397" s="8">
        <f t="shared" si="207"/>
        <v>-2520</v>
      </c>
      <c r="Y397" s="8">
        <v>75110</v>
      </c>
      <c r="Z397" s="8">
        <f t="shared" si="208"/>
        <v>-5389</v>
      </c>
      <c r="AA397" s="8">
        <v>22486</v>
      </c>
      <c r="AB397" s="8">
        <f t="shared" si="195"/>
        <v>-82</v>
      </c>
      <c r="AC397" s="8">
        <v>52624</v>
      </c>
      <c r="AD397" s="8">
        <f t="shared" si="195"/>
        <v>-5307</v>
      </c>
      <c r="AE397" s="8">
        <v>105566</v>
      </c>
      <c r="AF397" s="8">
        <f t="shared" si="209"/>
        <v>937</v>
      </c>
      <c r="AG397" s="8">
        <v>165880</v>
      </c>
      <c r="AH397" s="8">
        <f t="shared" si="210"/>
        <v>-7041</v>
      </c>
      <c r="AI397" s="8">
        <v>-60314</v>
      </c>
      <c r="AJ397" s="8">
        <f t="shared" si="211"/>
        <v>7978</v>
      </c>
      <c r="AK397" s="8">
        <v>48989</v>
      </c>
      <c r="AL397" s="8">
        <f t="shared" si="212"/>
        <v>717</v>
      </c>
      <c r="AM397" s="8">
        <v>149041</v>
      </c>
      <c r="AN397" s="8">
        <f t="shared" si="213"/>
        <v>-6252</v>
      </c>
      <c r="AO397" s="8">
        <v>-100052</v>
      </c>
      <c r="AP397" s="8">
        <f t="shared" si="214"/>
        <v>6969</v>
      </c>
      <c r="AR397" s="8">
        <v>1563886</v>
      </c>
      <c r="AS397" s="8">
        <f t="shared" si="215"/>
        <v>32107</v>
      </c>
      <c r="AT397" s="8">
        <v>200220</v>
      </c>
      <c r="AU397" s="8">
        <f t="shared" si="216"/>
        <v>1773</v>
      </c>
      <c r="AV397" s="8">
        <v>291671</v>
      </c>
      <c r="AW397" s="8">
        <f t="shared" si="217"/>
        <v>-1588</v>
      </c>
      <c r="AX397" s="8">
        <f t="shared" si="192"/>
        <v>-91451</v>
      </c>
      <c r="AY397" s="8">
        <f t="shared" si="218"/>
        <v>3361</v>
      </c>
      <c r="AZ397" s="8">
        <v>671655</v>
      </c>
      <c r="BA397" s="8">
        <f t="shared" si="219"/>
        <v>1062</v>
      </c>
      <c r="BB397" s="8">
        <v>498717</v>
      </c>
      <c r="BC397" s="8">
        <f t="shared" si="220"/>
        <v>7279</v>
      </c>
      <c r="BD397" s="8">
        <f t="shared" si="193"/>
        <v>172938</v>
      </c>
      <c r="BE397" s="8">
        <f t="shared" si="221"/>
        <v>-6217</v>
      </c>
      <c r="BF397" s="8">
        <v>381933</v>
      </c>
      <c r="BG397" s="8">
        <f t="shared" si="222"/>
        <v>-772</v>
      </c>
      <c r="BH397" s="8">
        <v>459875</v>
      </c>
      <c r="BI397" s="8">
        <f t="shared" si="223"/>
        <v>6045</v>
      </c>
      <c r="BJ397" s="8">
        <f t="shared" si="194"/>
        <v>-77942</v>
      </c>
      <c r="BK397" s="8">
        <f t="shared" si="196"/>
        <v>-6817</v>
      </c>
    </row>
    <row r="398" spans="1:63">
      <c r="A398" s="5">
        <v>41653</v>
      </c>
      <c r="B398" s="8">
        <v>392331</v>
      </c>
      <c r="C398" s="8">
        <f t="shared" si="197"/>
        <v>19658</v>
      </c>
      <c r="D398" s="8">
        <v>48965</v>
      </c>
      <c r="E398" s="8">
        <f t="shared" si="198"/>
        <v>6080</v>
      </c>
      <c r="F398" s="8">
        <v>109624</v>
      </c>
      <c r="G398" s="8">
        <f t="shared" si="199"/>
        <v>16710</v>
      </c>
      <c r="H398" s="8">
        <v>-60659</v>
      </c>
      <c r="I398" s="8">
        <f t="shared" si="200"/>
        <v>-10630</v>
      </c>
      <c r="J398" s="8">
        <v>210554</v>
      </c>
      <c r="K398" s="8">
        <f t="shared" si="201"/>
        <v>14741</v>
      </c>
      <c r="L398" s="8">
        <v>147597</v>
      </c>
      <c r="M398" s="8">
        <f t="shared" si="202"/>
        <v>378</v>
      </c>
      <c r="N398" s="8">
        <v>62957</v>
      </c>
      <c r="O398" s="8">
        <f t="shared" si="203"/>
        <v>14363</v>
      </c>
      <c r="P398" s="8">
        <v>132575</v>
      </c>
      <c r="Q398" s="8">
        <f t="shared" si="204"/>
        <v>5450</v>
      </c>
      <c r="R398" s="8">
        <v>136746</v>
      </c>
      <c r="S398" s="8">
        <f t="shared" si="205"/>
        <v>587</v>
      </c>
      <c r="T398" s="8">
        <v>-4171</v>
      </c>
      <c r="U398" s="8">
        <f t="shared" si="206"/>
        <v>4863</v>
      </c>
      <c r="W398" s="8">
        <v>312614</v>
      </c>
      <c r="X398" s="8">
        <f t="shared" si="207"/>
        <v>16905</v>
      </c>
      <c r="Y398" s="8">
        <v>83618</v>
      </c>
      <c r="Z398" s="8">
        <f t="shared" si="208"/>
        <v>8508</v>
      </c>
      <c r="AA398" s="8">
        <v>24861</v>
      </c>
      <c r="AB398" s="8">
        <f t="shared" si="195"/>
        <v>2375</v>
      </c>
      <c r="AC398" s="8">
        <v>58757</v>
      </c>
      <c r="AD398" s="8">
        <f t="shared" si="195"/>
        <v>6133</v>
      </c>
      <c r="AE398" s="8">
        <v>107428</v>
      </c>
      <c r="AF398" s="8">
        <f t="shared" si="209"/>
        <v>1862</v>
      </c>
      <c r="AG398" s="8">
        <v>178082</v>
      </c>
      <c r="AH398" s="8">
        <f t="shared" si="210"/>
        <v>12202</v>
      </c>
      <c r="AI398" s="8">
        <v>-70654</v>
      </c>
      <c r="AJ398" s="8">
        <f t="shared" si="211"/>
        <v>-10340</v>
      </c>
      <c r="AK398" s="8">
        <v>53986</v>
      </c>
      <c r="AL398" s="8">
        <f t="shared" si="212"/>
        <v>4997</v>
      </c>
      <c r="AM398" s="8">
        <v>160171</v>
      </c>
      <c r="AN398" s="8">
        <f t="shared" si="213"/>
        <v>11130</v>
      </c>
      <c r="AO398" s="8">
        <v>-106185</v>
      </c>
      <c r="AP398" s="8">
        <f t="shared" si="214"/>
        <v>-6133</v>
      </c>
      <c r="AR398" s="8">
        <v>1646323</v>
      </c>
      <c r="AS398" s="8">
        <f t="shared" si="215"/>
        <v>82437</v>
      </c>
      <c r="AT398" s="8">
        <v>214369</v>
      </c>
      <c r="AU398" s="8">
        <f t="shared" si="216"/>
        <v>14149</v>
      </c>
      <c r="AV398" s="8">
        <v>278300</v>
      </c>
      <c r="AW398" s="8">
        <f t="shared" si="217"/>
        <v>-13371</v>
      </c>
      <c r="AX398" s="8">
        <f t="shared" si="192"/>
        <v>-63931</v>
      </c>
      <c r="AY398" s="8">
        <f t="shared" si="218"/>
        <v>27520</v>
      </c>
      <c r="AZ398" s="8">
        <v>721644</v>
      </c>
      <c r="BA398" s="8">
        <f t="shared" si="219"/>
        <v>49989</v>
      </c>
      <c r="BB398" s="8">
        <v>566302</v>
      </c>
      <c r="BC398" s="8">
        <f t="shared" si="220"/>
        <v>67585</v>
      </c>
      <c r="BD398" s="8">
        <f t="shared" si="193"/>
        <v>155342</v>
      </c>
      <c r="BE398" s="8">
        <f t="shared" si="221"/>
        <v>-17596</v>
      </c>
      <c r="BF398" s="8">
        <v>384871</v>
      </c>
      <c r="BG398" s="8">
        <f t="shared" si="222"/>
        <v>2938</v>
      </c>
      <c r="BH398" s="8">
        <v>519188</v>
      </c>
      <c r="BI398" s="8">
        <f t="shared" si="223"/>
        <v>59313</v>
      </c>
      <c r="BJ398" s="8">
        <f t="shared" si="194"/>
        <v>-134317</v>
      </c>
      <c r="BK398" s="8">
        <f t="shared" si="196"/>
        <v>-56375</v>
      </c>
    </row>
    <row r="399" spans="1:63">
      <c r="A399" s="5">
        <v>41660</v>
      </c>
      <c r="B399" s="8">
        <v>405774</v>
      </c>
      <c r="C399" s="8">
        <f t="shared" si="197"/>
        <v>13443</v>
      </c>
      <c r="D399" s="8">
        <v>49664</v>
      </c>
      <c r="E399" s="8">
        <f t="shared" si="198"/>
        <v>699</v>
      </c>
      <c r="F399" s="8">
        <v>114201</v>
      </c>
      <c r="G399" s="8">
        <f t="shared" si="199"/>
        <v>4577</v>
      </c>
      <c r="H399" s="8">
        <v>-64537</v>
      </c>
      <c r="I399" s="8">
        <f t="shared" si="200"/>
        <v>-3878</v>
      </c>
      <c r="J399" s="8">
        <v>213597</v>
      </c>
      <c r="K399" s="8">
        <f t="shared" si="201"/>
        <v>3043</v>
      </c>
      <c r="L399" s="8">
        <v>150937</v>
      </c>
      <c r="M399" s="8">
        <f t="shared" si="202"/>
        <v>3340</v>
      </c>
      <c r="N399" s="8">
        <v>62660</v>
      </c>
      <c r="O399" s="8">
        <f t="shared" si="203"/>
        <v>-297</v>
      </c>
      <c r="P399" s="8">
        <v>136807</v>
      </c>
      <c r="Q399" s="8">
        <f t="shared" si="204"/>
        <v>4232</v>
      </c>
      <c r="R399" s="8">
        <v>139539</v>
      </c>
      <c r="S399" s="8">
        <f t="shared" si="205"/>
        <v>2793</v>
      </c>
      <c r="T399" s="8">
        <v>-2732</v>
      </c>
      <c r="U399" s="8">
        <f t="shared" si="206"/>
        <v>1439</v>
      </c>
      <c r="W399" s="8">
        <v>314826</v>
      </c>
      <c r="X399" s="8">
        <f t="shared" si="207"/>
        <v>2212</v>
      </c>
      <c r="Y399" s="8">
        <v>84526</v>
      </c>
      <c r="Z399" s="8">
        <f t="shared" si="208"/>
        <v>908</v>
      </c>
      <c r="AA399" s="8">
        <v>25002</v>
      </c>
      <c r="AB399" s="8">
        <f t="shared" si="195"/>
        <v>141</v>
      </c>
      <c r="AC399" s="8">
        <v>59524</v>
      </c>
      <c r="AD399" s="8">
        <f t="shared" si="195"/>
        <v>767</v>
      </c>
      <c r="AE399" s="8">
        <v>109951</v>
      </c>
      <c r="AF399" s="8">
        <f t="shared" si="209"/>
        <v>2523</v>
      </c>
      <c r="AG399" s="8">
        <v>177004</v>
      </c>
      <c r="AH399" s="8">
        <f t="shared" si="210"/>
        <v>-1078</v>
      </c>
      <c r="AI399" s="8">
        <v>-67053</v>
      </c>
      <c r="AJ399" s="8">
        <f t="shared" si="211"/>
        <v>3601</v>
      </c>
      <c r="AK399" s="8">
        <v>56937</v>
      </c>
      <c r="AL399" s="8">
        <f t="shared" si="212"/>
        <v>2951</v>
      </c>
      <c r="AM399" s="8">
        <v>160049</v>
      </c>
      <c r="AN399" s="8">
        <f t="shared" si="213"/>
        <v>-122</v>
      </c>
      <c r="AO399" s="8">
        <v>-103112</v>
      </c>
      <c r="AP399" s="8">
        <f t="shared" si="214"/>
        <v>3073</v>
      </c>
      <c r="AR399" s="8">
        <v>1680673</v>
      </c>
      <c r="AS399" s="8">
        <f t="shared" si="215"/>
        <v>34350</v>
      </c>
      <c r="AT399" s="8">
        <v>206868</v>
      </c>
      <c r="AU399" s="8">
        <f t="shared" si="216"/>
        <v>-7501</v>
      </c>
      <c r="AV399" s="8">
        <v>266193</v>
      </c>
      <c r="AW399" s="8">
        <f t="shared" si="217"/>
        <v>-12107</v>
      </c>
      <c r="AX399" s="8">
        <f t="shared" si="192"/>
        <v>-59325</v>
      </c>
      <c r="AY399" s="8">
        <f t="shared" si="218"/>
        <v>4606</v>
      </c>
      <c r="AZ399" s="8">
        <v>731958</v>
      </c>
      <c r="BA399" s="8">
        <f t="shared" si="219"/>
        <v>10314</v>
      </c>
      <c r="BB399" s="8">
        <v>574868</v>
      </c>
      <c r="BC399" s="8">
        <f t="shared" si="220"/>
        <v>8566</v>
      </c>
      <c r="BD399" s="8">
        <f t="shared" si="193"/>
        <v>157090</v>
      </c>
      <c r="BE399" s="8">
        <f t="shared" si="221"/>
        <v>1748</v>
      </c>
      <c r="BF399" s="8">
        <v>394580</v>
      </c>
      <c r="BG399" s="8">
        <f t="shared" si="222"/>
        <v>9709</v>
      </c>
      <c r="BH399" s="8">
        <v>526102</v>
      </c>
      <c r="BI399" s="8">
        <f t="shared" si="223"/>
        <v>6914</v>
      </c>
      <c r="BJ399" s="8">
        <f t="shared" si="194"/>
        <v>-131522</v>
      </c>
      <c r="BK399" s="8">
        <f t="shared" si="196"/>
        <v>2795</v>
      </c>
    </row>
    <row r="400" spans="1:63">
      <c r="A400" s="5">
        <v>41667</v>
      </c>
      <c r="B400" s="8">
        <v>406499</v>
      </c>
      <c r="C400" s="8">
        <f t="shared" si="197"/>
        <v>725</v>
      </c>
      <c r="D400" s="8">
        <v>46854</v>
      </c>
      <c r="E400" s="8">
        <f t="shared" si="198"/>
        <v>-2810</v>
      </c>
      <c r="F400" s="8">
        <v>109866</v>
      </c>
      <c r="G400" s="8">
        <f t="shared" si="199"/>
        <v>-4335</v>
      </c>
      <c r="H400" s="8">
        <v>-63012</v>
      </c>
      <c r="I400" s="8">
        <f t="shared" si="200"/>
        <v>1525</v>
      </c>
      <c r="J400" s="8">
        <v>216963</v>
      </c>
      <c r="K400" s="8">
        <f t="shared" si="201"/>
        <v>3366</v>
      </c>
      <c r="L400" s="8">
        <v>157324</v>
      </c>
      <c r="M400" s="8">
        <f t="shared" si="202"/>
        <v>6387</v>
      </c>
      <c r="N400" s="8">
        <v>59639</v>
      </c>
      <c r="O400" s="8">
        <f t="shared" si="203"/>
        <v>-3021</v>
      </c>
      <c r="P400" s="8">
        <v>142595</v>
      </c>
      <c r="Q400" s="8">
        <f t="shared" si="204"/>
        <v>5788</v>
      </c>
      <c r="R400" s="8">
        <v>144953</v>
      </c>
      <c r="S400" s="8">
        <f t="shared" si="205"/>
        <v>5414</v>
      </c>
      <c r="T400" s="8">
        <v>-2358</v>
      </c>
      <c r="U400" s="8">
        <f t="shared" si="206"/>
        <v>374</v>
      </c>
      <c r="W400" s="8">
        <v>321825</v>
      </c>
      <c r="X400" s="8">
        <f t="shared" si="207"/>
        <v>6999</v>
      </c>
      <c r="Y400" s="8">
        <v>81891</v>
      </c>
      <c r="Z400" s="8">
        <f t="shared" si="208"/>
        <v>-2635</v>
      </c>
      <c r="AA400" s="8">
        <v>23065</v>
      </c>
      <c r="AB400" s="8">
        <f t="shared" si="195"/>
        <v>-1937</v>
      </c>
      <c r="AC400" s="8">
        <v>58826</v>
      </c>
      <c r="AD400" s="8">
        <f t="shared" si="195"/>
        <v>-698</v>
      </c>
      <c r="AE400" s="8">
        <v>115990</v>
      </c>
      <c r="AF400" s="8">
        <f t="shared" si="209"/>
        <v>6039</v>
      </c>
      <c r="AG400" s="8">
        <v>184602</v>
      </c>
      <c r="AH400" s="8">
        <f t="shared" si="210"/>
        <v>7598</v>
      </c>
      <c r="AI400" s="8">
        <v>-68612</v>
      </c>
      <c r="AJ400" s="8">
        <f t="shared" si="211"/>
        <v>-1559</v>
      </c>
      <c r="AK400" s="8">
        <v>62393</v>
      </c>
      <c r="AL400" s="8">
        <f t="shared" si="212"/>
        <v>5456</v>
      </c>
      <c r="AM400" s="8">
        <v>168287</v>
      </c>
      <c r="AN400" s="8">
        <f t="shared" si="213"/>
        <v>8238</v>
      </c>
      <c r="AO400" s="8">
        <v>-105894</v>
      </c>
      <c r="AP400" s="8">
        <f t="shared" si="214"/>
        <v>-2782</v>
      </c>
      <c r="AR400" s="8">
        <v>1660475</v>
      </c>
      <c r="AS400" s="8">
        <f t="shared" si="215"/>
        <v>-20198</v>
      </c>
      <c r="AT400" s="8">
        <v>203189</v>
      </c>
      <c r="AU400" s="8">
        <f t="shared" si="216"/>
        <v>-3679</v>
      </c>
      <c r="AV400" s="8">
        <v>255306</v>
      </c>
      <c r="AW400" s="8">
        <f t="shared" si="217"/>
        <v>-10887</v>
      </c>
      <c r="AX400" s="8">
        <f t="shared" si="192"/>
        <v>-52117</v>
      </c>
      <c r="AY400" s="8">
        <f t="shared" si="218"/>
        <v>7208</v>
      </c>
      <c r="AZ400" s="8">
        <v>738182</v>
      </c>
      <c r="BA400" s="8">
        <f t="shared" si="219"/>
        <v>6224</v>
      </c>
      <c r="BB400" s="8">
        <v>595965</v>
      </c>
      <c r="BC400" s="8">
        <f t="shared" si="220"/>
        <v>21097</v>
      </c>
      <c r="BD400" s="8">
        <f t="shared" si="193"/>
        <v>142217</v>
      </c>
      <c r="BE400" s="8">
        <f t="shared" si="221"/>
        <v>-14873</v>
      </c>
      <c r="BF400" s="8">
        <v>401798</v>
      </c>
      <c r="BG400" s="8">
        <f t="shared" si="222"/>
        <v>7218</v>
      </c>
      <c r="BH400" s="8">
        <v>546590</v>
      </c>
      <c r="BI400" s="8">
        <f t="shared" si="223"/>
        <v>20488</v>
      </c>
      <c r="BJ400" s="8">
        <f t="shared" si="194"/>
        <v>-144792</v>
      </c>
      <c r="BK400" s="8">
        <f t="shared" si="196"/>
        <v>-13270</v>
      </c>
    </row>
    <row r="401" spans="1:63">
      <c r="A401" s="5">
        <v>41674</v>
      </c>
      <c r="B401" s="8">
        <v>400437</v>
      </c>
      <c r="C401" s="8">
        <f t="shared" si="197"/>
        <v>-6062</v>
      </c>
      <c r="D401" s="8">
        <v>43925</v>
      </c>
      <c r="E401" s="8">
        <f t="shared" si="198"/>
        <v>-2929</v>
      </c>
      <c r="F401" s="8">
        <v>103066</v>
      </c>
      <c r="G401" s="8">
        <f t="shared" si="199"/>
        <v>-6800</v>
      </c>
      <c r="H401" s="8">
        <v>-59141</v>
      </c>
      <c r="I401" s="8">
        <f t="shared" si="200"/>
        <v>3871</v>
      </c>
      <c r="J401" s="8">
        <v>211012</v>
      </c>
      <c r="K401" s="8">
        <f t="shared" si="201"/>
        <v>-5951</v>
      </c>
      <c r="L401" s="8">
        <v>160236</v>
      </c>
      <c r="M401" s="8">
        <f t="shared" si="202"/>
        <v>2912</v>
      </c>
      <c r="N401" s="8">
        <v>50776</v>
      </c>
      <c r="O401" s="8">
        <f t="shared" si="203"/>
        <v>-8863</v>
      </c>
      <c r="P401" s="8">
        <v>138135</v>
      </c>
      <c r="Q401" s="8">
        <f t="shared" si="204"/>
        <v>-4460</v>
      </c>
      <c r="R401" s="8">
        <v>147448</v>
      </c>
      <c r="S401" s="8">
        <f t="shared" si="205"/>
        <v>2495</v>
      </c>
      <c r="T401" s="8">
        <v>-9313</v>
      </c>
      <c r="U401" s="8">
        <f t="shared" si="206"/>
        <v>-6955</v>
      </c>
      <c r="W401" s="8">
        <v>339571</v>
      </c>
      <c r="X401" s="8">
        <f t="shared" si="207"/>
        <v>17746</v>
      </c>
      <c r="Y401" s="8">
        <v>90071</v>
      </c>
      <c r="Z401" s="8">
        <f t="shared" si="208"/>
        <v>8180</v>
      </c>
      <c r="AA401" s="8">
        <v>23797</v>
      </c>
      <c r="AB401" s="8">
        <f t="shared" si="195"/>
        <v>732</v>
      </c>
      <c r="AC401" s="8">
        <v>66274</v>
      </c>
      <c r="AD401" s="8">
        <f t="shared" si="195"/>
        <v>7448</v>
      </c>
      <c r="AE401" s="8">
        <v>121376</v>
      </c>
      <c r="AF401" s="8">
        <f t="shared" si="209"/>
        <v>5386</v>
      </c>
      <c r="AG401" s="8">
        <v>201824</v>
      </c>
      <c r="AH401" s="8">
        <f t="shared" si="210"/>
        <v>17222</v>
      </c>
      <c r="AI401" s="8">
        <v>-80448</v>
      </c>
      <c r="AJ401" s="8">
        <f t="shared" si="211"/>
        <v>-11836</v>
      </c>
      <c r="AK401" s="8">
        <v>65993</v>
      </c>
      <c r="AL401" s="8">
        <f t="shared" si="212"/>
        <v>3600</v>
      </c>
      <c r="AM401" s="8">
        <v>182140</v>
      </c>
      <c r="AN401" s="8">
        <f t="shared" si="213"/>
        <v>13853</v>
      </c>
      <c r="AO401" s="8">
        <v>-116147</v>
      </c>
      <c r="AP401" s="8">
        <f t="shared" si="214"/>
        <v>-10253</v>
      </c>
      <c r="AR401" s="8">
        <v>1686048</v>
      </c>
      <c r="AS401" s="8">
        <f t="shared" si="215"/>
        <v>25573</v>
      </c>
      <c r="AT401" s="8">
        <v>224130</v>
      </c>
      <c r="AU401" s="8">
        <f t="shared" si="216"/>
        <v>20941</v>
      </c>
      <c r="AV401" s="8">
        <v>229444</v>
      </c>
      <c r="AW401" s="8">
        <f t="shared" si="217"/>
        <v>-25862</v>
      </c>
      <c r="AX401" s="8">
        <f t="shared" si="192"/>
        <v>-5314</v>
      </c>
      <c r="AY401" s="8">
        <f t="shared" si="218"/>
        <v>46803</v>
      </c>
      <c r="AZ401" s="8">
        <v>726761</v>
      </c>
      <c r="BA401" s="8">
        <f t="shared" si="219"/>
        <v>-11421</v>
      </c>
      <c r="BB401" s="8">
        <v>640151</v>
      </c>
      <c r="BC401" s="8">
        <f t="shared" si="220"/>
        <v>44186</v>
      </c>
      <c r="BD401" s="8">
        <f t="shared" si="193"/>
        <v>86610</v>
      </c>
      <c r="BE401" s="8">
        <f t="shared" si="221"/>
        <v>-55607</v>
      </c>
      <c r="BF401" s="8">
        <v>389539</v>
      </c>
      <c r="BG401" s="8">
        <f t="shared" si="222"/>
        <v>-12259</v>
      </c>
      <c r="BH401" s="8">
        <v>587656</v>
      </c>
      <c r="BI401" s="8">
        <f t="shared" si="223"/>
        <v>41066</v>
      </c>
      <c r="BJ401" s="8">
        <f t="shared" si="194"/>
        <v>-198117</v>
      </c>
      <c r="BK401" s="8">
        <f t="shared" si="196"/>
        <v>-53325</v>
      </c>
    </row>
    <row r="402" spans="1:63">
      <c r="A402" s="5">
        <v>41681</v>
      </c>
      <c r="B402" s="8">
        <v>379777</v>
      </c>
      <c r="C402" s="8">
        <f t="shared" si="197"/>
        <v>-20660</v>
      </c>
      <c r="D402" s="8">
        <v>41886</v>
      </c>
      <c r="E402" s="8">
        <f t="shared" si="198"/>
        <v>-2039</v>
      </c>
      <c r="F402" s="8">
        <v>90319</v>
      </c>
      <c r="G402" s="8">
        <f t="shared" si="199"/>
        <v>-12747</v>
      </c>
      <c r="H402" s="8">
        <v>-48433</v>
      </c>
      <c r="I402" s="8">
        <f t="shared" si="200"/>
        <v>10708</v>
      </c>
      <c r="J402" s="8">
        <v>191919</v>
      </c>
      <c r="K402" s="8">
        <f t="shared" si="201"/>
        <v>-19093</v>
      </c>
      <c r="L402" s="8">
        <v>154748</v>
      </c>
      <c r="M402" s="8">
        <f t="shared" si="202"/>
        <v>-5488</v>
      </c>
      <c r="N402" s="8">
        <v>37171</v>
      </c>
      <c r="O402" s="8">
        <f t="shared" si="203"/>
        <v>-13605</v>
      </c>
      <c r="P402" s="8">
        <v>114707</v>
      </c>
      <c r="Q402" s="8">
        <f t="shared" si="204"/>
        <v>-23428</v>
      </c>
      <c r="R402" s="8">
        <v>139118</v>
      </c>
      <c r="S402" s="8">
        <f t="shared" si="205"/>
        <v>-8330</v>
      </c>
      <c r="T402" s="8">
        <v>-24411</v>
      </c>
      <c r="U402" s="8">
        <f t="shared" si="206"/>
        <v>-15098</v>
      </c>
      <c r="W402" s="8">
        <v>345670</v>
      </c>
      <c r="X402" s="8">
        <f t="shared" si="207"/>
        <v>6099</v>
      </c>
      <c r="Y402" s="8">
        <v>92840</v>
      </c>
      <c r="Z402" s="8">
        <f t="shared" si="208"/>
        <v>2769</v>
      </c>
      <c r="AA402" s="8">
        <v>22263</v>
      </c>
      <c r="AB402" s="8">
        <f t="shared" si="195"/>
        <v>-1534</v>
      </c>
      <c r="AC402" s="8">
        <v>70577</v>
      </c>
      <c r="AD402" s="8">
        <f t="shared" si="195"/>
        <v>4303</v>
      </c>
      <c r="AE402" s="8">
        <v>127257</v>
      </c>
      <c r="AF402" s="8">
        <f t="shared" si="209"/>
        <v>5881</v>
      </c>
      <c r="AG402" s="8">
        <v>207921</v>
      </c>
      <c r="AH402" s="8">
        <f t="shared" si="210"/>
        <v>6097</v>
      </c>
      <c r="AI402" s="8">
        <v>-80664</v>
      </c>
      <c r="AJ402" s="8">
        <f t="shared" si="211"/>
        <v>-216</v>
      </c>
      <c r="AK402" s="8">
        <v>70994</v>
      </c>
      <c r="AL402" s="8">
        <f t="shared" si="212"/>
        <v>5001</v>
      </c>
      <c r="AM402" s="8">
        <v>186975</v>
      </c>
      <c r="AN402" s="8">
        <f t="shared" si="213"/>
        <v>4835</v>
      </c>
      <c r="AO402" s="8">
        <v>-115981</v>
      </c>
      <c r="AP402" s="8">
        <f t="shared" si="214"/>
        <v>166</v>
      </c>
      <c r="AR402" s="8">
        <v>1729744</v>
      </c>
      <c r="AS402" s="8">
        <f t="shared" si="215"/>
        <v>43696</v>
      </c>
      <c r="AT402" s="8">
        <v>231392</v>
      </c>
      <c r="AU402" s="8">
        <f t="shared" si="216"/>
        <v>7262</v>
      </c>
      <c r="AV402" s="8">
        <v>197052</v>
      </c>
      <c r="AW402" s="8">
        <f t="shared" si="217"/>
        <v>-32392</v>
      </c>
      <c r="AX402" s="8">
        <f t="shared" si="192"/>
        <v>34340</v>
      </c>
      <c r="AY402" s="8">
        <f t="shared" si="218"/>
        <v>39654</v>
      </c>
      <c r="AZ402" s="8">
        <v>734651</v>
      </c>
      <c r="BA402" s="8">
        <f t="shared" si="219"/>
        <v>7890</v>
      </c>
      <c r="BB402" s="8">
        <v>679146</v>
      </c>
      <c r="BC402" s="8">
        <f t="shared" si="220"/>
        <v>38995</v>
      </c>
      <c r="BD402" s="8">
        <f t="shared" si="193"/>
        <v>55505</v>
      </c>
      <c r="BE402" s="8">
        <f t="shared" si="221"/>
        <v>-31105</v>
      </c>
      <c r="BF402" s="8">
        <v>396831</v>
      </c>
      <c r="BG402" s="8">
        <f t="shared" si="222"/>
        <v>7292</v>
      </c>
      <c r="BH402" s="8">
        <v>612847</v>
      </c>
      <c r="BI402" s="8">
        <f t="shared" si="223"/>
        <v>25191</v>
      </c>
      <c r="BJ402" s="8">
        <f t="shared" si="194"/>
        <v>-216016</v>
      </c>
      <c r="BK402" s="8">
        <f t="shared" si="196"/>
        <v>-17899</v>
      </c>
    </row>
    <row r="403" spans="1:63">
      <c r="A403" s="5">
        <v>41688</v>
      </c>
      <c r="B403" s="8">
        <v>384216</v>
      </c>
      <c r="C403" s="8">
        <f t="shared" si="197"/>
        <v>4439</v>
      </c>
      <c r="D403" s="8">
        <v>46355</v>
      </c>
      <c r="E403" s="8">
        <f t="shared" si="198"/>
        <v>4469</v>
      </c>
      <c r="F403" s="8">
        <v>79951</v>
      </c>
      <c r="G403" s="8">
        <f t="shared" si="199"/>
        <v>-10368</v>
      </c>
      <c r="H403" s="8">
        <v>-33596</v>
      </c>
      <c r="I403" s="8">
        <f t="shared" si="200"/>
        <v>14837</v>
      </c>
      <c r="J403" s="8">
        <v>180466</v>
      </c>
      <c r="K403" s="8">
        <f t="shared" si="201"/>
        <v>-11453</v>
      </c>
      <c r="L403" s="8">
        <v>164945</v>
      </c>
      <c r="M403" s="8">
        <f t="shared" si="202"/>
        <v>10197</v>
      </c>
      <c r="N403" s="8">
        <v>15521</v>
      </c>
      <c r="O403" s="8">
        <f t="shared" si="203"/>
        <v>-21650</v>
      </c>
      <c r="P403" s="8">
        <v>102636</v>
      </c>
      <c r="Q403" s="8">
        <f t="shared" si="204"/>
        <v>-12071</v>
      </c>
      <c r="R403" s="8">
        <v>148838</v>
      </c>
      <c r="S403" s="8">
        <f t="shared" si="205"/>
        <v>9720</v>
      </c>
      <c r="T403" s="8">
        <v>-46202</v>
      </c>
      <c r="U403" s="8">
        <f t="shared" si="206"/>
        <v>-21791</v>
      </c>
      <c r="W403" s="8">
        <v>363227</v>
      </c>
      <c r="X403" s="8">
        <f t="shared" si="207"/>
        <v>17557</v>
      </c>
      <c r="Y403" s="8">
        <v>95900</v>
      </c>
      <c r="Z403" s="8">
        <f t="shared" si="208"/>
        <v>3060</v>
      </c>
      <c r="AA403" s="8">
        <v>20947</v>
      </c>
      <c r="AB403" s="8">
        <f t="shared" si="195"/>
        <v>-1316</v>
      </c>
      <c r="AC403" s="8">
        <v>74953</v>
      </c>
      <c r="AD403" s="8">
        <f t="shared" si="195"/>
        <v>4376</v>
      </c>
      <c r="AE403" s="8">
        <v>133203</v>
      </c>
      <c r="AF403" s="8">
        <f t="shared" si="209"/>
        <v>5946</v>
      </c>
      <c r="AG403" s="8">
        <v>220735</v>
      </c>
      <c r="AH403" s="8">
        <f t="shared" si="210"/>
        <v>12814</v>
      </c>
      <c r="AI403" s="8">
        <v>-87532</v>
      </c>
      <c r="AJ403" s="8">
        <f t="shared" si="211"/>
        <v>-6868</v>
      </c>
      <c r="AK403" s="8">
        <v>72674</v>
      </c>
      <c r="AL403" s="8">
        <f t="shared" si="212"/>
        <v>1680</v>
      </c>
      <c r="AM403" s="8">
        <v>195808</v>
      </c>
      <c r="AN403" s="8">
        <f t="shared" si="213"/>
        <v>8833</v>
      </c>
      <c r="AO403" s="8">
        <v>-123134</v>
      </c>
      <c r="AP403" s="8">
        <f t="shared" si="214"/>
        <v>-7153</v>
      </c>
      <c r="AR403" s="8">
        <v>1774313</v>
      </c>
      <c r="AS403" s="8">
        <f t="shared" si="215"/>
        <v>44569</v>
      </c>
      <c r="AT403" s="8">
        <v>235999</v>
      </c>
      <c r="AU403" s="8">
        <f t="shared" si="216"/>
        <v>4607</v>
      </c>
      <c r="AV403" s="8">
        <v>190747</v>
      </c>
      <c r="AW403" s="8">
        <f t="shared" si="217"/>
        <v>-6305</v>
      </c>
      <c r="AX403" s="8">
        <f t="shared" si="192"/>
        <v>45252</v>
      </c>
      <c r="AY403" s="8">
        <f t="shared" si="218"/>
        <v>10912</v>
      </c>
      <c r="AZ403" s="8">
        <v>761323</v>
      </c>
      <c r="BA403" s="8">
        <f t="shared" si="219"/>
        <v>26672</v>
      </c>
      <c r="BB403" s="8">
        <v>732255</v>
      </c>
      <c r="BC403" s="8">
        <f t="shared" si="220"/>
        <v>53109</v>
      </c>
      <c r="BD403" s="8">
        <f t="shared" si="193"/>
        <v>29068</v>
      </c>
      <c r="BE403" s="8">
        <f t="shared" si="221"/>
        <v>-26437</v>
      </c>
      <c r="BF403" s="8">
        <v>415887</v>
      </c>
      <c r="BG403" s="8">
        <f t="shared" si="222"/>
        <v>19056</v>
      </c>
      <c r="BH403" s="8">
        <v>662865</v>
      </c>
      <c r="BI403" s="8">
        <f t="shared" si="223"/>
        <v>50018</v>
      </c>
      <c r="BJ403" s="8">
        <f t="shared" si="194"/>
        <v>-246978</v>
      </c>
      <c r="BK403" s="8">
        <f t="shared" si="196"/>
        <v>-30962</v>
      </c>
    </row>
    <row r="404" spans="1:63">
      <c r="A404" s="5">
        <v>41695</v>
      </c>
      <c r="B404" s="8">
        <v>333506</v>
      </c>
      <c r="C404" s="8">
        <f t="shared" si="197"/>
        <v>-50710</v>
      </c>
      <c r="D404" s="8">
        <v>48793</v>
      </c>
      <c r="E404" s="8">
        <f t="shared" si="198"/>
        <v>2438</v>
      </c>
      <c r="F404" s="8">
        <v>66560</v>
      </c>
      <c r="G404" s="8">
        <f t="shared" si="199"/>
        <v>-13391</v>
      </c>
      <c r="H404" s="8">
        <v>-17767</v>
      </c>
      <c r="I404" s="8">
        <f t="shared" si="200"/>
        <v>15829</v>
      </c>
      <c r="J404" s="8">
        <v>159509</v>
      </c>
      <c r="K404" s="8">
        <f t="shared" si="201"/>
        <v>-20957</v>
      </c>
      <c r="L404" s="8">
        <v>161914</v>
      </c>
      <c r="M404" s="8">
        <f t="shared" si="202"/>
        <v>-3031</v>
      </c>
      <c r="N404" s="8">
        <v>-2405</v>
      </c>
      <c r="O404" s="8">
        <f t="shared" si="203"/>
        <v>-17926</v>
      </c>
      <c r="P404" s="8">
        <v>90739</v>
      </c>
      <c r="Q404" s="8">
        <f t="shared" si="204"/>
        <v>-11897</v>
      </c>
      <c r="R404" s="8">
        <v>149664</v>
      </c>
      <c r="S404" s="8">
        <f t="shared" si="205"/>
        <v>826</v>
      </c>
      <c r="T404" s="8">
        <v>-58925</v>
      </c>
      <c r="U404" s="8">
        <f t="shared" si="206"/>
        <v>-12723</v>
      </c>
      <c r="W404" s="8">
        <v>354765</v>
      </c>
      <c r="X404" s="8">
        <f t="shared" si="207"/>
        <v>-8462</v>
      </c>
      <c r="Y404" s="8">
        <v>96846</v>
      </c>
      <c r="Z404" s="8">
        <f t="shared" si="208"/>
        <v>946</v>
      </c>
      <c r="AA404" s="8">
        <v>23258</v>
      </c>
      <c r="AB404" s="8">
        <f t="shared" si="195"/>
        <v>2311</v>
      </c>
      <c r="AC404" s="8">
        <v>73588</v>
      </c>
      <c r="AD404" s="8">
        <f t="shared" si="195"/>
        <v>-1365</v>
      </c>
      <c r="AE404" s="8">
        <v>134236</v>
      </c>
      <c r="AF404" s="8">
        <f t="shared" si="209"/>
        <v>1033</v>
      </c>
      <c r="AG404" s="8">
        <v>220451</v>
      </c>
      <c r="AH404" s="8">
        <f t="shared" si="210"/>
        <v>-284</v>
      </c>
      <c r="AI404" s="8">
        <v>-86215</v>
      </c>
      <c r="AJ404" s="8">
        <f t="shared" si="211"/>
        <v>1317</v>
      </c>
      <c r="AK404" s="8">
        <v>75069</v>
      </c>
      <c r="AL404" s="8">
        <f t="shared" si="212"/>
        <v>2395</v>
      </c>
      <c r="AM404" s="8">
        <v>197398</v>
      </c>
      <c r="AN404" s="8">
        <f t="shared" si="213"/>
        <v>1590</v>
      </c>
      <c r="AO404" s="8">
        <v>-122329</v>
      </c>
      <c r="AP404" s="8">
        <f t="shared" si="214"/>
        <v>805</v>
      </c>
      <c r="AR404" s="8">
        <v>1652554</v>
      </c>
      <c r="AS404" s="8">
        <f t="shared" si="215"/>
        <v>-121759</v>
      </c>
      <c r="AT404" s="8">
        <v>252473</v>
      </c>
      <c r="AU404" s="8">
        <f t="shared" si="216"/>
        <v>16474</v>
      </c>
      <c r="AV404" s="8">
        <v>164957</v>
      </c>
      <c r="AW404" s="8">
        <f t="shared" si="217"/>
        <v>-25790</v>
      </c>
      <c r="AX404" s="8">
        <f t="shared" si="192"/>
        <v>87516</v>
      </c>
      <c r="AY404" s="8">
        <f t="shared" si="218"/>
        <v>42264</v>
      </c>
      <c r="AZ404" s="8">
        <v>699192</v>
      </c>
      <c r="BA404" s="8">
        <f t="shared" si="219"/>
        <v>-62131</v>
      </c>
      <c r="BB404" s="8">
        <v>719178</v>
      </c>
      <c r="BC404" s="8">
        <f t="shared" si="220"/>
        <v>-13077</v>
      </c>
      <c r="BD404" s="8">
        <f t="shared" si="193"/>
        <v>-19986</v>
      </c>
      <c r="BE404" s="8">
        <f t="shared" si="221"/>
        <v>-49054</v>
      </c>
      <c r="BF404" s="8">
        <v>375703</v>
      </c>
      <c r="BG404" s="8">
        <f t="shared" si="222"/>
        <v>-40184</v>
      </c>
      <c r="BH404" s="8">
        <v>670087</v>
      </c>
      <c r="BI404" s="8">
        <f t="shared" si="223"/>
        <v>7222</v>
      </c>
      <c r="BJ404" s="8">
        <f t="shared" si="194"/>
        <v>-294384</v>
      </c>
      <c r="BK404" s="8">
        <f t="shared" si="196"/>
        <v>-47406</v>
      </c>
    </row>
    <row r="405" spans="1:63">
      <c r="A405" s="5">
        <v>41702</v>
      </c>
      <c r="B405" s="8">
        <v>338189</v>
      </c>
      <c r="C405" s="8">
        <f t="shared" si="197"/>
        <v>4683</v>
      </c>
      <c r="D405" s="8">
        <v>54030</v>
      </c>
      <c r="E405" s="8">
        <f t="shared" si="198"/>
        <v>5237</v>
      </c>
      <c r="F405" s="8">
        <v>58013</v>
      </c>
      <c r="G405" s="8">
        <f t="shared" si="199"/>
        <v>-8547</v>
      </c>
      <c r="H405" s="8">
        <v>-3983</v>
      </c>
      <c r="I405" s="8">
        <f t="shared" si="200"/>
        <v>13784</v>
      </c>
      <c r="J405" s="8">
        <v>158781</v>
      </c>
      <c r="K405" s="8">
        <f t="shared" si="201"/>
        <v>-728</v>
      </c>
      <c r="L405" s="8">
        <v>177171</v>
      </c>
      <c r="M405" s="8">
        <f t="shared" si="202"/>
        <v>15257</v>
      </c>
      <c r="N405" s="8">
        <v>-18390</v>
      </c>
      <c r="O405" s="8">
        <f t="shared" si="203"/>
        <v>-15985</v>
      </c>
      <c r="P405" s="8">
        <v>86420</v>
      </c>
      <c r="Q405" s="8">
        <f t="shared" si="204"/>
        <v>-4319</v>
      </c>
      <c r="R405" s="8">
        <v>164729</v>
      </c>
      <c r="S405" s="8">
        <f t="shared" si="205"/>
        <v>15065</v>
      </c>
      <c r="T405" s="8">
        <v>-78309</v>
      </c>
      <c r="U405" s="8">
        <f t="shared" si="206"/>
        <v>-19384</v>
      </c>
      <c r="W405" s="8">
        <v>358655</v>
      </c>
      <c r="X405" s="8">
        <f t="shared" si="207"/>
        <v>3890</v>
      </c>
      <c r="Y405" s="8">
        <v>95771</v>
      </c>
      <c r="Z405" s="8">
        <f t="shared" si="208"/>
        <v>-1075</v>
      </c>
      <c r="AA405" s="8">
        <v>25639</v>
      </c>
      <c r="AB405" s="8">
        <f t="shared" si="195"/>
        <v>2381</v>
      </c>
      <c r="AC405" s="8">
        <v>70132</v>
      </c>
      <c r="AD405" s="8">
        <f t="shared" si="195"/>
        <v>-3456</v>
      </c>
      <c r="AE405" s="8">
        <v>140837</v>
      </c>
      <c r="AF405" s="8">
        <f t="shared" si="209"/>
        <v>6601</v>
      </c>
      <c r="AG405" s="8">
        <v>224113</v>
      </c>
      <c r="AH405" s="8">
        <f t="shared" si="210"/>
        <v>3662</v>
      </c>
      <c r="AI405" s="8">
        <v>-83276</v>
      </c>
      <c r="AJ405" s="8">
        <f t="shared" si="211"/>
        <v>2939</v>
      </c>
      <c r="AK405" s="8">
        <v>83081</v>
      </c>
      <c r="AL405" s="8">
        <f t="shared" si="212"/>
        <v>8012</v>
      </c>
      <c r="AM405" s="8">
        <v>201039</v>
      </c>
      <c r="AN405" s="8">
        <f t="shared" si="213"/>
        <v>3641</v>
      </c>
      <c r="AO405" s="8">
        <v>-117958</v>
      </c>
      <c r="AP405" s="8">
        <f t="shared" si="214"/>
        <v>4371</v>
      </c>
      <c r="AR405" s="8">
        <v>1689545</v>
      </c>
      <c r="AS405" s="8">
        <f t="shared" si="215"/>
        <v>36991</v>
      </c>
      <c r="AT405" s="8">
        <v>270429</v>
      </c>
      <c r="AU405" s="8">
        <f t="shared" si="216"/>
        <v>17956</v>
      </c>
      <c r="AV405" s="8">
        <v>112307</v>
      </c>
      <c r="AW405" s="8">
        <f t="shared" si="217"/>
        <v>-52650</v>
      </c>
      <c r="AX405" s="8">
        <f t="shared" si="192"/>
        <v>158122</v>
      </c>
      <c r="AY405" s="8">
        <f t="shared" si="218"/>
        <v>70606</v>
      </c>
      <c r="AZ405" s="8">
        <v>687212</v>
      </c>
      <c r="BA405" s="8">
        <f t="shared" si="219"/>
        <v>-11980</v>
      </c>
      <c r="BB405" s="8">
        <v>768889</v>
      </c>
      <c r="BC405" s="8">
        <f t="shared" si="220"/>
        <v>49711</v>
      </c>
      <c r="BD405" s="8">
        <f t="shared" si="193"/>
        <v>-81677</v>
      </c>
      <c r="BE405" s="8">
        <f t="shared" si="221"/>
        <v>-61691</v>
      </c>
      <c r="BF405" s="8">
        <v>353567</v>
      </c>
      <c r="BG405" s="8">
        <f t="shared" si="222"/>
        <v>-22136</v>
      </c>
      <c r="BH405" s="8">
        <v>717997</v>
      </c>
      <c r="BI405" s="8">
        <f t="shared" si="223"/>
        <v>47910</v>
      </c>
      <c r="BJ405" s="8">
        <f t="shared" si="194"/>
        <v>-364430</v>
      </c>
      <c r="BK405" s="8">
        <f t="shared" si="196"/>
        <v>-70046</v>
      </c>
    </row>
    <row r="406" spans="1:63">
      <c r="A406" s="5">
        <v>41709</v>
      </c>
      <c r="B406" s="8">
        <v>346147</v>
      </c>
      <c r="C406" s="8">
        <f t="shared" si="197"/>
        <v>7958</v>
      </c>
      <c r="D406" s="8">
        <v>66233</v>
      </c>
      <c r="E406" s="8">
        <f t="shared" si="198"/>
        <v>12203</v>
      </c>
      <c r="F406" s="8">
        <v>40851</v>
      </c>
      <c r="G406" s="8">
        <f t="shared" si="199"/>
        <v>-17162</v>
      </c>
      <c r="H406" s="8">
        <v>25382</v>
      </c>
      <c r="I406" s="8">
        <f t="shared" si="200"/>
        <v>29365</v>
      </c>
      <c r="J406" s="8">
        <v>146912</v>
      </c>
      <c r="K406" s="8">
        <f t="shared" si="201"/>
        <v>-11869</v>
      </c>
      <c r="L406" s="8">
        <v>200536</v>
      </c>
      <c r="M406" s="8">
        <f t="shared" si="202"/>
        <v>23365</v>
      </c>
      <c r="N406" s="8">
        <v>-53624</v>
      </c>
      <c r="O406" s="8">
        <f t="shared" si="203"/>
        <v>-35234</v>
      </c>
      <c r="P406" s="8">
        <v>74312</v>
      </c>
      <c r="Q406" s="8">
        <f t="shared" si="204"/>
        <v>-12108</v>
      </c>
      <c r="R406" s="8">
        <v>189725</v>
      </c>
      <c r="S406" s="8">
        <f t="shared" si="205"/>
        <v>24996</v>
      </c>
      <c r="T406" s="8">
        <v>-115413</v>
      </c>
      <c r="U406" s="8">
        <f t="shared" si="206"/>
        <v>-37104</v>
      </c>
      <c r="W406" s="8">
        <v>363343</v>
      </c>
      <c r="X406" s="8">
        <f t="shared" si="207"/>
        <v>4688</v>
      </c>
      <c r="Y406" s="8">
        <v>95309</v>
      </c>
      <c r="Z406" s="8">
        <f t="shared" si="208"/>
        <v>-462</v>
      </c>
      <c r="AA406" s="8">
        <v>25380</v>
      </c>
      <c r="AB406" s="8">
        <f t="shared" si="195"/>
        <v>-259</v>
      </c>
      <c r="AC406" s="8">
        <v>69929</v>
      </c>
      <c r="AD406" s="8">
        <f t="shared" si="195"/>
        <v>-203</v>
      </c>
      <c r="AE406" s="8">
        <v>142466</v>
      </c>
      <c r="AF406" s="8">
        <f t="shared" si="209"/>
        <v>1629</v>
      </c>
      <c r="AG406" s="8">
        <v>222562</v>
      </c>
      <c r="AH406" s="8">
        <f t="shared" si="210"/>
        <v>-1551</v>
      </c>
      <c r="AI406" s="8">
        <v>-80096</v>
      </c>
      <c r="AJ406" s="8">
        <f t="shared" si="211"/>
        <v>3180</v>
      </c>
      <c r="AK406" s="8">
        <v>84721</v>
      </c>
      <c r="AL406" s="8">
        <f t="shared" si="212"/>
        <v>1640</v>
      </c>
      <c r="AM406" s="8">
        <v>200764</v>
      </c>
      <c r="AN406" s="8">
        <f t="shared" si="213"/>
        <v>-275</v>
      </c>
      <c r="AO406" s="8">
        <v>-116043</v>
      </c>
      <c r="AP406" s="8">
        <f t="shared" si="214"/>
        <v>1915</v>
      </c>
      <c r="AR406" s="8">
        <v>1727031</v>
      </c>
      <c r="AS406" s="8">
        <f t="shared" si="215"/>
        <v>37486</v>
      </c>
      <c r="AT406" s="8">
        <v>289629</v>
      </c>
      <c r="AU406" s="8">
        <f t="shared" si="216"/>
        <v>19200</v>
      </c>
      <c r="AV406" s="8">
        <v>80068</v>
      </c>
      <c r="AW406" s="8">
        <f t="shared" si="217"/>
        <v>-32239</v>
      </c>
      <c r="AX406" s="8">
        <f t="shared" si="192"/>
        <v>209561</v>
      </c>
      <c r="AY406" s="8">
        <f t="shared" si="218"/>
        <v>51439</v>
      </c>
      <c r="AZ406" s="8">
        <v>698533</v>
      </c>
      <c r="BA406" s="8">
        <f t="shared" si="219"/>
        <v>11321</v>
      </c>
      <c r="BB406" s="8">
        <v>823655</v>
      </c>
      <c r="BC406" s="8">
        <f t="shared" si="220"/>
        <v>54766</v>
      </c>
      <c r="BD406" s="8">
        <f t="shared" si="193"/>
        <v>-125122</v>
      </c>
      <c r="BE406" s="8">
        <f t="shared" si="221"/>
        <v>-43445</v>
      </c>
      <c r="BF406" s="8">
        <v>362544</v>
      </c>
      <c r="BG406" s="8">
        <f t="shared" si="222"/>
        <v>8977</v>
      </c>
      <c r="BH406" s="8">
        <v>756199</v>
      </c>
      <c r="BI406" s="8">
        <f t="shared" si="223"/>
        <v>38202</v>
      </c>
      <c r="BJ406" s="8">
        <f t="shared" si="194"/>
        <v>-393655</v>
      </c>
      <c r="BK406" s="8">
        <f t="shared" si="196"/>
        <v>-29225</v>
      </c>
    </row>
    <row r="407" spans="1:63">
      <c r="A407" s="5">
        <v>41716</v>
      </c>
      <c r="B407" s="8">
        <v>346861</v>
      </c>
      <c r="C407" s="8">
        <f t="shared" si="197"/>
        <v>714</v>
      </c>
      <c r="D407" s="8">
        <v>73059</v>
      </c>
      <c r="E407" s="8">
        <f t="shared" si="198"/>
        <v>6826</v>
      </c>
      <c r="F407" s="8">
        <v>39586</v>
      </c>
      <c r="G407" s="8">
        <f t="shared" si="199"/>
        <v>-1265</v>
      </c>
      <c r="H407" s="8">
        <v>33473</v>
      </c>
      <c r="I407" s="8">
        <f t="shared" si="200"/>
        <v>8091</v>
      </c>
      <c r="J407" s="8">
        <v>145234</v>
      </c>
      <c r="K407" s="8">
        <f t="shared" si="201"/>
        <v>-1678</v>
      </c>
      <c r="L407" s="8">
        <v>198992</v>
      </c>
      <c r="M407" s="8">
        <f t="shared" si="202"/>
        <v>-1544</v>
      </c>
      <c r="N407" s="8">
        <v>-53758</v>
      </c>
      <c r="O407" s="8">
        <f t="shared" si="203"/>
        <v>-134</v>
      </c>
      <c r="P407" s="8">
        <v>71189</v>
      </c>
      <c r="Q407" s="8">
        <f t="shared" si="204"/>
        <v>-3123</v>
      </c>
      <c r="R407" s="8">
        <v>187915</v>
      </c>
      <c r="S407" s="8">
        <f t="shared" si="205"/>
        <v>-1810</v>
      </c>
      <c r="T407" s="8">
        <v>-116726</v>
      </c>
      <c r="U407" s="8">
        <f t="shared" si="206"/>
        <v>-1313</v>
      </c>
      <c r="W407" s="8">
        <v>366752</v>
      </c>
      <c r="X407" s="8">
        <f t="shared" si="207"/>
        <v>3409</v>
      </c>
      <c r="Y407" s="8">
        <v>95208</v>
      </c>
      <c r="Z407" s="8">
        <f t="shared" si="208"/>
        <v>-101</v>
      </c>
      <c r="AA407" s="8">
        <v>25175</v>
      </c>
      <c r="AB407" s="8">
        <f t="shared" si="195"/>
        <v>-205</v>
      </c>
      <c r="AC407" s="8">
        <v>70033</v>
      </c>
      <c r="AD407" s="8">
        <f t="shared" si="195"/>
        <v>104</v>
      </c>
      <c r="AE407" s="8">
        <v>141442</v>
      </c>
      <c r="AF407" s="8">
        <f t="shared" si="209"/>
        <v>-1024</v>
      </c>
      <c r="AG407" s="8">
        <v>223847</v>
      </c>
      <c r="AH407" s="8">
        <f t="shared" si="210"/>
        <v>1285</v>
      </c>
      <c r="AI407" s="8">
        <v>-82405</v>
      </c>
      <c r="AJ407" s="8">
        <f t="shared" si="211"/>
        <v>-2309</v>
      </c>
      <c r="AK407" s="8">
        <v>83176</v>
      </c>
      <c r="AL407" s="8">
        <f t="shared" si="212"/>
        <v>-1545</v>
      </c>
      <c r="AM407" s="8">
        <v>201361</v>
      </c>
      <c r="AN407" s="8">
        <f t="shared" si="213"/>
        <v>597</v>
      </c>
      <c r="AO407" s="8">
        <v>-118185</v>
      </c>
      <c r="AP407" s="8">
        <f t="shared" si="214"/>
        <v>-2142</v>
      </c>
      <c r="AR407" s="8">
        <v>1753857</v>
      </c>
      <c r="AS407" s="8">
        <f t="shared" si="215"/>
        <v>26826</v>
      </c>
      <c r="AT407" s="8">
        <v>297844</v>
      </c>
      <c r="AU407" s="8">
        <f t="shared" si="216"/>
        <v>8215</v>
      </c>
      <c r="AV407" s="8">
        <v>69984</v>
      </c>
      <c r="AW407" s="8">
        <f t="shared" si="217"/>
        <v>-10084</v>
      </c>
      <c r="AX407" s="8">
        <f t="shared" si="192"/>
        <v>227860</v>
      </c>
      <c r="AY407" s="8">
        <f t="shared" si="218"/>
        <v>18299</v>
      </c>
      <c r="AZ407" s="8">
        <v>707949</v>
      </c>
      <c r="BA407" s="8">
        <f t="shared" si="219"/>
        <v>9416</v>
      </c>
      <c r="BB407" s="8">
        <v>838626</v>
      </c>
      <c r="BC407" s="8">
        <f t="shared" si="220"/>
        <v>14971</v>
      </c>
      <c r="BD407" s="8">
        <f t="shared" si="193"/>
        <v>-130677</v>
      </c>
      <c r="BE407" s="8">
        <f t="shared" si="221"/>
        <v>-5555</v>
      </c>
      <c r="BF407" s="8">
        <v>370517</v>
      </c>
      <c r="BG407" s="8">
        <f t="shared" si="222"/>
        <v>7973</v>
      </c>
      <c r="BH407" s="8">
        <v>770634</v>
      </c>
      <c r="BI407" s="8">
        <f t="shared" si="223"/>
        <v>14435</v>
      </c>
      <c r="BJ407" s="8">
        <f t="shared" si="194"/>
        <v>-400117</v>
      </c>
      <c r="BK407" s="8">
        <f t="shared" si="196"/>
        <v>-6462</v>
      </c>
    </row>
    <row r="408" spans="1:63">
      <c r="A408" s="5">
        <v>41723</v>
      </c>
      <c r="B408" s="8">
        <v>344112</v>
      </c>
      <c r="C408" s="8">
        <f t="shared" si="197"/>
        <v>-2749</v>
      </c>
      <c r="D408" s="8">
        <v>68068</v>
      </c>
      <c r="E408" s="8">
        <f t="shared" si="198"/>
        <v>-4991</v>
      </c>
      <c r="F408" s="8">
        <v>46370</v>
      </c>
      <c r="G408" s="8">
        <f t="shared" si="199"/>
        <v>6784</v>
      </c>
      <c r="H408" s="8">
        <v>21698</v>
      </c>
      <c r="I408" s="8">
        <f t="shared" si="200"/>
        <v>-11775</v>
      </c>
      <c r="J408" s="8">
        <v>156125</v>
      </c>
      <c r="K408" s="8">
        <f t="shared" si="201"/>
        <v>10891</v>
      </c>
      <c r="L408" s="8">
        <v>189485</v>
      </c>
      <c r="M408" s="8">
        <f t="shared" si="202"/>
        <v>-9507</v>
      </c>
      <c r="N408" s="8">
        <v>-33360</v>
      </c>
      <c r="O408" s="8">
        <f t="shared" si="203"/>
        <v>20398</v>
      </c>
      <c r="P408" s="8">
        <v>82837</v>
      </c>
      <c r="Q408" s="8">
        <f t="shared" si="204"/>
        <v>11648</v>
      </c>
      <c r="R408" s="8">
        <v>180123</v>
      </c>
      <c r="S408" s="8">
        <f t="shared" si="205"/>
        <v>-7792</v>
      </c>
      <c r="T408" s="8">
        <v>-97286</v>
      </c>
      <c r="U408" s="8">
        <f t="shared" si="206"/>
        <v>19440</v>
      </c>
      <c r="W408" s="8">
        <v>362819</v>
      </c>
      <c r="X408" s="8">
        <f t="shared" si="207"/>
        <v>-3933</v>
      </c>
      <c r="Y408" s="8">
        <v>93807</v>
      </c>
      <c r="Z408" s="8">
        <f t="shared" si="208"/>
        <v>-1401</v>
      </c>
      <c r="AA408" s="8">
        <v>23234</v>
      </c>
      <c r="AB408" s="8">
        <f t="shared" si="195"/>
        <v>-1941</v>
      </c>
      <c r="AC408" s="8">
        <v>70573</v>
      </c>
      <c r="AD408" s="8">
        <f t="shared" si="195"/>
        <v>540</v>
      </c>
      <c r="AE408" s="8">
        <v>138713</v>
      </c>
      <c r="AF408" s="8">
        <f t="shared" si="209"/>
        <v>-2729</v>
      </c>
      <c r="AG408" s="8">
        <v>220819</v>
      </c>
      <c r="AH408" s="8">
        <f t="shared" si="210"/>
        <v>-3028</v>
      </c>
      <c r="AI408" s="8">
        <v>-82106</v>
      </c>
      <c r="AJ408" s="8">
        <f t="shared" si="211"/>
        <v>299</v>
      </c>
      <c r="AK408" s="8">
        <v>83425</v>
      </c>
      <c r="AL408" s="8">
        <f t="shared" si="212"/>
        <v>249</v>
      </c>
      <c r="AM408" s="8">
        <v>198462</v>
      </c>
      <c r="AN408" s="8">
        <f t="shared" si="213"/>
        <v>-2899</v>
      </c>
      <c r="AO408" s="8">
        <v>-115037</v>
      </c>
      <c r="AP408" s="8">
        <f t="shared" si="214"/>
        <v>3148</v>
      </c>
      <c r="AR408" s="8">
        <v>1717075</v>
      </c>
      <c r="AS408" s="8">
        <f t="shared" si="215"/>
        <v>-36782</v>
      </c>
      <c r="AT408" s="8">
        <v>307648</v>
      </c>
      <c r="AU408" s="8">
        <f t="shared" si="216"/>
        <v>9804</v>
      </c>
      <c r="AV408" s="8">
        <v>68361</v>
      </c>
      <c r="AW408" s="8">
        <f t="shared" si="217"/>
        <v>-1623</v>
      </c>
      <c r="AX408" s="8">
        <f t="shared" si="192"/>
        <v>239287</v>
      </c>
      <c r="AY408" s="8">
        <f t="shared" si="218"/>
        <v>11427</v>
      </c>
      <c r="AZ408" s="8">
        <v>692577</v>
      </c>
      <c r="BA408" s="8">
        <f t="shared" si="219"/>
        <v>-15372</v>
      </c>
      <c r="BB408" s="8">
        <v>829478</v>
      </c>
      <c r="BC408" s="8">
        <f t="shared" si="220"/>
        <v>-9148</v>
      </c>
      <c r="BD408" s="8">
        <f t="shared" si="193"/>
        <v>-136901</v>
      </c>
      <c r="BE408" s="8">
        <f t="shared" si="221"/>
        <v>-6224</v>
      </c>
      <c r="BF408" s="8">
        <v>357341</v>
      </c>
      <c r="BG408" s="8">
        <f t="shared" si="222"/>
        <v>-13176</v>
      </c>
      <c r="BH408" s="8">
        <v>762438</v>
      </c>
      <c r="BI408" s="8">
        <f t="shared" si="223"/>
        <v>-8196</v>
      </c>
      <c r="BJ408" s="8">
        <f t="shared" si="194"/>
        <v>-405097</v>
      </c>
      <c r="BK408" s="8">
        <f t="shared" si="196"/>
        <v>-4980</v>
      </c>
    </row>
    <row r="409" spans="1:63">
      <c r="A409" s="5">
        <v>41730</v>
      </c>
      <c r="B409" s="8">
        <v>361712</v>
      </c>
      <c r="C409" s="8">
        <f t="shared" si="197"/>
        <v>17600</v>
      </c>
      <c r="D409" s="8">
        <v>64256</v>
      </c>
      <c r="E409" s="8">
        <f t="shared" si="198"/>
        <v>-3812</v>
      </c>
      <c r="F409" s="8">
        <v>52392</v>
      </c>
      <c r="G409" s="8">
        <f t="shared" si="199"/>
        <v>6022</v>
      </c>
      <c r="H409" s="8">
        <v>11864</v>
      </c>
      <c r="I409" s="8">
        <f t="shared" si="200"/>
        <v>-9834</v>
      </c>
      <c r="J409" s="8">
        <v>166124</v>
      </c>
      <c r="K409" s="8">
        <f t="shared" si="201"/>
        <v>9999</v>
      </c>
      <c r="L409" s="8">
        <v>196247</v>
      </c>
      <c r="M409" s="8">
        <f t="shared" si="202"/>
        <v>6762</v>
      </c>
      <c r="N409" s="8">
        <v>-30123</v>
      </c>
      <c r="O409" s="8">
        <f t="shared" si="203"/>
        <v>3237</v>
      </c>
      <c r="P409" s="8">
        <v>92624</v>
      </c>
      <c r="Q409" s="8">
        <f t="shared" si="204"/>
        <v>9787</v>
      </c>
      <c r="R409" s="8">
        <v>186506</v>
      </c>
      <c r="S409" s="8">
        <f t="shared" si="205"/>
        <v>6383</v>
      </c>
      <c r="T409" s="8">
        <v>-93882</v>
      </c>
      <c r="U409" s="8">
        <f t="shared" si="206"/>
        <v>3404</v>
      </c>
      <c r="W409" s="8">
        <v>379164</v>
      </c>
      <c r="X409" s="8">
        <f t="shared" si="207"/>
        <v>16345</v>
      </c>
      <c r="Y409" s="8">
        <v>95807</v>
      </c>
      <c r="Z409" s="8">
        <f t="shared" si="208"/>
        <v>2000</v>
      </c>
      <c r="AA409" s="8">
        <v>23128</v>
      </c>
      <c r="AB409" s="8">
        <f t="shared" si="195"/>
        <v>-106</v>
      </c>
      <c r="AC409" s="8">
        <v>72679</v>
      </c>
      <c r="AD409" s="8">
        <f t="shared" si="195"/>
        <v>2106</v>
      </c>
      <c r="AE409" s="8">
        <v>147186</v>
      </c>
      <c r="AF409" s="8">
        <f t="shared" si="209"/>
        <v>8473</v>
      </c>
      <c r="AG409" s="8">
        <v>231398</v>
      </c>
      <c r="AH409" s="8">
        <f t="shared" si="210"/>
        <v>10579</v>
      </c>
      <c r="AI409" s="8">
        <v>-84212</v>
      </c>
      <c r="AJ409" s="8">
        <f t="shared" si="211"/>
        <v>-2106</v>
      </c>
      <c r="AK409" s="8">
        <v>90963</v>
      </c>
      <c r="AL409" s="8">
        <f t="shared" si="212"/>
        <v>7538</v>
      </c>
      <c r="AM409" s="8">
        <v>207130</v>
      </c>
      <c r="AN409" s="8">
        <f t="shared" si="213"/>
        <v>8668</v>
      </c>
      <c r="AO409" s="8">
        <v>-116167</v>
      </c>
      <c r="AP409" s="8">
        <f t="shared" si="214"/>
        <v>-1130</v>
      </c>
      <c r="AR409" s="8">
        <v>1805037</v>
      </c>
      <c r="AS409" s="8">
        <f t="shared" si="215"/>
        <v>87962</v>
      </c>
      <c r="AT409" s="8">
        <v>321280</v>
      </c>
      <c r="AU409" s="8">
        <f t="shared" si="216"/>
        <v>13632</v>
      </c>
      <c r="AV409" s="8">
        <v>45444</v>
      </c>
      <c r="AW409" s="8">
        <f t="shared" si="217"/>
        <v>-22917</v>
      </c>
      <c r="AX409" s="8">
        <f t="shared" si="192"/>
        <v>275836</v>
      </c>
      <c r="AY409" s="8">
        <f t="shared" si="218"/>
        <v>36549</v>
      </c>
      <c r="AZ409" s="8">
        <v>727430</v>
      </c>
      <c r="BA409" s="8">
        <f t="shared" si="219"/>
        <v>34853</v>
      </c>
      <c r="BB409" s="8">
        <v>908195</v>
      </c>
      <c r="BC409" s="8">
        <f t="shared" si="220"/>
        <v>78717</v>
      </c>
      <c r="BD409" s="8">
        <f t="shared" si="193"/>
        <v>-180765</v>
      </c>
      <c r="BE409" s="8">
        <f t="shared" si="221"/>
        <v>-43864</v>
      </c>
      <c r="BF409" s="8">
        <v>376783</v>
      </c>
      <c r="BG409" s="8">
        <f t="shared" si="222"/>
        <v>19442</v>
      </c>
      <c r="BH409" s="8">
        <v>832095</v>
      </c>
      <c r="BI409" s="8">
        <f t="shared" si="223"/>
        <v>69657</v>
      </c>
      <c r="BJ409" s="8">
        <f t="shared" si="194"/>
        <v>-455312</v>
      </c>
      <c r="BK409" s="8">
        <f t="shared" si="196"/>
        <v>-50215</v>
      </c>
    </row>
    <row r="410" spans="1:63">
      <c r="A410" s="5">
        <v>41737</v>
      </c>
      <c r="B410" s="8">
        <v>376121</v>
      </c>
      <c r="C410" s="8">
        <f t="shared" si="197"/>
        <v>14409</v>
      </c>
      <c r="D410" s="8">
        <v>61189</v>
      </c>
      <c r="E410" s="8">
        <f t="shared" si="198"/>
        <v>-3067</v>
      </c>
      <c r="F410" s="8">
        <v>50618</v>
      </c>
      <c r="G410" s="8">
        <f t="shared" si="199"/>
        <v>-1774</v>
      </c>
      <c r="H410" s="8">
        <v>10571</v>
      </c>
      <c r="I410" s="8">
        <f t="shared" si="200"/>
        <v>-1293</v>
      </c>
      <c r="J410" s="8">
        <v>175199</v>
      </c>
      <c r="K410" s="8">
        <f t="shared" si="201"/>
        <v>9075</v>
      </c>
      <c r="L410" s="8">
        <v>209464</v>
      </c>
      <c r="M410" s="8">
        <f t="shared" si="202"/>
        <v>13217</v>
      </c>
      <c r="N410" s="8">
        <v>-34265</v>
      </c>
      <c r="O410" s="8">
        <f t="shared" si="203"/>
        <v>-4142</v>
      </c>
      <c r="P410" s="8">
        <v>101483</v>
      </c>
      <c r="Q410" s="8">
        <f t="shared" si="204"/>
        <v>8859</v>
      </c>
      <c r="R410" s="8">
        <v>200073</v>
      </c>
      <c r="S410" s="8">
        <f t="shared" si="205"/>
        <v>13567</v>
      </c>
      <c r="T410" s="8">
        <v>-98590</v>
      </c>
      <c r="U410" s="8">
        <f t="shared" si="206"/>
        <v>-4708</v>
      </c>
      <c r="W410" s="8">
        <v>388805</v>
      </c>
      <c r="X410" s="8">
        <f t="shared" si="207"/>
        <v>9641</v>
      </c>
      <c r="Y410" s="8">
        <v>94494</v>
      </c>
      <c r="Z410" s="8">
        <f t="shared" si="208"/>
        <v>-1313</v>
      </c>
      <c r="AA410" s="8">
        <v>22205</v>
      </c>
      <c r="AB410" s="8">
        <f t="shared" si="195"/>
        <v>-923</v>
      </c>
      <c r="AC410" s="8">
        <v>72289</v>
      </c>
      <c r="AD410" s="8">
        <f t="shared" si="195"/>
        <v>-390</v>
      </c>
      <c r="AE410" s="8">
        <v>150462</v>
      </c>
      <c r="AF410" s="8">
        <f t="shared" si="209"/>
        <v>3276</v>
      </c>
      <c r="AG410" s="8">
        <v>234008</v>
      </c>
      <c r="AH410" s="8">
        <f t="shared" si="210"/>
        <v>2610</v>
      </c>
      <c r="AI410" s="8">
        <v>-83546</v>
      </c>
      <c r="AJ410" s="8">
        <f t="shared" si="211"/>
        <v>666</v>
      </c>
      <c r="AK410" s="8">
        <v>93951</v>
      </c>
      <c r="AL410" s="8">
        <f t="shared" si="212"/>
        <v>2988</v>
      </c>
      <c r="AM410" s="8">
        <v>208203</v>
      </c>
      <c r="AN410" s="8">
        <f t="shared" si="213"/>
        <v>1073</v>
      </c>
      <c r="AO410" s="8">
        <v>-114252</v>
      </c>
      <c r="AP410" s="8">
        <f t="shared" si="214"/>
        <v>1915</v>
      </c>
      <c r="AR410" s="8">
        <v>1867590</v>
      </c>
      <c r="AS410" s="8">
        <f t="shared" si="215"/>
        <v>62553</v>
      </c>
      <c r="AT410" s="8">
        <v>317408</v>
      </c>
      <c r="AU410" s="8">
        <f t="shared" si="216"/>
        <v>-3872</v>
      </c>
      <c r="AV410" s="8">
        <v>47271</v>
      </c>
      <c r="AW410" s="8">
        <f t="shared" si="217"/>
        <v>1827</v>
      </c>
      <c r="AX410" s="8">
        <f t="shared" si="192"/>
        <v>270137</v>
      </c>
      <c r="AY410" s="8">
        <f t="shared" si="218"/>
        <v>-5699</v>
      </c>
      <c r="AZ410" s="8">
        <v>746030</v>
      </c>
      <c r="BA410" s="8">
        <f t="shared" si="219"/>
        <v>18600</v>
      </c>
      <c r="BB410" s="8">
        <v>931436</v>
      </c>
      <c r="BC410" s="8">
        <f t="shared" si="220"/>
        <v>23241</v>
      </c>
      <c r="BD410" s="8">
        <f t="shared" si="193"/>
        <v>-185406</v>
      </c>
      <c r="BE410" s="8">
        <f t="shared" si="221"/>
        <v>-4641</v>
      </c>
      <c r="BF410" s="8">
        <v>391893</v>
      </c>
      <c r="BG410" s="8">
        <f t="shared" si="222"/>
        <v>15110</v>
      </c>
      <c r="BH410" s="8">
        <v>842387</v>
      </c>
      <c r="BI410" s="8">
        <f t="shared" si="223"/>
        <v>10292</v>
      </c>
      <c r="BJ410" s="8">
        <f t="shared" si="194"/>
        <v>-450494</v>
      </c>
      <c r="BK410" s="8">
        <f t="shared" si="196"/>
        <v>4818</v>
      </c>
    </row>
    <row r="411" spans="1:63">
      <c r="A411" s="5">
        <v>41744</v>
      </c>
      <c r="B411" s="8">
        <v>388997</v>
      </c>
      <c r="C411" s="8">
        <f t="shared" si="197"/>
        <v>12876</v>
      </c>
      <c r="D411" s="8">
        <v>66361</v>
      </c>
      <c r="E411" s="8">
        <f t="shared" si="198"/>
        <v>5172</v>
      </c>
      <c r="F411" s="8">
        <v>41681</v>
      </c>
      <c r="G411" s="8">
        <f t="shared" si="199"/>
        <v>-8937</v>
      </c>
      <c r="H411" s="8">
        <v>24680</v>
      </c>
      <c r="I411" s="8">
        <f t="shared" si="200"/>
        <v>14109</v>
      </c>
      <c r="J411" s="8">
        <v>175487</v>
      </c>
      <c r="K411" s="8">
        <f t="shared" si="201"/>
        <v>288</v>
      </c>
      <c r="L411" s="8">
        <v>223746</v>
      </c>
      <c r="M411" s="8">
        <f t="shared" si="202"/>
        <v>14282</v>
      </c>
      <c r="N411" s="8">
        <v>-48259</v>
      </c>
      <c r="O411" s="8">
        <f t="shared" si="203"/>
        <v>-13994</v>
      </c>
      <c r="P411" s="8">
        <v>101536</v>
      </c>
      <c r="Q411" s="8">
        <f t="shared" si="204"/>
        <v>53</v>
      </c>
      <c r="R411" s="8">
        <v>213090</v>
      </c>
      <c r="S411" s="8">
        <f t="shared" si="205"/>
        <v>13017</v>
      </c>
      <c r="T411" s="8">
        <v>-111554</v>
      </c>
      <c r="U411" s="8">
        <f t="shared" si="206"/>
        <v>-12964</v>
      </c>
      <c r="W411" s="8">
        <v>397270</v>
      </c>
      <c r="X411" s="8">
        <f t="shared" si="207"/>
        <v>8465</v>
      </c>
      <c r="Y411" s="8">
        <v>99364</v>
      </c>
      <c r="Z411" s="8">
        <f t="shared" si="208"/>
        <v>4870</v>
      </c>
      <c r="AA411" s="8">
        <v>22680</v>
      </c>
      <c r="AB411" s="8">
        <f t="shared" si="195"/>
        <v>475</v>
      </c>
      <c r="AC411" s="8">
        <v>76684</v>
      </c>
      <c r="AD411" s="8">
        <f t="shared" si="195"/>
        <v>4395</v>
      </c>
      <c r="AE411" s="8">
        <v>151961</v>
      </c>
      <c r="AF411" s="8">
        <f t="shared" si="209"/>
        <v>1499</v>
      </c>
      <c r="AG411" s="8">
        <v>242855</v>
      </c>
      <c r="AH411" s="8">
        <f t="shared" si="210"/>
        <v>8847</v>
      </c>
      <c r="AI411" s="8">
        <v>-90894</v>
      </c>
      <c r="AJ411" s="8">
        <f t="shared" si="211"/>
        <v>-7348</v>
      </c>
      <c r="AK411" s="8">
        <v>89708</v>
      </c>
      <c r="AL411" s="8">
        <f t="shared" si="212"/>
        <v>-4243</v>
      </c>
      <c r="AM411" s="8">
        <v>208828</v>
      </c>
      <c r="AN411" s="8">
        <f t="shared" si="213"/>
        <v>625</v>
      </c>
      <c r="AO411" s="8">
        <v>-119120</v>
      </c>
      <c r="AP411" s="8">
        <f t="shared" si="214"/>
        <v>-4868</v>
      </c>
      <c r="AR411" s="8">
        <v>1891052</v>
      </c>
      <c r="AS411" s="8">
        <f t="shared" si="215"/>
        <v>23462</v>
      </c>
      <c r="AT411" s="8">
        <v>303623</v>
      </c>
      <c r="AU411" s="8">
        <f t="shared" si="216"/>
        <v>-13785</v>
      </c>
      <c r="AV411" s="8">
        <v>53120</v>
      </c>
      <c r="AW411" s="8">
        <f t="shared" si="217"/>
        <v>5849</v>
      </c>
      <c r="AX411" s="8">
        <f t="shared" si="192"/>
        <v>250503</v>
      </c>
      <c r="AY411" s="8">
        <f t="shared" si="218"/>
        <v>-19634</v>
      </c>
      <c r="AZ411" s="8">
        <v>765324</v>
      </c>
      <c r="BA411" s="8">
        <f t="shared" si="219"/>
        <v>19294</v>
      </c>
      <c r="BB411" s="8">
        <v>937739</v>
      </c>
      <c r="BC411" s="8">
        <f t="shared" si="220"/>
        <v>6303</v>
      </c>
      <c r="BD411" s="8">
        <f t="shared" si="193"/>
        <v>-172415</v>
      </c>
      <c r="BE411" s="8">
        <f t="shared" si="221"/>
        <v>12991</v>
      </c>
      <c r="BF411" s="8">
        <v>402661</v>
      </c>
      <c r="BG411" s="8">
        <f t="shared" si="222"/>
        <v>10768</v>
      </c>
      <c r="BH411" s="8">
        <v>841636</v>
      </c>
      <c r="BI411" s="8">
        <f t="shared" si="223"/>
        <v>-751</v>
      </c>
      <c r="BJ411" s="8">
        <f t="shared" si="194"/>
        <v>-438975</v>
      </c>
      <c r="BK411" s="8">
        <f t="shared" si="196"/>
        <v>11519</v>
      </c>
    </row>
    <row r="412" spans="1:63">
      <c r="A412" s="5">
        <v>41751</v>
      </c>
      <c r="B412" s="8">
        <v>373968</v>
      </c>
      <c r="C412" s="8">
        <f t="shared" si="197"/>
        <v>-15029</v>
      </c>
      <c r="D412" s="8">
        <v>66782</v>
      </c>
      <c r="E412" s="8">
        <f t="shared" si="198"/>
        <v>421</v>
      </c>
      <c r="F412" s="8">
        <v>37048</v>
      </c>
      <c r="G412" s="8">
        <f t="shared" si="199"/>
        <v>-4633</v>
      </c>
      <c r="H412" s="8">
        <v>29734</v>
      </c>
      <c r="I412" s="8">
        <f t="shared" si="200"/>
        <v>5054</v>
      </c>
      <c r="J412" s="8">
        <v>164548</v>
      </c>
      <c r="K412" s="8">
        <f t="shared" si="201"/>
        <v>-10939</v>
      </c>
      <c r="L412" s="8">
        <v>212448</v>
      </c>
      <c r="M412" s="8">
        <f t="shared" si="202"/>
        <v>-11298</v>
      </c>
      <c r="N412" s="8">
        <v>-47900</v>
      </c>
      <c r="O412" s="8">
        <f t="shared" si="203"/>
        <v>359</v>
      </c>
      <c r="P412" s="8">
        <v>94559</v>
      </c>
      <c r="Q412" s="8">
        <f t="shared" si="204"/>
        <v>-6977</v>
      </c>
      <c r="R412" s="8">
        <v>204798</v>
      </c>
      <c r="S412" s="8">
        <f t="shared" si="205"/>
        <v>-8292</v>
      </c>
      <c r="T412" s="8">
        <v>-110239</v>
      </c>
      <c r="U412" s="8">
        <f t="shared" si="206"/>
        <v>1315</v>
      </c>
      <c r="W412" s="8">
        <v>390971</v>
      </c>
      <c r="X412" s="8">
        <f t="shared" si="207"/>
        <v>-6299</v>
      </c>
      <c r="Y412" s="8">
        <v>95189</v>
      </c>
      <c r="Z412" s="8">
        <f t="shared" si="208"/>
        <v>-4175</v>
      </c>
      <c r="AA412" s="8">
        <v>21896</v>
      </c>
      <c r="AB412" s="8">
        <f t="shared" si="195"/>
        <v>-784</v>
      </c>
      <c r="AC412" s="8">
        <v>73293</v>
      </c>
      <c r="AD412" s="8">
        <f t="shared" si="195"/>
        <v>-3391</v>
      </c>
      <c r="AE412" s="8">
        <v>150683</v>
      </c>
      <c r="AF412" s="8">
        <f t="shared" si="209"/>
        <v>-1278</v>
      </c>
      <c r="AG412" s="8">
        <v>234113</v>
      </c>
      <c r="AH412" s="8">
        <f t="shared" si="210"/>
        <v>-8742</v>
      </c>
      <c r="AI412" s="8">
        <v>-83430</v>
      </c>
      <c r="AJ412" s="8">
        <f t="shared" si="211"/>
        <v>7464</v>
      </c>
      <c r="AK412" s="8">
        <v>90593</v>
      </c>
      <c r="AL412" s="8">
        <f t="shared" si="212"/>
        <v>885</v>
      </c>
      <c r="AM412" s="8">
        <v>202528</v>
      </c>
      <c r="AN412" s="8">
        <f t="shared" si="213"/>
        <v>-6300</v>
      </c>
      <c r="AO412" s="8">
        <v>-111935</v>
      </c>
      <c r="AP412" s="8">
        <f t="shared" si="214"/>
        <v>7185</v>
      </c>
      <c r="AR412" s="8">
        <v>1866548</v>
      </c>
      <c r="AS412" s="8">
        <f t="shared" si="215"/>
        <v>-24504</v>
      </c>
      <c r="AT412" s="8">
        <v>293719</v>
      </c>
      <c r="AU412" s="8">
        <f t="shared" si="216"/>
        <v>-9904</v>
      </c>
      <c r="AV412" s="8">
        <v>57084</v>
      </c>
      <c r="AW412" s="8">
        <f t="shared" si="217"/>
        <v>3964</v>
      </c>
      <c r="AX412" s="8">
        <f t="shared" si="192"/>
        <v>236635</v>
      </c>
      <c r="AY412" s="8">
        <f t="shared" si="218"/>
        <v>-13868</v>
      </c>
      <c r="AZ412" s="8">
        <v>752232</v>
      </c>
      <c r="BA412" s="8">
        <f t="shared" si="219"/>
        <v>-13092</v>
      </c>
      <c r="BB412" s="8">
        <v>899785</v>
      </c>
      <c r="BC412" s="8">
        <f t="shared" si="220"/>
        <v>-37954</v>
      </c>
      <c r="BD412" s="8">
        <f t="shared" si="193"/>
        <v>-147553</v>
      </c>
      <c r="BE412" s="8">
        <f t="shared" si="221"/>
        <v>24862</v>
      </c>
      <c r="BF412" s="8">
        <v>386825</v>
      </c>
      <c r="BG412" s="8">
        <f t="shared" si="222"/>
        <v>-15836</v>
      </c>
      <c r="BH412" s="8">
        <v>807712</v>
      </c>
      <c r="BI412" s="8">
        <f t="shared" si="223"/>
        <v>-33924</v>
      </c>
      <c r="BJ412" s="8">
        <f t="shared" si="194"/>
        <v>-420887</v>
      </c>
      <c r="BK412" s="8">
        <f t="shared" si="196"/>
        <v>18088</v>
      </c>
    </row>
    <row r="413" spans="1:63">
      <c r="A413" s="5">
        <v>41758</v>
      </c>
      <c r="B413" s="8">
        <v>340784</v>
      </c>
      <c r="C413" s="8">
        <f t="shared" si="197"/>
        <v>-33184</v>
      </c>
      <c r="D413" s="8">
        <v>69725</v>
      </c>
      <c r="E413" s="8">
        <f t="shared" si="198"/>
        <v>2943</v>
      </c>
      <c r="F413" s="8">
        <v>35002</v>
      </c>
      <c r="G413" s="8">
        <f t="shared" si="199"/>
        <v>-2046</v>
      </c>
      <c r="H413" s="8">
        <v>34723</v>
      </c>
      <c r="I413" s="8">
        <f t="shared" si="200"/>
        <v>4989</v>
      </c>
      <c r="J413" s="8">
        <v>151266</v>
      </c>
      <c r="K413" s="8">
        <f t="shared" si="201"/>
        <v>-13282</v>
      </c>
      <c r="L413" s="8">
        <v>196713</v>
      </c>
      <c r="M413" s="8">
        <f t="shared" si="202"/>
        <v>-15735</v>
      </c>
      <c r="N413" s="8">
        <v>-45447</v>
      </c>
      <c r="O413" s="8">
        <f t="shared" si="203"/>
        <v>2453</v>
      </c>
      <c r="P413" s="8">
        <v>83070</v>
      </c>
      <c r="Q413" s="8">
        <f t="shared" si="204"/>
        <v>-11489</v>
      </c>
      <c r="R413" s="8">
        <v>191668</v>
      </c>
      <c r="S413" s="8">
        <f t="shared" si="205"/>
        <v>-13130</v>
      </c>
      <c r="T413" s="8">
        <v>-108598</v>
      </c>
      <c r="U413" s="8">
        <f t="shared" si="206"/>
        <v>1641</v>
      </c>
      <c r="W413" s="8">
        <v>375804</v>
      </c>
      <c r="X413" s="8">
        <f t="shared" si="207"/>
        <v>-15167</v>
      </c>
      <c r="Y413" s="8">
        <v>95654</v>
      </c>
      <c r="Z413" s="8">
        <f t="shared" si="208"/>
        <v>465</v>
      </c>
      <c r="AA413" s="8">
        <v>20451</v>
      </c>
      <c r="AB413" s="8">
        <f t="shared" si="195"/>
        <v>-1445</v>
      </c>
      <c r="AC413" s="8">
        <v>75203</v>
      </c>
      <c r="AD413" s="8">
        <f t="shared" si="195"/>
        <v>1910</v>
      </c>
      <c r="AE413" s="8">
        <v>144857</v>
      </c>
      <c r="AF413" s="8">
        <f t="shared" si="209"/>
        <v>-5826</v>
      </c>
      <c r="AG413" s="8">
        <v>233315</v>
      </c>
      <c r="AH413" s="8">
        <f t="shared" si="210"/>
        <v>-798</v>
      </c>
      <c r="AI413" s="8">
        <v>-88458</v>
      </c>
      <c r="AJ413" s="8">
        <f t="shared" si="211"/>
        <v>-5028</v>
      </c>
      <c r="AK413" s="8">
        <v>91725</v>
      </c>
      <c r="AL413" s="8">
        <f t="shared" si="212"/>
        <v>1132</v>
      </c>
      <c r="AM413" s="8">
        <v>207268</v>
      </c>
      <c r="AN413" s="8">
        <f t="shared" si="213"/>
        <v>4740</v>
      </c>
      <c r="AO413" s="8">
        <v>-115543</v>
      </c>
      <c r="AP413" s="8">
        <f t="shared" si="214"/>
        <v>-3608</v>
      </c>
      <c r="AR413" s="8">
        <v>1769753</v>
      </c>
      <c r="AS413" s="8">
        <f t="shared" si="215"/>
        <v>-96795</v>
      </c>
      <c r="AT413" s="8">
        <v>320744</v>
      </c>
      <c r="AU413" s="8">
        <f t="shared" si="216"/>
        <v>27025</v>
      </c>
      <c r="AV413" s="8">
        <v>56353</v>
      </c>
      <c r="AW413" s="8">
        <f t="shared" si="217"/>
        <v>-731</v>
      </c>
      <c r="AX413" s="8">
        <f t="shared" si="192"/>
        <v>264391</v>
      </c>
      <c r="AY413" s="8">
        <f t="shared" si="218"/>
        <v>27756</v>
      </c>
      <c r="AZ413" s="8">
        <v>722559</v>
      </c>
      <c r="BA413" s="8">
        <f t="shared" si="219"/>
        <v>-29673</v>
      </c>
      <c r="BB413" s="8">
        <v>903382</v>
      </c>
      <c r="BC413" s="8">
        <f t="shared" si="220"/>
        <v>3597</v>
      </c>
      <c r="BD413" s="8">
        <f t="shared" si="193"/>
        <v>-180823</v>
      </c>
      <c r="BE413" s="8">
        <f t="shared" si="221"/>
        <v>-33270</v>
      </c>
      <c r="BF413" s="8">
        <v>364715</v>
      </c>
      <c r="BG413" s="8">
        <f t="shared" si="222"/>
        <v>-22110</v>
      </c>
      <c r="BH413" s="8">
        <v>815114</v>
      </c>
      <c r="BI413" s="8">
        <f t="shared" si="223"/>
        <v>7402</v>
      </c>
      <c r="BJ413" s="8">
        <f t="shared" si="194"/>
        <v>-450399</v>
      </c>
      <c r="BK413" s="8">
        <f t="shared" si="196"/>
        <v>-29512</v>
      </c>
    </row>
    <row r="414" spans="1:63">
      <c r="A414" s="5">
        <v>41765</v>
      </c>
      <c r="B414" s="8">
        <v>354329</v>
      </c>
      <c r="C414" s="8">
        <f t="shared" si="197"/>
        <v>13545</v>
      </c>
      <c r="D414" s="8">
        <v>66296</v>
      </c>
      <c r="E414" s="8">
        <f t="shared" si="198"/>
        <v>-3429</v>
      </c>
      <c r="F414" s="8">
        <v>43130</v>
      </c>
      <c r="G414" s="8">
        <f t="shared" si="199"/>
        <v>8128</v>
      </c>
      <c r="H414" s="8">
        <v>23166</v>
      </c>
      <c r="I414" s="8">
        <f t="shared" si="200"/>
        <v>-11557</v>
      </c>
      <c r="J414" s="8">
        <v>162907</v>
      </c>
      <c r="K414" s="8">
        <f t="shared" si="201"/>
        <v>11641</v>
      </c>
      <c r="L414" s="8">
        <v>190424</v>
      </c>
      <c r="M414" s="8">
        <f t="shared" si="202"/>
        <v>-6289</v>
      </c>
      <c r="N414" s="8">
        <v>-27517</v>
      </c>
      <c r="O414" s="8">
        <f t="shared" si="203"/>
        <v>17930</v>
      </c>
      <c r="P414" s="8">
        <v>93850</v>
      </c>
      <c r="Q414" s="8">
        <f t="shared" si="204"/>
        <v>10780</v>
      </c>
      <c r="R414" s="8">
        <v>185874</v>
      </c>
      <c r="S414" s="8">
        <f t="shared" si="205"/>
        <v>-5794</v>
      </c>
      <c r="T414" s="8">
        <v>-92024</v>
      </c>
      <c r="U414" s="8">
        <f t="shared" si="206"/>
        <v>16574</v>
      </c>
      <c r="W414" s="8">
        <v>366543</v>
      </c>
      <c r="X414" s="8">
        <f t="shared" si="207"/>
        <v>-9261</v>
      </c>
      <c r="Y414" s="8">
        <v>88514</v>
      </c>
      <c r="Z414" s="8">
        <f t="shared" si="208"/>
        <v>-7140</v>
      </c>
      <c r="AA414" s="8">
        <v>22886</v>
      </c>
      <c r="AB414" s="8">
        <f t="shared" si="195"/>
        <v>2435</v>
      </c>
      <c r="AC414" s="8">
        <v>65628</v>
      </c>
      <c r="AD414" s="8">
        <f t="shared" si="195"/>
        <v>-9575</v>
      </c>
      <c r="AE414" s="8">
        <v>144205</v>
      </c>
      <c r="AF414" s="8">
        <f t="shared" si="209"/>
        <v>-652</v>
      </c>
      <c r="AG414" s="8">
        <v>221099</v>
      </c>
      <c r="AH414" s="8">
        <f t="shared" si="210"/>
        <v>-12216</v>
      </c>
      <c r="AI414" s="8">
        <v>-76894</v>
      </c>
      <c r="AJ414" s="8">
        <f t="shared" si="211"/>
        <v>11564</v>
      </c>
      <c r="AK414" s="8">
        <v>89995</v>
      </c>
      <c r="AL414" s="8">
        <f t="shared" si="212"/>
        <v>-1730</v>
      </c>
      <c r="AM414" s="8">
        <v>196065</v>
      </c>
      <c r="AN414" s="8">
        <f t="shared" si="213"/>
        <v>-11203</v>
      </c>
      <c r="AO414" s="8">
        <v>-106070</v>
      </c>
      <c r="AP414" s="8">
        <f t="shared" si="214"/>
        <v>9473</v>
      </c>
      <c r="AR414" s="8">
        <v>1765891</v>
      </c>
      <c r="AS414" s="8">
        <f t="shared" si="215"/>
        <v>-3862</v>
      </c>
      <c r="AT414" s="8">
        <v>323617</v>
      </c>
      <c r="AU414" s="8">
        <f t="shared" si="216"/>
        <v>2873</v>
      </c>
      <c r="AV414" s="8">
        <v>57138</v>
      </c>
      <c r="AW414" s="8">
        <f t="shared" si="217"/>
        <v>785</v>
      </c>
      <c r="AX414" s="8">
        <f t="shared" si="192"/>
        <v>266479</v>
      </c>
      <c r="AY414" s="8">
        <f t="shared" si="218"/>
        <v>2088</v>
      </c>
      <c r="AZ414" s="8">
        <v>714006</v>
      </c>
      <c r="BA414" s="8">
        <f t="shared" si="219"/>
        <v>-8553</v>
      </c>
      <c r="BB414" s="8">
        <v>897223</v>
      </c>
      <c r="BC414" s="8">
        <f t="shared" si="220"/>
        <v>-6159</v>
      </c>
      <c r="BD414" s="8">
        <f t="shared" si="193"/>
        <v>-183217</v>
      </c>
      <c r="BE414" s="8">
        <f t="shared" si="221"/>
        <v>-2394</v>
      </c>
      <c r="BF414" s="8">
        <v>360346</v>
      </c>
      <c r="BG414" s="8">
        <f t="shared" si="222"/>
        <v>-4369</v>
      </c>
      <c r="BH414" s="8">
        <v>813272</v>
      </c>
      <c r="BI414" s="8">
        <f t="shared" si="223"/>
        <v>-1842</v>
      </c>
      <c r="BJ414" s="8">
        <f t="shared" si="194"/>
        <v>-452926</v>
      </c>
      <c r="BK414" s="8">
        <f t="shared" si="196"/>
        <v>-2527</v>
      </c>
    </row>
    <row r="415" spans="1:63">
      <c r="A415" s="5">
        <v>41772</v>
      </c>
      <c r="B415" s="8">
        <v>350380</v>
      </c>
      <c r="C415" s="8">
        <f t="shared" si="197"/>
        <v>-3949</v>
      </c>
      <c r="D415" s="8">
        <v>68151</v>
      </c>
      <c r="E415" s="8">
        <f t="shared" si="198"/>
        <v>1855</v>
      </c>
      <c r="F415" s="8">
        <v>50071</v>
      </c>
      <c r="G415" s="8">
        <f t="shared" si="199"/>
        <v>6941</v>
      </c>
      <c r="H415" s="8">
        <v>18080</v>
      </c>
      <c r="I415" s="8">
        <f t="shared" si="200"/>
        <v>-5086</v>
      </c>
      <c r="J415" s="8">
        <v>158667</v>
      </c>
      <c r="K415" s="8">
        <f t="shared" si="201"/>
        <v>-4240</v>
      </c>
      <c r="L415" s="8">
        <v>182053</v>
      </c>
      <c r="M415" s="8">
        <f t="shared" si="202"/>
        <v>-8371</v>
      </c>
      <c r="N415" s="8">
        <v>-23386</v>
      </c>
      <c r="O415" s="8">
        <f t="shared" si="203"/>
        <v>4131</v>
      </c>
      <c r="P415" s="8">
        <v>88092</v>
      </c>
      <c r="Q415" s="8">
        <f t="shared" si="204"/>
        <v>-5758</v>
      </c>
      <c r="R415" s="8">
        <v>179035</v>
      </c>
      <c r="S415" s="8">
        <f t="shared" si="205"/>
        <v>-6839</v>
      </c>
      <c r="T415" s="8">
        <v>-90943</v>
      </c>
      <c r="U415" s="8">
        <f t="shared" si="206"/>
        <v>1081</v>
      </c>
      <c r="W415" s="8">
        <v>380186</v>
      </c>
      <c r="X415" s="8">
        <f t="shared" si="207"/>
        <v>13643</v>
      </c>
      <c r="Y415" s="8">
        <v>93095</v>
      </c>
      <c r="Z415" s="8">
        <f t="shared" si="208"/>
        <v>4581</v>
      </c>
      <c r="AA415" s="8">
        <v>21034</v>
      </c>
      <c r="AB415" s="8">
        <f t="shared" si="195"/>
        <v>-1852</v>
      </c>
      <c r="AC415" s="8">
        <v>72061</v>
      </c>
      <c r="AD415" s="8">
        <f t="shared" si="195"/>
        <v>6433</v>
      </c>
      <c r="AE415" s="8">
        <v>144991</v>
      </c>
      <c r="AF415" s="8">
        <f t="shared" si="209"/>
        <v>786</v>
      </c>
      <c r="AG415" s="8">
        <v>230278</v>
      </c>
      <c r="AH415" s="8">
        <f t="shared" si="210"/>
        <v>9179</v>
      </c>
      <c r="AI415" s="8">
        <v>-85287</v>
      </c>
      <c r="AJ415" s="8">
        <f t="shared" si="211"/>
        <v>-8393</v>
      </c>
      <c r="AK415" s="8">
        <v>90328</v>
      </c>
      <c r="AL415" s="8">
        <f t="shared" si="212"/>
        <v>333</v>
      </c>
      <c r="AM415" s="8">
        <v>204376</v>
      </c>
      <c r="AN415" s="8">
        <f t="shared" si="213"/>
        <v>8311</v>
      </c>
      <c r="AO415" s="8">
        <v>-114048</v>
      </c>
      <c r="AP415" s="8">
        <f t="shared" si="214"/>
        <v>-7978</v>
      </c>
      <c r="AR415" s="8">
        <v>1758862</v>
      </c>
      <c r="AS415" s="8">
        <f t="shared" si="215"/>
        <v>-7029</v>
      </c>
      <c r="AT415" s="8">
        <v>320405</v>
      </c>
      <c r="AU415" s="8">
        <f t="shared" si="216"/>
        <v>-3212</v>
      </c>
      <c r="AV415" s="8">
        <v>65361</v>
      </c>
      <c r="AW415" s="8">
        <f t="shared" si="217"/>
        <v>8223</v>
      </c>
      <c r="AX415" s="8">
        <f t="shared" si="192"/>
        <v>255044</v>
      </c>
      <c r="AY415" s="8">
        <f t="shared" si="218"/>
        <v>-11435</v>
      </c>
      <c r="AZ415" s="8">
        <v>712736</v>
      </c>
      <c r="BA415" s="8">
        <f t="shared" si="219"/>
        <v>-1270</v>
      </c>
      <c r="BB415" s="8">
        <v>888752</v>
      </c>
      <c r="BC415" s="8">
        <f t="shared" si="220"/>
        <v>-8471</v>
      </c>
      <c r="BD415" s="8">
        <f t="shared" si="193"/>
        <v>-176016</v>
      </c>
      <c r="BE415" s="8">
        <f t="shared" si="221"/>
        <v>7201</v>
      </c>
      <c r="BF415" s="8">
        <v>363270</v>
      </c>
      <c r="BG415" s="8">
        <f t="shared" si="222"/>
        <v>2924</v>
      </c>
      <c r="BH415" s="8">
        <v>811109</v>
      </c>
      <c r="BI415" s="8">
        <f t="shared" si="223"/>
        <v>-2163</v>
      </c>
      <c r="BJ415" s="8">
        <f t="shared" si="194"/>
        <v>-447839</v>
      </c>
      <c r="BK415" s="8">
        <f t="shared" si="196"/>
        <v>5087</v>
      </c>
    </row>
    <row r="416" spans="1:63">
      <c r="A416" s="5">
        <v>41779</v>
      </c>
      <c r="B416" s="8">
        <v>357270</v>
      </c>
      <c r="C416" s="8">
        <f t="shared" si="197"/>
        <v>6890</v>
      </c>
      <c r="D416" s="8">
        <v>64159</v>
      </c>
      <c r="E416" s="8">
        <f t="shared" si="198"/>
        <v>-3992</v>
      </c>
      <c r="F416" s="8">
        <v>62919</v>
      </c>
      <c r="G416" s="8">
        <f t="shared" si="199"/>
        <v>12848</v>
      </c>
      <c r="H416" s="8">
        <v>1240</v>
      </c>
      <c r="I416" s="8">
        <f t="shared" si="200"/>
        <v>-16840</v>
      </c>
      <c r="J416" s="8">
        <v>170107</v>
      </c>
      <c r="K416" s="8">
        <f t="shared" si="201"/>
        <v>11440</v>
      </c>
      <c r="L416" s="8">
        <v>174377</v>
      </c>
      <c r="M416" s="8">
        <f t="shared" si="202"/>
        <v>-7676</v>
      </c>
      <c r="N416" s="8">
        <v>-4270</v>
      </c>
      <c r="O416" s="8">
        <f t="shared" si="203"/>
        <v>19116</v>
      </c>
      <c r="P416" s="8">
        <v>97674</v>
      </c>
      <c r="Q416" s="8">
        <f t="shared" si="204"/>
        <v>9582</v>
      </c>
      <c r="R416" s="8">
        <v>171141</v>
      </c>
      <c r="S416" s="8">
        <f t="shared" si="205"/>
        <v>-7894</v>
      </c>
      <c r="T416" s="8">
        <v>-73467</v>
      </c>
      <c r="U416" s="8">
        <f t="shared" si="206"/>
        <v>17476</v>
      </c>
      <c r="W416" s="8">
        <v>384625</v>
      </c>
      <c r="X416" s="8">
        <f t="shared" si="207"/>
        <v>4439</v>
      </c>
      <c r="Y416" s="8">
        <v>91549</v>
      </c>
      <c r="Z416" s="8">
        <f t="shared" si="208"/>
        <v>-1546</v>
      </c>
      <c r="AA416" s="8">
        <v>20420</v>
      </c>
      <c r="AB416" s="8">
        <f t="shared" si="195"/>
        <v>-614</v>
      </c>
      <c r="AC416" s="8">
        <v>71129</v>
      </c>
      <c r="AD416" s="8">
        <f t="shared" si="195"/>
        <v>-932</v>
      </c>
      <c r="AE416" s="8">
        <v>145700</v>
      </c>
      <c r="AF416" s="8">
        <f t="shared" si="209"/>
        <v>709</v>
      </c>
      <c r="AG416" s="8">
        <v>235595</v>
      </c>
      <c r="AH416" s="8">
        <f t="shared" si="210"/>
        <v>5317</v>
      </c>
      <c r="AI416" s="8">
        <v>-89895</v>
      </c>
      <c r="AJ416" s="8">
        <f t="shared" si="211"/>
        <v>-4608</v>
      </c>
      <c r="AK416" s="8">
        <v>91471</v>
      </c>
      <c r="AL416" s="8">
        <f t="shared" si="212"/>
        <v>1143</v>
      </c>
      <c r="AM416" s="8">
        <v>209246</v>
      </c>
      <c r="AN416" s="8">
        <f t="shared" si="213"/>
        <v>4870</v>
      </c>
      <c r="AO416" s="8">
        <v>-117775</v>
      </c>
      <c r="AP416" s="8">
        <f t="shared" si="214"/>
        <v>-3727</v>
      </c>
      <c r="AR416" s="8">
        <v>1758904</v>
      </c>
      <c r="AS416" s="8">
        <f t="shared" si="215"/>
        <v>42</v>
      </c>
      <c r="AT416" s="8">
        <v>288430</v>
      </c>
      <c r="AU416" s="8">
        <f t="shared" si="216"/>
        <v>-31975</v>
      </c>
      <c r="AV416" s="8">
        <v>80858</v>
      </c>
      <c r="AW416" s="8">
        <f t="shared" si="217"/>
        <v>15497</v>
      </c>
      <c r="AX416" s="8">
        <f t="shared" si="192"/>
        <v>207572</v>
      </c>
      <c r="AY416" s="8">
        <f t="shared" si="218"/>
        <v>-47472</v>
      </c>
      <c r="AZ416" s="8">
        <v>731430</v>
      </c>
      <c r="BA416" s="8">
        <f t="shared" si="219"/>
        <v>18694</v>
      </c>
      <c r="BB416" s="8">
        <v>846425</v>
      </c>
      <c r="BC416" s="8">
        <f t="shared" si="220"/>
        <v>-42327</v>
      </c>
      <c r="BD416" s="8">
        <f t="shared" si="193"/>
        <v>-114995</v>
      </c>
      <c r="BE416" s="8">
        <f t="shared" si="221"/>
        <v>61021</v>
      </c>
      <c r="BF416" s="8">
        <v>375732</v>
      </c>
      <c r="BG416" s="8">
        <f t="shared" si="222"/>
        <v>12462</v>
      </c>
      <c r="BH416" s="8">
        <v>770770</v>
      </c>
      <c r="BI416" s="8">
        <f t="shared" si="223"/>
        <v>-40339</v>
      </c>
      <c r="BJ416" s="8">
        <f t="shared" si="194"/>
        <v>-395038</v>
      </c>
      <c r="BK416" s="8">
        <f t="shared" si="196"/>
        <v>52801</v>
      </c>
    </row>
    <row r="417" spans="1:63">
      <c r="A417" s="5">
        <v>41786</v>
      </c>
      <c r="B417" s="8">
        <v>354371</v>
      </c>
      <c r="C417" s="8">
        <f t="shared" si="197"/>
        <v>-2899</v>
      </c>
      <c r="D417" s="8">
        <v>65784</v>
      </c>
      <c r="E417" s="8">
        <f t="shared" si="198"/>
        <v>1625</v>
      </c>
      <c r="F417" s="8">
        <v>64407</v>
      </c>
      <c r="G417" s="8">
        <f t="shared" si="199"/>
        <v>1488</v>
      </c>
      <c r="H417" s="8">
        <v>1377</v>
      </c>
      <c r="I417" s="8">
        <f t="shared" si="200"/>
        <v>137</v>
      </c>
      <c r="J417" s="8">
        <v>166985</v>
      </c>
      <c r="K417" s="8">
        <f t="shared" si="201"/>
        <v>-3122</v>
      </c>
      <c r="L417" s="8">
        <v>172039</v>
      </c>
      <c r="M417" s="8">
        <f t="shared" si="202"/>
        <v>-2338</v>
      </c>
      <c r="N417" s="8">
        <v>-5054</v>
      </c>
      <c r="O417" s="8">
        <f t="shared" si="203"/>
        <v>-784</v>
      </c>
      <c r="P417" s="8">
        <v>95279</v>
      </c>
      <c r="Q417" s="8">
        <f t="shared" si="204"/>
        <v>-2395</v>
      </c>
      <c r="R417" s="8">
        <v>168766</v>
      </c>
      <c r="S417" s="8">
        <f t="shared" si="205"/>
        <v>-2375</v>
      </c>
      <c r="T417" s="8">
        <v>-73487</v>
      </c>
      <c r="U417" s="8">
        <f t="shared" si="206"/>
        <v>-20</v>
      </c>
      <c r="W417" s="8">
        <v>393610</v>
      </c>
      <c r="X417" s="8">
        <f t="shared" si="207"/>
        <v>8985</v>
      </c>
      <c r="Y417" s="8">
        <v>92792</v>
      </c>
      <c r="Z417" s="8">
        <f t="shared" si="208"/>
        <v>1243</v>
      </c>
      <c r="AA417" s="8">
        <v>20750</v>
      </c>
      <c r="AB417" s="8">
        <f t="shared" si="195"/>
        <v>330</v>
      </c>
      <c r="AC417" s="8">
        <v>72042</v>
      </c>
      <c r="AD417" s="8">
        <f t="shared" si="195"/>
        <v>913</v>
      </c>
      <c r="AE417" s="8">
        <v>150373</v>
      </c>
      <c r="AF417" s="8">
        <f t="shared" si="209"/>
        <v>4673</v>
      </c>
      <c r="AG417" s="8">
        <v>241073</v>
      </c>
      <c r="AH417" s="8">
        <f t="shared" si="210"/>
        <v>5478</v>
      </c>
      <c r="AI417" s="8">
        <v>-90700</v>
      </c>
      <c r="AJ417" s="8">
        <f t="shared" si="211"/>
        <v>-805</v>
      </c>
      <c r="AK417" s="8">
        <v>93067</v>
      </c>
      <c r="AL417" s="8">
        <f t="shared" si="212"/>
        <v>1596</v>
      </c>
      <c r="AM417" s="8">
        <v>212450</v>
      </c>
      <c r="AN417" s="8">
        <f t="shared" si="213"/>
        <v>3204</v>
      </c>
      <c r="AO417" s="8">
        <v>-119383</v>
      </c>
      <c r="AP417" s="8">
        <f t="shared" si="214"/>
        <v>-1608</v>
      </c>
      <c r="AR417" s="8">
        <v>1747759</v>
      </c>
      <c r="AS417" s="8">
        <f t="shared" si="215"/>
        <v>-11145</v>
      </c>
      <c r="AT417" s="8">
        <v>282879</v>
      </c>
      <c r="AU417" s="8">
        <f t="shared" si="216"/>
        <v>-5551</v>
      </c>
      <c r="AV417" s="8">
        <v>104560</v>
      </c>
      <c r="AW417" s="8">
        <f t="shared" si="217"/>
        <v>23702</v>
      </c>
      <c r="AX417" s="8">
        <f t="shared" si="192"/>
        <v>178319</v>
      </c>
      <c r="AY417" s="8">
        <f t="shared" si="218"/>
        <v>-29253</v>
      </c>
      <c r="AZ417" s="8">
        <v>740057</v>
      </c>
      <c r="BA417" s="8">
        <f t="shared" si="219"/>
        <v>8627</v>
      </c>
      <c r="BB417" s="8">
        <v>822088</v>
      </c>
      <c r="BC417" s="8">
        <f t="shared" si="220"/>
        <v>-24337</v>
      </c>
      <c r="BD417" s="8">
        <f t="shared" si="193"/>
        <v>-82031</v>
      </c>
      <c r="BE417" s="8">
        <f t="shared" si="221"/>
        <v>32964</v>
      </c>
      <c r="BF417" s="8">
        <v>377064</v>
      </c>
      <c r="BG417" s="8">
        <f t="shared" si="222"/>
        <v>1332</v>
      </c>
      <c r="BH417" s="8">
        <v>744014</v>
      </c>
      <c r="BI417" s="8">
        <f t="shared" si="223"/>
        <v>-26756</v>
      </c>
      <c r="BJ417" s="8">
        <f t="shared" si="194"/>
        <v>-366950</v>
      </c>
      <c r="BK417" s="8">
        <f t="shared" si="196"/>
        <v>28088</v>
      </c>
    </row>
    <row r="418" spans="1:63">
      <c r="A418" s="5">
        <v>41793</v>
      </c>
      <c r="B418" s="8">
        <v>380142</v>
      </c>
      <c r="C418" s="8">
        <f t="shared" si="197"/>
        <v>25771</v>
      </c>
      <c r="D418" s="8">
        <v>64135</v>
      </c>
      <c r="E418" s="8">
        <f t="shared" si="198"/>
        <v>-1649</v>
      </c>
      <c r="F418" s="8">
        <v>78253</v>
      </c>
      <c r="G418" s="8">
        <f t="shared" si="199"/>
        <v>13846</v>
      </c>
      <c r="H418" s="8">
        <v>-14118</v>
      </c>
      <c r="I418" s="8">
        <f t="shared" si="200"/>
        <v>-15495</v>
      </c>
      <c r="J418" s="8">
        <v>182908</v>
      </c>
      <c r="K418" s="8">
        <f t="shared" si="201"/>
        <v>15923</v>
      </c>
      <c r="L418" s="8">
        <v>165977</v>
      </c>
      <c r="M418" s="8">
        <f t="shared" si="202"/>
        <v>-6062</v>
      </c>
      <c r="N418" s="8">
        <v>16931</v>
      </c>
      <c r="O418" s="8">
        <f t="shared" si="203"/>
        <v>21985</v>
      </c>
      <c r="P418" s="8">
        <v>111969</v>
      </c>
      <c r="Q418" s="8">
        <f t="shared" si="204"/>
        <v>16690</v>
      </c>
      <c r="R418" s="8">
        <v>159354</v>
      </c>
      <c r="S418" s="8">
        <f t="shared" si="205"/>
        <v>-9412</v>
      </c>
      <c r="T418" s="8">
        <v>-47385</v>
      </c>
      <c r="U418" s="8">
        <f t="shared" si="206"/>
        <v>26102</v>
      </c>
      <c r="W418" s="8">
        <v>406996</v>
      </c>
      <c r="X418" s="8">
        <f t="shared" si="207"/>
        <v>13386</v>
      </c>
      <c r="Y418" s="8">
        <v>91517</v>
      </c>
      <c r="Z418" s="8">
        <f t="shared" si="208"/>
        <v>-1275</v>
      </c>
      <c r="AA418" s="8">
        <v>20888</v>
      </c>
      <c r="AB418" s="8">
        <f t="shared" si="195"/>
        <v>138</v>
      </c>
      <c r="AC418" s="8">
        <v>70629</v>
      </c>
      <c r="AD418" s="8">
        <f t="shared" si="195"/>
        <v>-1413</v>
      </c>
      <c r="AE418" s="8">
        <v>158321</v>
      </c>
      <c r="AF418" s="8">
        <f t="shared" si="209"/>
        <v>7948</v>
      </c>
      <c r="AG418" s="8">
        <v>247444</v>
      </c>
      <c r="AH418" s="8">
        <f t="shared" si="210"/>
        <v>6371</v>
      </c>
      <c r="AI418" s="8">
        <v>-89123</v>
      </c>
      <c r="AJ418" s="8">
        <f t="shared" si="211"/>
        <v>1577</v>
      </c>
      <c r="AK418" s="8">
        <v>96831</v>
      </c>
      <c r="AL418" s="8">
        <f t="shared" si="212"/>
        <v>3764</v>
      </c>
      <c r="AM418" s="8">
        <v>215737</v>
      </c>
      <c r="AN418" s="8">
        <f t="shared" si="213"/>
        <v>3287</v>
      </c>
      <c r="AO418" s="8">
        <v>-118906</v>
      </c>
      <c r="AP418" s="8">
        <f t="shared" si="214"/>
        <v>477</v>
      </c>
      <c r="AR418" s="8">
        <v>1794142</v>
      </c>
      <c r="AS418" s="8">
        <f t="shared" si="215"/>
        <v>46383</v>
      </c>
      <c r="AT418" s="8">
        <v>296009</v>
      </c>
      <c r="AU418" s="8">
        <f t="shared" si="216"/>
        <v>13130</v>
      </c>
      <c r="AV418" s="8">
        <v>121849</v>
      </c>
      <c r="AW418" s="8">
        <f t="shared" si="217"/>
        <v>17289</v>
      </c>
      <c r="AX418" s="8">
        <f t="shared" si="192"/>
        <v>174160</v>
      </c>
      <c r="AY418" s="8">
        <f t="shared" si="218"/>
        <v>-4159</v>
      </c>
      <c r="AZ418" s="8">
        <v>739517</v>
      </c>
      <c r="BA418" s="8">
        <f t="shared" si="219"/>
        <v>-540</v>
      </c>
      <c r="BB418" s="8">
        <v>813488</v>
      </c>
      <c r="BC418" s="8">
        <f t="shared" si="220"/>
        <v>-8600</v>
      </c>
      <c r="BD418" s="8">
        <f t="shared" si="193"/>
        <v>-73971</v>
      </c>
      <c r="BE418" s="8">
        <f t="shared" si="221"/>
        <v>8060</v>
      </c>
      <c r="BF418" s="8">
        <v>380367</v>
      </c>
      <c r="BG418" s="8">
        <f t="shared" si="222"/>
        <v>3303</v>
      </c>
      <c r="BH418" s="8">
        <v>736545</v>
      </c>
      <c r="BI418" s="8">
        <f t="shared" si="223"/>
        <v>-7469</v>
      </c>
      <c r="BJ418" s="8">
        <f t="shared" si="194"/>
        <v>-356178</v>
      </c>
      <c r="BK418" s="8">
        <f t="shared" si="196"/>
        <v>10772</v>
      </c>
    </row>
    <row r="419" spans="1:63">
      <c r="A419" s="5">
        <v>41800</v>
      </c>
      <c r="B419" s="8">
        <v>392647</v>
      </c>
      <c r="C419" s="8">
        <f t="shared" si="197"/>
        <v>12505</v>
      </c>
      <c r="D419" s="8">
        <v>60815</v>
      </c>
      <c r="E419" s="8">
        <f t="shared" si="198"/>
        <v>-3320</v>
      </c>
      <c r="F419" s="8">
        <v>80375</v>
      </c>
      <c r="G419" s="8">
        <f t="shared" si="199"/>
        <v>2122</v>
      </c>
      <c r="H419" s="8">
        <v>-19560</v>
      </c>
      <c r="I419" s="8">
        <f t="shared" si="200"/>
        <v>-5442</v>
      </c>
      <c r="J419" s="8">
        <v>195302</v>
      </c>
      <c r="K419" s="8">
        <f t="shared" si="201"/>
        <v>12394</v>
      </c>
      <c r="L419" s="8">
        <v>175135</v>
      </c>
      <c r="M419" s="8">
        <f t="shared" si="202"/>
        <v>9158</v>
      </c>
      <c r="N419" s="8">
        <v>20167</v>
      </c>
      <c r="O419" s="8">
        <f t="shared" si="203"/>
        <v>3236</v>
      </c>
      <c r="P419" s="8">
        <v>122124</v>
      </c>
      <c r="Q419" s="8">
        <f t="shared" si="204"/>
        <v>10155</v>
      </c>
      <c r="R419" s="8">
        <v>168473</v>
      </c>
      <c r="S419" s="8">
        <f t="shared" si="205"/>
        <v>9119</v>
      </c>
      <c r="T419" s="8">
        <v>-46349</v>
      </c>
      <c r="U419" s="8">
        <f t="shared" si="206"/>
        <v>1036</v>
      </c>
      <c r="W419" s="8">
        <v>407467</v>
      </c>
      <c r="X419" s="8">
        <f t="shared" si="207"/>
        <v>471</v>
      </c>
      <c r="Y419" s="8">
        <v>88686</v>
      </c>
      <c r="Z419" s="8">
        <f t="shared" si="208"/>
        <v>-2831</v>
      </c>
      <c r="AA419" s="8">
        <v>20425</v>
      </c>
      <c r="AB419" s="8">
        <f t="shared" si="195"/>
        <v>-463</v>
      </c>
      <c r="AC419" s="8">
        <v>68261</v>
      </c>
      <c r="AD419" s="8">
        <f t="shared" si="195"/>
        <v>-2368</v>
      </c>
      <c r="AE419" s="8">
        <v>162206</v>
      </c>
      <c r="AF419" s="8">
        <f t="shared" si="209"/>
        <v>3885</v>
      </c>
      <c r="AG419" s="8">
        <v>244877</v>
      </c>
      <c r="AH419" s="8">
        <f t="shared" si="210"/>
        <v>-2567</v>
      </c>
      <c r="AI419" s="8">
        <v>-82671</v>
      </c>
      <c r="AJ419" s="8">
        <f t="shared" si="211"/>
        <v>6452</v>
      </c>
      <c r="AK419" s="8">
        <v>98120</v>
      </c>
      <c r="AL419" s="8">
        <f t="shared" si="212"/>
        <v>1289</v>
      </c>
      <c r="AM419" s="8">
        <v>210452</v>
      </c>
      <c r="AN419" s="8">
        <f t="shared" si="213"/>
        <v>-5285</v>
      </c>
      <c r="AO419" s="8">
        <v>-112332</v>
      </c>
      <c r="AP419" s="8">
        <f t="shared" si="214"/>
        <v>6574</v>
      </c>
      <c r="AR419" s="8">
        <v>1867880</v>
      </c>
      <c r="AS419" s="8">
        <f t="shared" si="215"/>
        <v>73738</v>
      </c>
      <c r="AT419" s="8">
        <v>294575</v>
      </c>
      <c r="AU419" s="8">
        <f t="shared" si="216"/>
        <v>-1434</v>
      </c>
      <c r="AV419" s="8">
        <v>148139</v>
      </c>
      <c r="AW419" s="8">
        <f t="shared" si="217"/>
        <v>26290</v>
      </c>
      <c r="AX419" s="8">
        <f t="shared" si="192"/>
        <v>146436</v>
      </c>
      <c r="AY419" s="8">
        <f t="shared" si="218"/>
        <v>-27724</v>
      </c>
      <c r="AZ419" s="8">
        <v>767699</v>
      </c>
      <c r="BA419" s="8">
        <f t="shared" si="219"/>
        <v>28182</v>
      </c>
      <c r="BB419" s="8">
        <v>809314</v>
      </c>
      <c r="BC419" s="8">
        <f t="shared" si="220"/>
        <v>-4174</v>
      </c>
      <c r="BD419" s="8">
        <f t="shared" si="193"/>
        <v>-41615</v>
      </c>
      <c r="BE419" s="8">
        <f t="shared" si="221"/>
        <v>32356</v>
      </c>
      <c r="BF419" s="8">
        <v>402554</v>
      </c>
      <c r="BG419" s="8">
        <f t="shared" si="222"/>
        <v>22187</v>
      </c>
      <c r="BH419" s="8">
        <v>730299</v>
      </c>
      <c r="BI419" s="8">
        <f t="shared" si="223"/>
        <v>-6246</v>
      </c>
      <c r="BJ419" s="8">
        <f t="shared" si="194"/>
        <v>-327745</v>
      </c>
      <c r="BK419" s="8">
        <f t="shared" si="196"/>
        <v>28433</v>
      </c>
    </row>
    <row r="420" spans="1:63">
      <c r="A420" s="5">
        <v>41807</v>
      </c>
      <c r="B420" s="8">
        <v>392254</v>
      </c>
      <c r="C420" s="8">
        <f t="shared" si="197"/>
        <v>-393</v>
      </c>
      <c r="D420" s="8">
        <v>63486</v>
      </c>
      <c r="E420" s="8">
        <f t="shared" si="198"/>
        <v>2671</v>
      </c>
      <c r="F420" s="8">
        <v>78129</v>
      </c>
      <c r="G420" s="8">
        <f t="shared" si="199"/>
        <v>-2246</v>
      </c>
      <c r="H420" s="8">
        <v>-14643</v>
      </c>
      <c r="I420" s="8">
        <f t="shared" si="200"/>
        <v>4917</v>
      </c>
      <c r="J420" s="8">
        <v>192445</v>
      </c>
      <c r="K420" s="8">
        <f t="shared" si="201"/>
        <v>-2857</v>
      </c>
      <c r="L420" s="8">
        <v>177509</v>
      </c>
      <c r="M420" s="8">
        <f t="shared" si="202"/>
        <v>2374</v>
      </c>
      <c r="N420" s="8">
        <v>14936</v>
      </c>
      <c r="O420" s="8">
        <f t="shared" si="203"/>
        <v>-5231</v>
      </c>
      <c r="P420" s="8">
        <v>120117</v>
      </c>
      <c r="Q420" s="8">
        <f t="shared" si="204"/>
        <v>-2007</v>
      </c>
      <c r="R420" s="8">
        <v>173128</v>
      </c>
      <c r="S420" s="8">
        <f t="shared" si="205"/>
        <v>4655</v>
      </c>
      <c r="T420" s="8">
        <v>-53011</v>
      </c>
      <c r="U420" s="8">
        <f t="shared" si="206"/>
        <v>-6662</v>
      </c>
      <c r="W420" s="8">
        <v>402253</v>
      </c>
      <c r="X420" s="8">
        <f t="shared" si="207"/>
        <v>-5214</v>
      </c>
      <c r="Y420" s="8">
        <v>82068</v>
      </c>
      <c r="Z420" s="8">
        <f t="shared" si="208"/>
        <v>-6618</v>
      </c>
      <c r="AA420" s="8">
        <v>21974</v>
      </c>
      <c r="AB420" s="8">
        <f t="shared" si="195"/>
        <v>1549</v>
      </c>
      <c r="AC420" s="8">
        <v>60094</v>
      </c>
      <c r="AD420" s="8">
        <f t="shared" si="195"/>
        <v>-8167</v>
      </c>
      <c r="AE420" s="8">
        <v>169553</v>
      </c>
      <c r="AF420" s="8">
        <f t="shared" si="209"/>
        <v>7347</v>
      </c>
      <c r="AG420" s="8">
        <v>239702</v>
      </c>
      <c r="AH420" s="8">
        <f t="shared" si="210"/>
        <v>-5175</v>
      </c>
      <c r="AI420" s="8">
        <v>-70149</v>
      </c>
      <c r="AJ420" s="8">
        <f t="shared" si="211"/>
        <v>12522</v>
      </c>
      <c r="AK420" s="8">
        <v>101616</v>
      </c>
      <c r="AL420" s="8">
        <f t="shared" si="212"/>
        <v>3496</v>
      </c>
      <c r="AM420" s="8">
        <v>204362</v>
      </c>
      <c r="AN420" s="8">
        <f t="shared" si="213"/>
        <v>-6090</v>
      </c>
      <c r="AO420" s="8">
        <v>-102746</v>
      </c>
      <c r="AP420" s="8">
        <f t="shared" si="214"/>
        <v>9586</v>
      </c>
      <c r="AR420" s="8">
        <v>1897919</v>
      </c>
      <c r="AS420" s="8">
        <f t="shared" si="215"/>
        <v>30039</v>
      </c>
      <c r="AT420" s="8">
        <v>303452</v>
      </c>
      <c r="AU420" s="8">
        <f t="shared" si="216"/>
        <v>8877</v>
      </c>
      <c r="AV420" s="8">
        <v>166172</v>
      </c>
      <c r="AW420" s="8">
        <f t="shared" si="217"/>
        <v>18033</v>
      </c>
      <c r="AX420" s="8">
        <f t="shared" si="192"/>
        <v>137280</v>
      </c>
      <c r="AY420" s="8">
        <f t="shared" si="218"/>
        <v>-9156</v>
      </c>
      <c r="AZ420" s="8">
        <v>777130</v>
      </c>
      <c r="BA420" s="8">
        <f t="shared" si="219"/>
        <v>9431</v>
      </c>
      <c r="BB420" s="8">
        <v>800924</v>
      </c>
      <c r="BC420" s="8">
        <f t="shared" si="220"/>
        <v>-8390</v>
      </c>
      <c r="BD420" s="8">
        <f t="shared" si="193"/>
        <v>-23794</v>
      </c>
      <c r="BE420" s="8">
        <f t="shared" si="221"/>
        <v>17821</v>
      </c>
      <c r="BF420" s="8">
        <v>406229</v>
      </c>
      <c r="BG420" s="8">
        <f t="shared" si="222"/>
        <v>3675</v>
      </c>
      <c r="BH420" s="8">
        <v>716336</v>
      </c>
      <c r="BI420" s="8">
        <f t="shared" si="223"/>
        <v>-13963</v>
      </c>
      <c r="BJ420" s="8">
        <f t="shared" si="194"/>
        <v>-310107</v>
      </c>
      <c r="BK420" s="8">
        <f t="shared" si="196"/>
        <v>17638</v>
      </c>
    </row>
    <row r="421" spans="1:63">
      <c r="A421" s="5">
        <v>41814</v>
      </c>
      <c r="B421" s="8">
        <v>364536</v>
      </c>
      <c r="C421" s="8">
        <f t="shared" si="197"/>
        <v>-27718</v>
      </c>
      <c r="D421" s="8">
        <v>68788</v>
      </c>
      <c r="E421" s="8">
        <f t="shared" si="198"/>
        <v>5302</v>
      </c>
      <c r="F421" s="8">
        <v>63292</v>
      </c>
      <c r="G421" s="8">
        <f t="shared" si="199"/>
        <v>-14837</v>
      </c>
      <c r="H421" s="8">
        <v>5496</v>
      </c>
      <c r="I421" s="8">
        <f t="shared" si="200"/>
        <v>20139</v>
      </c>
      <c r="J421" s="8">
        <v>172167</v>
      </c>
      <c r="K421" s="8">
        <f t="shared" si="201"/>
        <v>-20278</v>
      </c>
      <c r="L421" s="8">
        <v>184028</v>
      </c>
      <c r="M421" s="8">
        <f t="shared" si="202"/>
        <v>6519</v>
      </c>
      <c r="N421" s="8">
        <v>-11861</v>
      </c>
      <c r="O421" s="8">
        <f t="shared" si="203"/>
        <v>-26797</v>
      </c>
      <c r="P421" s="8">
        <v>99465</v>
      </c>
      <c r="Q421" s="8">
        <f t="shared" si="204"/>
        <v>-20652</v>
      </c>
      <c r="R421" s="8">
        <v>181074</v>
      </c>
      <c r="S421" s="8">
        <f t="shared" si="205"/>
        <v>7946</v>
      </c>
      <c r="T421" s="8">
        <v>-81609</v>
      </c>
      <c r="U421" s="8">
        <f t="shared" si="206"/>
        <v>-28598</v>
      </c>
      <c r="W421" s="8">
        <v>369183</v>
      </c>
      <c r="X421" s="8">
        <f t="shared" si="207"/>
        <v>-33070</v>
      </c>
      <c r="Y421" s="8">
        <v>75517</v>
      </c>
      <c r="Z421" s="8">
        <f t="shared" si="208"/>
        <v>-6551</v>
      </c>
      <c r="AA421" s="8">
        <v>26293</v>
      </c>
      <c r="AB421" s="8">
        <f t="shared" si="195"/>
        <v>4319</v>
      </c>
      <c r="AC421" s="8">
        <v>49224</v>
      </c>
      <c r="AD421" s="8">
        <f t="shared" si="195"/>
        <v>-10870</v>
      </c>
      <c r="AE421" s="8">
        <v>159906</v>
      </c>
      <c r="AF421" s="8">
        <f t="shared" si="209"/>
        <v>-9647</v>
      </c>
      <c r="AG421" s="8">
        <v>217297</v>
      </c>
      <c r="AH421" s="8">
        <f t="shared" si="210"/>
        <v>-22405</v>
      </c>
      <c r="AI421" s="8">
        <v>-57391</v>
      </c>
      <c r="AJ421" s="8">
        <f t="shared" si="211"/>
        <v>12758</v>
      </c>
      <c r="AK421" s="8">
        <v>98337</v>
      </c>
      <c r="AL421" s="8">
        <f t="shared" si="212"/>
        <v>-3279</v>
      </c>
      <c r="AM421" s="8">
        <v>195558</v>
      </c>
      <c r="AN421" s="8">
        <f t="shared" si="213"/>
        <v>-8804</v>
      </c>
      <c r="AO421" s="8">
        <v>-97221</v>
      </c>
      <c r="AP421" s="8">
        <f t="shared" si="214"/>
        <v>5525</v>
      </c>
      <c r="AR421" s="8">
        <v>1756425</v>
      </c>
      <c r="AS421" s="8">
        <f t="shared" si="215"/>
        <v>-141494</v>
      </c>
      <c r="AT421" s="8">
        <v>310454</v>
      </c>
      <c r="AU421" s="8">
        <f t="shared" si="216"/>
        <v>7002</v>
      </c>
      <c r="AV421" s="8">
        <v>195278</v>
      </c>
      <c r="AW421" s="8">
        <f t="shared" si="217"/>
        <v>29106</v>
      </c>
      <c r="AX421" s="8">
        <f t="shared" si="192"/>
        <v>115176</v>
      </c>
      <c r="AY421" s="8">
        <f t="shared" si="218"/>
        <v>-22104</v>
      </c>
      <c r="AZ421" s="8">
        <v>729481</v>
      </c>
      <c r="BA421" s="8">
        <f t="shared" si="219"/>
        <v>-47649</v>
      </c>
      <c r="BB421" s="8">
        <v>742579</v>
      </c>
      <c r="BC421" s="8">
        <f t="shared" si="220"/>
        <v>-58345</v>
      </c>
      <c r="BD421" s="8">
        <f t="shared" si="193"/>
        <v>-13098</v>
      </c>
      <c r="BE421" s="8">
        <f t="shared" si="221"/>
        <v>10696</v>
      </c>
      <c r="BF421" s="8">
        <v>374875</v>
      </c>
      <c r="BG421" s="8">
        <f t="shared" si="222"/>
        <v>-31354</v>
      </c>
      <c r="BH421" s="8">
        <v>675685</v>
      </c>
      <c r="BI421" s="8">
        <f t="shared" si="223"/>
        <v>-40651</v>
      </c>
      <c r="BJ421" s="8">
        <f t="shared" si="194"/>
        <v>-300810</v>
      </c>
      <c r="BK421" s="8">
        <f t="shared" si="196"/>
        <v>9297</v>
      </c>
    </row>
    <row r="422" spans="1:63">
      <c r="A422" s="5">
        <v>41821</v>
      </c>
      <c r="B422" s="8">
        <v>351650</v>
      </c>
      <c r="C422" s="8">
        <f t="shared" si="197"/>
        <v>-12886</v>
      </c>
      <c r="D422" s="8">
        <v>72931</v>
      </c>
      <c r="E422" s="8">
        <f t="shared" si="198"/>
        <v>4143</v>
      </c>
      <c r="F422" s="8">
        <v>56125</v>
      </c>
      <c r="G422" s="8">
        <f t="shared" si="199"/>
        <v>-7167</v>
      </c>
      <c r="H422" s="8">
        <v>16806</v>
      </c>
      <c r="I422" s="8">
        <f t="shared" si="200"/>
        <v>11310</v>
      </c>
      <c r="J422" s="8">
        <v>165101</v>
      </c>
      <c r="K422" s="8">
        <f t="shared" si="201"/>
        <v>-7066</v>
      </c>
      <c r="L422" s="8">
        <v>180812</v>
      </c>
      <c r="M422" s="8">
        <f t="shared" si="202"/>
        <v>-3216</v>
      </c>
      <c r="N422" s="8">
        <v>-15711</v>
      </c>
      <c r="O422" s="8">
        <f t="shared" si="203"/>
        <v>-3850</v>
      </c>
      <c r="P422" s="8">
        <v>94248</v>
      </c>
      <c r="Q422" s="8">
        <f t="shared" si="204"/>
        <v>-5217</v>
      </c>
      <c r="R422" s="8">
        <v>178196</v>
      </c>
      <c r="S422" s="8">
        <f t="shared" si="205"/>
        <v>-2878</v>
      </c>
      <c r="T422" s="8">
        <v>-83948</v>
      </c>
      <c r="U422" s="8">
        <f t="shared" si="206"/>
        <v>-2339</v>
      </c>
      <c r="W422" s="8">
        <v>370056</v>
      </c>
      <c r="X422" s="8">
        <f t="shared" si="207"/>
        <v>873</v>
      </c>
      <c r="Y422" s="8">
        <v>74075</v>
      </c>
      <c r="Z422" s="8">
        <f t="shared" si="208"/>
        <v>-1442</v>
      </c>
      <c r="AA422" s="8">
        <v>34703</v>
      </c>
      <c r="AB422" s="8">
        <f t="shared" si="195"/>
        <v>8410</v>
      </c>
      <c r="AC422" s="8">
        <v>39372</v>
      </c>
      <c r="AD422" s="8">
        <f t="shared" si="195"/>
        <v>-9852</v>
      </c>
      <c r="AE422" s="8">
        <v>159943</v>
      </c>
      <c r="AF422" s="8">
        <f t="shared" si="209"/>
        <v>37</v>
      </c>
      <c r="AG422" s="8">
        <v>205485</v>
      </c>
      <c r="AH422" s="8">
        <f t="shared" si="210"/>
        <v>-11812</v>
      </c>
      <c r="AI422" s="8">
        <v>-45542</v>
      </c>
      <c r="AJ422" s="8">
        <f t="shared" si="211"/>
        <v>11849</v>
      </c>
      <c r="AK422" s="8">
        <v>95697</v>
      </c>
      <c r="AL422" s="8">
        <f t="shared" si="212"/>
        <v>-2640</v>
      </c>
      <c r="AM422" s="8">
        <v>184608</v>
      </c>
      <c r="AN422" s="8">
        <f t="shared" si="213"/>
        <v>-10950</v>
      </c>
      <c r="AO422" s="8">
        <v>-88911</v>
      </c>
      <c r="AP422" s="8">
        <f t="shared" si="214"/>
        <v>8310</v>
      </c>
      <c r="AR422" s="8" t="e">
        <v>#N/A</v>
      </c>
      <c r="AS422" s="8" t="e">
        <f t="shared" si="215"/>
        <v>#N/A</v>
      </c>
      <c r="AT422" s="8">
        <v>300247</v>
      </c>
      <c r="AU422" s="8">
        <f t="shared" si="216"/>
        <v>-10207</v>
      </c>
      <c r="AV422" s="8">
        <v>198059</v>
      </c>
      <c r="AW422" s="8">
        <f t="shared" si="217"/>
        <v>2781</v>
      </c>
      <c r="AX422" s="8">
        <f t="shared" si="192"/>
        <v>102188</v>
      </c>
      <c r="AY422" s="8">
        <f t="shared" si="218"/>
        <v>-12988</v>
      </c>
      <c r="AZ422" s="8">
        <v>725690</v>
      </c>
      <c r="BA422" s="8">
        <f t="shared" si="219"/>
        <v>-3791</v>
      </c>
      <c r="BB422" s="8">
        <v>724006</v>
      </c>
      <c r="BC422" s="8">
        <f t="shared" si="220"/>
        <v>-18573</v>
      </c>
      <c r="BD422" s="8">
        <f t="shared" si="193"/>
        <v>1684</v>
      </c>
      <c r="BE422" s="8">
        <f t="shared" si="221"/>
        <v>14782</v>
      </c>
      <c r="BF422" s="8">
        <v>367352</v>
      </c>
      <c r="BG422" s="8">
        <f t="shared" si="222"/>
        <v>-7523</v>
      </c>
      <c r="BH422" s="8">
        <v>654247</v>
      </c>
      <c r="BI422" s="8">
        <f t="shared" si="223"/>
        <v>-21438</v>
      </c>
      <c r="BJ422" s="8">
        <f t="shared" si="194"/>
        <v>-286895</v>
      </c>
      <c r="BK422" s="8">
        <f t="shared" si="196"/>
        <v>13915</v>
      </c>
    </row>
    <row r="423" spans="1:63">
      <c r="A423" s="5">
        <v>41828</v>
      </c>
      <c r="B423" s="8">
        <v>357344</v>
      </c>
      <c r="C423" s="8">
        <f t="shared" si="197"/>
        <v>5694</v>
      </c>
      <c r="D423" s="8">
        <v>70239</v>
      </c>
      <c r="E423" s="8">
        <f t="shared" si="198"/>
        <v>-2692</v>
      </c>
      <c r="F423" s="8">
        <v>61534</v>
      </c>
      <c r="G423" s="8">
        <f t="shared" si="199"/>
        <v>5409</v>
      </c>
      <c r="H423" s="8">
        <v>8705</v>
      </c>
      <c r="I423" s="8">
        <f t="shared" si="200"/>
        <v>-8101</v>
      </c>
      <c r="J423" s="8">
        <v>171238</v>
      </c>
      <c r="K423" s="8">
        <f t="shared" si="201"/>
        <v>6137</v>
      </c>
      <c r="L423" s="8">
        <v>173324</v>
      </c>
      <c r="M423" s="8">
        <f t="shared" si="202"/>
        <v>-7488</v>
      </c>
      <c r="N423" s="8">
        <v>-2086</v>
      </c>
      <c r="O423" s="8">
        <f t="shared" si="203"/>
        <v>13625</v>
      </c>
      <c r="P423" s="8">
        <v>100840</v>
      </c>
      <c r="Q423" s="8">
        <f t="shared" si="204"/>
        <v>6592</v>
      </c>
      <c r="R423" s="8">
        <v>170603</v>
      </c>
      <c r="S423" s="8">
        <f t="shared" si="205"/>
        <v>-7593</v>
      </c>
      <c r="T423" s="8">
        <v>-69763</v>
      </c>
      <c r="U423" s="8">
        <f t="shared" si="206"/>
        <v>14185</v>
      </c>
      <c r="W423" s="8">
        <v>373131</v>
      </c>
      <c r="X423" s="8">
        <f t="shared" si="207"/>
        <v>3075</v>
      </c>
      <c r="Y423" s="8">
        <v>68509</v>
      </c>
      <c r="Z423" s="8">
        <f t="shared" si="208"/>
        <v>-5566</v>
      </c>
      <c r="AA423" s="8">
        <v>37393</v>
      </c>
      <c r="AB423" s="8">
        <f t="shared" si="195"/>
        <v>2690</v>
      </c>
      <c r="AC423" s="8">
        <v>31116</v>
      </c>
      <c r="AD423" s="8">
        <f t="shared" si="195"/>
        <v>-8256</v>
      </c>
      <c r="AE423" s="8">
        <v>161288</v>
      </c>
      <c r="AF423" s="8">
        <f t="shared" si="209"/>
        <v>1345</v>
      </c>
      <c r="AG423" s="8">
        <v>199883</v>
      </c>
      <c r="AH423" s="8">
        <f t="shared" si="210"/>
        <v>-5602</v>
      </c>
      <c r="AI423" s="8">
        <v>-38595</v>
      </c>
      <c r="AJ423" s="8">
        <f t="shared" si="211"/>
        <v>6947</v>
      </c>
      <c r="AK423" s="8">
        <v>95829</v>
      </c>
      <c r="AL423" s="8">
        <f t="shared" si="212"/>
        <v>132</v>
      </c>
      <c r="AM423" s="8">
        <v>181738</v>
      </c>
      <c r="AN423" s="8">
        <f t="shared" si="213"/>
        <v>-2870</v>
      </c>
      <c r="AO423" s="8">
        <v>-85909</v>
      </c>
      <c r="AP423" s="8">
        <f t="shared" si="214"/>
        <v>3002</v>
      </c>
      <c r="AR423" s="8">
        <v>1829445</v>
      </c>
      <c r="AS423" s="8" t="e">
        <f t="shared" si="215"/>
        <v>#N/A</v>
      </c>
      <c r="AT423" s="8">
        <v>307798</v>
      </c>
      <c r="AU423" s="8">
        <f t="shared" si="216"/>
        <v>7551</v>
      </c>
      <c r="AV423" s="8">
        <v>200198</v>
      </c>
      <c r="AW423" s="8">
        <f t="shared" si="217"/>
        <v>2139</v>
      </c>
      <c r="AX423" s="8">
        <f t="shared" si="192"/>
        <v>107600</v>
      </c>
      <c r="AY423" s="8">
        <f t="shared" si="218"/>
        <v>5412</v>
      </c>
      <c r="AZ423" s="8">
        <v>750257</v>
      </c>
      <c r="BA423" s="8">
        <f t="shared" si="219"/>
        <v>24567</v>
      </c>
      <c r="BB423" s="8">
        <v>740264</v>
      </c>
      <c r="BC423" s="8">
        <f t="shared" si="220"/>
        <v>16258</v>
      </c>
      <c r="BD423" s="8">
        <f t="shared" si="193"/>
        <v>9993</v>
      </c>
      <c r="BE423" s="8">
        <f t="shared" si="221"/>
        <v>8309</v>
      </c>
      <c r="BF423" s="8">
        <v>386423</v>
      </c>
      <c r="BG423" s="8">
        <f t="shared" si="222"/>
        <v>19071</v>
      </c>
      <c r="BH423" s="8">
        <v>671270</v>
      </c>
      <c r="BI423" s="8">
        <f t="shared" si="223"/>
        <v>17023</v>
      </c>
      <c r="BJ423" s="8">
        <f t="shared" si="194"/>
        <v>-284847</v>
      </c>
      <c r="BK423" s="8">
        <f t="shared" si="196"/>
        <v>2048</v>
      </c>
    </row>
    <row r="424" spans="1:63">
      <c r="A424" s="5">
        <v>41835</v>
      </c>
      <c r="B424" s="8">
        <v>376430</v>
      </c>
      <c r="C424" s="8">
        <f t="shared" si="197"/>
        <v>19086</v>
      </c>
      <c r="D424" s="8">
        <v>66719</v>
      </c>
      <c r="E424" s="8">
        <f t="shared" si="198"/>
        <v>-3520</v>
      </c>
      <c r="F424" s="8">
        <v>65927</v>
      </c>
      <c r="G424" s="8">
        <f t="shared" si="199"/>
        <v>4393</v>
      </c>
      <c r="H424" s="8">
        <v>792</v>
      </c>
      <c r="I424" s="8">
        <f t="shared" si="200"/>
        <v>-7913</v>
      </c>
      <c r="J424" s="8">
        <v>179733</v>
      </c>
      <c r="K424" s="8">
        <f t="shared" si="201"/>
        <v>8495</v>
      </c>
      <c r="L424" s="8">
        <v>176161</v>
      </c>
      <c r="M424" s="8">
        <f t="shared" si="202"/>
        <v>2837</v>
      </c>
      <c r="N424" s="8">
        <v>3572</v>
      </c>
      <c r="O424" s="8">
        <f t="shared" si="203"/>
        <v>5658</v>
      </c>
      <c r="P424" s="8">
        <v>105967</v>
      </c>
      <c r="Q424" s="8">
        <f t="shared" si="204"/>
        <v>5127</v>
      </c>
      <c r="R424" s="8">
        <v>174105</v>
      </c>
      <c r="S424" s="8">
        <f t="shared" si="205"/>
        <v>3502</v>
      </c>
      <c r="T424" s="8">
        <v>-68138</v>
      </c>
      <c r="U424" s="8">
        <f t="shared" si="206"/>
        <v>1625</v>
      </c>
      <c r="W424" s="8">
        <v>379266</v>
      </c>
      <c r="X424" s="8">
        <f t="shared" si="207"/>
        <v>6135</v>
      </c>
      <c r="Y424" s="8">
        <v>65232</v>
      </c>
      <c r="Z424" s="8">
        <f t="shared" si="208"/>
        <v>-3277</v>
      </c>
      <c r="AA424" s="8">
        <v>37030</v>
      </c>
      <c r="AB424" s="8">
        <f t="shared" si="195"/>
        <v>-363</v>
      </c>
      <c r="AC424" s="8">
        <v>28202</v>
      </c>
      <c r="AD424" s="8">
        <f t="shared" si="195"/>
        <v>-2914</v>
      </c>
      <c r="AE424" s="8">
        <v>164638</v>
      </c>
      <c r="AF424" s="8">
        <f t="shared" si="209"/>
        <v>3350</v>
      </c>
      <c r="AG424" s="8">
        <v>204920</v>
      </c>
      <c r="AH424" s="8">
        <f t="shared" si="210"/>
        <v>5037</v>
      </c>
      <c r="AI424" s="8">
        <v>-40282</v>
      </c>
      <c r="AJ424" s="8">
        <f t="shared" si="211"/>
        <v>-1687</v>
      </c>
      <c r="AK424" s="8">
        <v>99349</v>
      </c>
      <c r="AL424" s="8">
        <f t="shared" si="212"/>
        <v>3520</v>
      </c>
      <c r="AM424" s="8">
        <v>186396</v>
      </c>
      <c r="AN424" s="8">
        <f t="shared" si="213"/>
        <v>4658</v>
      </c>
      <c r="AO424" s="8">
        <v>-87047</v>
      </c>
      <c r="AP424" s="8">
        <f t="shared" si="214"/>
        <v>-1138</v>
      </c>
      <c r="AR424" s="8">
        <v>1941894</v>
      </c>
      <c r="AS424" s="8">
        <f t="shared" si="215"/>
        <v>112449</v>
      </c>
      <c r="AT424" s="8">
        <v>294736</v>
      </c>
      <c r="AU424" s="8">
        <f t="shared" si="216"/>
        <v>-13062</v>
      </c>
      <c r="AV424" s="8">
        <v>201635</v>
      </c>
      <c r="AW424" s="8">
        <f t="shared" si="217"/>
        <v>1437</v>
      </c>
      <c r="AX424" s="8">
        <f t="shared" si="192"/>
        <v>93101</v>
      </c>
      <c r="AY424" s="8">
        <f t="shared" si="218"/>
        <v>-14499</v>
      </c>
      <c r="AZ424" s="8">
        <v>766566</v>
      </c>
      <c r="BA424" s="8">
        <f t="shared" si="219"/>
        <v>16309</v>
      </c>
      <c r="BB424" s="8">
        <v>735304</v>
      </c>
      <c r="BC424" s="8">
        <f t="shared" si="220"/>
        <v>-4960</v>
      </c>
      <c r="BD424" s="8">
        <f t="shared" si="193"/>
        <v>31262</v>
      </c>
      <c r="BE424" s="8">
        <f t="shared" si="221"/>
        <v>21269</v>
      </c>
      <c r="BF424" s="8">
        <v>394537</v>
      </c>
      <c r="BG424" s="8">
        <f t="shared" si="222"/>
        <v>8114</v>
      </c>
      <c r="BH424" s="8">
        <v>658887</v>
      </c>
      <c r="BI424" s="8">
        <f t="shared" si="223"/>
        <v>-12383</v>
      </c>
      <c r="BJ424" s="8">
        <f t="shared" si="194"/>
        <v>-264350</v>
      </c>
      <c r="BK424" s="8">
        <f t="shared" si="196"/>
        <v>20497</v>
      </c>
    </row>
    <row r="425" spans="1:63">
      <c r="A425" s="5">
        <v>41842</v>
      </c>
      <c r="B425" s="8">
        <v>391228</v>
      </c>
      <c r="C425" s="8">
        <f t="shared" si="197"/>
        <v>14798</v>
      </c>
      <c r="D425" s="8">
        <v>65125</v>
      </c>
      <c r="E425" s="8">
        <f t="shared" si="198"/>
        <v>-1594</v>
      </c>
      <c r="F425" s="8">
        <v>72796</v>
      </c>
      <c r="G425" s="8">
        <f t="shared" si="199"/>
        <v>6869</v>
      </c>
      <c r="H425" s="8">
        <v>-7671</v>
      </c>
      <c r="I425" s="8">
        <f t="shared" si="200"/>
        <v>-8463</v>
      </c>
      <c r="J425" s="8">
        <v>180934</v>
      </c>
      <c r="K425" s="8">
        <f t="shared" si="201"/>
        <v>1201</v>
      </c>
      <c r="L425" s="8">
        <v>175454</v>
      </c>
      <c r="M425" s="8">
        <f t="shared" si="202"/>
        <v>-707</v>
      </c>
      <c r="N425" s="8">
        <v>5480</v>
      </c>
      <c r="O425" s="8">
        <f t="shared" si="203"/>
        <v>1908</v>
      </c>
      <c r="P425" s="8">
        <v>105095</v>
      </c>
      <c r="Q425" s="8">
        <f t="shared" si="204"/>
        <v>-872</v>
      </c>
      <c r="R425" s="8">
        <v>172931</v>
      </c>
      <c r="S425" s="8">
        <f t="shared" si="205"/>
        <v>-1174</v>
      </c>
      <c r="T425" s="8">
        <v>-67836</v>
      </c>
      <c r="U425" s="8">
        <f t="shared" si="206"/>
        <v>302</v>
      </c>
      <c r="W425" s="8">
        <v>386475</v>
      </c>
      <c r="X425" s="8">
        <f t="shared" si="207"/>
        <v>7209</v>
      </c>
      <c r="Y425" s="8">
        <v>61925</v>
      </c>
      <c r="Z425" s="8">
        <f t="shared" si="208"/>
        <v>-3307</v>
      </c>
      <c r="AA425" s="8">
        <v>33940</v>
      </c>
      <c r="AB425" s="8">
        <f t="shared" si="195"/>
        <v>-3090</v>
      </c>
      <c r="AC425" s="8">
        <v>27985</v>
      </c>
      <c r="AD425" s="8">
        <f t="shared" si="195"/>
        <v>-217</v>
      </c>
      <c r="AE425" s="8">
        <v>165305</v>
      </c>
      <c r="AF425" s="8">
        <f t="shared" si="209"/>
        <v>667</v>
      </c>
      <c r="AG425" s="8">
        <v>208135</v>
      </c>
      <c r="AH425" s="8">
        <f t="shared" si="210"/>
        <v>3215</v>
      </c>
      <c r="AI425" s="8">
        <v>-42830</v>
      </c>
      <c r="AJ425" s="8">
        <f t="shared" si="211"/>
        <v>-2548</v>
      </c>
      <c r="AK425" s="8">
        <v>101181</v>
      </c>
      <c r="AL425" s="8">
        <f t="shared" si="212"/>
        <v>1832</v>
      </c>
      <c r="AM425" s="8">
        <v>191156</v>
      </c>
      <c r="AN425" s="8">
        <f t="shared" si="213"/>
        <v>4760</v>
      </c>
      <c r="AO425" s="8">
        <v>-89975</v>
      </c>
      <c r="AP425" s="8">
        <f t="shared" si="214"/>
        <v>-2928</v>
      </c>
      <c r="AR425" s="8">
        <v>2018482</v>
      </c>
      <c r="AS425" s="8">
        <f t="shared" si="215"/>
        <v>76588</v>
      </c>
      <c r="AT425" s="8">
        <v>287708</v>
      </c>
      <c r="AU425" s="8">
        <f t="shared" si="216"/>
        <v>-7028</v>
      </c>
      <c r="AV425" s="8">
        <v>217300</v>
      </c>
      <c r="AW425" s="8">
        <f t="shared" si="217"/>
        <v>15665</v>
      </c>
      <c r="AX425" s="8">
        <f t="shared" si="192"/>
        <v>70408</v>
      </c>
      <c r="AY425" s="8">
        <f t="shared" si="218"/>
        <v>-22693</v>
      </c>
      <c r="AZ425" s="8">
        <v>788915</v>
      </c>
      <c r="BA425" s="8">
        <f t="shared" si="219"/>
        <v>22349</v>
      </c>
      <c r="BB425" s="8">
        <v>738764</v>
      </c>
      <c r="BC425" s="8">
        <f t="shared" si="220"/>
        <v>3460</v>
      </c>
      <c r="BD425" s="8">
        <f t="shared" si="193"/>
        <v>50151</v>
      </c>
      <c r="BE425" s="8">
        <f t="shared" si="221"/>
        <v>18889</v>
      </c>
      <c r="BF425" s="8">
        <v>412764</v>
      </c>
      <c r="BG425" s="8">
        <f t="shared" si="222"/>
        <v>18227</v>
      </c>
      <c r="BH425" s="8">
        <v>660535</v>
      </c>
      <c r="BI425" s="8">
        <f t="shared" si="223"/>
        <v>1648</v>
      </c>
      <c r="BJ425" s="8">
        <f t="shared" si="194"/>
        <v>-247771</v>
      </c>
      <c r="BK425" s="8">
        <f t="shared" si="196"/>
        <v>16579</v>
      </c>
    </row>
    <row r="426" spans="1:63">
      <c r="A426" s="5">
        <v>41849</v>
      </c>
      <c r="B426" s="8">
        <v>372256</v>
      </c>
      <c r="C426" s="8">
        <f t="shared" si="197"/>
        <v>-18972</v>
      </c>
      <c r="D426" s="8">
        <v>67014</v>
      </c>
      <c r="E426" s="8">
        <f t="shared" si="198"/>
        <v>1889</v>
      </c>
      <c r="F426" s="8">
        <v>74450</v>
      </c>
      <c r="G426" s="8">
        <f t="shared" si="199"/>
        <v>1654</v>
      </c>
      <c r="H426" s="8">
        <v>-7436</v>
      </c>
      <c r="I426" s="8">
        <f t="shared" si="200"/>
        <v>235</v>
      </c>
      <c r="J426" s="8">
        <v>168712</v>
      </c>
      <c r="K426" s="8">
        <f t="shared" si="201"/>
        <v>-12222</v>
      </c>
      <c r="L426" s="8">
        <v>171200</v>
      </c>
      <c r="M426" s="8">
        <f t="shared" si="202"/>
        <v>-4254</v>
      </c>
      <c r="N426" s="8">
        <v>-2488</v>
      </c>
      <c r="O426" s="8">
        <f t="shared" si="203"/>
        <v>-7968</v>
      </c>
      <c r="P426" s="8">
        <v>94612</v>
      </c>
      <c r="Q426" s="8">
        <f t="shared" si="204"/>
        <v>-10483</v>
      </c>
      <c r="R426" s="8">
        <v>168707</v>
      </c>
      <c r="S426" s="8">
        <f t="shared" si="205"/>
        <v>-4224</v>
      </c>
      <c r="T426" s="8">
        <v>-74095</v>
      </c>
      <c r="U426" s="8">
        <f t="shared" si="206"/>
        <v>-6259</v>
      </c>
      <c r="W426" s="8">
        <v>367288</v>
      </c>
      <c r="X426" s="8">
        <f t="shared" si="207"/>
        <v>-19187</v>
      </c>
      <c r="Y426" s="8">
        <v>60634</v>
      </c>
      <c r="Z426" s="8">
        <f t="shared" si="208"/>
        <v>-1291</v>
      </c>
      <c r="AA426" s="8">
        <v>29792</v>
      </c>
      <c r="AB426" s="8">
        <f t="shared" si="195"/>
        <v>-4148</v>
      </c>
      <c r="AC426" s="8">
        <v>30842</v>
      </c>
      <c r="AD426" s="8">
        <f t="shared" si="195"/>
        <v>2857</v>
      </c>
      <c r="AE426" s="8">
        <v>161600</v>
      </c>
      <c r="AF426" s="8">
        <f t="shared" si="209"/>
        <v>-3705</v>
      </c>
      <c r="AG426" s="8">
        <v>208484</v>
      </c>
      <c r="AH426" s="8">
        <f t="shared" si="210"/>
        <v>349</v>
      </c>
      <c r="AI426" s="8">
        <v>-46884</v>
      </c>
      <c r="AJ426" s="8">
        <f t="shared" si="211"/>
        <v>-4054</v>
      </c>
      <c r="AK426" s="8">
        <v>100321</v>
      </c>
      <c r="AL426" s="8">
        <f t="shared" si="212"/>
        <v>-860</v>
      </c>
      <c r="AM426" s="8">
        <v>193045</v>
      </c>
      <c r="AN426" s="8">
        <f t="shared" si="213"/>
        <v>1889</v>
      </c>
      <c r="AO426" s="8">
        <v>-92724</v>
      </c>
      <c r="AP426" s="8">
        <f t="shared" si="214"/>
        <v>-2749</v>
      </c>
      <c r="AR426" s="8">
        <v>2003405</v>
      </c>
      <c r="AS426" s="8">
        <f t="shared" si="215"/>
        <v>-15077</v>
      </c>
      <c r="AT426" s="8">
        <v>301485</v>
      </c>
      <c r="AU426" s="8">
        <f t="shared" si="216"/>
        <v>13777</v>
      </c>
      <c r="AV426" s="8">
        <v>238461</v>
      </c>
      <c r="AW426" s="8">
        <f t="shared" si="217"/>
        <v>21161</v>
      </c>
      <c r="AX426" s="8">
        <f t="shared" si="192"/>
        <v>63024</v>
      </c>
      <c r="AY426" s="8">
        <f t="shared" si="218"/>
        <v>-7384</v>
      </c>
      <c r="AZ426" s="8">
        <v>783085</v>
      </c>
      <c r="BA426" s="8">
        <f t="shared" si="219"/>
        <v>-5830</v>
      </c>
      <c r="BB426" s="8">
        <v>727434</v>
      </c>
      <c r="BC426" s="8">
        <f t="shared" si="220"/>
        <v>-11330</v>
      </c>
      <c r="BD426" s="8">
        <f t="shared" si="193"/>
        <v>55651</v>
      </c>
      <c r="BE426" s="8">
        <f t="shared" si="221"/>
        <v>5500</v>
      </c>
      <c r="BF426" s="8">
        <v>404645</v>
      </c>
      <c r="BG426" s="8">
        <f t="shared" si="222"/>
        <v>-8119</v>
      </c>
      <c r="BH426" s="8">
        <v>652511</v>
      </c>
      <c r="BI426" s="8">
        <f t="shared" si="223"/>
        <v>-8024</v>
      </c>
      <c r="BJ426" s="8">
        <f t="shared" si="194"/>
        <v>-247866</v>
      </c>
      <c r="BK426" s="8">
        <f t="shared" si="196"/>
        <v>-95</v>
      </c>
    </row>
    <row r="427" spans="1:63">
      <c r="A427" s="5">
        <v>41856</v>
      </c>
      <c r="B427" s="8">
        <v>369890</v>
      </c>
      <c r="C427" s="8">
        <f t="shared" si="197"/>
        <v>-2366</v>
      </c>
      <c r="D427" s="8">
        <v>68318</v>
      </c>
      <c r="E427" s="8">
        <f t="shared" si="198"/>
        <v>1304</v>
      </c>
      <c r="F427" s="8">
        <v>72013</v>
      </c>
      <c r="G427" s="8">
        <f t="shared" si="199"/>
        <v>-2437</v>
      </c>
      <c r="H427" s="8">
        <v>-3695</v>
      </c>
      <c r="I427" s="8">
        <f t="shared" si="200"/>
        <v>3741</v>
      </c>
      <c r="J427" s="8">
        <v>165171</v>
      </c>
      <c r="K427" s="8">
        <f t="shared" si="201"/>
        <v>-3541</v>
      </c>
      <c r="L427" s="8">
        <v>169666</v>
      </c>
      <c r="M427" s="8">
        <f t="shared" si="202"/>
        <v>-1534</v>
      </c>
      <c r="N427" s="8">
        <v>-4495</v>
      </c>
      <c r="O427" s="8">
        <f t="shared" si="203"/>
        <v>-2007</v>
      </c>
      <c r="P427" s="8">
        <v>91105</v>
      </c>
      <c r="Q427" s="8">
        <f t="shared" si="204"/>
        <v>-3507</v>
      </c>
      <c r="R427" s="8">
        <v>166695</v>
      </c>
      <c r="S427" s="8">
        <f t="shared" si="205"/>
        <v>-2012</v>
      </c>
      <c r="T427" s="8">
        <v>-75590</v>
      </c>
      <c r="U427" s="8">
        <f t="shared" si="206"/>
        <v>-1495</v>
      </c>
      <c r="W427" s="8">
        <v>370088</v>
      </c>
      <c r="X427" s="8">
        <f t="shared" si="207"/>
        <v>2800</v>
      </c>
      <c r="Y427" s="8">
        <v>60142</v>
      </c>
      <c r="Z427" s="8">
        <f t="shared" si="208"/>
        <v>-492</v>
      </c>
      <c r="AA427" s="8">
        <v>31692</v>
      </c>
      <c r="AB427" s="8">
        <f t="shared" si="195"/>
        <v>1900</v>
      </c>
      <c r="AC427" s="8">
        <v>28450</v>
      </c>
      <c r="AD427" s="8">
        <f t="shared" si="195"/>
        <v>-2392</v>
      </c>
      <c r="AE427" s="8">
        <v>159938</v>
      </c>
      <c r="AF427" s="8">
        <f t="shared" si="209"/>
        <v>-1662</v>
      </c>
      <c r="AG427" s="8">
        <v>209569</v>
      </c>
      <c r="AH427" s="8">
        <f t="shared" si="210"/>
        <v>1085</v>
      </c>
      <c r="AI427" s="8">
        <v>-49631</v>
      </c>
      <c r="AJ427" s="8">
        <f t="shared" si="211"/>
        <v>-2747</v>
      </c>
      <c r="AK427" s="8">
        <v>97098</v>
      </c>
      <c r="AL427" s="8">
        <f t="shared" si="212"/>
        <v>-3223</v>
      </c>
      <c r="AM427" s="8">
        <v>192689</v>
      </c>
      <c r="AN427" s="8">
        <f t="shared" si="213"/>
        <v>-356</v>
      </c>
      <c r="AO427" s="8">
        <v>-95591</v>
      </c>
      <c r="AP427" s="8">
        <f t="shared" si="214"/>
        <v>-2867</v>
      </c>
      <c r="AR427" s="8">
        <v>2024097</v>
      </c>
      <c r="AS427" s="8">
        <f t="shared" si="215"/>
        <v>20692</v>
      </c>
      <c r="AT427" s="8">
        <v>319074</v>
      </c>
      <c r="AU427" s="8">
        <f t="shared" si="216"/>
        <v>17589</v>
      </c>
      <c r="AV427" s="8">
        <v>247386</v>
      </c>
      <c r="AW427" s="8">
        <f t="shared" si="217"/>
        <v>8925</v>
      </c>
      <c r="AX427" s="8">
        <f t="shared" si="192"/>
        <v>71688</v>
      </c>
      <c r="AY427" s="8">
        <f t="shared" si="218"/>
        <v>8664</v>
      </c>
      <c r="AZ427" s="8">
        <v>769142</v>
      </c>
      <c r="BA427" s="8">
        <f t="shared" si="219"/>
        <v>-13943</v>
      </c>
      <c r="BB427" s="8">
        <v>724703</v>
      </c>
      <c r="BC427" s="8">
        <f t="shared" si="220"/>
        <v>-2731</v>
      </c>
      <c r="BD427" s="8">
        <f t="shared" si="193"/>
        <v>44439</v>
      </c>
      <c r="BE427" s="8">
        <f t="shared" si="221"/>
        <v>-11212</v>
      </c>
      <c r="BF427" s="8">
        <v>393278</v>
      </c>
      <c r="BG427" s="8">
        <f t="shared" si="222"/>
        <v>-11367</v>
      </c>
      <c r="BH427" s="8">
        <v>648403</v>
      </c>
      <c r="BI427" s="8">
        <f t="shared" si="223"/>
        <v>-4108</v>
      </c>
      <c r="BJ427" s="8">
        <f t="shared" si="194"/>
        <v>-255125</v>
      </c>
      <c r="BK427" s="8">
        <f t="shared" si="196"/>
        <v>-7259</v>
      </c>
    </row>
    <row r="428" spans="1:63">
      <c r="A428" s="5">
        <v>41863</v>
      </c>
      <c r="B428" s="8">
        <v>389769</v>
      </c>
      <c r="C428" s="8">
        <f t="shared" si="197"/>
        <v>19879</v>
      </c>
      <c r="D428" s="8">
        <v>65701</v>
      </c>
      <c r="E428" s="8">
        <f t="shared" si="198"/>
        <v>-2617</v>
      </c>
      <c r="F428" s="8">
        <v>81210</v>
      </c>
      <c r="G428" s="8">
        <f t="shared" si="199"/>
        <v>9197</v>
      </c>
      <c r="H428" s="8">
        <v>-15509</v>
      </c>
      <c r="I428" s="8">
        <f t="shared" si="200"/>
        <v>-11814</v>
      </c>
      <c r="J428" s="8">
        <v>171401</v>
      </c>
      <c r="K428" s="8">
        <f t="shared" si="201"/>
        <v>6230</v>
      </c>
      <c r="L428" s="8">
        <v>171969</v>
      </c>
      <c r="M428" s="8">
        <f t="shared" si="202"/>
        <v>2303</v>
      </c>
      <c r="N428" s="8">
        <v>-568</v>
      </c>
      <c r="O428" s="8">
        <f t="shared" si="203"/>
        <v>3927</v>
      </c>
      <c r="P428" s="8">
        <v>94925</v>
      </c>
      <c r="Q428" s="8">
        <f t="shared" si="204"/>
        <v>3820</v>
      </c>
      <c r="R428" s="8">
        <v>168828</v>
      </c>
      <c r="S428" s="8">
        <f t="shared" si="205"/>
        <v>2133</v>
      </c>
      <c r="T428" s="8">
        <v>-73903</v>
      </c>
      <c r="U428" s="8">
        <f t="shared" si="206"/>
        <v>1687</v>
      </c>
      <c r="W428" s="8">
        <v>377825</v>
      </c>
      <c r="X428" s="8">
        <f t="shared" si="207"/>
        <v>7737</v>
      </c>
      <c r="Y428" s="8">
        <v>63528</v>
      </c>
      <c r="Z428" s="8">
        <f t="shared" si="208"/>
        <v>3386</v>
      </c>
      <c r="AA428" s="8">
        <v>27227</v>
      </c>
      <c r="AB428" s="8">
        <f t="shared" si="195"/>
        <v>-4465</v>
      </c>
      <c r="AC428" s="8">
        <v>36301</v>
      </c>
      <c r="AD428" s="8">
        <f t="shared" si="195"/>
        <v>7851</v>
      </c>
      <c r="AE428" s="8">
        <v>156289</v>
      </c>
      <c r="AF428" s="8">
        <f t="shared" si="209"/>
        <v>-3649</v>
      </c>
      <c r="AG428" s="8">
        <v>217397</v>
      </c>
      <c r="AH428" s="8">
        <f t="shared" si="210"/>
        <v>7828</v>
      </c>
      <c r="AI428" s="8">
        <v>-61108</v>
      </c>
      <c r="AJ428" s="8">
        <f t="shared" si="211"/>
        <v>-11477</v>
      </c>
      <c r="AK428" s="8">
        <v>94994</v>
      </c>
      <c r="AL428" s="8">
        <f t="shared" si="212"/>
        <v>-2104</v>
      </c>
      <c r="AM428" s="8">
        <v>200453</v>
      </c>
      <c r="AN428" s="8">
        <f t="shared" si="213"/>
        <v>7764</v>
      </c>
      <c r="AO428" s="8">
        <v>-105459</v>
      </c>
      <c r="AP428" s="8">
        <f t="shared" si="214"/>
        <v>-9868</v>
      </c>
      <c r="AR428" s="8">
        <v>2008552</v>
      </c>
      <c r="AS428" s="8">
        <f t="shared" si="215"/>
        <v>-15545</v>
      </c>
      <c r="AT428" s="8">
        <v>321175</v>
      </c>
      <c r="AU428" s="8">
        <f t="shared" si="216"/>
        <v>2101</v>
      </c>
      <c r="AV428" s="8">
        <v>253510</v>
      </c>
      <c r="AW428" s="8">
        <f t="shared" si="217"/>
        <v>6124</v>
      </c>
      <c r="AX428" s="8">
        <f t="shared" si="192"/>
        <v>67665</v>
      </c>
      <c r="AY428" s="8">
        <f t="shared" si="218"/>
        <v>-4023</v>
      </c>
      <c r="AZ428" s="8">
        <v>764749</v>
      </c>
      <c r="BA428" s="8">
        <f t="shared" si="219"/>
        <v>-4393</v>
      </c>
      <c r="BB428" s="8">
        <v>721756</v>
      </c>
      <c r="BC428" s="8">
        <f t="shared" si="220"/>
        <v>-2947</v>
      </c>
      <c r="BD428" s="8">
        <f t="shared" si="193"/>
        <v>42993</v>
      </c>
      <c r="BE428" s="8">
        <f t="shared" si="221"/>
        <v>-1446</v>
      </c>
      <c r="BF428" s="8">
        <v>373738</v>
      </c>
      <c r="BG428" s="8">
        <f t="shared" si="222"/>
        <v>-19540</v>
      </c>
      <c r="BH428" s="8">
        <v>629853</v>
      </c>
      <c r="BI428" s="8">
        <f t="shared" si="223"/>
        <v>-18550</v>
      </c>
      <c r="BJ428" s="8">
        <f t="shared" si="194"/>
        <v>-256115</v>
      </c>
      <c r="BK428" s="8">
        <f t="shared" si="196"/>
        <v>-990</v>
      </c>
    </row>
    <row r="429" spans="1:63">
      <c r="A429" s="5">
        <v>41870</v>
      </c>
      <c r="B429" s="8">
        <v>421935</v>
      </c>
      <c r="C429" s="8">
        <f t="shared" si="197"/>
        <v>32166</v>
      </c>
      <c r="D429" s="8">
        <v>66115</v>
      </c>
      <c r="E429" s="8">
        <f t="shared" si="198"/>
        <v>414</v>
      </c>
      <c r="F429" s="8">
        <v>81270</v>
      </c>
      <c r="G429" s="8">
        <f t="shared" si="199"/>
        <v>60</v>
      </c>
      <c r="H429" s="8">
        <v>-15155</v>
      </c>
      <c r="I429" s="8">
        <f t="shared" si="200"/>
        <v>354</v>
      </c>
      <c r="J429" s="8">
        <v>180667</v>
      </c>
      <c r="K429" s="8">
        <f t="shared" si="201"/>
        <v>9266</v>
      </c>
      <c r="L429" s="8">
        <v>182710</v>
      </c>
      <c r="M429" s="8">
        <f t="shared" si="202"/>
        <v>10741</v>
      </c>
      <c r="N429" s="8">
        <v>-2043</v>
      </c>
      <c r="O429" s="8">
        <f t="shared" si="203"/>
        <v>-1475</v>
      </c>
      <c r="P429" s="8">
        <v>105826</v>
      </c>
      <c r="Q429" s="8">
        <f t="shared" si="204"/>
        <v>10901</v>
      </c>
      <c r="R429" s="8">
        <v>178926</v>
      </c>
      <c r="S429" s="8">
        <f t="shared" si="205"/>
        <v>10098</v>
      </c>
      <c r="T429" s="8">
        <v>-73100</v>
      </c>
      <c r="U429" s="8">
        <f t="shared" si="206"/>
        <v>803</v>
      </c>
      <c r="W429" s="8">
        <v>389775</v>
      </c>
      <c r="X429" s="8">
        <f t="shared" si="207"/>
        <v>11950</v>
      </c>
      <c r="Y429" s="8">
        <v>67382</v>
      </c>
      <c r="Z429" s="8">
        <f t="shared" si="208"/>
        <v>3854</v>
      </c>
      <c r="AA429" s="8">
        <v>24739</v>
      </c>
      <c r="AB429" s="8">
        <f t="shared" si="195"/>
        <v>-2488</v>
      </c>
      <c r="AC429" s="8">
        <v>42643</v>
      </c>
      <c r="AD429" s="8">
        <f t="shared" si="195"/>
        <v>6342</v>
      </c>
      <c r="AE429" s="8">
        <v>153151</v>
      </c>
      <c r="AF429" s="8">
        <f t="shared" si="209"/>
        <v>-3138</v>
      </c>
      <c r="AG429" s="8">
        <v>226105</v>
      </c>
      <c r="AH429" s="8">
        <f t="shared" si="210"/>
        <v>8708</v>
      </c>
      <c r="AI429" s="8">
        <v>-72954</v>
      </c>
      <c r="AJ429" s="8">
        <f t="shared" si="211"/>
        <v>-11846</v>
      </c>
      <c r="AK429" s="8">
        <v>93334</v>
      </c>
      <c r="AL429" s="8">
        <f t="shared" si="212"/>
        <v>-1660</v>
      </c>
      <c r="AM429" s="8">
        <v>208648</v>
      </c>
      <c r="AN429" s="8">
        <f t="shared" si="213"/>
        <v>8195</v>
      </c>
      <c r="AO429" s="8">
        <v>-115314</v>
      </c>
      <c r="AP429" s="8">
        <f t="shared" si="214"/>
        <v>-9855</v>
      </c>
      <c r="AR429" s="8">
        <v>1976604</v>
      </c>
      <c r="AS429" s="8">
        <f t="shared" si="215"/>
        <v>-31948</v>
      </c>
      <c r="AT429" s="8">
        <v>318770</v>
      </c>
      <c r="AU429" s="8">
        <f t="shared" si="216"/>
        <v>-2405</v>
      </c>
      <c r="AV429" s="8">
        <v>254051</v>
      </c>
      <c r="AW429" s="8">
        <f t="shared" si="217"/>
        <v>541</v>
      </c>
      <c r="AX429" s="8">
        <f t="shared" si="192"/>
        <v>64719</v>
      </c>
      <c r="AY429" s="8">
        <f t="shared" si="218"/>
        <v>-2946</v>
      </c>
      <c r="AZ429" s="8">
        <v>745941</v>
      </c>
      <c r="BA429" s="8">
        <f t="shared" si="219"/>
        <v>-18808</v>
      </c>
      <c r="BB429" s="8">
        <v>709446</v>
      </c>
      <c r="BC429" s="8">
        <f t="shared" si="220"/>
        <v>-12310</v>
      </c>
      <c r="BD429" s="8">
        <f t="shared" si="193"/>
        <v>36495</v>
      </c>
      <c r="BE429" s="8">
        <f t="shared" si="221"/>
        <v>-6498</v>
      </c>
      <c r="BF429" s="8">
        <v>350825</v>
      </c>
      <c r="BG429" s="8">
        <f t="shared" si="222"/>
        <v>-22913</v>
      </c>
      <c r="BH429" s="8">
        <v>616164</v>
      </c>
      <c r="BI429" s="8">
        <f t="shared" si="223"/>
        <v>-13689</v>
      </c>
      <c r="BJ429" s="8">
        <f t="shared" si="194"/>
        <v>-265339</v>
      </c>
      <c r="BK429" s="8">
        <f t="shared" si="196"/>
        <v>-9224</v>
      </c>
    </row>
    <row r="430" spans="1:63">
      <c r="A430" s="5">
        <v>41877</v>
      </c>
      <c r="B430" s="8">
        <v>413470</v>
      </c>
      <c r="C430" s="8">
        <f t="shared" si="197"/>
        <v>-8465</v>
      </c>
      <c r="D430" s="8">
        <v>63477</v>
      </c>
      <c r="E430" s="8">
        <f t="shared" si="198"/>
        <v>-2638</v>
      </c>
      <c r="F430" s="8">
        <v>79172</v>
      </c>
      <c r="G430" s="8">
        <f t="shared" si="199"/>
        <v>-2098</v>
      </c>
      <c r="H430" s="8">
        <v>-15695</v>
      </c>
      <c r="I430" s="8">
        <f t="shared" si="200"/>
        <v>-540</v>
      </c>
      <c r="J430" s="8">
        <v>179870</v>
      </c>
      <c r="K430" s="8">
        <f t="shared" si="201"/>
        <v>-797</v>
      </c>
      <c r="L430" s="8">
        <v>186696</v>
      </c>
      <c r="M430" s="8">
        <f t="shared" si="202"/>
        <v>3986</v>
      </c>
      <c r="N430" s="8">
        <v>-6826</v>
      </c>
      <c r="O430" s="8">
        <f t="shared" si="203"/>
        <v>-4783</v>
      </c>
      <c r="P430" s="8">
        <v>107213</v>
      </c>
      <c r="Q430" s="8">
        <f t="shared" si="204"/>
        <v>1387</v>
      </c>
      <c r="R430" s="8">
        <v>180958</v>
      </c>
      <c r="S430" s="8">
        <f t="shared" si="205"/>
        <v>2032</v>
      </c>
      <c r="T430" s="8">
        <v>-73745</v>
      </c>
      <c r="U430" s="8">
        <f t="shared" si="206"/>
        <v>-645</v>
      </c>
      <c r="W430" s="8">
        <v>385784</v>
      </c>
      <c r="X430" s="8">
        <f t="shared" si="207"/>
        <v>-3991</v>
      </c>
      <c r="Y430" s="8">
        <v>61442</v>
      </c>
      <c r="Z430" s="8">
        <f t="shared" si="208"/>
        <v>-5940</v>
      </c>
      <c r="AA430" s="8">
        <v>28153</v>
      </c>
      <c r="AB430" s="8">
        <f t="shared" si="195"/>
        <v>3414</v>
      </c>
      <c r="AC430" s="8">
        <v>33289</v>
      </c>
      <c r="AD430" s="8">
        <f t="shared" si="195"/>
        <v>-9354</v>
      </c>
      <c r="AE430" s="8">
        <v>165571</v>
      </c>
      <c r="AF430" s="8">
        <f t="shared" si="209"/>
        <v>12420</v>
      </c>
      <c r="AG430" s="8">
        <v>222758</v>
      </c>
      <c r="AH430" s="8">
        <f t="shared" si="210"/>
        <v>-3347</v>
      </c>
      <c r="AI430" s="8">
        <v>-57187</v>
      </c>
      <c r="AJ430" s="8">
        <f t="shared" si="211"/>
        <v>15767</v>
      </c>
      <c r="AK430" s="8">
        <v>103259</v>
      </c>
      <c r="AL430" s="8">
        <f t="shared" si="212"/>
        <v>9925</v>
      </c>
      <c r="AM430" s="8">
        <v>204661</v>
      </c>
      <c r="AN430" s="8">
        <f t="shared" si="213"/>
        <v>-3987</v>
      </c>
      <c r="AO430" s="8">
        <v>-101402</v>
      </c>
      <c r="AP430" s="8">
        <f t="shared" si="214"/>
        <v>13912</v>
      </c>
      <c r="AR430" s="8">
        <v>1755681</v>
      </c>
      <c r="AS430" s="8">
        <f t="shared" si="215"/>
        <v>-220923</v>
      </c>
      <c r="AT430" s="8">
        <v>324543</v>
      </c>
      <c r="AU430" s="8">
        <f t="shared" si="216"/>
        <v>5773</v>
      </c>
      <c r="AV430" s="8">
        <v>256950</v>
      </c>
      <c r="AW430" s="8">
        <f t="shared" si="217"/>
        <v>2899</v>
      </c>
      <c r="AX430" s="8">
        <f t="shared" si="192"/>
        <v>67593</v>
      </c>
      <c r="AY430" s="8">
        <f t="shared" si="218"/>
        <v>2874</v>
      </c>
      <c r="AZ430" s="8">
        <v>666882</v>
      </c>
      <c r="BA430" s="8">
        <f t="shared" si="219"/>
        <v>-79059</v>
      </c>
      <c r="BB430" s="8">
        <v>621467</v>
      </c>
      <c r="BC430" s="8">
        <f t="shared" si="220"/>
        <v>-87979</v>
      </c>
      <c r="BD430" s="8">
        <f t="shared" si="193"/>
        <v>45415</v>
      </c>
      <c r="BE430" s="8">
        <f t="shared" si="221"/>
        <v>8920</v>
      </c>
      <c r="BF430" s="8">
        <v>313837</v>
      </c>
      <c r="BG430" s="8">
        <f t="shared" si="222"/>
        <v>-36988</v>
      </c>
      <c r="BH430" s="8">
        <v>566405</v>
      </c>
      <c r="BI430" s="8">
        <f t="shared" si="223"/>
        <v>-49759</v>
      </c>
      <c r="BJ430" s="8">
        <f t="shared" si="194"/>
        <v>-252568</v>
      </c>
      <c r="BK430" s="8">
        <f t="shared" si="196"/>
        <v>12771</v>
      </c>
    </row>
    <row r="431" spans="1:63">
      <c r="A431" s="5">
        <v>41884</v>
      </c>
      <c r="B431" s="8">
        <v>418653</v>
      </c>
      <c r="C431" s="8">
        <f t="shared" si="197"/>
        <v>5183</v>
      </c>
      <c r="D431" s="8">
        <v>65351</v>
      </c>
      <c r="E431" s="8">
        <f t="shared" si="198"/>
        <v>1874</v>
      </c>
      <c r="F431" s="8">
        <v>83381</v>
      </c>
      <c r="G431" s="8">
        <f t="shared" si="199"/>
        <v>4209</v>
      </c>
      <c r="H431" s="8">
        <v>-18030</v>
      </c>
      <c r="I431" s="8">
        <f t="shared" si="200"/>
        <v>-2335</v>
      </c>
      <c r="J431" s="8">
        <v>181717</v>
      </c>
      <c r="K431" s="8">
        <f t="shared" si="201"/>
        <v>1847</v>
      </c>
      <c r="L431" s="8">
        <v>188795</v>
      </c>
      <c r="M431" s="8">
        <f t="shared" si="202"/>
        <v>2099</v>
      </c>
      <c r="N431" s="8">
        <v>-7078</v>
      </c>
      <c r="O431" s="8">
        <f t="shared" si="203"/>
        <v>-252</v>
      </c>
      <c r="P431" s="8">
        <v>109731</v>
      </c>
      <c r="Q431" s="8">
        <f t="shared" si="204"/>
        <v>2518</v>
      </c>
      <c r="R431" s="8">
        <v>182179</v>
      </c>
      <c r="S431" s="8">
        <f t="shared" si="205"/>
        <v>1221</v>
      </c>
      <c r="T431" s="8">
        <v>-72448</v>
      </c>
      <c r="U431" s="8">
        <f t="shared" si="206"/>
        <v>1297</v>
      </c>
      <c r="W431" s="8">
        <v>401405</v>
      </c>
      <c r="X431" s="8">
        <f t="shared" si="207"/>
        <v>15621</v>
      </c>
      <c r="Y431" s="8">
        <v>74499</v>
      </c>
      <c r="Z431" s="8">
        <f t="shared" si="208"/>
        <v>13057</v>
      </c>
      <c r="AA431" s="8">
        <v>26584</v>
      </c>
      <c r="AB431" s="8">
        <f t="shared" si="195"/>
        <v>-1569</v>
      </c>
      <c r="AC431" s="8">
        <v>47915</v>
      </c>
      <c r="AD431" s="8">
        <f t="shared" si="195"/>
        <v>14626</v>
      </c>
      <c r="AE431" s="8">
        <v>164360</v>
      </c>
      <c r="AF431" s="8">
        <f t="shared" si="209"/>
        <v>-1211</v>
      </c>
      <c r="AG431" s="8">
        <v>240396</v>
      </c>
      <c r="AH431" s="8">
        <f t="shared" si="210"/>
        <v>17638</v>
      </c>
      <c r="AI431" s="8">
        <v>-76036</v>
      </c>
      <c r="AJ431" s="8">
        <f t="shared" si="211"/>
        <v>-18849</v>
      </c>
      <c r="AK431" s="8">
        <v>102422</v>
      </c>
      <c r="AL431" s="8">
        <f t="shared" si="212"/>
        <v>-837</v>
      </c>
      <c r="AM431" s="8">
        <v>219264</v>
      </c>
      <c r="AN431" s="8">
        <f t="shared" si="213"/>
        <v>14603</v>
      </c>
      <c r="AO431" s="8">
        <v>-116842</v>
      </c>
      <c r="AP431" s="8">
        <f t="shared" si="214"/>
        <v>-15440</v>
      </c>
      <c r="AR431" s="8">
        <v>1735823</v>
      </c>
      <c r="AS431" s="8">
        <f t="shared" si="215"/>
        <v>-19858</v>
      </c>
      <c r="AT431" s="8">
        <v>332485</v>
      </c>
      <c r="AU431" s="8">
        <f t="shared" si="216"/>
        <v>7942</v>
      </c>
      <c r="AV431" s="8">
        <v>252369</v>
      </c>
      <c r="AW431" s="8">
        <f t="shared" si="217"/>
        <v>-4581</v>
      </c>
      <c r="AX431" s="8">
        <f t="shared" si="192"/>
        <v>80116</v>
      </c>
      <c r="AY431" s="8">
        <f t="shared" si="218"/>
        <v>12523</v>
      </c>
      <c r="AZ431" s="8">
        <v>651676</v>
      </c>
      <c r="BA431" s="8">
        <f t="shared" si="219"/>
        <v>-15206</v>
      </c>
      <c r="BB431" s="8">
        <v>610130</v>
      </c>
      <c r="BC431" s="8">
        <f t="shared" si="220"/>
        <v>-11337</v>
      </c>
      <c r="BD431" s="8">
        <f t="shared" si="193"/>
        <v>41546</v>
      </c>
      <c r="BE431" s="8">
        <f t="shared" si="221"/>
        <v>-3869</v>
      </c>
      <c r="BF431" s="8">
        <v>295044</v>
      </c>
      <c r="BG431" s="8">
        <f t="shared" si="222"/>
        <v>-18793</v>
      </c>
      <c r="BH431" s="8">
        <v>554242</v>
      </c>
      <c r="BI431" s="8">
        <f t="shared" si="223"/>
        <v>-12163</v>
      </c>
      <c r="BJ431" s="8">
        <f t="shared" si="194"/>
        <v>-259198</v>
      </c>
      <c r="BK431" s="8">
        <f t="shared" si="196"/>
        <v>-6630</v>
      </c>
    </row>
    <row r="432" spans="1:63">
      <c r="A432" s="5">
        <v>41891</v>
      </c>
      <c r="B432" s="8">
        <v>432643</v>
      </c>
      <c r="C432" s="8">
        <f t="shared" si="197"/>
        <v>13990</v>
      </c>
      <c r="D432" s="8">
        <v>64908</v>
      </c>
      <c r="E432" s="8">
        <f t="shared" si="198"/>
        <v>-443</v>
      </c>
      <c r="F432" s="8">
        <v>86208</v>
      </c>
      <c r="G432" s="8">
        <f t="shared" si="199"/>
        <v>2827</v>
      </c>
      <c r="H432" s="8">
        <v>-21300</v>
      </c>
      <c r="I432" s="8">
        <f t="shared" si="200"/>
        <v>-3270</v>
      </c>
      <c r="J432" s="8">
        <v>186782</v>
      </c>
      <c r="K432" s="8">
        <f t="shared" si="201"/>
        <v>5065</v>
      </c>
      <c r="L432" s="8">
        <v>194480</v>
      </c>
      <c r="M432" s="8">
        <f t="shared" si="202"/>
        <v>5685</v>
      </c>
      <c r="N432" s="8">
        <v>-7698</v>
      </c>
      <c r="O432" s="8">
        <f t="shared" si="203"/>
        <v>-620</v>
      </c>
      <c r="P432" s="8">
        <v>113399</v>
      </c>
      <c r="Q432" s="8">
        <f t="shared" si="204"/>
        <v>3668</v>
      </c>
      <c r="R432" s="8">
        <v>186848</v>
      </c>
      <c r="S432" s="8">
        <f t="shared" si="205"/>
        <v>4669</v>
      </c>
      <c r="T432" s="8">
        <v>-73449</v>
      </c>
      <c r="U432" s="8">
        <f t="shared" si="206"/>
        <v>-1001</v>
      </c>
      <c r="W432" s="8">
        <v>409544</v>
      </c>
      <c r="X432" s="8">
        <f t="shared" si="207"/>
        <v>8139</v>
      </c>
      <c r="Y432" s="8">
        <v>64232</v>
      </c>
      <c r="Z432" s="8">
        <f t="shared" si="208"/>
        <v>-10267</v>
      </c>
      <c r="AA432" s="8">
        <v>29689</v>
      </c>
      <c r="AB432" s="8">
        <f t="shared" si="195"/>
        <v>3105</v>
      </c>
      <c r="AC432" s="8">
        <v>34543</v>
      </c>
      <c r="AD432" s="8">
        <f t="shared" si="195"/>
        <v>-13372</v>
      </c>
      <c r="AE432" s="8">
        <v>173378</v>
      </c>
      <c r="AF432" s="8">
        <f t="shared" si="209"/>
        <v>9018</v>
      </c>
      <c r="AG432" s="8">
        <v>234546</v>
      </c>
      <c r="AH432" s="8">
        <f t="shared" si="210"/>
        <v>-5850</v>
      </c>
      <c r="AI432" s="8">
        <v>-61168</v>
      </c>
      <c r="AJ432" s="8">
        <f t="shared" si="211"/>
        <v>14868</v>
      </c>
      <c r="AK432" s="8">
        <v>108321</v>
      </c>
      <c r="AL432" s="8">
        <f t="shared" si="212"/>
        <v>5899</v>
      </c>
      <c r="AM432" s="8">
        <v>214650</v>
      </c>
      <c r="AN432" s="8">
        <f t="shared" si="213"/>
        <v>-4614</v>
      </c>
      <c r="AO432" s="8">
        <v>-106329</v>
      </c>
      <c r="AP432" s="8">
        <f t="shared" si="214"/>
        <v>10513</v>
      </c>
      <c r="AR432" s="8">
        <v>1831840</v>
      </c>
      <c r="AS432" s="8">
        <f t="shared" si="215"/>
        <v>96017</v>
      </c>
      <c r="AT432" s="8">
        <v>328460</v>
      </c>
      <c r="AU432" s="8">
        <f t="shared" si="216"/>
        <v>-4025</v>
      </c>
      <c r="AV432" s="8">
        <v>246994</v>
      </c>
      <c r="AW432" s="8">
        <f t="shared" si="217"/>
        <v>-5375</v>
      </c>
      <c r="AX432" s="8">
        <f t="shared" si="192"/>
        <v>81466</v>
      </c>
      <c r="AY432" s="8">
        <f t="shared" si="218"/>
        <v>1350</v>
      </c>
      <c r="AZ432" s="8">
        <v>673565</v>
      </c>
      <c r="BA432" s="8">
        <f t="shared" si="219"/>
        <v>21889</v>
      </c>
      <c r="BB432" s="8">
        <v>618778</v>
      </c>
      <c r="BC432" s="8">
        <f t="shared" si="220"/>
        <v>8648</v>
      </c>
      <c r="BD432" s="8">
        <f t="shared" si="193"/>
        <v>54787</v>
      </c>
      <c r="BE432" s="8">
        <f t="shared" si="221"/>
        <v>13241</v>
      </c>
      <c r="BF432" s="8">
        <v>313430</v>
      </c>
      <c r="BG432" s="8">
        <f t="shared" si="222"/>
        <v>18386</v>
      </c>
      <c r="BH432" s="8">
        <v>558621</v>
      </c>
      <c r="BI432" s="8">
        <f t="shared" si="223"/>
        <v>4379</v>
      </c>
      <c r="BJ432" s="8">
        <f t="shared" si="194"/>
        <v>-245191</v>
      </c>
      <c r="BK432" s="8">
        <f t="shared" si="196"/>
        <v>14007</v>
      </c>
    </row>
    <row r="433" spans="1:63">
      <c r="A433" s="5">
        <v>41898</v>
      </c>
      <c r="B433" s="8">
        <v>432875</v>
      </c>
      <c r="C433" s="8">
        <f t="shared" si="197"/>
        <v>232</v>
      </c>
      <c r="D433" s="8">
        <v>67491</v>
      </c>
      <c r="E433" s="8">
        <f t="shared" si="198"/>
        <v>2583</v>
      </c>
      <c r="F433" s="8">
        <v>80946</v>
      </c>
      <c r="G433" s="8">
        <f t="shared" si="199"/>
        <v>-5262</v>
      </c>
      <c r="H433" s="8">
        <v>-13455</v>
      </c>
      <c r="I433" s="8">
        <f t="shared" si="200"/>
        <v>7845</v>
      </c>
      <c r="J433" s="8">
        <v>180486</v>
      </c>
      <c r="K433" s="8">
        <f t="shared" si="201"/>
        <v>-6296</v>
      </c>
      <c r="L433" s="8">
        <v>193555</v>
      </c>
      <c r="M433" s="8">
        <f t="shared" si="202"/>
        <v>-925</v>
      </c>
      <c r="N433" s="8">
        <v>-13069</v>
      </c>
      <c r="O433" s="8">
        <f t="shared" si="203"/>
        <v>-5371</v>
      </c>
      <c r="P433" s="8">
        <v>106945</v>
      </c>
      <c r="Q433" s="8">
        <f t="shared" si="204"/>
        <v>-6454</v>
      </c>
      <c r="R433" s="8">
        <v>186018</v>
      </c>
      <c r="S433" s="8">
        <f t="shared" si="205"/>
        <v>-830</v>
      </c>
      <c r="T433" s="8">
        <v>-79073</v>
      </c>
      <c r="U433" s="8">
        <f t="shared" si="206"/>
        <v>-5624</v>
      </c>
      <c r="W433" s="8">
        <v>420153</v>
      </c>
      <c r="X433" s="8">
        <f t="shared" si="207"/>
        <v>10609</v>
      </c>
      <c r="Y433" s="8">
        <v>61100</v>
      </c>
      <c r="Z433" s="8">
        <f t="shared" si="208"/>
        <v>-3132</v>
      </c>
      <c r="AA433" s="8">
        <v>34234</v>
      </c>
      <c r="AB433" s="8">
        <f t="shared" si="195"/>
        <v>4545</v>
      </c>
      <c r="AC433" s="8">
        <v>26866</v>
      </c>
      <c r="AD433" s="8">
        <f t="shared" si="195"/>
        <v>-7677</v>
      </c>
      <c r="AE433" s="8">
        <v>182350</v>
      </c>
      <c r="AF433" s="8">
        <f t="shared" si="209"/>
        <v>8972</v>
      </c>
      <c r="AG433" s="8">
        <v>230199</v>
      </c>
      <c r="AH433" s="8">
        <f t="shared" si="210"/>
        <v>-4347</v>
      </c>
      <c r="AI433" s="8">
        <v>-47849</v>
      </c>
      <c r="AJ433" s="8">
        <f t="shared" si="211"/>
        <v>13319</v>
      </c>
      <c r="AK433" s="8">
        <v>115431</v>
      </c>
      <c r="AL433" s="8">
        <f t="shared" si="212"/>
        <v>7110</v>
      </c>
      <c r="AM433" s="8">
        <v>209041</v>
      </c>
      <c r="AN433" s="8">
        <f t="shared" si="213"/>
        <v>-5609</v>
      </c>
      <c r="AO433" s="8">
        <v>-93610</v>
      </c>
      <c r="AP433" s="8">
        <f t="shared" si="214"/>
        <v>12719</v>
      </c>
      <c r="AR433" s="8">
        <v>1877009</v>
      </c>
      <c r="AS433" s="8">
        <f t="shared" si="215"/>
        <v>45169</v>
      </c>
      <c r="AT433" s="8">
        <v>329133</v>
      </c>
      <c r="AU433" s="8">
        <f t="shared" si="216"/>
        <v>673</v>
      </c>
      <c r="AV433" s="8">
        <v>242088</v>
      </c>
      <c r="AW433" s="8">
        <f t="shared" si="217"/>
        <v>-4906</v>
      </c>
      <c r="AX433" s="8">
        <f t="shared" si="192"/>
        <v>87045</v>
      </c>
      <c r="AY433" s="8">
        <f t="shared" si="218"/>
        <v>5579</v>
      </c>
      <c r="AZ433" s="8">
        <v>674467</v>
      </c>
      <c r="BA433" s="8">
        <f t="shared" si="219"/>
        <v>902</v>
      </c>
      <c r="BB433" s="8">
        <v>633087</v>
      </c>
      <c r="BC433" s="8">
        <f t="shared" si="220"/>
        <v>14309</v>
      </c>
      <c r="BD433" s="8">
        <f t="shared" si="193"/>
        <v>41380</v>
      </c>
      <c r="BE433" s="8">
        <f t="shared" si="221"/>
        <v>-13407</v>
      </c>
      <c r="BF433" s="8">
        <v>311687</v>
      </c>
      <c r="BG433" s="8">
        <f t="shared" si="222"/>
        <v>-1743</v>
      </c>
      <c r="BH433" s="8">
        <v>569512</v>
      </c>
      <c r="BI433" s="8">
        <f t="shared" si="223"/>
        <v>10891</v>
      </c>
      <c r="BJ433" s="8">
        <f t="shared" si="194"/>
        <v>-257825</v>
      </c>
      <c r="BK433" s="8">
        <f t="shared" si="196"/>
        <v>-12634</v>
      </c>
    </row>
    <row r="434" spans="1:63">
      <c r="A434" s="5">
        <v>41905</v>
      </c>
      <c r="B434" s="8">
        <v>450686</v>
      </c>
      <c r="C434" s="8">
        <f t="shared" si="197"/>
        <v>17811</v>
      </c>
      <c r="D434" s="8">
        <v>68959</v>
      </c>
      <c r="E434" s="8">
        <f t="shared" si="198"/>
        <v>1468</v>
      </c>
      <c r="F434" s="8">
        <v>73989</v>
      </c>
      <c r="G434" s="8">
        <f t="shared" si="199"/>
        <v>-6957</v>
      </c>
      <c r="H434" s="8">
        <v>-5030</v>
      </c>
      <c r="I434" s="8">
        <f t="shared" si="200"/>
        <v>8425</v>
      </c>
      <c r="J434" s="8">
        <v>182071</v>
      </c>
      <c r="K434" s="8">
        <f t="shared" si="201"/>
        <v>1585</v>
      </c>
      <c r="L434" s="8">
        <v>208958</v>
      </c>
      <c r="M434" s="8">
        <f t="shared" si="202"/>
        <v>15403</v>
      </c>
      <c r="N434" s="8">
        <v>-26887</v>
      </c>
      <c r="O434" s="8">
        <f t="shared" si="203"/>
        <v>-13818</v>
      </c>
      <c r="P434" s="8">
        <v>105064</v>
      </c>
      <c r="Q434" s="8">
        <f t="shared" si="204"/>
        <v>-1881</v>
      </c>
      <c r="R434" s="8">
        <v>198109</v>
      </c>
      <c r="S434" s="8">
        <f t="shared" si="205"/>
        <v>12091</v>
      </c>
      <c r="T434" s="8">
        <v>-93045</v>
      </c>
      <c r="U434" s="8">
        <f t="shared" si="206"/>
        <v>-13972</v>
      </c>
      <c r="W434" s="8">
        <v>436732</v>
      </c>
      <c r="X434" s="8">
        <f t="shared" si="207"/>
        <v>16579</v>
      </c>
      <c r="Y434" s="8">
        <v>59734</v>
      </c>
      <c r="Z434" s="8">
        <f t="shared" si="208"/>
        <v>-1366</v>
      </c>
      <c r="AA434" s="8">
        <v>34289</v>
      </c>
      <c r="AB434" s="8">
        <f t="shared" si="195"/>
        <v>55</v>
      </c>
      <c r="AC434" s="8">
        <v>25445</v>
      </c>
      <c r="AD434" s="8">
        <f t="shared" si="195"/>
        <v>-1421</v>
      </c>
      <c r="AE434" s="8">
        <v>191672</v>
      </c>
      <c r="AF434" s="8">
        <f t="shared" si="209"/>
        <v>9322</v>
      </c>
      <c r="AG434" s="8">
        <v>233892</v>
      </c>
      <c r="AH434" s="8">
        <f t="shared" si="210"/>
        <v>3693</v>
      </c>
      <c r="AI434" s="8">
        <v>-42220</v>
      </c>
      <c r="AJ434" s="8">
        <f t="shared" si="211"/>
        <v>5629</v>
      </c>
      <c r="AK434" s="8">
        <v>120570</v>
      </c>
      <c r="AL434" s="8">
        <f t="shared" si="212"/>
        <v>5139</v>
      </c>
      <c r="AM434" s="8">
        <v>213770</v>
      </c>
      <c r="AN434" s="8">
        <f t="shared" si="213"/>
        <v>4729</v>
      </c>
      <c r="AO434" s="8">
        <v>-93200</v>
      </c>
      <c r="AP434" s="8">
        <f t="shared" si="214"/>
        <v>410</v>
      </c>
      <c r="AR434" s="8">
        <v>1969520</v>
      </c>
      <c r="AS434" s="8">
        <f t="shared" si="215"/>
        <v>92511</v>
      </c>
      <c r="AT434" s="8">
        <v>322241</v>
      </c>
      <c r="AU434" s="8">
        <f t="shared" si="216"/>
        <v>-6892</v>
      </c>
      <c r="AV434" s="8">
        <v>240705</v>
      </c>
      <c r="AW434" s="8">
        <f t="shared" si="217"/>
        <v>-1383</v>
      </c>
      <c r="AX434" s="8">
        <f t="shared" si="192"/>
        <v>81536</v>
      </c>
      <c r="AY434" s="8">
        <f t="shared" si="218"/>
        <v>-5509</v>
      </c>
      <c r="AZ434" s="8">
        <v>694094</v>
      </c>
      <c r="BA434" s="8">
        <f t="shared" si="219"/>
        <v>19627</v>
      </c>
      <c r="BB434" s="8">
        <v>639807</v>
      </c>
      <c r="BC434" s="8">
        <f t="shared" si="220"/>
        <v>6720</v>
      </c>
      <c r="BD434" s="8">
        <f t="shared" si="193"/>
        <v>54287</v>
      </c>
      <c r="BE434" s="8">
        <f t="shared" si="221"/>
        <v>12907</v>
      </c>
      <c r="BF434" s="8">
        <v>325178</v>
      </c>
      <c r="BG434" s="8">
        <f t="shared" si="222"/>
        <v>13491</v>
      </c>
      <c r="BH434" s="8">
        <v>575097</v>
      </c>
      <c r="BI434" s="8">
        <f t="shared" si="223"/>
        <v>5585</v>
      </c>
      <c r="BJ434" s="8">
        <f t="shared" si="194"/>
        <v>-249919</v>
      </c>
      <c r="BK434" s="8">
        <f t="shared" si="196"/>
        <v>7906</v>
      </c>
    </row>
    <row r="435" spans="1:63">
      <c r="A435" s="5">
        <v>41912</v>
      </c>
      <c r="B435" s="8">
        <v>430974</v>
      </c>
      <c r="C435" s="8">
        <f t="shared" si="197"/>
        <v>-19712</v>
      </c>
      <c r="D435" s="8">
        <v>67280</v>
      </c>
      <c r="E435" s="8">
        <f t="shared" si="198"/>
        <v>-1679</v>
      </c>
      <c r="F435" s="8">
        <v>73268</v>
      </c>
      <c r="G435" s="8">
        <f t="shared" si="199"/>
        <v>-721</v>
      </c>
      <c r="H435" s="8">
        <v>-5988</v>
      </c>
      <c r="I435" s="8">
        <f t="shared" si="200"/>
        <v>-958</v>
      </c>
      <c r="J435" s="8">
        <v>170367</v>
      </c>
      <c r="K435" s="8">
        <f t="shared" si="201"/>
        <v>-11704</v>
      </c>
      <c r="L435" s="8">
        <v>205467</v>
      </c>
      <c r="M435" s="8">
        <f t="shared" si="202"/>
        <v>-3491</v>
      </c>
      <c r="N435" s="8">
        <v>-35100</v>
      </c>
      <c r="O435" s="8">
        <f t="shared" si="203"/>
        <v>-8213</v>
      </c>
      <c r="P435" s="8">
        <v>91177</v>
      </c>
      <c r="Q435" s="8">
        <f t="shared" si="204"/>
        <v>-13887</v>
      </c>
      <c r="R435" s="8">
        <v>190087</v>
      </c>
      <c r="S435" s="8">
        <f t="shared" si="205"/>
        <v>-8022</v>
      </c>
      <c r="T435" s="8">
        <v>-98910</v>
      </c>
      <c r="U435" s="8">
        <f t="shared" si="206"/>
        <v>-5865</v>
      </c>
      <c r="W435" s="8">
        <v>444590</v>
      </c>
      <c r="X435" s="8">
        <f t="shared" si="207"/>
        <v>7858</v>
      </c>
      <c r="Y435" s="8">
        <v>58852</v>
      </c>
      <c r="Z435" s="8">
        <f t="shared" si="208"/>
        <v>-882</v>
      </c>
      <c r="AA435" s="8">
        <v>36304</v>
      </c>
      <c r="AB435" s="8">
        <f t="shared" si="195"/>
        <v>2015</v>
      </c>
      <c r="AC435" s="8">
        <v>22548</v>
      </c>
      <c r="AD435" s="8">
        <f t="shared" si="195"/>
        <v>-2897</v>
      </c>
      <c r="AE435" s="8">
        <v>195251</v>
      </c>
      <c r="AF435" s="8">
        <f t="shared" si="209"/>
        <v>3579</v>
      </c>
      <c r="AG435" s="8">
        <v>236748</v>
      </c>
      <c r="AH435" s="8">
        <f t="shared" si="210"/>
        <v>2856</v>
      </c>
      <c r="AI435" s="8">
        <v>-41497</v>
      </c>
      <c r="AJ435" s="8">
        <f t="shared" si="211"/>
        <v>723</v>
      </c>
      <c r="AK435" s="8">
        <v>118493</v>
      </c>
      <c r="AL435" s="8">
        <f t="shared" si="212"/>
        <v>-2077</v>
      </c>
      <c r="AM435" s="8">
        <v>215275</v>
      </c>
      <c r="AN435" s="8">
        <f t="shared" si="213"/>
        <v>1505</v>
      </c>
      <c r="AO435" s="8">
        <v>-96782</v>
      </c>
      <c r="AP435" s="8">
        <f t="shared" si="214"/>
        <v>-3582</v>
      </c>
      <c r="AR435" s="8">
        <v>1931406</v>
      </c>
      <c r="AS435" s="8">
        <f t="shared" si="215"/>
        <v>-38114</v>
      </c>
      <c r="AT435" s="8">
        <v>332003</v>
      </c>
      <c r="AU435" s="8">
        <f t="shared" si="216"/>
        <v>9762</v>
      </c>
      <c r="AV435" s="8">
        <v>246917</v>
      </c>
      <c r="AW435" s="8">
        <f t="shared" si="217"/>
        <v>6212</v>
      </c>
      <c r="AX435" s="8">
        <f t="shared" si="192"/>
        <v>85086</v>
      </c>
      <c r="AY435" s="8">
        <f t="shared" si="218"/>
        <v>3550</v>
      </c>
      <c r="AZ435" s="8">
        <v>691285</v>
      </c>
      <c r="BA435" s="8">
        <f t="shared" si="219"/>
        <v>-2809</v>
      </c>
      <c r="BB435" s="8">
        <v>643778</v>
      </c>
      <c r="BC435" s="8">
        <f t="shared" si="220"/>
        <v>3971</v>
      </c>
      <c r="BD435" s="8">
        <f t="shared" si="193"/>
        <v>47507</v>
      </c>
      <c r="BE435" s="8">
        <f t="shared" si="221"/>
        <v>-6780</v>
      </c>
      <c r="BF435" s="8">
        <v>322418</v>
      </c>
      <c r="BG435" s="8">
        <f t="shared" si="222"/>
        <v>-2760</v>
      </c>
      <c r="BH435" s="8">
        <v>580321</v>
      </c>
      <c r="BI435" s="8">
        <f t="shared" si="223"/>
        <v>5224</v>
      </c>
      <c r="BJ435" s="8">
        <f t="shared" si="194"/>
        <v>-257903</v>
      </c>
      <c r="BK435" s="8">
        <f t="shared" si="196"/>
        <v>-7984</v>
      </c>
    </row>
    <row r="436" spans="1:63">
      <c r="A436" s="5">
        <v>41919</v>
      </c>
      <c r="B436" s="8">
        <v>435950</v>
      </c>
      <c r="C436" s="8">
        <f t="shared" si="197"/>
        <v>4976</v>
      </c>
      <c r="D436" s="8">
        <v>66594</v>
      </c>
      <c r="E436" s="8">
        <f t="shared" si="198"/>
        <v>-686</v>
      </c>
      <c r="F436" s="8">
        <v>62725</v>
      </c>
      <c r="G436" s="8">
        <f t="shared" si="199"/>
        <v>-10543</v>
      </c>
      <c r="H436" s="8">
        <v>3869</v>
      </c>
      <c r="I436" s="8">
        <f t="shared" si="200"/>
        <v>9857</v>
      </c>
      <c r="J436" s="8">
        <v>173275</v>
      </c>
      <c r="K436" s="8">
        <f t="shared" si="201"/>
        <v>2908</v>
      </c>
      <c r="L436" s="8">
        <v>218932</v>
      </c>
      <c r="M436" s="8">
        <f t="shared" si="202"/>
        <v>13465</v>
      </c>
      <c r="N436" s="8">
        <v>-45657</v>
      </c>
      <c r="O436" s="8">
        <f t="shared" si="203"/>
        <v>-10557</v>
      </c>
      <c r="P436" s="8">
        <v>91613</v>
      </c>
      <c r="Q436" s="8">
        <f t="shared" si="204"/>
        <v>436</v>
      </c>
      <c r="R436" s="8">
        <v>201961</v>
      </c>
      <c r="S436" s="8">
        <f t="shared" si="205"/>
        <v>11874</v>
      </c>
      <c r="T436" s="8">
        <v>-110348</v>
      </c>
      <c r="U436" s="8">
        <f t="shared" si="206"/>
        <v>-11438</v>
      </c>
      <c r="W436" s="8">
        <v>445885</v>
      </c>
      <c r="X436" s="8">
        <f t="shared" si="207"/>
        <v>1295</v>
      </c>
      <c r="Y436" s="8">
        <v>57493</v>
      </c>
      <c r="Z436" s="8">
        <f t="shared" si="208"/>
        <v>-1359</v>
      </c>
      <c r="AA436" s="8">
        <v>38185</v>
      </c>
      <c r="AB436" s="8">
        <f t="shared" si="195"/>
        <v>1881</v>
      </c>
      <c r="AC436" s="8">
        <v>19308</v>
      </c>
      <c r="AD436" s="8">
        <f t="shared" si="195"/>
        <v>-3240</v>
      </c>
      <c r="AE436" s="8">
        <v>188823</v>
      </c>
      <c r="AF436" s="8">
        <f t="shared" si="209"/>
        <v>-6428</v>
      </c>
      <c r="AG436" s="8">
        <v>238659</v>
      </c>
      <c r="AH436" s="8">
        <f t="shared" si="210"/>
        <v>1911</v>
      </c>
      <c r="AI436" s="8">
        <v>-49836</v>
      </c>
      <c r="AJ436" s="8">
        <f t="shared" si="211"/>
        <v>-8339</v>
      </c>
      <c r="AK436" s="8">
        <v>115721</v>
      </c>
      <c r="AL436" s="8">
        <f t="shared" si="212"/>
        <v>-2772</v>
      </c>
      <c r="AM436" s="8">
        <v>213682</v>
      </c>
      <c r="AN436" s="8">
        <f t="shared" si="213"/>
        <v>-1593</v>
      </c>
      <c r="AO436" s="8">
        <v>-97961</v>
      </c>
      <c r="AP436" s="8">
        <f t="shared" si="214"/>
        <v>-1179</v>
      </c>
      <c r="AR436" s="8">
        <v>1893351</v>
      </c>
      <c r="AS436" s="8">
        <f t="shared" si="215"/>
        <v>-38055</v>
      </c>
      <c r="AT436" s="8">
        <v>332246</v>
      </c>
      <c r="AU436" s="8">
        <f t="shared" si="216"/>
        <v>243</v>
      </c>
      <c r="AV436" s="8">
        <v>259153</v>
      </c>
      <c r="AW436" s="8">
        <f t="shared" si="217"/>
        <v>12236</v>
      </c>
      <c r="AX436" s="8">
        <f t="shared" si="192"/>
        <v>73093</v>
      </c>
      <c r="AY436" s="8">
        <f t="shared" si="218"/>
        <v>-11993</v>
      </c>
      <c r="AZ436" s="8">
        <v>688218</v>
      </c>
      <c r="BA436" s="8">
        <f t="shared" si="219"/>
        <v>-3067</v>
      </c>
      <c r="BB436" s="8">
        <v>662873</v>
      </c>
      <c r="BC436" s="8">
        <f t="shared" si="220"/>
        <v>19095</v>
      </c>
      <c r="BD436" s="8">
        <f t="shared" si="193"/>
        <v>25345</v>
      </c>
      <c r="BE436" s="8">
        <f t="shared" si="221"/>
        <v>-22162</v>
      </c>
      <c r="BF436" s="8">
        <v>321453</v>
      </c>
      <c r="BG436" s="8">
        <f t="shared" si="222"/>
        <v>-965</v>
      </c>
      <c r="BH436" s="8">
        <v>601125</v>
      </c>
      <c r="BI436" s="8">
        <f t="shared" si="223"/>
        <v>20804</v>
      </c>
      <c r="BJ436" s="8">
        <f t="shared" si="194"/>
        <v>-279672</v>
      </c>
      <c r="BK436" s="8">
        <f t="shared" si="196"/>
        <v>-21769</v>
      </c>
    </row>
    <row r="437" spans="1:63">
      <c r="A437" s="5">
        <v>41926</v>
      </c>
      <c r="B437" s="8">
        <v>451320</v>
      </c>
      <c r="C437" s="8">
        <f t="shared" si="197"/>
        <v>15370</v>
      </c>
      <c r="D437" s="8">
        <v>67931</v>
      </c>
      <c r="E437" s="8">
        <f t="shared" si="198"/>
        <v>1337</v>
      </c>
      <c r="F437" s="8">
        <v>63159</v>
      </c>
      <c r="G437" s="8">
        <f t="shared" si="199"/>
        <v>434</v>
      </c>
      <c r="H437" s="8">
        <v>4772</v>
      </c>
      <c r="I437" s="8">
        <f t="shared" si="200"/>
        <v>903</v>
      </c>
      <c r="J437" s="8">
        <v>179472</v>
      </c>
      <c r="K437" s="8">
        <f t="shared" si="201"/>
        <v>6197</v>
      </c>
      <c r="L437" s="8">
        <v>222211</v>
      </c>
      <c r="M437" s="8">
        <f t="shared" si="202"/>
        <v>3279</v>
      </c>
      <c r="N437" s="8">
        <v>-42739</v>
      </c>
      <c r="O437" s="8">
        <f t="shared" si="203"/>
        <v>2918</v>
      </c>
      <c r="P437" s="8">
        <v>97089</v>
      </c>
      <c r="Q437" s="8">
        <f t="shared" si="204"/>
        <v>5476</v>
      </c>
      <c r="R437" s="8">
        <v>205892</v>
      </c>
      <c r="S437" s="8">
        <f t="shared" si="205"/>
        <v>3931</v>
      </c>
      <c r="T437" s="8">
        <v>-108803</v>
      </c>
      <c r="U437" s="8">
        <f t="shared" si="206"/>
        <v>1545</v>
      </c>
      <c r="W437" s="8">
        <v>450331</v>
      </c>
      <c r="X437" s="8">
        <f t="shared" si="207"/>
        <v>4446</v>
      </c>
      <c r="Y437" s="8">
        <v>61323</v>
      </c>
      <c r="Z437" s="8">
        <f t="shared" si="208"/>
        <v>3830</v>
      </c>
      <c r="AA437" s="8">
        <v>34036</v>
      </c>
      <c r="AB437" s="8">
        <f t="shared" si="195"/>
        <v>-4149</v>
      </c>
      <c r="AC437" s="8">
        <v>27287</v>
      </c>
      <c r="AD437" s="8">
        <f t="shared" si="195"/>
        <v>7979</v>
      </c>
      <c r="AE437" s="8">
        <v>195005</v>
      </c>
      <c r="AF437" s="8">
        <f t="shared" si="209"/>
        <v>6182</v>
      </c>
      <c r="AG437" s="8">
        <v>253796</v>
      </c>
      <c r="AH437" s="8">
        <f t="shared" si="210"/>
        <v>15137</v>
      </c>
      <c r="AI437" s="8">
        <v>-58791</v>
      </c>
      <c r="AJ437" s="8">
        <f t="shared" si="211"/>
        <v>-8955</v>
      </c>
      <c r="AK437" s="8">
        <v>118232</v>
      </c>
      <c r="AL437" s="8">
        <f t="shared" si="212"/>
        <v>2511</v>
      </c>
      <c r="AM437" s="8">
        <v>223011</v>
      </c>
      <c r="AN437" s="8">
        <f t="shared" si="213"/>
        <v>9329</v>
      </c>
      <c r="AO437" s="8">
        <v>-104779</v>
      </c>
      <c r="AP437" s="8">
        <f t="shared" si="214"/>
        <v>-6818</v>
      </c>
      <c r="AR437" s="8">
        <v>1899171</v>
      </c>
      <c r="AS437" s="8">
        <f t="shared" si="215"/>
        <v>5820</v>
      </c>
      <c r="AT437" s="8">
        <v>325425</v>
      </c>
      <c r="AU437" s="8">
        <f t="shared" si="216"/>
        <v>-6821</v>
      </c>
      <c r="AV437" s="8">
        <v>236757</v>
      </c>
      <c r="AW437" s="8">
        <f t="shared" si="217"/>
        <v>-22396</v>
      </c>
      <c r="AX437" s="8">
        <f t="shared" si="192"/>
        <v>88668</v>
      </c>
      <c r="AY437" s="8">
        <f t="shared" si="218"/>
        <v>15575</v>
      </c>
      <c r="AZ437" s="8">
        <v>689659</v>
      </c>
      <c r="BA437" s="8">
        <f t="shared" si="219"/>
        <v>1441</v>
      </c>
      <c r="BB437" s="8">
        <v>685157</v>
      </c>
      <c r="BC437" s="8">
        <f t="shared" si="220"/>
        <v>22284</v>
      </c>
      <c r="BD437" s="8">
        <f t="shared" si="193"/>
        <v>4502</v>
      </c>
      <c r="BE437" s="8">
        <f t="shared" si="221"/>
        <v>-20843</v>
      </c>
      <c r="BF437" s="8">
        <v>320931</v>
      </c>
      <c r="BG437" s="8">
        <f t="shared" si="222"/>
        <v>-522</v>
      </c>
      <c r="BH437" s="8">
        <v>617681</v>
      </c>
      <c r="BI437" s="8">
        <f t="shared" si="223"/>
        <v>16556</v>
      </c>
      <c r="BJ437" s="8">
        <f t="shared" si="194"/>
        <v>-296750</v>
      </c>
      <c r="BK437" s="8">
        <f t="shared" si="196"/>
        <v>-17078</v>
      </c>
    </row>
    <row r="438" spans="1:63">
      <c r="A438" s="5">
        <v>41933</v>
      </c>
      <c r="B438" s="8">
        <v>457896</v>
      </c>
      <c r="C438" s="8">
        <f t="shared" si="197"/>
        <v>6576</v>
      </c>
      <c r="D438" s="8">
        <v>70373</v>
      </c>
      <c r="E438" s="8">
        <f t="shared" si="198"/>
        <v>2442</v>
      </c>
      <c r="F438" s="8">
        <v>66532</v>
      </c>
      <c r="G438" s="8">
        <f t="shared" si="199"/>
        <v>3373</v>
      </c>
      <c r="H438" s="8">
        <v>3841</v>
      </c>
      <c r="I438" s="8">
        <f t="shared" si="200"/>
        <v>-931</v>
      </c>
      <c r="J438" s="8">
        <v>181700</v>
      </c>
      <c r="K438" s="8">
        <f t="shared" si="201"/>
        <v>2228</v>
      </c>
      <c r="L438" s="8">
        <v>215687</v>
      </c>
      <c r="M438" s="8">
        <f t="shared" si="202"/>
        <v>-6524</v>
      </c>
      <c r="N438" s="8">
        <v>-33987</v>
      </c>
      <c r="O438" s="8">
        <f t="shared" si="203"/>
        <v>8752</v>
      </c>
      <c r="P438" s="8">
        <v>99139</v>
      </c>
      <c r="Q438" s="8">
        <f t="shared" si="204"/>
        <v>2050</v>
      </c>
      <c r="R438" s="8">
        <v>198774</v>
      </c>
      <c r="S438" s="8">
        <f t="shared" si="205"/>
        <v>-7118</v>
      </c>
      <c r="T438" s="8">
        <v>-99635</v>
      </c>
      <c r="U438" s="8">
        <f t="shared" si="206"/>
        <v>9168</v>
      </c>
      <c r="W438" s="8">
        <v>439924</v>
      </c>
      <c r="X438" s="8">
        <f t="shared" si="207"/>
        <v>-10407</v>
      </c>
      <c r="Y438" s="8">
        <v>63644</v>
      </c>
      <c r="Z438" s="8">
        <f t="shared" si="208"/>
        <v>2321</v>
      </c>
      <c r="AA438" s="8">
        <v>26071</v>
      </c>
      <c r="AB438" s="8">
        <f t="shared" si="195"/>
        <v>-7965</v>
      </c>
      <c r="AC438" s="8">
        <v>37573</v>
      </c>
      <c r="AD438" s="8">
        <f t="shared" si="195"/>
        <v>10286</v>
      </c>
      <c r="AE438" s="8">
        <v>185447</v>
      </c>
      <c r="AF438" s="8">
        <f t="shared" si="209"/>
        <v>-9558</v>
      </c>
      <c r="AG438" s="8">
        <v>250264</v>
      </c>
      <c r="AH438" s="8">
        <f t="shared" si="210"/>
        <v>-3532</v>
      </c>
      <c r="AI438" s="8">
        <v>-64817</v>
      </c>
      <c r="AJ438" s="8">
        <f t="shared" si="211"/>
        <v>-6026</v>
      </c>
      <c r="AK438" s="8">
        <v>112924</v>
      </c>
      <c r="AL438" s="8">
        <f t="shared" si="212"/>
        <v>-5308</v>
      </c>
      <c r="AM438" s="8">
        <v>220026</v>
      </c>
      <c r="AN438" s="8">
        <f t="shared" si="213"/>
        <v>-2985</v>
      </c>
      <c r="AO438" s="8">
        <v>-107102</v>
      </c>
      <c r="AP438" s="8">
        <f t="shared" si="214"/>
        <v>-2323</v>
      </c>
      <c r="AR438" s="8">
        <v>1906785</v>
      </c>
      <c r="AS438" s="8">
        <f t="shared" si="215"/>
        <v>7614</v>
      </c>
      <c r="AT438" s="8">
        <v>323624</v>
      </c>
      <c r="AU438" s="8">
        <f t="shared" si="216"/>
        <v>-1801</v>
      </c>
      <c r="AV438" s="8">
        <v>196672</v>
      </c>
      <c r="AW438" s="8">
        <f t="shared" si="217"/>
        <v>-40085</v>
      </c>
      <c r="AX438" s="8">
        <f t="shared" si="192"/>
        <v>126952</v>
      </c>
      <c r="AY438" s="8">
        <f t="shared" si="218"/>
        <v>38284</v>
      </c>
      <c r="AZ438" s="8">
        <v>691040</v>
      </c>
      <c r="BA438" s="8">
        <f t="shared" si="219"/>
        <v>1381</v>
      </c>
      <c r="BB438" s="8">
        <v>711694</v>
      </c>
      <c r="BC438" s="8">
        <f t="shared" si="220"/>
        <v>26537</v>
      </c>
      <c r="BD438" s="8">
        <f t="shared" si="193"/>
        <v>-20654</v>
      </c>
      <c r="BE438" s="8">
        <f t="shared" si="221"/>
        <v>-25156</v>
      </c>
      <c r="BF438" s="8">
        <v>327975</v>
      </c>
      <c r="BG438" s="8">
        <f t="shared" si="222"/>
        <v>7044</v>
      </c>
      <c r="BH438" s="8">
        <v>635752</v>
      </c>
      <c r="BI438" s="8">
        <f t="shared" si="223"/>
        <v>18071</v>
      </c>
      <c r="BJ438" s="8">
        <f t="shared" si="194"/>
        <v>-307777</v>
      </c>
      <c r="BK438" s="8">
        <f t="shared" si="196"/>
        <v>-11027</v>
      </c>
    </row>
    <row r="439" spans="1:63">
      <c r="A439" s="5">
        <v>41940</v>
      </c>
      <c r="B439" s="8">
        <v>454475</v>
      </c>
      <c r="C439" s="8">
        <f t="shared" si="197"/>
        <v>-3421</v>
      </c>
      <c r="D439" s="8">
        <v>71024</v>
      </c>
      <c r="E439" s="8">
        <f t="shared" si="198"/>
        <v>651</v>
      </c>
      <c r="F439" s="8">
        <v>57354</v>
      </c>
      <c r="G439" s="8">
        <f t="shared" si="199"/>
        <v>-9178</v>
      </c>
      <c r="H439" s="8">
        <v>13670</v>
      </c>
      <c r="I439" s="8">
        <f t="shared" si="200"/>
        <v>9829</v>
      </c>
      <c r="J439" s="8">
        <v>179343</v>
      </c>
      <c r="K439" s="8">
        <f t="shared" si="201"/>
        <v>-2357</v>
      </c>
      <c r="L439" s="8">
        <v>232169</v>
      </c>
      <c r="M439" s="8">
        <f t="shared" si="202"/>
        <v>16482</v>
      </c>
      <c r="N439" s="8">
        <v>-52826</v>
      </c>
      <c r="O439" s="8">
        <f t="shared" si="203"/>
        <v>-18839</v>
      </c>
      <c r="P439" s="8">
        <v>96131</v>
      </c>
      <c r="Q439" s="8">
        <f t="shared" si="204"/>
        <v>-3008</v>
      </c>
      <c r="R439" s="8">
        <v>214302</v>
      </c>
      <c r="S439" s="8">
        <f t="shared" si="205"/>
        <v>15528</v>
      </c>
      <c r="T439" s="8">
        <v>-118171</v>
      </c>
      <c r="U439" s="8">
        <f t="shared" si="206"/>
        <v>-18536</v>
      </c>
      <c r="W439" s="8">
        <v>440510</v>
      </c>
      <c r="X439" s="8">
        <f t="shared" si="207"/>
        <v>586</v>
      </c>
      <c r="Y439" s="8">
        <v>69063</v>
      </c>
      <c r="Z439" s="8">
        <f t="shared" si="208"/>
        <v>5419</v>
      </c>
      <c r="AA439" s="8">
        <v>23421</v>
      </c>
      <c r="AB439" s="8">
        <f t="shared" si="195"/>
        <v>-2650</v>
      </c>
      <c r="AC439" s="8">
        <v>45642</v>
      </c>
      <c r="AD439" s="8">
        <f t="shared" si="195"/>
        <v>8069</v>
      </c>
      <c r="AE439" s="8">
        <v>178150</v>
      </c>
      <c r="AF439" s="8">
        <f t="shared" si="209"/>
        <v>-7297</v>
      </c>
      <c r="AG439" s="8">
        <v>263803</v>
      </c>
      <c r="AH439" s="8">
        <f t="shared" si="210"/>
        <v>13539</v>
      </c>
      <c r="AI439" s="8">
        <v>-85653</v>
      </c>
      <c r="AJ439" s="8">
        <f t="shared" si="211"/>
        <v>-20836</v>
      </c>
      <c r="AK439" s="8">
        <v>106567</v>
      </c>
      <c r="AL439" s="8">
        <f t="shared" si="212"/>
        <v>-6357</v>
      </c>
      <c r="AM439" s="8">
        <v>228817</v>
      </c>
      <c r="AN439" s="8">
        <f t="shared" si="213"/>
        <v>8791</v>
      </c>
      <c r="AO439" s="8">
        <v>-122250</v>
      </c>
      <c r="AP439" s="8">
        <f t="shared" si="214"/>
        <v>-15148</v>
      </c>
      <c r="AR439" s="8">
        <v>1848632</v>
      </c>
      <c r="AS439" s="8">
        <f t="shared" si="215"/>
        <v>-58153</v>
      </c>
      <c r="AT439" s="8">
        <v>305375</v>
      </c>
      <c r="AU439" s="8">
        <f t="shared" si="216"/>
        <v>-18249</v>
      </c>
      <c r="AV439" s="8">
        <v>163587</v>
      </c>
      <c r="AW439" s="8">
        <f t="shared" si="217"/>
        <v>-33085</v>
      </c>
      <c r="AX439" s="8">
        <f t="shared" si="192"/>
        <v>141788</v>
      </c>
      <c r="AY439" s="8">
        <f t="shared" si="218"/>
        <v>14836</v>
      </c>
      <c r="AZ439" s="8">
        <v>681601</v>
      </c>
      <c r="BA439" s="8">
        <f t="shared" si="219"/>
        <v>-9439</v>
      </c>
      <c r="BB439" s="8">
        <v>729283</v>
      </c>
      <c r="BC439" s="8">
        <f t="shared" si="220"/>
        <v>17589</v>
      </c>
      <c r="BD439" s="8">
        <f t="shared" si="193"/>
        <v>-47682</v>
      </c>
      <c r="BE439" s="8">
        <f t="shared" si="221"/>
        <v>-27028</v>
      </c>
      <c r="BF439" s="8">
        <v>317253</v>
      </c>
      <c r="BG439" s="8">
        <f t="shared" si="222"/>
        <v>-10722</v>
      </c>
      <c r="BH439" s="8">
        <v>650508</v>
      </c>
      <c r="BI439" s="8">
        <f t="shared" si="223"/>
        <v>14756</v>
      </c>
      <c r="BJ439" s="8">
        <f t="shared" si="194"/>
        <v>-333255</v>
      </c>
      <c r="BK439" s="8">
        <f t="shared" si="196"/>
        <v>-25478</v>
      </c>
    </row>
    <row r="440" spans="1:63">
      <c r="A440" s="5">
        <v>41947</v>
      </c>
      <c r="B440" s="8">
        <v>465741</v>
      </c>
      <c r="C440" s="8">
        <f t="shared" si="197"/>
        <v>11266</v>
      </c>
      <c r="D440" s="8">
        <v>72511</v>
      </c>
      <c r="E440" s="8">
        <f t="shared" si="198"/>
        <v>1487</v>
      </c>
      <c r="F440" s="8">
        <v>47845</v>
      </c>
      <c r="G440" s="8">
        <f t="shared" si="199"/>
        <v>-9509</v>
      </c>
      <c r="H440" s="8">
        <v>24666</v>
      </c>
      <c r="I440" s="8">
        <f t="shared" si="200"/>
        <v>10996</v>
      </c>
      <c r="J440" s="8">
        <v>184987</v>
      </c>
      <c r="K440" s="8">
        <f t="shared" si="201"/>
        <v>5644</v>
      </c>
      <c r="L440" s="8">
        <v>256682</v>
      </c>
      <c r="M440" s="8">
        <f t="shared" si="202"/>
        <v>24513</v>
      </c>
      <c r="N440" s="8">
        <v>-71695</v>
      </c>
      <c r="O440" s="8">
        <f t="shared" si="203"/>
        <v>-18869</v>
      </c>
      <c r="P440" s="8">
        <v>100472</v>
      </c>
      <c r="Q440" s="8">
        <f t="shared" si="204"/>
        <v>4341</v>
      </c>
      <c r="R440" s="8">
        <v>235918</v>
      </c>
      <c r="S440" s="8">
        <f t="shared" si="205"/>
        <v>21616</v>
      </c>
      <c r="T440" s="8">
        <v>-135446</v>
      </c>
      <c r="U440" s="8">
        <f t="shared" si="206"/>
        <v>-17275</v>
      </c>
      <c r="W440" s="8">
        <v>463234</v>
      </c>
      <c r="X440" s="8">
        <f t="shared" si="207"/>
        <v>22724</v>
      </c>
      <c r="Y440" s="8">
        <v>81580</v>
      </c>
      <c r="Z440" s="8">
        <f t="shared" si="208"/>
        <v>12517</v>
      </c>
      <c r="AA440" s="8">
        <v>21543</v>
      </c>
      <c r="AB440" s="8">
        <f t="shared" si="195"/>
        <v>-1878</v>
      </c>
      <c r="AC440" s="8">
        <v>60037</v>
      </c>
      <c r="AD440" s="8">
        <f t="shared" si="195"/>
        <v>14395</v>
      </c>
      <c r="AE440" s="8">
        <v>176614</v>
      </c>
      <c r="AF440" s="8">
        <f t="shared" si="209"/>
        <v>-1536</v>
      </c>
      <c r="AG440" s="8">
        <v>280552</v>
      </c>
      <c r="AH440" s="8">
        <f t="shared" si="210"/>
        <v>16749</v>
      </c>
      <c r="AI440" s="8">
        <v>-103938</v>
      </c>
      <c r="AJ440" s="8">
        <f t="shared" si="211"/>
        <v>-18285</v>
      </c>
      <c r="AK440" s="8">
        <v>104685</v>
      </c>
      <c r="AL440" s="8">
        <f t="shared" si="212"/>
        <v>-1882</v>
      </c>
      <c r="AM440" s="8">
        <v>243322</v>
      </c>
      <c r="AN440" s="8">
        <f t="shared" si="213"/>
        <v>14505</v>
      </c>
      <c r="AO440" s="8">
        <v>-138637</v>
      </c>
      <c r="AP440" s="8">
        <f t="shared" si="214"/>
        <v>-16387</v>
      </c>
      <c r="AR440" s="8">
        <v>1895470</v>
      </c>
      <c r="AS440" s="8">
        <f t="shared" si="215"/>
        <v>46838</v>
      </c>
      <c r="AT440" s="8">
        <v>304302</v>
      </c>
      <c r="AU440" s="8">
        <f t="shared" si="216"/>
        <v>-1073</v>
      </c>
      <c r="AV440" s="8">
        <v>140629</v>
      </c>
      <c r="AW440" s="8">
        <f t="shared" si="217"/>
        <v>-22958</v>
      </c>
      <c r="AX440" s="8">
        <f t="shared" si="192"/>
        <v>163673</v>
      </c>
      <c r="AY440" s="8">
        <f t="shared" si="218"/>
        <v>21885</v>
      </c>
      <c r="AZ440" s="8">
        <v>700827</v>
      </c>
      <c r="BA440" s="8">
        <f t="shared" si="219"/>
        <v>19226</v>
      </c>
      <c r="BB440" s="8">
        <v>774582</v>
      </c>
      <c r="BC440" s="8">
        <f t="shared" si="220"/>
        <v>45299</v>
      </c>
      <c r="BD440" s="8">
        <f t="shared" si="193"/>
        <v>-73755</v>
      </c>
      <c r="BE440" s="8">
        <f t="shared" si="221"/>
        <v>-26073</v>
      </c>
      <c r="BF440" s="8">
        <v>335237</v>
      </c>
      <c r="BG440" s="8">
        <f t="shared" si="222"/>
        <v>17984</v>
      </c>
      <c r="BH440" s="8">
        <v>686916</v>
      </c>
      <c r="BI440" s="8">
        <f t="shared" si="223"/>
        <v>36408</v>
      </c>
      <c r="BJ440" s="8">
        <f t="shared" si="194"/>
        <v>-351679</v>
      </c>
      <c r="BK440" s="8">
        <f t="shared" si="196"/>
        <v>-18424</v>
      </c>
    </row>
    <row r="441" spans="1:63">
      <c r="A441" s="5">
        <v>41954</v>
      </c>
      <c r="B441" s="8">
        <v>456232</v>
      </c>
      <c r="C441" s="8">
        <f t="shared" si="197"/>
        <v>-9509</v>
      </c>
      <c r="D441" s="8">
        <v>68488</v>
      </c>
      <c r="E441" s="8">
        <f t="shared" si="198"/>
        <v>-4023</v>
      </c>
      <c r="F441" s="8">
        <v>57433</v>
      </c>
      <c r="G441" s="8">
        <f t="shared" si="199"/>
        <v>9588</v>
      </c>
      <c r="H441" s="8">
        <v>11055</v>
      </c>
      <c r="I441" s="8">
        <f t="shared" si="200"/>
        <v>-13611</v>
      </c>
      <c r="J441" s="8">
        <v>189299</v>
      </c>
      <c r="K441" s="8">
        <f t="shared" si="201"/>
        <v>4312</v>
      </c>
      <c r="L441" s="8">
        <v>247190</v>
      </c>
      <c r="M441" s="8">
        <f t="shared" si="202"/>
        <v>-9492</v>
      </c>
      <c r="N441" s="8">
        <v>-57891</v>
      </c>
      <c r="O441" s="8">
        <f t="shared" si="203"/>
        <v>13804</v>
      </c>
      <c r="P441" s="8">
        <v>109860</v>
      </c>
      <c r="Q441" s="8">
        <f t="shared" si="204"/>
        <v>9388</v>
      </c>
      <c r="R441" s="8">
        <v>231469</v>
      </c>
      <c r="S441" s="8">
        <f t="shared" si="205"/>
        <v>-4449</v>
      </c>
      <c r="T441" s="8">
        <v>-121609</v>
      </c>
      <c r="U441" s="8">
        <f t="shared" si="206"/>
        <v>13837</v>
      </c>
      <c r="W441" s="8">
        <v>478324</v>
      </c>
      <c r="X441" s="8">
        <f t="shared" si="207"/>
        <v>15090</v>
      </c>
      <c r="Y441" s="8">
        <v>87020</v>
      </c>
      <c r="Z441" s="8">
        <f t="shared" si="208"/>
        <v>5440</v>
      </c>
      <c r="AA441" s="8">
        <v>19917</v>
      </c>
      <c r="AB441" s="8">
        <f t="shared" si="195"/>
        <v>-1626</v>
      </c>
      <c r="AC441" s="8">
        <v>67103</v>
      </c>
      <c r="AD441" s="8">
        <f t="shared" si="195"/>
        <v>7066</v>
      </c>
      <c r="AE441" s="8">
        <v>178057</v>
      </c>
      <c r="AF441" s="8">
        <f t="shared" si="209"/>
        <v>1443</v>
      </c>
      <c r="AG441" s="8">
        <v>289592</v>
      </c>
      <c r="AH441" s="8">
        <f t="shared" si="210"/>
        <v>9040</v>
      </c>
      <c r="AI441" s="8">
        <v>-111535</v>
      </c>
      <c r="AJ441" s="8">
        <f t="shared" si="211"/>
        <v>-7597</v>
      </c>
      <c r="AK441" s="8">
        <v>110799</v>
      </c>
      <c r="AL441" s="8">
        <f t="shared" si="212"/>
        <v>6114</v>
      </c>
      <c r="AM441" s="8">
        <v>252762</v>
      </c>
      <c r="AN441" s="8">
        <f t="shared" si="213"/>
        <v>9440</v>
      </c>
      <c r="AO441" s="8">
        <v>-141963</v>
      </c>
      <c r="AP441" s="8">
        <f t="shared" si="214"/>
        <v>-3326</v>
      </c>
      <c r="AR441" s="8">
        <v>1916672</v>
      </c>
      <c r="AS441" s="8">
        <f t="shared" si="215"/>
        <v>21202</v>
      </c>
      <c r="AT441" s="8">
        <v>302142</v>
      </c>
      <c r="AU441" s="8">
        <f t="shared" si="216"/>
        <v>-2160</v>
      </c>
      <c r="AV441" s="8">
        <v>115335</v>
      </c>
      <c r="AW441" s="8">
        <f t="shared" si="217"/>
        <v>-25294</v>
      </c>
      <c r="AX441" s="8">
        <f t="shared" si="192"/>
        <v>186807</v>
      </c>
      <c r="AY441" s="8">
        <f t="shared" si="218"/>
        <v>23134</v>
      </c>
      <c r="AZ441" s="8">
        <v>686293</v>
      </c>
      <c r="BA441" s="8">
        <f t="shared" si="219"/>
        <v>-14534</v>
      </c>
      <c r="BB441" s="8">
        <v>793975</v>
      </c>
      <c r="BC441" s="8">
        <f t="shared" si="220"/>
        <v>19393</v>
      </c>
      <c r="BD441" s="8">
        <f t="shared" si="193"/>
        <v>-107682</v>
      </c>
      <c r="BE441" s="8">
        <f t="shared" si="221"/>
        <v>-33927</v>
      </c>
      <c r="BF441" s="8">
        <v>325889</v>
      </c>
      <c r="BG441" s="8">
        <f t="shared" si="222"/>
        <v>-9348</v>
      </c>
      <c r="BH441" s="8">
        <v>704988</v>
      </c>
      <c r="BI441" s="8">
        <f t="shared" si="223"/>
        <v>18072</v>
      </c>
      <c r="BJ441" s="8">
        <f t="shared" si="194"/>
        <v>-379099</v>
      </c>
      <c r="BK441" s="8">
        <f t="shared" si="196"/>
        <v>-27420</v>
      </c>
    </row>
    <row r="442" spans="1:63">
      <c r="A442" s="5">
        <v>41961</v>
      </c>
      <c r="B442" s="8">
        <v>458159</v>
      </c>
      <c r="C442" s="8">
        <f t="shared" si="197"/>
        <v>1927</v>
      </c>
      <c r="D442" s="8">
        <v>68872</v>
      </c>
      <c r="E442" s="8">
        <f t="shared" si="198"/>
        <v>384</v>
      </c>
      <c r="F442" s="8">
        <v>60605</v>
      </c>
      <c r="G442" s="8">
        <f t="shared" si="199"/>
        <v>3172</v>
      </c>
      <c r="H442" s="8">
        <v>8267</v>
      </c>
      <c r="I442" s="8">
        <f t="shared" si="200"/>
        <v>-2788</v>
      </c>
      <c r="J442" s="8">
        <v>185628</v>
      </c>
      <c r="K442" s="8">
        <f t="shared" si="201"/>
        <v>-3671</v>
      </c>
      <c r="L442" s="8">
        <v>237522</v>
      </c>
      <c r="M442" s="8">
        <f t="shared" si="202"/>
        <v>-9668</v>
      </c>
      <c r="N442" s="8">
        <v>-51894</v>
      </c>
      <c r="O442" s="8">
        <f t="shared" si="203"/>
        <v>5997</v>
      </c>
      <c r="P442" s="8">
        <v>110079</v>
      </c>
      <c r="Q442" s="8">
        <f t="shared" si="204"/>
        <v>219</v>
      </c>
      <c r="R442" s="8">
        <v>225139</v>
      </c>
      <c r="S442" s="8">
        <f t="shared" si="205"/>
        <v>-6330</v>
      </c>
      <c r="T442" s="8">
        <v>-115060</v>
      </c>
      <c r="U442" s="8">
        <f t="shared" si="206"/>
        <v>6549</v>
      </c>
      <c r="W442" s="8">
        <v>477320</v>
      </c>
      <c r="X442" s="8">
        <f t="shared" si="207"/>
        <v>-1004</v>
      </c>
      <c r="Y442" s="8">
        <v>82746</v>
      </c>
      <c r="Z442" s="8">
        <f t="shared" si="208"/>
        <v>-4274</v>
      </c>
      <c r="AA442" s="8">
        <v>23849</v>
      </c>
      <c r="AB442" s="8">
        <f t="shared" si="195"/>
        <v>3932</v>
      </c>
      <c r="AC442" s="8">
        <v>58897</v>
      </c>
      <c r="AD442" s="8">
        <f t="shared" si="195"/>
        <v>-8206</v>
      </c>
      <c r="AE442" s="8">
        <v>184088</v>
      </c>
      <c r="AF442" s="8">
        <f t="shared" si="209"/>
        <v>6031</v>
      </c>
      <c r="AG442" s="8">
        <v>281285</v>
      </c>
      <c r="AH442" s="8">
        <f t="shared" si="210"/>
        <v>-8307</v>
      </c>
      <c r="AI442" s="8">
        <v>-97197</v>
      </c>
      <c r="AJ442" s="8">
        <f t="shared" si="211"/>
        <v>14338</v>
      </c>
      <c r="AK442" s="8">
        <v>115719</v>
      </c>
      <c r="AL442" s="8">
        <f t="shared" si="212"/>
        <v>4920</v>
      </c>
      <c r="AM442" s="8">
        <v>251012</v>
      </c>
      <c r="AN442" s="8">
        <f t="shared" si="213"/>
        <v>-1750</v>
      </c>
      <c r="AO442" s="8">
        <v>-135293</v>
      </c>
      <c r="AP442" s="8">
        <f t="shared" si="214"/>
        <v>6670</v>
      </c>
      <c r="AR442" s="8">
        <v>1916328</v>
      </c>
      <c r="AS442" s="8">
        <f t="shared" si="215"/>
        <v>-344</v>
      </c>
      <c r="AT442" s="8">
        <v>302869</v>
      </c>
      <c r="AU442" s="8">
        <f t="shared" si="216"/>
        <v>727</v>
      </c>
      <c r="AV442" s="8">
        <v>115915</v>
      </c>
      <c r="AW442" s="8">
        <f t="shared" si="217"/>
        <v>580</v>
      </c>
      <c r="AX442" s="8">
        <f t="shared" si="192"/>
        <v>186954</v>
      </c>
      <c r="AY442" s="8">
        <f t="shared" si="218"/>
        <v>147</v>
      </c>
      <c r="AZ442" s="8">
        <v>698986</v>
      </c>
      <c r="BA442" s="8">
        <f t="shared" si="219"/>
        <v>12693</v>
      </c>
      <c r="BB442" s="8">
        <v>819922</v>
      </c>
      <c r="BC442" s="8">
        <f t="shared" si="220"/>
        <v>25947</v>
      </c>
      <c r="BD442" s="8">
        <f t="shared" si="193"/>
        <v>-120936</v>
      </c>
      <c r="BE442" s="8">
        <f t="shared" si="221"/>
        <v>-13254</v>
      </c>
      <c r="BF442" s="8">
        <v>327450</v>
      </c>
      <c r="BG442" s="8">
        <f t="shared" si="222"/>
        <v>1561</v>
      </c>
      <c r="BH442" s="8">
        <v>720586</v>
      </c>
      <c r="BI442" s="8">
        <f t="shared" si="223"/>
        <v>15598</v>
      </c>
      <c r="BJ442" s="8">
        <f t="shared" si="194"/>
        <v>-393136</v>
      </c>
      <c r="BK442" s="8">
        <f t="shared" si="196"/>
        <v>-14037</v>
      </c>
    </row>
    <row r="443" spans="1:63">
      <c r="A443" s="5">
        <v>41968</v>
      </c>
      <c r="B443" s="8">
        <v>407617</v>
      </c>
      <c r="C443" s="8">
        <f t="shared" si="197"/>
        <v>-50542</v>
      </c>
      <c r="D443" s="8">
        <v>74588</v>
      </c>
      <c r="E443" s="8">
        <f t="shared" si="198"/>
        <v>5716</v>
      </c>
      <c r="F443" s="8">
        <v>53601</v>
      </c>
      <c r="G443" s="8">
        <f t="shared" si="199"/>
        <v>-7004</v>
      </c>
      <c r="H443" s="8">
        <v>20987</v>
      </c>
      <c r="I443" s="8">
        <f t="shared" si="200"/>
        <v>12720</v>
      </c>
      <c r="J443" s="8">
        <v>164529</v>
      </c>
      <c r="K443" s="8">
        <f t="shared" si="201"/>
        <v>-21099</v>
      </c>
      <c r="L443" s="8">
        <v>230070</v>
      </c>
      <c r="M443" s="8">
        <f t="shared" si="202"/>
        <v>-7452</v>
      </c>
      <c r="N443" s="8">
        <v>-65541</v>
      </c>
      <c r="O443" s="8">
        <f t="shared" si="203"/>
        <v>-13647</v>
      </c>
      <c r="P443" s="8">
        <v>90377</v>
      </c>
      <c r="Q443" s="8">
        <f t="shared" si="204"/>
        <v>-19702</v>
      </c>
      <c r="R443" s="8">
        <v>220083</v>
      </c>
      <c r="S443" s="8">
        <f t="shared" si="205"/>
        <v>-5056</v>
      </c>
      <c r="T443" s="8">
        <v>-129706</v>
      </c>
      <c r="U443" s="8">
        <f t="shared" si="206"/>
        <v>-14646</v>
      </c>
      <c r="W443" s="8">
        <v>444135</v>
      </c>
      <c r="X443" s="8">
        <f t="shared" si="207"/>
        <v>-33185</v>
      </c>
      <c r="Y443" s="8">
        <v>84803</v>
      </c>
      <c r="Z443" s="8">
        <f t="shared" si="208"/>
        <v>2057</v>
      </c>
      <c r="AA443" s="8">
        <v>26830</v>
      </c>
      <c r="AB443" s="8">
        <f t="shared" si="195"/>
        <v>2981</v>
      </c>
      <c r="AC443" s="8">
        <v>57973</v>
      </c>
      <c r="AD443" s="8">
        <f t="shared" si="195"/>
        <v>-924</v>
      </c>
      <c r="AE443" s="8">
        <v>175730</v>
      </c>
      <c r="AF443" s="8">
        <f t="shared" si="209"/>
        <v>-8358</v>
      </c>
      <c r="AG443" s="8">
        <v>274725</v>
      </c>
      <c r="AH443" s="8">
        <f t="shared" si="210"/>
        <v>-6560</v>
      </c>
      <c r="AI443" s="8">
        <v>-98995</v>
      </c>
      <c r="AJ443" s="8">
        <f t="shared" si="211"/>
        <v>-1798</v>
      </c>
      <c r="AK443" s="8">
        <v>112277</v>
      </c>
      <c r="AL443" s="8">
        <f t="shared" si="212"/>
        <v>-3442</v>
      </c>
      <c r="AM443" s="8">
        <v>250867</v>
      </c>
      <c r="AN443" s="8">
        <f t="shared" si="213"/>
        <v>-145</v>
      </c>
      <c r="AO443" s="8">
        <v>-138590</v>
      </c>
      <c r="AP443" s="8">
        <f t="shared" si="214"/>
        <v>-3297</v>
      </c>
      <c r="AR443" s="8">
        <v>1546770</v>
      </c>
      <c r="AS443" s="8">
        <f t="shared" si="215"/>
        <v>-369558</v>
      </c>
      <c r="AT443" s="8">
        <v>311285</v>
      </c>
      <c r="AU443" s="8">
        <f t="shared" si="216"/>
        <v>8416</v>
      </c>
      <c r="AV443" s="8">
        <v>104089</v>
      </c>
      <c r="AW443" s="8">
        <f t="shared" si="217"/>
        <v>-11826</v>
      </c>
      <c r="AX443" s="8">
        <f t="shared" si="192"/>
        <v>207196</v>
      </c>
      <c r="AY443" s="8">
        <f t="shared" si="218"/>
        <v>20242</v>
      </c>
      <c r="AZ443" s="8">
        <v>603196</v>
      </c>
      <c r="BA443" s="8">
        <f t="shared" si="219"/>
        <v>-95790</v>
      </c>
      <c r="BB443" s="8">
        <v>736376</v>
      </c>
      <c r="BC443" s="8">
        <f t="shared" si="220"/>
        <v>-83546</v>
      </c>
      <c r="BD443" s="8">
        <f t="shared" si="193"/>
        <v>-133180</v>
      </c>
      <c r="BE443" s="8">
        <f t="shared" si="221"/>
        <v>-12244</v>
      </c>
      <c r="BF443" s="8">
        <v>272053</v>
      </c>
      <c r="BG443" s="8">
        <f t="shared" si="222"/>
        <v>-55397</v>
      </c>
      <c r="BH443" s="8">
        <v>671366</v>
      </c>
      <c r="BI443" s="8">
        <f t="shared" si="223"/>
        <v>-49220</v>
      </c>
      <c r="BJ443" s="8">
        <f t="shared" si="194"/>
        <v>-399313</v>
      </c>
      <c r="BK443" s="8">
        <f t="shared" si="196"/>
        <v>-6177</v>
      </c>
    </row>
    <row r="444" spans="1:63">
      <c r="A444" s="5">
        <v>41975</v>
      </c>
      <c r="B444" s="8">
        <v>413809</v>
      </c>
      <c r="C444" s="8">
        <f t="shared" si="197"/>
        <v>6192</v>
      </c>
      <c r="D444" s="8">
        <v>72159</v>
      </c>
      <c r="E444" s="8">
        <f t="shared" si="198"/>
        <v>-2429</v>
      </c>
      <c r="F444" s="8">
        <v>59820</v>
      </c>
      <c r="G444" s="8">
        <f t="shared" si="199"/>
        <v>6219</v>
      </c>
      <c r="H444" s="8">
        <v>12339</v>
      </c>
      <c r="I444" s="8">
        <f t="shared" si="200"/>
        <v>-8648</v>
      </c>
      <c r="J444" s="8">
        <v>178275</v>
      </c>
      <c r="K444" s="8">
        <f t="shared" si="201"/>
        <v>13746</v>
      </c>
      <c r="L444" s="8">
        <v>214322</v>
      </c>
      <c r="M444" s="8">
        <f t="shared" si="202"/>
        <v>-15748</v>
      </c>
      <c r="N444" s="8">
        <v>-36047</v>
      </c>
      <c r="O444" s="8">
        <f t="shared" si="203"/>
        <v>29494</v>
      </c>
      <c r="P444" s="8">
        <v>105454</v>
      </c>
      <c r="Q444" s="8">
        <f t="shared" si="204"/>
        <v>15077</v>
      </c>
      <c r="R444" s="8">
        <v>205168</v>
      </c>
      <c r="S444" s="8">
        <f t="shared" si="205"/>
        <v>-14915</v>
      </c>
      <c r="T444" s="8">
        <v>-99714</v>
      </c>
      <c r="U444" s="8">
        <f t="shared" si="206"/>
        <v>29992</v>
      </c>
      <c r="W444" s="8">
        <v>431151</v>
      </c>
      <c r="X444" s="8">
        <f t="shared" si="207"/>
        <v>-12984</v>
      </c>
      <c r="Y444" s="8">
        <v>80973</v>
      </c>
      <c r="Z444" s="8">
        <f t="shared" si="208"/>
        <v>-3830</v>
      </c>
      <c r="AA444" s="8">
        <v>28763</v>
      </c>
      <c r="AB444" s="8">
        <f t="shared" si="195"/>
        <v>1933</v>
      </c>
      <c r="AC444" s="8">
        <v>52210</v>
      </c>
      <c r="AD444" s="8">
        <f t="shared" si="195"/>
        <v>-5763</v>
      </c>
      <c r="AE444" s="8">
        <v>172491</v>
      </c>
      <c r="AF444" s="8">
        <f t="shared" si="209"/>
        <v>-3239</v>
      </c>
      <c r="AG444" s="8">
        <v>262968</v>
      </c>
      <c r="AH444" s="8">
        <f t="shared" si="210"/>
        <v>-11757</v>
      </c>
      <c r="AI444" s="8">
        <v>-90477</v>
      </c>
      <c r="AJ444" s="8">
        <f t="shared" si="211"/>
        <v>8518</v>
      </c>
      <c r="AK444" s="8">
        <v>109322</v>
      </c>
      <c r="AL444" s="8">
        <f t="shared" si="212"/>
        <v>-2955</v>
      </c>
      <c r="AM444" s="8">
        <v>239079</v>
      </c>
      <c r="AN444" s="8">
        <f t="shared" si="213"/>
        <v>-11788</v>
      </c>
      <c r="AO444" s="8">
        <v>-129757</v>
      </c>
      <c r="AP444" s="8">
        <f t="shared" si="214"/>
        <v>8833</v>
      </c>
      <c r="AR444" s="8">
        <v>1536954</v>
      </c>
      <c r="AS444" s="8">
        <f t="shared" si="215"/>
        <v>-9816</v>
      </c>
      <c r="AT444" s="8">
        <v>307262</v>
      </c>
      <c r="AU444" s="8">
        <f t="shared" si="216"/>
        <v>-4023</v>
      </c>
      <c r="AV444" s="8">
        <v>109923</v>
      </c>
      <c r="AW444" s="8">
        <f t="shared" si="217"/>
        <v>5834</v>
      </c>
      <c r="AX444" s="8">
        <f t="shared" si="192"/>
        <v>197339</v>
      </c>
      <c r="AY444" s="8">
        <f t="shared" si="218"/>
        <v>-9857</v>
      </c>
      <c r="AZ444" s="8">
        <v>602521</v>
      </c>
      <c r="BA444" s="8">
        <f t="shared" si="219"/>
        <v>-675</v>
      </c>
      <c r="BB444" s="8">
        <v>723163</v>
      </c>
      <c r="BC444" s="8">
        <f t="shared" si="220"/>
        <v>-13213</v>
      </c>
      <c r="BD444" s="8">
        <f t="shared" si="193"/>
        <v>-120642</v>
      </c>
      <c r="BE444" s="8">
        <f t="shared" si="221"/>
        <v>12538</v>
      </c>
      <c r="BF444" s="8">
        <v>271317</v>
      </c>
      <c r="BG444" s="8">
        <f t="shared" si="222"/>
        <v>-736</v>
      </c>
      <c r="BH444" s="8">
        <v>657483</v>
      </c>
      <c r="BI444" s="8">
        <f t="shared" si="223"/>
        <v>-13883</v>
      </c>
      <c r="BJ444" s="8">
        <f t="shared" si="194"/>
        <v>-386166</v>
      </c>
      <c r="BK444" s="8">
        <f t="shared" si="196"/>
        <v>13147</v>
      </c>
    </row>
    <row r="445" spans="1:63">
      <c r="A445" s="5">
        <v>41982</v>
      </c>
      <c r="B445" s="8">
        <v>406681</v>
      </c>
      <c r="C445" s="8">
        <f t="shared" si="197"/>
        <v>-7128</v>
      </c>
      <c r="D445" s="8">
        <v>70912</v>
      </c>
      <c r="E445" s="8">
        <f t="shared" si="198"/>
        <v>-1247</v>
      </c>
      <c r="F445" s="8">
        <v>58670</v>
      </c>
      <c r="G445" s="8">
        <f t="shared" si="199"/>
        <v>-1150</v>
      </c>
      <c r="H445" s="8">
        <v>12242</v>
      </c>
      <c r="I445" s="8">
        <f t="shared" si="200"/>
        <v>-97</v>
      </c>
      <c r="J445" s="8">
        <v>169963</v>
      </c>
      <c r="K445" s="8">
        <f t="shared" si="201"/>
        <v>-8312</v>
      </c>
      <c r="L445" s="8">
        <v>207989</v>
      </c>
      <c r="M445" s="8">
        <f t="shared" si="202"/>
        <v>-6333</v>
      </c>
      <c r="N445" s="8">
        <v>-38026</v>
      </c>
      <c r="O445" s="8">
        <f t="shared" si="203"/>
        <v>-1979</v>
      </c>
      <c r="P445" s="8">
        <v>99600</v>
      </c>
      <c r="Q445" s="8">
        <f t="shared" si="204"/>
        <v>-5854</v>
      </c>
      <c r="R445" s="8">
        <v>200589</v>
      </c>
      <c r="S445" s="8">
        <f t="shared" si="205"/>
        <v>-4579</v>
      </c>
      <c r="T445" s="8">
        <v>-100989</v>
      </c>
      <c r="U445" s="8">
        <f t="shared" si="206"/>
        <v>-1275</v>
      </c>
      <c r="W445" s="8">
        <v>420182</v>
      </c>
      <c r="X445" s="8">
        <f t="shared" si="207"/>
        <v>-10969</v>
      </c>
      <c r="Y445" s="8">
        <v>80223</v>
      </c>
      <c r="Z445" s="8">
        <f t="shared" si="208"/>
        <v>-750</v>
      </c>
      <c r="AA445" s="8">
        <v>31047</v>
      </c>
      <c r="AB445" s="8">
        <f t="shared" si="195"/>
        <v>2284</v>
      </c>
      <c r="AC445" s="8">
        <v>49176</v>
      </c>
      <c r="AD445" s="8">
        <f t="shared" si="195"/>
        <v>-3034</v>
      </c>
      <c r="AE445" s="8">
        <v>164071</v>
      </c>
      <c r="AF445" s="8">
        <f t="shared" si="209"/>
        <v>-8420</v>
      </c>
      <c r="AG445" s="8">
        <v>252910</v>
      </c>
      <c r="AH445" s="8">
        <f t="shared" si="210"/>
        <v>-10058</v>
      </c>
      <c r="AI445" s="8">
        <v>-88839</v>
      </c>
      <c r="AJ445" s="8">
        <f t="shared" si="211"/>
        <v>1638</v>
      </c>
      <c r="AK445" s="8">
        <v>105419</v>
      </c>
      <c r="AL445" s="8">
        <f t="shared" si="212"/>
        <v>-3903</v>
      </c>
      <c r="AM445" s="8">
        <v>232038</v>
      </c>
      <c r="AN445" s="8">
        <f t="shared" si="213"/>
        <v>-7041</v>
      </c>
      <c r="AO445" s="8">
        <v>-126619</v>
      </c>
      <c r="AP445" s="8">
        <f t="shared" si="214"/>
        <v>3138</v>
      </c>
      <c r="AR445" s="8">
        <v>1569234</v>
      </c>
      <c r="AS445" s="8">
        <f t="shared" si="215"/>
        <v>32280</v>
      </c>
      <c r="AT445" s="8">
        <v>317848</v>
      </c>
      <c r="AU445" s="8">
        <f t="shared" si="216"/>
        <v>10586</v>
      </c>
      <c r="AV445" s="8">
        <v>87654</v>
      </c>
      <c r="AW445" s="8">
        <f t="shared" si="217"/>
        <v>-22269</v>
      </c>
      <c r="AX445" s="8">
        <f t="shared" si="192"/>
        <v>230194</v>
      </c>
      <c r="AY445" s="8">
        <f t="shared" si="218"/>
        <v>32855</v>
      </c>
      <c r="AZ445" s="8">
        <v>606710</v>
      </c>
      <c r="BA445" s="8">
        <f t="shared" si="219"/>
        <v>4189</v>
      </c>
      <c r="BB445" s="8">
        <v>777088</v>
      </c>
      <c r="BC445" s="8">
        <f t="shared" si="220"/>
        <v>53925</v>
      </c>
      <c r="BD445" s="8">
        <f t="shared" si="193"/>
        <v>-170378</v>
      </c>
      <c r="BE445" s="8">
        <f t="shared" si="221"/>
        <v>-49736</v>
      </c>
      <c r="BF445" s="8">
        <v>273508</v>
      </c>
      <c r="BG445" s="8">
        <f t="shared" si="222"/>
        <v>2191</v>
      </c>
      <c r="BH445" s="8">
        <v>708656</v>
      </c>
      <c r="BI445" s="8">
        <f t="shared" si="223"/>
        <v>51173</v>
      </c>
      <c r="BJ445" s="8">
        <f t="shared" si="194"/>
        <v>-435148</v>
      </c>
      <c r="BK445" s="8">
        <f t="shared" si="196"/>
        <v>-48982</v>
      </c>
    </row>
    <row r="446" spans="1:63">
      <c r="A446" s="5">
        <v>41989</v>
      </c>
      <c r="B446" s="8">
        <v>400467</v>
      </c>
      <c r="C446" s="8">
        <f t="shared" si="197"/>
        <v>-6214</v>
      </c>
      <c r="D446" s="8">
        <v>71282</v>
      </c>
      <c r="E446" s="8">
        <f t="shared" si="198"/>
        <v>370</v>
      </c>
      <c r="F446" s="8">
        <v>52464</v>
      </c>
      <c r="G446" s="8">
        <f t="shared" si="199"/>
        <v>-6206</v>
      </c>
      <c r="H446" s="8">
        <v>18818</v>
      </c>
      <c r="I446" s="8">
        <f t="shared" si="200"/>
        <v>6576</v>
      </c>
      <c r="J446" s="8">
        <v>169208</v>
      </c>
      <c r="K446" s="8">
        <f t="shared" si="201"/>
        <v>-755</v>
      </c>
      <c r="L446" s="8">
        <v>208737</v>
      </c>
      <c r="M446" s="8">
        <f t="shared" si="202"/>
        <v>748</v>
      </c>
      <c r="N446" s="8">
        <v>-39529</v>
      </c>
      <c r="O446" s="8">
        <f t="shared" si="203"/>
        <v>-1503</v>
      </c>
      <c r="P446" s="8">
        <v>99928</v>
      </c>
      <c r="Q446" s="8">
        <f t="shared" si="204"/>
        <v>328</v>
      </c>
      <c r="R446" s="8">
        <v>202652</v>
      </c>
      <c r="S446" s="8">
        <f t="shared" si="205"/>
        <v>2063</v>
      </c>
      <c r="T446" s="8">
        <v>-102724</v>
      </c>
      <c r="U446" s="8">
        <f t="shared" si="206"/>
        <v>-1735</v>
      </c>
      <c r="W446" s="8">
        <v>426697</v>
      </c>
      <c r="X446" s="8">
        <f t="shared" si="207"/>
        <v>6515</v>
      </c>
      <c r="Y446" s="8">
        <v>76587</v>
      </c>
      <c r="Z446" s="8">
        <f t="shared" si="208"/>
        <v>-3636</v>
      </c>
      <c r="AA446" s="8">
        <v>33971</v>
      </c>
      <c r="AB446" s="8">
        <f t="shared" si="195"/>
        <v>2924</v>
      </c>
      <c r="AC446" s="8">
        <v>42616</v>
      </c>
      <c r="AD446" s="8">
        <f t="shared" si="195"/>
        <v>-6560</v>
      </c>
      <c r="AE446" s="8">
        <v>172533</v>
      </c>
      <c r="AF446" s="8">
        <f t="shared" si="209"/>
        <v>8462</v>
      </c>
      <c r="AG446" s="8">
        <v>252649</v>
      </c>
      <c r="AH446" s="8">
        <f t="shared" si="210"/>
        <v>-261</v>
      </c>
      <c r="AI446" s="8">
        <v>-80116</v>
      </c>
      <c r="AJ446" s="8">
        <f t="shared" si="211"/>
        <v>8723</v>
      </c>
      <c r="AK446" s="8">
        <v>113200</v>
      </c>
      <c r="AL446" s="8">
        <f t="shared" si="212"/>
        <v>7781</v>
      </c>
      <c r="AM446" s="8">
        <v>232890</v>
      </c>
      <c r="AN446" s="8">
        <f t="shared" si="213"/>
        <v>852</v>
      </c>
      <c r="AO446" s="8">
        <v>-119690</v>
      </c>
      <c r="AP446" s="8">
        <f t="shared" si="214"/>
        <v>6929</v>
      </c>
      <c r="AR446" s="8">
        <v>1619574</v>
      </c>
      <c r="AS446" s="8">
        <f t="shared" si="215"/>
        <v>50340</v>
      </c>
      <c r="AT446" s="8">
        <v>311880</v>
      </c>
      <c r="AU446" s="8">
        <f t="shared" si="216"/>
        <v>-5968</v>
      </c>
      <c r="AV446" s="8">
        <v>75710</v>
      </c>
      <c r="AW446" s="8">
        <f t="shared" si="217"/>
        <v>-11944</v>
      </c>
      <c r="AX446" s="8">
        <f t="shared" si="192"/>
        <v>236170</v>
      </c>
      <c r="AY446" s="8">
        <f t="shared" si="218"/>
        <v>5976</v>
      </c>
      <c r="AZ446" s="8">
        <v>627071</v>
      </c>
      <c r="BA446" s="8">
        <f t="shared" si="219"/>
        <v>20361</v>
      </c>
      <c r="BB446" s="8">
        <v>808859</v>
      </c>
      <c r="BC446" s="8">
        <f t="shared" si="220"/>
        <v>31771</v>
      </c>
      <c r="BD446" s="8">
        <f t="shared" si="193"/>
        <v>-181788</v>
      </c>
      <c r="BE446" s="8">
        <f t="shared" si="221"/>
        <v>-11410</v>
      </c>
      <c r="BF446" s="8">
        <v>295207</v>
      </c>
      <c r="BG446" s="8">
        <f t="shared" si="222"/>
        <v>21699</v>
      </c>
      <c r="BH446" s="8">
        <v>741884</v>
      </c>
      <c r="BI446" s="8">
        <f t="shared" si="223"/>
        <v>33228</v>
      </c>
      <c r="BJ446" s="8">
        <f t="shared" si="194"/>
        <v>-446677</v>
      </c>
      <c r="BK446" s="8">
        <f t="shared" si="196"/>
        <v>-11529</v>
      </c>
    </row>
    <row r="447" spans="1:63">
      <c r="A447" s="5">
        <v>41996</v>
      </c>
      <c r="B447" s="8">
        <v>388078</v>
      </c>
      <c r="C447" s="8">
        <f t="shared" si="197"/>
        <v>-12389</v>
      </c>
      <c r="D447" s="8">
        <v>70926</v>
      </c>
      <c r="E447" s="8">
        <f t="shared" si="198"/>
        <v>-356</v>
      </c>
      <c r="F447" s="8">
        <v>50235</v>
      </c>
      <c r="G447" s="8">
        <f t="shared" si="199"/>
        <v>-2229</v>
      </c>
      <c r="H447" s="8">
        <v>20691</v>
      </c>
      <c r="I447" s="8">
        <f t="shared" si="200"/>
        <v>1873</v>
      </c>
      <c r="J447" s="8">
        <v>160483</v>
      </c>
      <c r="K447" s="8">
        <f t="shared" si="201"/>
        <v>-8725</v>
      </c>
      <c r="L447" s="8">
        <v>206567</v>
      </c>
      <c r="M447" s="8">
        <f t="shared" si="202"/>
        <v>-2170</v>
      </c>
      <c r="N447" s="8">
        <v>-46084</v>
      </c>
      <c r="O447" s="8">
        <f t="shared" si="203"/>
        <v>-6555</v>
      </c>
      <c r="P447" s="8">
        <v>92088</v>
      </c>
      <c r="Q447" s="8">
        <f t="shared" si="204"/>
        <v>-7840</v>
      </c>
      <c r="R447" s="8">
        <v>199354</v>
      </c>
      <c r="S447" s="8">
        <f t="shared" si="205"/>
        <v>-3298</v>
      </c>
      <c r="T447" s="8">
        <v>-107266</v>
      </c>
      <c r="U447" s="8">
        <f t="shared" si="206"/>
        <v>-4542</v>
      </c>
      <c r="W447" s="8">
        <v>427032</v>
      </c>
      <c r="X447" s="8">
        <f t="shared" si="207"/>
        <v>335</v>
      </c>
      <c r="Y447" s="8">
        <v>84216</v>
      </c>
      <c r="Z447" s="8">
        <f t="shared" si="208"/>
        <v>7629</v>
      </c>
      <c r="AA447" s="8">
        <v>33868</v>
      </c>
      <c r="AB447" s="8">
        <f t="shared" si="195"/>
        <v>-103</v>
      </c>
      <c r="AC447" s="8">
        <v>50348</v>
      </c>
      <c r="AD447" s="8">
        <f t="shared" si="195"/>
        <v>7732</v>
      </c>
      <c r="AE447" s="8">
        <v>169255</v>
      </c>
      <c r="AF447" s="8">
        <f t="shared" si="209"/>
        <v>-3278</v>
      </c>
      <c r="AG447" s="8">
        <v>255462</v>
      </c>
      <c r="AH447" s="8">
        <f t="shared" si="210"/>
        <v>2813</v>
      </c>
      <c r="AI447" s="8">
        <v>-86207</v>
      </c>
      <c r="AJ447" s="8">
        <f t="shared" si="211"/>
        <v>-6091</v>
      </c>
      <c r="AK447" s="8">
        <v>112940</v>
      </c>
      <c r="AL447" s="8">
        <f t="shared" si="212"/>
        <v>-260</v>
      </c>
      <c r="AM447" s="8">
        <v>238617</v>
      </c>
      <c r="AN447" s="8">
        <f t="shared" si="213"/>
        <v>5727</v>
      </c>
      <c r="AO447" s="8">
        <v>-125677</v>
      </c>
      <c r="AP447" s="8">
        <f t="shared" si="214"/>
        <v>-5987</v>
      </c>
      <c r="AR447" s="8">
        <v>1637415</v>
      </c>
      <c r="AS447" s="8">
        <f t="shared" si="215"/>
        <v>17841</v>
      </c>
      <c r="AT447" s="8">
        <v>308411</v>
      </c>
      <c r="AU447" s="8">
        <f t="shared" si="216"/>
        <v>-3469</v>
      </c>
      <c r="AV447" s="8">
        <v>63989</v>
      </c>
      <c r="AW447" s="8">
        <f t="shared" si="217"/>
        <v>-11721</v>
      </c>
      <c r="AX447" s="8">
        <f t="shared" si="192"/>
        <v>244422</v>
      </c>
      <c r="AY447" s="8">
        <f t="shared" si="218"/>
        <v>8252</v>
      </c>
      <c r="AZ447" s="8">
        <v>631761</v>
      </c>
      <c r="BA447" s="8">
        <f t="shared" si="219"/>
        <v>4690</v>
      </c>
      <c r="BB447" s="8">
        <v>824706</v>
      </c>
      <c r="BC447" s="8">
        <f t="shared" si="220"/>
        <v>15847</v>
      </c>
      <c r="BD447" s="8">
        <f t="shared" si="193"/>
        <v>-192945</v>
      </c>
      <c r="BE447" s="8">
        <f t="shared" si="221"/>
        <v>-11157</v>
      </c>
      <c r="BF447" s="8">
        <v>300161</v>
      </c>
      <c r="BG447" s="8">
        <f t="shared" si="222"/>
        <v>4954</v>
      </c>
      <c r="BH447" s="8">
        <v>756792</v>
      </c>
      <c r="BI447" s="8">
        <f t="shared" si="223"/>
        <v>14908</v>
      </c>
      <c r="BJ447" s="8">
        <f t="shared" si="194"/>
        <v>-456631</v>
      </c>
      <c r="BK447" s="8">
        <f t="shared" si="196"/>
        <v>-9954</v>
      </c>
    </row>
    <row r="448" spans="1:63">
      <c r="A448" s="5">
        <v>42003</v>
      </c>
      <c r="B448" s="8">
        <v>384384</v>
      </c>
      <c r="C448" s="8">
        <f t="shared" si="197"/>
        <v>-3694</v>
      </c>
      <c r="D448" s="8">
        <v>78215</v>
      </c>
      <c r="E448" s="8">
        <f t="shared" si="198"/>
        <v>7289</v>
      </c>
      <c r="F448" s="8">
        <v>43168</v>
      </c>
      <c r="G448" s="8">
        <f t="shared" si="199"/>
        <v>-7067</v>
      </c>
      <c r="H448" s="8">
        <v>35047</v>
      </c>
      <c r="I448" s="8">
        <f t="shared" si="200"/>
        <v>14356</v>
      </c>
      <c r="J448" s="8">
        <v>156716</v>
      </c>
      <c r="K448" s="8">
        <f t="shared" si="201"/>
        <v>-3767</v>
      </c>
      <c r="L448" s="8">
        <v>219771</v>
      </c>
      <c r="M448" s="8">
        <f t="shared" si="202"/>
        <v>13204</v>
      </c>
      <c r="N448" s="8">
        <v>-63055</v>
      </c>
      <c r="O448" s="8">
        <f t="shared" si="203"/>
        <v>-16971</v>
      </c>
      <c r="P448" s="8">
        <v>86351</v>
      </c>
      <c r="Q448" s="8">
        <f t="shared" si="204"/>
        <v>-5737</v>
      </c>
      <c r="R448" s="8">
        <v>207056</v>
      </c>
      <c r="S448" s="8">
        <f t="shared" si="205"/>
        <v>7702</v>
      </c>
      <c r="T448" s="8">
        <v>-120705</v>
      </c>
      <c r="U448" s="8">
        <f t="shared" si="206"/>
        <v>-13439</v>
      </c>
      <c r="W448" s="8">
        <v>400585</v>
      </c>
      <c r="X448" s="8">
        <f t="shared" si="207"/>
        <v>-26447</v>
      </c>
      <c r="Y448" s="8">
        <v>86869</v>
      </c>
      <c r="Z448" s="8">
        <f t="shared" si="208"/>
        <v>2653</v>
      </c>
      <c r="AA448" s="8">
        <v>32737</v>
      </c>
      <c r="AB448" s="8">
        <f t="shared" si="195"/>
        <v>-1131</v>
      </c>
      <c r="AC448" s="8">
        <v>54132</v>
      </c>
      <c r="AD448" s="8">
        <f t="shared" si="195"/>
        <v>3784</v>
      </c>
      <c r="AE448" s="8">
        <v>152999</v>
      </c>
      <c r="AF448" s="8">
        <f t="shared" si="209"/>
        <v>-16256</v>
      </c>
      <c r="AG448" s="8">
        <v>245018</v>
      </c>
      <c r="AH448" s="8">
        <f t="shared" si="210"/>
        <v>-10444</v>
      </c>
      <c r="AI448" s="8">
        <v>-92019</v>
      </c>
      <c r="AJ448" s="8">
        <f t="shared" si="211"/>
        <v>-5812</v>
      </c>
      <c r="AK448" s="8">
        <v>100284</v>
      </c>
      <c r="AL448" s="8">
        <f t="shared" si="212"/>
        <v>-12656</v>
      </c>
      <c r="AM448" s="8">
        <v>231781</v>
      </c>
      <c r="AN448" s="8">
        <f t="shared" si="213"/>
        <v>-6836</v>
      </c>
      <c r="AO448" s="8">
        <v>-131497</v>
      </c>
      <c r="AP448" s="8">
        <f t="shared" si="214"/>
        <v>-5820</v>
      </c>
      <c r="AR448" s="8">
        <v>1584175</v>
      </c>
      <c r="AS448" s="8">
        <f t="shared" si="215"/>
        <v>-53240</v>
      </c>
      <c r="AT448" s="8">
        <v>308712</v>
      </c>
      <c r="AU448" s="8">
        <f t="shared" si="216"/>
        <v>301</v>
      </c>
      <c r="AV448" s="8">
        <v>69008</v>
      </c>
      <c r="AW448" s="8">
        <f t="shared" si="217"/>
        <v>5019</v>
      </c>
      <c r="AX448" s="8">
        <f t="shared" si="192"/>
        <v>239704</v>
      </c>
      <c r="AY448" s="8">
        <f t="shared" si="218"/>
        <v>-4718</v>
      </c>
      <c r="AZ448" s="8">
        <v>630769</v>
      </c>
      <c r="BA448" s="8">
        <f t="shared" si="219"/>
        <v>-992</v>
      </c>
      <c r="BB448" s="8">
        <v>809199</v>
      </c>
      <c r="BC448" s="8">
        <f t="shared" si="220"/>
        <v>-15507</v>
      </c>
      <c r="BD448" s="8">
        <f t="shared" si="193"/>
        <v>-178430</v>
      </c>
      <c r="BE448" s="8">
        <f t="shared" si="221"/>
        <v>14515</v>
      </c>
      <c r="BF448" s="8">
        <v>301118</v>
      </c>
      <c r="BG448" s="8">
        <f t="shared" si="222"/>
        <v>957</v>
      </c>
      <c r="BH448" s="8">
        <v>741368</v>
      </c>
      <c r="BI448" s="8">
        <f t="shared" si="223"/>
        <v>-15424</v>
      </c>
      <c r="BJ448" s="8">
        <f t="shared" si="194"/>
        <v>-440250</v>
      </c>
      <c r="BK448" s="8">
        <f t="shared" si="196"/>
        <v>16381</v>
      </c>
    </row>
    <row r="449" spans="1:63">
      <c r="A449" s="5">
        <v>42010</v>
      </c>
      <c r="B449" s="8">
        <v>385769</v>
      </c>
      <c r="C449" s="8">
        <f t="shared" si="197"/>
        <v>1385</v>
      </c>
      <c r="D449" s="8">
        <v>79754</v>
      </c>
      <c r="E449" s="8">
        <f t="shared" si="198"/>
        <v>1539</v>
      </c>
      <c r="F449" s="8">
        <v>41459</v>
      </c>
      <c r="G449" s="8">
        <f t="shared" si="199"/>
        <v>-1709</v>
      </c>
      <c r="H449" s="8">
        <v>38295</v>
      </c>
      <c r="I449" s="8">
        <f t="shared" si="200"/>
        <v>3248</v>
      </c>
      <c r="J449" s="8">
        <v>157621</v>
      </c>
      <c r="K449" s="8">
        <f t="shared" si="201"/>
        <v>905</v>
      </c>
      <c r="L449" s="8">
        <v>222951</v>
      </c>
      <c r="M449" s="8">
        <f t="shared" si="202"/>
        <v>3180</v>
      </c>
      <c r="N449" s="8">
        <v>-65330</v>
      </c>
      <c r="O449" s="8">
        <f t="shared" si="203"/>
        <v>-2275</v>
      </c>
      <c r="P449" s="8">
        <v>85699</v>
      </c>
      <c r="Q449" s="8">
        <f t="shared" si="204"/>
        <v>-652</v>
      </c>
      <c r="R449" s="8">
        <v>209075</v>
      </c>
      <c r="S449" s="8">
        <f t="shared" si="205"/>
        <v>2019</v>
      </c>
      <c r="T449" s="8">
        <v>-123376</v>
      </c>
      <c r="U449" s="8">
        <f t="shared" si="206"/>
        <v>-2671</v>
      </c>
      <c r="W449" s="8">
        <v>394898</v>
      </c>
      <c r="X449" s="8">
        <f t="shared" si="207"/>
        <v>-5687</v>
      </c>
      <c r="Y449" s="8">
        <v>81280</v>
      </c>
      <c r="Z449" s="8">
        <f t="shared" si="208"/>
        <v>-5589</v>
      </c>
      <c r="AA449" s="8">
        <v>33835</v>
      </c>
      <c r="AB449" s="8">
        <f t="shared" si="195"/>
        <v>1098</v>
      </c>
      <c r="AC449" s="8">
        <v>47445</v>
      </c>
      <c r="AD449" s="8">
        <f t="shared" si="195"/>
        <v>-6687</v>
      </c>
      <c r="AE449" s="8">
        <v>151299</v>
      </c>
      <c r="AF449" s="8">
        <f t="shared" si="209"/>
        <v>-1700</v>
      </c>
      <c r="AG449" s="8">
        <v>236946</v>
      </c>
      <c r="AH449" s="8">
        <f t="shared" si="210"/>
        <v>-8072</v>
      </c>
      <c r="AI449" s="8">
        <v>-85647</v>
      </c>
      <c r="AJ449" s="8">
        <f t="shared" si="211"/>
        <v>6372</v>
      </c>
      <c r="AK449" s="8">
        <v>97960</v>
      </c>
      <c r="AL449" s="8">
        <f t="shared" si="212"/>
        <v>-2324</v>
      </c>
      <c r="AM449" s="8">
        <v>223028</v>
      </c>
      <c r="AN449" s="8">
        <f t="shared" si="213"/>
        <v>-8753</v>
      </c>
      <c r="AO449" s="8">
        <v>-125068</v>
      </c>
      <c r="AP449" s="8">
        <f t="shared" si="214"/>
        <v>6429</v>
      </c>
      <c r="AR449" s="8">
        <v>1633720</v>
      </c>
      <c r="AS449" s="8">
        <f t="shared" si="215"/>
        <v>49545</v>
      </c>
      <c r="AT449" s="8">
        <v>308704</v>
      </c>
      <c r="AU449" s="8">
        <f t="shared" si="216"/>
        <v>-8</v>
      </c>
      <c r="AV449" s="8">
        <v>82069</v>
      </c>
      <c r="AW449" s="8">
        <f t="shared" si="217"/>
        <v>13061</v>
      </c>
      <c r="AX449" s="8">
        <f t="shared" si="192"/>
        <v>226635</v>
      </c>
      <c r="AY449" s="8">
        <f t="shared" si="218"/>
        <v>-13069</v>
      </c>
      <c r="AZ449" s="8">
        <v>659940</v>
      </c>
      <c r="BA449" s="8">
        <f t="shared" si="219"/>
        <v>29171</v>
      </c>
      <c r="BB449" s="8">
        <v>814718</v>
      </c>
      <c r="BC449" s="8">
        <f t="shared" si="220"/>
        <v>5519</v>
      </c>
      <c r="BD449" s="8">
        <f t="shared" si="193"/>
        <v>-154778</v>
      </c>
      <c r="BE449" s="8">
        <f t="shared" si="221"/>
        <v>23652</v>
      </c>
      <c r="BF449" s="8">
        <v>330511</v>
      </c>
      <c r="BG449" s="8">
        <f t="shared" si="222"/>
        <v>29393</v>
      </c>
      <c r="BH449" s="8">
        <v>741368</v>
      </c>
      <c r="BI449" s="8">
        <f t="shared" si="223"/>
        <v>0</v>
      </c>
      <c r="BJ449" s="8">
        <f t="shared" si="194"/>
        <v>-410857</v>
      </c>
      <c r="BK449" s="8">
        <f t="shared" si="196"/>
        <v>29393</v>
      </c>
    </row>
    <row r="450" spans="1:63">
      <c r="A450" s="5">
        <v>42017</v>
      </c>
      <c r="B450" s="8">
        <v>386062</v>
      </c>
      <c r="C450" s="8">
        <f t="shared" si="197"/>
        <v>293</v>
      </c>
      <c r="D450" s="8">
        <v>84478</v>
      </c>
      <c r="E450" s="8">
        <f t="shared" si="198"/>
        <v>4724</v>
      </c>
      <c r="F450" s="8">
        <v>35308</v>
      </c>
      <c r="G450" s="8">
        <f t="shared" si="199"/>
        <v>-6151</v>
      </c>
      <c r="H450" s="8">
        <v>49170</v>
      </c>
      <c r="I450" s="8">
        <f t="shared" si="200"/>
        <v>10875</v>
      </c>
      <c r="J450" s="8">
        <v>150184</v>
      </c>
      <c r="K450" s="8">
        <f t="shared" si="201"/>
        <v>-7437</v>
      </c>
      <c r="L450" s="8">
        <v>232348</v>
      </c>
      <c r="M450" s="8">
        <f t="shared" si="202"/>
        <v>9397</v>
      </c>
      <c r="N450" s="8">
        <v>-82164</v>
      </c>
      <c r="O450" s="8">
        <f t="shared" si="203"/>
        <v>-16834</v>
      </c>
      <c r="P450" s="8">
        <v>86240</v>
      </c>
      <c r="Q450" s="8">
        <f t="shared" si="204"/>
        <v>541</v>
      </c>
      <c r="R450" s="8">
        <v>222077</v>
      </c>
      <c r="S450" s="8">
        <f t="shared" si="205"/>
        <v>13002</v>
      </c>
      <c r="T450" s="8">
        <v>-135837</v>
      </c>
      <c r="U450" s="8">
        <f t="shared" si="206"/>
        <v>-12461</v>
      </c>
      <c r="W450" s="8">
        <v>403722</v>
      </c>
      <c r="X450" s="8">
        <f t="shared" si="207"/>
        <v>8824</v>
      </c>
      <c r="Y450" s="8">
        <v>70030</v>
      </c>
      <c r="Z450" s="8">
        <f t="shared" si="208"/>
        <v>-11250</v>
      </c>
      <c r="AA450" s="8">
        <v>38580</v>
      </c>
      <c r="AB450" s="8">
        <f t="shared" si="195"/>
        <v>4745</v>
      </c>
      <c r="AC450" s="8">
        <v>31450</v>
      </c>
      <c r="AD450" s="8">
        <f t="shared" si="195"/>
        <v>-15995</v>
      </c>
      <c r="AE450" s="8">
        <v>164161</v>
      </c>
      <c r="AF450" s="8">
        <f t="shared" si="209"/>
        <v>12862</v>
      </c>
      <c r="AG450" s="8">
        <v>229476</v>
      </c>
      <c r="AH450" s="8">
        <f t="shared" si="210"/>
        <v>-7470</v>
      </c>
      <c r="AI450" s="8">
        <v>-65315</v>
      </c>
      <c r="AJ450" s="8">
        <f t="shared" si="211"/>
        <v>20332</v>
      </c>
      <c r="AK450" s="8">
        <v>109668</v>
      </c>
      <c r="AL450" s="8">
        <f t="shared" si="212"/>
        <v>11708</v>
      </c>
      <c r="AM450" s="8">
        <v>215355</v>
      </c>
      <c r="AN450" s="8">
        <f t="shared" si="213"/>
        <v>-7673</v>
      </c>
      <c r="AO450" s="8">
        <v>-105687</v>
      </c>
      <c r="AP450" s="8">
        <f t="shared" si="214"/>
        <v>19381</v>
      </c>
      <c r="AR450" s="8">
        <v>1685156</v>
      </c>
      <c r="AS450" s="8">
        <f t="shared" si="215"/>
        <v>51436</v>
      </c>
      <c r="AT450" s="8">
        <v>299813</v>
      </c>
      <c r="AU450" s="8">
        <f t="shared" si="216"/>
        <v>-8891</v>
      </c>
      <c r="AV450" s="8">
        <v>95202</v>
      </c>
      <c r="AW450" s="8">
        <f t="shared" si="217"/>
        <v>13133</v>
      </c>
      <c r="AX450" s="8">
        <f t="shared" si="192"/>
        <v>204611</v>
      </c>
      <c r="AY450" s="8">
        <f t="shared" si="218"/>
        <v>-22024</v>
      </c>
      <c r="AZ450" s="8">
        <v>690333</v>
      </c>
      <c r="BA450" s="8">
        <f t="shared" si="219"/>
        <v>30393</v>
      </c>
      <c r="BB450" s="8">
        <v>802596</v>
      </c>
      <c r="BC450" s="8">
        <f t="shared" si="220"/>
        <v>-12122</v>
      </c>
      <c r="BD450" s="8">
        <f t="shared" si="193"/>
        <v>-112263</v>
      </c>
      <c r="BE450" s="8">
        <f t="shared" si="221"/>
        <v>42515</v>
      </c>
      <c r="BF450" s="8">
        <v>362510</v>
      </c>
      <c r="BG450" s="8">
        <f t="shared" si="222"/>
        <v>31999</v>
      </c>
      <c r="BH450" s="8">
        <v>700145</v>
      </c>
      <c r="BI450" s="8">
        <f t="shared" si="223"/>
        <v>-41223</v>
      </c>
      <c r="BJ450" s="8">
        <f t="shared" si="194"/>
        <v>-337635</v>
      </c>
      <c r="BK450" s="8">
        <f t="shared" si="196"/>
        <v>73222</v>
      </c>
    </row>
    <row r="451" spans="1:63">
      <c r="A451" s="5">
        <v>42024</v>
      </c>
      <c r="B451" s="8">
        <v>392546</v>
      </c>
      <c r="C451" s="8">
        <f t="shared" si="197"/>
        <v>6484</v>
      </c>
      <c r="D451" s="8">
        <v>85848</v>
      </c>
      <c r="E451" s="8">
        <f t="shared" si="198"/>
        <v>1370</v>
      </c>
      <c r="F451" s="8">
        <v>33880</v>
      </c>
      <c r="G451" s="8">
        <f t="shared" si="199"/>
        <v>-1428</v>
      </c>
      <c r="H451" s="8">
        <v>51968</v>
      </c>
      <c r="I451" s="8">
        <f t="shared" si="200"/>
        <v>2798</v>
      </c>
      <c r="J451" s="8">
        <v>151676</v>
      </c>
      <c r="K451" s="8">
        <f t="shared" si="201"/>
        <v>1492</v>
      </c>
      <c r="L451" s="8">
        <v>237785</v>
      </c>
      <c r="M451" s="8">
        <f t="shared" si="202"/>
        <v>5437</v>
      </c>
      <c r="N451" s="8">
        <v>-86109</v>
      </c>
      <c r="O451" s="8">
        <f t="shared" si="203"/>
        <v>-3945</v>
      </c>
      <c r="P451" s="8">
        <v>88359</v>
      </c>
      <c r="Q451" s="8">
        <f t="shared" si="204"/>
        <v>2119</v>
      </c>
      <c r="R451" s="8">
        <v>230134</v>
      </c>
      <c r="S451" s="8">
        <f t="shared" si="205"/>
        <v>8057</v>
      </c>
      <c r="T451" s="8">
        <v>-141775</v>
      </c>
      <c r="U451" s="8">
        <f t="shared" si="206"/>
        <v>-5938</v>
      </c>
      <c r="W451" s="8">
        <v>416650</v>
      </c>
      <c r="X451" s="8">
        <f t="shared" si="207"/>
        <v>12928</v>
      </c>
      <c r="Y451" s="8">
        <v>69351</v>
      </c>
      <c r="Z451" s="8">
        <f t="shared" si="208"/>
        <v>-679</v>
      </c>
      <c r="AA451" s="8">
        <v>40768</v>
      </c>
      <c r="AB451" s="8">
        <f t="shared" si="195"/>
        <v>2188</v>
      </c>
      <c r="AC451" s="8">
        <v>28583</v>
      </c>
      <c r="AD451" s="8">
        <f t="shared" si="195"/>
        <v>-2867</v>
      </c>
      <c r="AE451" s="8">
        <v>175911</v>
      </c>
      <c r="AF451" s="8">
        <f t="shared" si="209"/>
        <v>11750</v>
      </c>
      <c r="AG451" s="8">
        <v>227528</v>
      </c>
      <c r="AH451" s="8">
        <f t="shared" si="210"/>
        <v>-1948</v>
      </c>
      <c r="AI451" s="8">
        <v>-51617</v>
      </c>
      <c r="AJ451" s="8">
        <f t="shared" si="211"/>
        <v>13698</v>
      </c>
      <c r="AK451" s="8">
        <v>119031</v>
      </c>
      <c r="AL451" s="8">
        <f t="shared" si="212"/>
        <v>9363</v>
      </c>
      <c r="AM451" s="8">
        <v>212616</v>
      </c>
      <c r="AN451" s="8">
        <f t="shared" si="213"/>
        <v>-2739</v>
      </c>
      <c r="AO451" s="8">
        <v>-93585</v>
      </c>
      <c r="AP451" s="8">
        <f t="shared" si="214"/>
        <v>12102</v>
      </c>
      <c r="AR451" s="8">
        <v>1716624</v>
      </c>
      <c r="AS451" s="8">
        <f t="shared" si="215"/>
        <v>31468</v>
      </c>
      <c r="AT451" s="8">
        <v>296630</v>
      </c>
      <c r="AU451" s="8">
        <f t="shared" si="216"/>
        <v>-3183</v>
      </c>
      <c r="AV451" s="8">
        <v>99612</v>
      </c>
      <c r="AW451" s="8">
        <f t="shared" si="217"/>
        <v>4410</v>
      </c>
      <c r="AX451" s="8">
        <f t="shared" si="192"/>
        <v>197018</v>
      </c>
      <c r="AY451" s="8">
        <f t="shared" si="218"/>
        <v>-7593</v>
      </c>
      <c r="AZ451" s="8">
        <v>706656</v>
      </c>
      <c r="BA451" s="8">
        <f t="shared" si="219"/>
        <v>16323</v>
      </c>
      <c r="BB451" s="8">
        <v>806867</v>
      </c>
      <c r="BC451" s="8">
        <f t="shared" si="220"/>
        <v>4271</v>
      </c>
      <c r="BD451" s="8">
        <f t="shared" si="193"/>
        <v>-100211</v>
      </c>
      <c r="BE451" s="8">
        <f t="shared" si="221"/>
        <v>12052</v>
      </c>
      <c r="BF451" s="8">
        <v>377036</v>
      </c>
      <c r="BG451" s="8">
        <f t="shared" si="222"/>
        <v>14526</v>
      </c>
      <c r="BH451" s="8">
        <v>696048</v>
      </c>
      <c r="BI451" s="8">
        <f t="shared" si="223"/>
        <v>-4097</v>
      </c>
      <c r="BJ451" s="8">
        <f t="shared" si="194"/>
        <v>-319012</v>
      </c>
      <c r="BK451" s="8">
        <f t="shared" si="196"/>
        <v>18623</v>
      </c>
    </row>
    <row r="452" spans="1:63">
      <c r="A452" s="5">
        <v>42031</v>
      </c>
      <c r="B452" s="8">
        <v>421112</v>
      </c>
      <c r="C452" s="8">
        <f t="shared" si="197"/>
        <v>28566</v>
      </c>
      <c r="D452" s="8">
        <v>75290</v>
      </c>
      <c r="E452" s="8">
        <f t="shared" si="198"/>
        <v>-10558</v>
      </c>
      <c r="F452" s="8">
        <v>52836</v>
      </c>
      <c r="G452" s="8">
        <f t="shared" si="199"/>
        <v>18956</v>
      </c>
      <c r="H452" s="8">
        <v>22454</v>
      </c>
      <c r="I452" s="8">
        <f t="shared" si="200"/>
        <v>-29514</v>
      </c>
      <c r="J452" s="8">
        <v>174541</v>
      </c>
      <c r="K452" s="8">
        <f t="shared" si="201"/>
        <v>22865</v>
      </c>
      <c r="L452" s="8">
        <v>222929</v>
      </c>
      <c r="M452" s="8">
        <f t="shared" si="202"/>
        <v>-14856</v>
      </c>
      <c r="N452" s="8">
        <v>-48388</v>
      </c>
      <c r="O452" s="8">
        <f t="shared" si="203"/>
        <v>37721</v>
      </c>
      <c r="P452" s="8">
        <v>110207</v>
      </c>
      <c r="Q452" s="8">
        <f t="shared" si="204"/>
        <v>21848</v>
      </c>
      <c r="R452" s="8">
        <v>215327</v>
      </c>
      <c r="S452" s="8">
        <f t="shared" si="205"/>
        <v>-14807</v>
      </c>
      <c r="T452" s="8">
        <v>-105120</v>
      </c>
      <c r="U452" s="8">
        <f t="shared" si="206"/>
        <v>36655</v>
      </c>
      <c r="W452" s="8">
        <v>433178</v>
      </c>
      <c r="X452" s="8">
        <f t="shared" si="207"/>
        <v>16528</v>
      </c>
      <c r="Y452" s="8">
        <v>70888</v>
      </c>
      <c r="Z452" s="8">
        <f t="shared" si="208"/>
        <v>1537</v>
      </c>
      <c r="AA452" s="8">
        <v>36916</v>
      </c>
      <c r="AB452" s="8">
        <f t="shared" si="195"/>
        <v>-3852</v>
      </c>
      <c r="AC452" s="8">
        <v>33972</v>
      </c>
      <c r="AD452" s="8">
        <f t="shared" si="195"/>
        <v>5389</v>
      </c>
      <c r="AE452" s="8">
        <v>182656</v>
      </c>
      <c r="AF452" s="8">
        <f t="shared" si="209"/>
        <v>6745</v>
      </c>
      <c r="AG452" s="8">
        <v>244437</v>
      </c>
      <c r="AH452" s="8">
        <f t="shared" si="210"/>
        <v>16909</v>
      </c>
      <c r="AI452" s="8">
        <v>-61781</v>
      </c>
      <c r="AJ452" s="8">
        <f t="shared" si="211"/>
        <v>-10164</v>
      </c>
      <c r="AK452" s="8">
        <v>121841</v>
      </c>
      <c r="AL452" s="8">
        <f t="shared" si="212"/>
        <v>2810</v>
      </c>
      <c r="AM452" s="8">
        <v>225146</v>
      </c>
      <c r="AN452" s="8">
        <f t="shared" si="213"/>
        <v>12530</v>
      </c>
      <c r="AO452" s="8">
        <v>-103305</v>
      </c>
      <c r="AP452" s="8">
        <f t="shared" si="214"/>
        <v>-9720</v>
      </c>
      <c r="AR452" s="8">
        <v>1689411</v>
      </c>
      <c r="AS452" s="8">
        <f t="shared" si="215"/>
        <v>-27213</v>
      </c>
      <c r="AT452" s="8">
        <v>275142</v>
      </c>
      <c r="AU452" s="8">
        <f t="shared" si="216"/>
        <v>-21488</v>
      </c>
      <c r="AV452" s="8">
        <v>105225</v>
      </c>
      <c r="AW452" s="8">
        <f t="shared" si="217"/>
        <v>5613</v>
      </c>
      <c r="AX452" s="8">
        <f t="shared" ref="AX452:AX515" si="224">AT452-AV452</f>
        <v>169917</v>
      </c>
      <c r="AY452" s="8">
        <f t="shared" si="218"/>
        <v>-27101</v>
      </c>
      <c r="AZ452" s="8">
        <v>706356</v>
      </c>
      <c r="BA452" s="8">
        <f t="shared" si="219"/>
        <v>-300</v>
      </c>
      <c r="BB452" s="8">
        <v>776642</v>
      </c>
      <c r="BC452" s="8">
        <f t="shared" si="220"/>
        <v>-30225</v>
      </c>
      <c r="BD452" s="8">
        <f t="shared" ref="BD452:BD515" si="225">AZ452-BB452</f>
        <v>-70286</v>
      </c>
      <c r="BE452" s="8">
        <f t="shared" si="221"/>
        <v>29925</v>
      </c>
      <c r="BF452" s="8">
        <v>375777</v>
      </c>
      <c r="BG452" s="8">
        <f t="shared" si="222"/>
        <v>-1259</v>
      </c>
      <c r="BH452" s="8">
        <v>661223</v>
      </c>
      <c r="BI452" s="8">
        <f t="shared" si="223"/>
        <v>-34825</v>
      </c>
      <c r="BJ452" s="8">
        <f t="shared" ref="BJ452:BJ515" si="226">BF452-BH452</f>
        <v>-285446</v>
      </c>
      <c r="BK452" s="8">
        <f t="shared" si="196"/>
        <v>33566</v>
      </c>
    </row>
    <row r="453" spans="1:63">
      <c r="A453" s="5">
        <v>42038</v>
      </c>
      <c r="B453" s="8">
        <v>447550</v>
      </c>
      <c r="C453" s="8">
        <f t="shared" si="197"/>
        <v>26438</v>
      </c>
      <c r="D453" s="8">
        <v>63571</v>
      </c>
      <c r="E453" s="8">
        <f t="shared" si="198"/>
        <v>-11719</v>
      </c>
      <c r="F453" s="8">
        <v>66213</v>
      </c>
      <c r="G453" s="8">
        <f t="shared" si="199"/>
        <v>13377</v>
      </c>
      <c r="H453" s="8">
        <v>-2642</v>
      </c>
      <c r="I453" s="8">
        <f t="shared" si="200"/>
        <v>-25096</v>
      </c>
      <c r="J453" s="8">
        <v>192654</v>
      </c>
      <c r="K453" s="8">
        <f t="shared" si="201"/>
        <v>18113</v>
      </c>
      <c r="L453" s="8">
        <v>202694</v>
      </c>
      <c r="M453" s="8">
        <f t="shared" si="202"/>
        <v>-20235</v>
      </c>
      <c r="N453" s="8">
        <v>-10040</v>
      </c>
      <c r="O453" s="8">
        <f t="shared" si="203"/>
        <v>38348</v>
      </c>
      <c r="P453" s="8">
        <v>128484</v>
      </c>
      <c r="Q453" s="8">
        <f t="shared" si="204"/>
        <v>18277</v>
      </c>
      <c r="R453" s="8">
        <v>194465</v>
      </c>
      <c r="S453" s="8">
        <f t="shared" si="205"/>
        <v>-20862</v>
      </c>
      <c r="T453" s="8">
        <v>-65981</v>
      </c>
      <c r="U453" s="8">
        <f t="shared" si="206"/>
        <v>39139</v>
      </c>
      <c r="W453" s="8">
        <v>439073</v>
      </c>
      <c r="X453" s="8">
        <f t="shared" si="207"/>
        <v>5895</v>
      </c>
      <c r="Y453" s="8">
        <v>70184</v>
      </c>
      <c r="Z453" s="8">
        <f t="shared" si="208"/>
        <v>-704</v>
      </c>
      <c r="AA453" s="8">
        <v>42429</v>
      </c>
      <c r="AB453" s="8">
        <f t="shared" ref="AB453:AD516" si="227">AA453-AA452</f>
        <v>5513</v>
      </c>
      <c r="AC453" s="8">
        <v>27755</v>
      </c>
      <c r="AD453" s="8">
        <f t="shared" si="227"/>
        <v>-6217</v>
      </c>
      <c r="AE453" s="8">
        <v>183077</v>
      </c>
      <c r="AF453" s="8">
        <f t="shared" si="209"/>
        <v>421</v>
      </c>
      <c r="AG453" s="8">
        <v>246893</v>
      </c>
      <c r="AH453" s="8">
        <f t="shared" si="210"/>
        <v>2456</v>
      </c>
      <c r="AI453" s="8">
        <v>-63816</v>
      </c>
      <c r="AJ453" s="8">
        <f t="shared" si="211"/>
        <v>-2035</v>
      </c>
      <c r="AK453" s="8">
        <v>118462</v>
      </c>
      <c r="AL453" s="8">
        <f t="shared" si="212"/>
        <v>-3379</v>
      </c>
      <c r="AM453" s="8">
        <v>225346</v>
      </c>
      <c r="AN453" s="8">
        <f t="shared" si="213"/>
        <v>200</v>
      </c>
      <c r="AO453" s="8">
        <v>-106884</v>
      </c>
      <c r="AP453" s="8">
        <f t="shared" si="214"/>
        <v>-3579</v>
      </c>
      <c r="AR453" s="8">
        <v>1758303</v>
      </c>
      <c r="AS453" s="8">
        <f t="shared" si="215"/>
        <v>68892</v>
      </c>
      <c r="AT453" s="8">
        <v>261558</v>
      </c>
      <c r="AU453" s="8">
        <f t="shared" si="216"/>
        <v>-13584</v>
      </c>
      <c r="AV453" s="8">
        <v>145701</v>
      </c>
      <c r="AW453" s="8">
        <f t="shared" si="217"/>
        <v>40476</v>
      </c>
      <c r="AX453" s="8">
        <f t="shared" si="224"/>
        <v>115857</v>
      </c>
      <c r="AY453" s="8">
        <f t="shared" si="218"/>
        <v>-54060</v>
      </c>
      <c r="AZ453" s="8">
        <v>739943</v>
      </c>
      <c r="BA453" s="8">
        <f t="shared" si="219"/>
        <v>33587</v>
      </c>
      <c r="BB453" s="8">
        <v>781250</v>
      </c>
      <c r="BC453" s="8">
        <f t="shared" si="220"/>
        <v>4608</v>
      </c>
      <c r="BD453" s="8">
        <f t="shared" si="225"/>
        <v>-41307</v>
      </c>
      <c r="BE453" s="8">
        <f t="shared" si="221"/>
        <v>28979</v>
      </c>
      <c r="BF453" s="8">
        <v>395705</v>
      </c>
      <c r="BG453" s="8">
        <f t="shared" si="222"/>
        <v>19928</v>
      </c>
      <c r="BH453" s="8">
        <v>656364</v>
      </c>
      <c r="BI453" s="8">
        <f t="shared" si="223"/>
        <v>-4859</v>
      </c>
      <c r="BJ453" s="8">
        <f t="shared" si="226"/>
        <v>-260659</v>
      </c>
      <c r="BK453" s="8">
        <f t="shared" ref="BK453:BK516" si="228">BJ453-BJ452</f>
        <v>24787</v>
      </c>
    </row>
    <row r="454" spans="1:63">
      <c r="A454" s="5">
        <v>42045</v>
      </c>
      <c r="B454" s="8">
        <v>429661</v>
      </c>
      <c r="C454" s="8">
        <f t="shared" si="197"/>
        <v>-17889</v>
      </c>
      <c r="D454" s="8">
        <v>60603</v>
      </c>
      <c r="E454" s="8">
        <f t="shared" si="198"/>
        <v>-2968</v>
      </c>
      <c r="F454" s="8">
        <v>53028</v>
      </c>
      <c r="G454" s="8">
        <f t="shared" si="199"/>
        <v>-13185</v>
      </c>
      <c r="H454" s="8">
        <v>7575</v>
      </c>
      <c r="I454" s="8">
        <f t="shared" si="200"/>
        <v>10217</v>
      </c>
      <c r="J454" s="8">
        <v>186040</v>
      </c>
      <c r="K454" s="8">
        <f t="shared" si="201"/>
        <v>-6614</v>
      </c>
      <c r="L454" s="8">
        <v>202642</v>
      </c>
      <c r="M454" s="8">
        <f t="shared" si="202"/>
        <v>-52</v>
      </c>
      <c r="N454" s="8">
        <v>-16602</v>
      </c>
      <c r="O454" s="8">
        <f t="shared" si="203"/>
        <v>-6562</v>
      </c>
      <c r="P454" s="8">
        <v>120440</v>
      </c>
      <c r="Q454" s="8">
        <f t="shared" si="204"/>
        <v>-8044</v>
      </c>
      <c r="R454" s="8">
        <v>196045</v>
      </c>
      <c r="S454" s="8">
        <f t="shared" si="205"/>
        <v>1580</v>
      </c>
      <c r="T454" s="8">
        <v>-75605</v>
      </c>
      <c r="U454" s="8">
        <f t="shared" si="206"/>
        <v>-9624</v>
      </c>
      <c r="W454" s="8">
        <v>437126</v>
      </c>
      <c r="X454" s="8">
        <f t="shared" si="207"/>
        <v>-1947</v>
      </c>
      <c r="Y454" s="8">
        <v>60337</v>
      </c>
      <c r="Z454" s="8">
        <f t="shared" si="208"/>
        <v>-9847</v>
      </c>
      <c r="AA454" s="8">
        <v>46365</v>
      </c>
      <c r="AB454" s="8">
        <f t="shared" si="227"/>
        <v>3936</v>
      </c>
      <c r="AC454" s="8">
        <v>13972</v>
      </c>
      <c r="AD454" s="8">
        <f t="shared" si="227"/>
        <v>-13783</v>
      </c>
      <c r="AE454" s="8">
        <v>183408</v>
      </c>
      <c r="AF454" s="8">
        <f t="shared" si="209"/>
        <v>331</v>
      </c>
      <c r="AG454" s="8">
        <v>228322</v>
      </c>
      <c r="AH454" s="8">
        <f t="shared" si="210"/>
        <v>-18571</v>
      </c>
      <c r="AI454" s="8">
        <v>-44914</v>
      </c>
      <c r="AJ454" s="8">
        <f t="shared" si="211"/>
        <v>18902</v>
      </c>
      <c r="AK454" s="8">
        <v>121733</v>
      </c>
      <c r="AL454" s="8">
        <f t="shared" si="212"/>
        <v>3271</v>
      </c>
      <c r="AM454" s="8">
        <v>212119</v>
      </c>
      <c r="AN454" s="8">
        <f t="shared" si="213"/>
        <v>-13227</v>
      </c>
      <c r="AO454" s="8">
        <v>-90386</v>
      </c>
      <c r="AP454" s="8">
        <f t="shared" si="214"/>
        <v>16498</v>
      </c>
      <c r="AR454" s="8">
        <v>1768289</v>
      </c>
      <c r="AS454" s="8">
        <f t="shared" si="215"/>
        <v>9986</v>
      </c>
      <c r="AT454" s="8">
        <v>237637</v>
      </c>
      <c r="AU454" s="8">
        <f t="shared" si="216"/>
        <v>-23921</v>
      </c>
      <c r="AV454" s="8">
        <v>128324</v>
      </c>
      <c r="AW454" s="8">
        <f t="shared" si="217"/>
        <v>-17377</v>
      </c>
      <c r="AX454" s="8">
        <f t="shared" si="224"/>
        <v>109313</v>
      </c>
      <c r="AY454" s="8">
        <f t="shared" si="218"/>
        <v>-6544</v>
      </c>
      <c r="AZ454" s="8">
        <v>756600</v>
      </c>
      <c r="BA454" s="8">
        <f t="shared" si="219"/>
        <v>16657</v>
      </c>
      <c r="BB454" s="8">
        <v>797800</v>
      </c>
      <c r="BC454" s="8">
        <f t="shared" si="220"/>
        <v>16550</v>
      </c>
      <c r="BD454" s="8">
        <f t="shared" si="225"/>
        <v>-41200</v>
      </c>
      <c r="BE454" s="8">
        <f t="shared" si="221"/>
        <v>107</v>
      </c>
      <c r="BF454" s="8">
        <v>415147</v>
      </c>
      <c r="BG454" s="8">
        <f t="shared" si="222"/>
        <v>19442</v>
      </c>
      <c r="BH454" s="8">
        <v>669762</v>
      </c>
      <c r="BI454" s="8">
        <f t="shared" si="223"/>
        <v>13398</v>
      </c>
      <c r="BJ454" s="8">
        <f t="shared" si="226"/>
        <v>-254615</v>
      </c>
      <c r="BK454" s="8">
        <f t="shared" si="228"/>
        <v>6044</v>
      </c>
    </row>
    <row r="455" spans="1:63">
      <c r="A455" s="5">
        <v>42052</v>
      </c>
      <c r="B455" s="8">
        <v>427947</v>
      </c>
      <c r="C455" s="8">
        <f t="shared" si="197"/>
        <v>-1714</v>
      </c>
      <c r="D455" s="8">
        <v>68880</v>
      </c>
      <c r="E455" s="8">
        <f t="shared" si="198"/>
        <v>8277</v>
      </c>
      <c r="F455" s="8">
        <v>40717</v>
      </c>
      <c r="G455" s="8">
        <f t="shared" si="199"/>
        <v>-12311</v>
      </c>
      <c r="H455" s="8">
        <v>28163</v>
      </c>
      <c r="I455" s="8">
        <f t="shared" si="200"/>
        <v>20588</v>
      </c>
      <c r="J455" s="8">
        <v>181614</v>
      </c>
      <c r="K455" s="8">
        <f t="shared" si="201"/>
        <v>-4426</v>
      </c>
      <c r="L455" s="8">
        <v>219331</v>
      </c>
      <c r="M455" s="8">
        <f t="shared" si="202"/>
        <v>16689</v>
      </c>
      <c r="N455" s="8">
        <v>-37717</v>
      </c>
      <c r="O455" s="8">
        <f t="shared" si="203"/>
        <v>-21115</v>
      </c>
      <c r="P455" s="8">
        <v>114787</v>
      </c>
      <c r="Q455" s="8">
        <f t="shared" si="204"/>
        <v>-5653</v>
      </c>
      <c r="R455" s="8">
        <v>211611</v>
      </c>
      <c r="S455" s="8">
        <f t="shared" si="205"/>
        <v>15566</v>
      </c>
      <c r="T455" s="8">
        <v>-96824</v>
      </c>
      <c r="U455" s="8">
        <f t="shared" si="206"/>
        <v>-21219</v>
      </c>
      <c r="W455" s="8">
        <v>437877</v>
      </c>
      <c r="X455" s="8">
        <f t="shared" si="207"/>
        <v>751</v>
      </c>
      <c r="Y455" s="8">
        <v>68185</v>
      </c>
      <c r="Z455" s="8">
        <f t="shared" si="208"/>
        <v>7848</v>
      </c>
      <c r="AA455" s="8">
        <v>44028</v>
      </c>
      <c r="AB455" s="8">
        <f t="shared" si="227"/>
        <v>-2337</v>
      </c>
      <c r="AC455" s="8">
        <v>24157</v>
      </c>
      <c r="AD455" s="8">
        <f t="shared" si="227"/>
        <v>10185</v>
      </c>
      <c r="AE455" s="8">
        <v>179469</v>
      </c>
      <c r="AF455" s="8">
        <f t="shared" si="209"/>
        <v>-3939</v>
      </c>
      <c r="AG455" s="8">
        <v>239723</v>
      </c>
      <c r="AH455" s="8">
        <f t="shared" si="210"/>
        <v>11401</v>
      </c>
      <c r="AI455" s="8">
        <v>-60254</v>
      </c>
      <c r="AJ455" s="8">
        <f t="shared" si="211"/>
        <v>-15340</v>
      </c>
      <c r="AK455" s="8">
        <v>118904</v>
      </c>
      <c r="AL455" s="8">
        <f t="shared" si="212"/>
        <v>-2829</v>
      </c>
      <c r="AM455" s="8">
        <v>223916</v>
      </c>
      <c r="AN455" s="8">
        <f t="shared" si="213"/>
        <v>11797</v>
      </c>
      <c r="AO455" s="8">
        <v>-105012</v>
      </c>
      <c r="AP455" s="8">
        <f t="shared" si="214"/>
        <v>-14626</v>
      </c>
      <c r="AR455" s="8">
        <v>1778873</v>
      </c>
      <c r="AS455" s="8">
        <f t="shared" si="215"/>
        <v>10584</v>
      </c>
      <c r="AT455" s="8">
        <v>233310</v>
      </c>
      <c r="AU455" s="8">
        <f t="shared" si="216"/>
        <v>-4327</v>
      </c>
      <c r="AV455" s="8">
        <v>130541</v>
      </c>
      <c r="AW455" s="8">
        <f t="shared" si="217"/>
        <v>2217</v>
      </c>
      <c r="AX455" s="8">
        <f t="shared" si="224"/>
        <v>102769</v>
      </c>
      <c r="AY455" s="8">
        <f t="shared" si="218"/>
        <v>-6544</v>
      </c>
      <c r="AZ455" s="8">
        <v>775141</v>
      </c>
      <c r="BA455" s="8">
        <f t="shared" si="219"/>
        <v>18541</v>
      </c>
      <c r="BB455" s="8">
        <v>802269</v>
      </c>
      <c r="BC455" s="8">
        <f t="shared" si="220"/>
        <v>4469</v>
      </c>
      <c r="BD455" s="8">
        <f t="shared" si="225"/>
        <v>-27128</v>
      </c>
      <c r="BE455" s="8">
        <f t="shared" si="221"/>
        <v>14072</v>
      </c>
      <c r="BF455" s="8">
        <v>423111</v>
      </c>
      <c r="BG455" s="8">
        <f t="shared" si="222"/>
        <v>7964</v>
      </c>
      <c r="BH455" s="8">
        <v>664080</v>
      </c>
      <c r="BI455" s="8">
        <f t="shared" si="223"/>
        <v>-5682</v>
      </c>
      <c r="BJ455" s="8">
        <f t="shared" si="226"/>
        <v>-240969</v>
      </c>
      <c r="BK455" s="8">
        <f t="shared" si="228"/>
        <v>13646</v>
      </c>
    </row>
    <row r="456" spans="1:63">
      <c r="A456" s="5">
        <v>42059</v>
      </c>
      <c r="B456" s="8">
        <v>395007</v>
      </c>
      <c r="C456" s="8">
        <f t="shared" ref="C456:C519" si="229">B456-B455</f>
        <v>-32940</v>
      </c>
      <c r="D456" s="8">
        <v>67452</v>
      </c>
      <c r="E456" s="8">
        <f t="shared" ref="E456:E519" si="230">D456-D455</f>
        <v>-1428</v>
      </c>
      <c r="F456" s="8">
        <v>42701</v>
      </c>
      <c r="G456" s="8">
        <f t="shared" ref="G456:G519" si="231">F456-F455</f>
        <v>1984</v>
      </c>
      <c r="H456" s="8">
        <v>24751</v>
      </c>
      <c r="I456" s="8">
        <f t="shared" ref="I456:I519" si="232">H456-H455</f>
        <v>-3412</v>
      </c>
      <c r="J456" s="8">
        <v>166537</v>
      </c>
      <c r="K456" s="8">
        <f t="shared" ref="K456:K519" si="233">J456-J455</f>
        <v>-15077</v>
      </c>
      <c r="L456" s="8">
        <v>204636</v>
      </c>
      <c r="M456" s="8">
        <f t="shared" ref="M456:M519" si="234">L456-L455</f>
        <v>-14695</v>
      </c>
      <c r="N456" s="8">
        <v>-38099</v>
      </c>
      <c r="O456" s="8">
        <f t="shared" ref="O456:O519" si="235">N456-N455</f>
        <v>-382</v>
      </c>
      <c r="P456" s="8">
        <v>97124</v>
      </c>
      <c r="Q456" s="8">
        <f t="shared" ref="Q456:Q519" si="236">P456-P455</f>
        <v>-17663</v>
      </c>
      <c r="R456" s="8">
        <v>194888</v>
      </c>
      <c r="S456" s="8">
        <f t="shared" ref="S456:S519" si="237">R456-R455</f>
        <v>-16723</v>
      </c>
      <c r="T456" s="8">
        <v>-97764</v>
      </c>
      <c r="U456" s="8">
        <f t="shared" ref="U456:U519" si="238">T456-T455</f>
        <v>-940</v>
      </c>
      <c r="W456" s="8">
        <v>408939</v>
      </c>
      <c r="X456" s="8">
        <f t="shared" ref="X456:X519" si="239">W456-W455</f>
        <v>-28938</v>
      </c>
      <c r="Y456" s="8">
        <v>73407</v>
      </c>
      <c r="Z456" s="8">
        <f t="shared" ref="Z456:Z519" si="240">Y456-Y455</f>
        <v>5222</v>
      </c>
      <c r="AA456" s="8">
        <v>40871</v>
      </c>
      <c r="AB456" s="8">
        <f t="shared" si="227"/>
        <v>-3157</v>
      </c>
      <c r="AC456" s="8">
        <v>32536</v>
      </c>
      <c r="AD456" s="8">
        <f t="shared" si="227"/>
        <v>8379</v>
      </c>
      <c r="AE456" s="8">
        <v>166270</v>
      </c>
      <c r="AF456" s="8">
        <f t="shared" ref="AF456:AF519" si="241">AE456-AE455</f>
        <v>-13199</v>
      </c>
      <c r="AG456" s="8">
        <v>236804</v>
      </c>
      <c r="AH456" s="8">
        <f t="shared" ref="AH456:AH519" si="242">AG456-AG455</f>
        <v>-2919</v>
      </c>
      <c r="AI456" s="8">
        <v>-70534</v>
      </c>
      <c r="AJ456" s="8">
        <f t="shared" ref="AJ456:AJ519" si="243">AI456-AI455</f>
        <v>-10280</v>
      </c>
      <c r="AK456" s="8">
        <v>105556</v>
      </c>
      <c r="AL456" s="8">
        <f t="shared" ref="AL456:AL519" si="244">AK456-AK455</f>
        <v>-13348</v>
      </c>
      <c r="AM456" s="8">
        <v>225038</v>
      </c>
      <c r="AN456" s="8">
        <f t="shared" ref="AN456:AN519" si="245">AM456-AM455</f>
        <v>1122</v>
      </c>
      <c r="AO456" s="8">
        <v>-119482</v>
      </c>
      <c r="AP456" s="8">
        <f t="shared" ref="AP456:AP519" si="246">AO456-AO455</f>
        <v>-14470</v>
      </c>
      <c r="AR456" s="8">
        <v>1621404</v>
      </c>
      <c r="AS456" s="8">
        <f t="shared" ref="AS456:AS519" si="247">AR456-AR455</f>
        <v>-157469</v>
      </c>
      <c r="AT456" s="8">
        <v>227047</v>
      </c>
      <c r="AU456" s="8">
        <f t="shared" ref="AU456:AU519" si="248">AT456-AT455</f>
        <v>-6263</v>
      </c>
      <c r="AV456" s="8">
        <v>146856</v>
      </c>
      <c r="AW456" s="8">
        <f t="shared" ref="AW456:AW519" si="249">AV456-AV455</f>
        <v>16315</v>
      </c>
      <c r="AX456" s="8">
        <f t="shared" si="224"/>
        <v>80191</v>
      </c>
      <c r="AY456" s="8">
        <f t="shared" ref="AY456:AY519" si="250">AX456-AX455</f>
        <v>-22578</v>
      </c>
      <c r="AZ456" s="8">
        <v>697386</v>
      </c>
      <c r="BA456" s="8">
        <f t="shared" ref="BA456:BA519" si="251">AZ456-AZ455</f>
        <v>-77755</v>
      </c>
      <c r="BB456" s="8">
        <v>712033</v>
      </c>
      <c r="BC456" s="8">
        <f t="shared" ref="BC456:BC519" si="252">BB456-BB455</f>
        <v>-90236</v>
      </c>
      <c r="BD456" s="8">
        <f t="shared" si="225"/>
        <v>-14647</v>
      </c>
      <c r="BE456" s="8">
        <f t="shared" ref="BE456:BE519" si="253">BD456-BD455</f>
        <v>12481</v>
      </c>
      <c r="BF456" s="8">
        <v>363438</v>
      </c>
      <c r="BG456" s="8">
        <f t="shared" ref="BG456:BG519" si="254">BF456-BF455</f>
        <v>-59673</v>
      </c>
      <c r="BH456" s="8">
        <v>609329</v>
      </c>
      <c r="BI456" s="8">
        <f t="shared" ref="BI456:BI519" si="255">BH456-BH455</f>
        <v>-54751</v>
      </c>
      <c r="BJ456" s="8">
        <f t="shared" si="226"/>
        <v>-245891</v>
      </c>
      <c r="BK456" s="8">
        <f t="shared" si="228"/>
        <v>-4922</v>
      </c>
    </row>
    <row r="457" spans="1:63">
      <c r="A457" s="5">
        <v>42066</v>
      </c>
      <c r="B457" s="8">
        <v>386889</v>
      </c>
      <c r="C457" s="8">
        <f t="shared" si="229"/>
        <v>-8118</v>
      </c>
      <c r="D457" s="8">
        <v>79595</v>
      </c>
      <c r="E457" s="8">
        <f t="shared" si="230"/>
        <v>12143</v>
      </c>
      <c r="F457" s="8">
        <v>36130</v>
      </c>
      <c r="G457" s="8">
        <f t="shared" si="231"/>
        <v>-6571</v>
      </c>
      <c r="H457" s="8">
        <v>43465</v>
      </c>
      <c r="I457" s="8">
        <f t="shared" si="232"/>
        <v>18714</v>
      </c>
      <c r="J457" s="8">
        <v>150395</v>
      </c>
      <c r="K457" s="8">
        <f t="shared" si="233"/>
        <v>-16142</v>
      </c>
      <c r="L457" s="8">
        <v>222439</v>
      </c>
      <c r="M457" s="8">
        <f t="shared" si="234"/>
        <v>17803</v>
      </c>
      <c r="N457" s="8">
        <v>-72044</v>
      </c>
      <c r="O457" s="8">
        <f t="shared" si="235"/>
        <v>-33945</v>
      </c>
      <c r="P457" s="8">
        <v>80411</v>
      </c>
      <c r="Q457" s="8">
        <f t="shared" si="236"/>
        <v>-16713</v>
      </c>
      <c r="R457" s="8">
        <v>212173</v>
      </c>
      <c r="S457" s="8">
        <f t="shared" si="237"/>
        <v>17285</v>
      </c>
      <c r="T457" s="8">
        <v>-131762</v>
      </c>
      <c r="U457" s="8">
        <f t="shared" si="238"/>
        <v>-33998</v>
      </c>
      <c r="W457" s="8">
        <v>392912</v>
      </c>
      <c r="X457" s="8">
        <f t="shared" si="239"/>
        <v>-16027</v>
      </c>
      <c r="Y457" s="8">
        <v>65596</v>
      </c>
      <c r="Z457" s="8">
        <f t="shared" si="240"/>
        <v>-7811</v>
      </c>
      <c r="AA457" s="8">
        <v>41331</v>
      </c>
      <c r="AB457" s="8">
        <f t="shared" si="227"/>
        <v>460</v>
      </c>
      <c r="AC457" s="8">
        <v>24265</v>
      </c>
      <c r="AD457" s="8">
        <f t="shared" si="227"/>
        <v>-8271</v>
      </c>
      <c r="AE457" s="8">
        <v>163111</v>
      </c>
      <c r="AF457" s="8">
        <f t="shared" si="241"/>
        <v>-3159</v>
      </c>
      <c r="AG457" s="8">
        <v>221118</v>
      </c>
      <c r="AH457" s="8">
        <f t="shared" si="242"/>
        <v>-15686</v>
      </c>
      <c r="AI457" s="8">
        <v>-58007</v>
      </c>
      <c r="AJ457" s="8">
        <f t="shared" si="243"/>
        <v>12527</v>
      </c>
      <c r="AK457" s="8">
        <v>101483</v>
      </c>
      <c r="AL457" s="8">
        <f t="shared" si="244"/>
        <v>-4073</v>
      </c>
      <c r="AM457" s="8">
        <v>210610</v>
      </c>
      <c r="AN457" s="8">
        <f t="shared" si="245"/>
        <v>-14428</v>
      </c>
      <c r="AO457" s="8">
        <v>-109127</v>
      </c>
      <c r="AP457" s="8">
        <f t="shared" si="246"/>
        <v>10355</v>
      </c>
      <c r="AR457" s="8">
        <v>1610985</v>
      </c>
      <c r="AS457" s="8">
        <f t="shared" si="247"/>
        <v>-10419</v>
      </c>
      <c r="AT457" s="8">
        <v>210462</v>
      </c>
      <c r="AU457" s="8">
        <f t="shared" si="248"/>
        <v>-16585</v>
      </c>
      <c r="AV457" s="8">
        <v>160269</v>
      </c>
      <c r="AW457" s="8">
        <f t="shared" si="249"/>
        <v>13413</v>
      </c>
      <c r="AX457" s="8">
        <f t="shared" si="224"/>
        <v>50193</v>
      </c>
      <c r="AY457" s="8">
        <f t="shared" si="250"/>
        <v>-29998</v>
      </c>
      <c r="AZ457" s="8">
        <v>691956</v>
      </c>
      <c r="BA457" s="8">
        <f t="shared" si="251"/>
        <v>-5430</v>
      </c>
      <c r="BB457" s="8">
        <v>692573</v>
      </c>
      <c r="BC457" s="8">
        <f t="shared" si="252"/>
        <v>-19460</v>
      </c>
      <c r="BD457" s="8">
        <f t="shared" si="225"/>
        <v>-617</v>
      </c>
      <c r="BE457" s="8">
        <f t="shared" si="253"/>
        <v>14030</v>
      </c>
      <c r="BF457" s="8">
        <v>351088</v>
      </c>
      <c r="BG457" s="8">
        <f t="shared" si="254"/>
        <v>-12350</v>
      </c>
      <c r="BH457" s="8">
        <v>587862</v>
      </c>
      <c r="BI457" s="8">
        <f t="shared" si="255"/>
        <v>-21467</v>
      </c>
      <c r="BJ457" s="8">
        <f t="shared" si="226"/>
        <v>-236774</v>
      </c>
      <c r="BK457" s="8">
        <f t="shared" si="228"/>
        <v>9117</v>
      </c>
    </row>
    <row r="458" spans="1:63">
      <c r="A458" s="5">
        <v>42073</v>
      </c>
      <c r="B458" s="8">
        <v>396328</v>
      </c>
      <c r="C458" s="8">
        <f t="shared" si="229"/>
        <v>9439</v>
      </c>
      <c r="D458" s="8">
        <v>72039</v>
      </c>
      <c r="E458" s="8">
        <f t="shared" si="230"/>
        <v>-7556</v>
      </c>
      <c r="F458" s="8">
        <v>51634</v>
      </c>
      <c r="G458" s="8">
        <f t="shared" si="231"/>
        <v>15504</v>
      </c>
      <c r="H458" s="8">
        <v>20405</v>
      </c>
      <c r="I458" s="8">
        <f t="shared" si="232"/>
        <v>-23060</v>
      </c>
      <c r="J458" s="8">
        <v>163068</v>
      </c>
      <c r="K458" s="8">
        <f t="shared" si="233"/>
        <v>12673</v>
      </c>
      <c r="L458" s="8">
        <v>200883</v>
      </c>
      <c r="M458" s="8">
        <f t="shared" si="234"/>
        <v>-21556</v>
      </c>
      <c r="N458" s="8">
        <v>-37815</v>
      </c>
      <c r="O458" s="8">
        <f t="shared" si="235"/>
        <v>34229</v>
      </c>
      <c r="P458" s="8">
        <v>92442</v>
      </c>
      <c r="Q458" s="8">
        <f t="shared" si="236"/>
        <v>12031</v>
      </c>
      <c r="R458" s="8">
        <v>191954</v>
      </c>
      <c r="S458" s="8">
        <f t="shared" si="237"/>
        <v>-20219</v>
      </c>
      <c r="T458" s="8">
        <v>-99512</v>
      </c>
      <c r="U458" s="8">
        <f t="shared" si="238"/>
        <v>32250</v>
      </c>
      <c r="W458" s="8">
        <v>400841</v>
      </c>
      <c r="X458" s="8">
        <f t="shared" si="239"/>
        <v>7929</v>
      </c>
      <c r="Y458" s="8">
        <v>68527</v>
      </c>
      <c r="Z458" s="8">
        <f t="shared" si="240"/>
        <v>2931</v>
      </c>
      <c r="AA458" s="8">
        <v>42678</v>
      </c>
      <c r="AB458" s="8">
        <f t="shared" si="227"/>
        <v>1347</v>
      </c>
      <c r="AC458" s="8">
        <v>25849</v>
      </c>
      <c r="AD458" s="8">
        <f t="shared" si="227"/>
        <v>1584</v>
      </c>
      <c r="AE458" s="8">
        <v>164941</v>
      </c>
      <c r="AF458" s="8">
        <f t="shared" si="241"/>
        <v>1830</v>
      </c>
      <c r="AG458" s="8">
        <v>230620</v>
      </c>
      <c r="AH458" s="8">
        <f t="shared" si="242"/>
        <v>9502</v>
      </c>
      <c r="AI458" s="8">
        <v>-65679</v>
      </c>
      <c r="AJ458" s="8">
        <f t="shared" si="243"/>
        <v>-7672</v>
      </c>
      <c r="AK458" s="8">
        <v>102670</v>
      </c>
      <c r="AL458" s="8">
        <f t="shared" si="244"/>
        <v>1187</v>
      </c>
      <c r="AM458" s="8">
        <v>219508</v>
      </c>
      <c r="AN458" s="8">
        <f t="shared" si="245"/>
        <v>8898</v>
      </c>
      <c r="AO458" s="8">
        <v>-116838</v>
      </c>
      <c r="AP458" s="8">
        <f t="shared" si="246"/>
        <v>-7711</v>
      </c>
      <c r="AR458" s="8">
        <v>1642332</v>
      </c>
      <c r="AS458" s="8">
        <f t="shared" si="247"/>
        <v>31347</v>
      </c>
      <c r="AT458" s="8">
        <v>205302</v>
      </c>
      <c r="AU458" s="8">
        <f t="shared" si="248"/>
        <v>-5160</v>
      </c>
      <c r="AV458" s="8">
        <v>172642</v>
      </c>
      <c r="AW458" s="8">
        <f t="shared" si="249"/>
        <v>12373</v>
      </c>
      <c r="AX458" s="8">
        <f t="shared" si="224"/>
        <v>32660</v>
      </c>
      <c r="AY458" s="8">
        <f t="shared" si="250"/>
        <v>-17533</v>
      </c>
      <c r="AZ458" s="8">
        <v>719551</v>
      </c>
      <c r="BA458" s="8">
        <f t="shared" si="251"/>
        <v>27595</v>
      </c>
      <c r="BB458" s="8">
        <v>697307</v>
      </c>
      <c r="BC458" s="8">
        <f t="shared" si="252"/>
        <v>4734</v>
      </c>
      <c r="BD458" s="8">
        <f t="shared" si="225"/>
        <v>22244</v>
      </c>
      <c r="BE458" s="8">
        <f t="shared" si="253"/>
        <v>22861</v>
      </c>
      <c r="BF458" s="8">
        <v>378419</v>
      </c>
      <c r="BG458" s="8">
        <f t="shared" si="254"/>
        <v>27331</v>
      </c>
      <c r="BH458" s="8">
        <v>585057</v>
      </c>
      <c r="BI458" s="8">
        <f t="shared" si="255"/>
        <v>-2805</v>
      </c>
      <c r="BJ458" s="8">
        <f t="shared" si="226"/>
        <v>-206638</v>
      </c>
      <c r="BK458" s="8">
        <f t="shared" si="228"/>
        <v>30136</v>
      </c>
    </row>
    <row r="459" spans="1:63">
      <c r="A459" s="5">
        <v>42080</v>
      </c>
      <c r="B459" s="8">
        <v>413076</v>
      </c>
      <c r="C459" s="8">
        <f t="shared" si="229"/>
        <v>16748</v>
      </c>
      <c r="D459" s="8">
        <v>65800</v>
      </c>
      <c r="E459" s="8">
        <f t="shared" si="230"/>
        <v>-6239</v>
      </c>
      <c r="F459" s="8">
        <v>62108</v>
      </c>
      <c r="G459" s="8">
        <f t="shared" si="231"/>
        <v>10474</v>
      </c>
      <c r="H459" s="8">
        <v>3692</v>
      </c>
      <c r="I459" s="8">
        <f t="shared" si="232"/>
        <v>-16713</v>
      </c>
      <c r="J459" s="8">
        <v>175851</v>
      </c>
      <c r="K459" s="8">
        <f t="shared" si="233"/>
        <v>12783</v>
      </c>
      <c r="L459" s="8">
        <v>193113</v>
      </c>
      <c r="M459" s="8">
        <f t="shared" si="234"/>
        <v>-7770</v>
      </c>
      <c r="N459" s="8">
        <v>-17262</v>
      </c>
      <c r="O459" s="8">
        <f t="shared" si="235"/>
        <v>20553</v>
      </c>
      <c r="P459" s="8">
        <v>104752</v>
      </c>
      <c r="Q459" s="8">
        <f t="shared" si="236"/>
        <v>12310</v>
      </c>
      <c r="R459" s="8">
        <v>184970</v>
      </c>
      <c r="S459" s="8">
        <f t="shared" si="237"/>
        <v>-6984</v>
      </c>
      <c r="T459" s="8">
        <v>-80218</v>
      </c>
      <c r="U459" s="8">
        <f t="shared" si="238"/>
        <v>19294</v>
      </c>
      <c r="W459" s="8">
        <v>401259</v>
      </c>
      <c r="X459" s="8">
        <f t="shared" si="239"/>
        <v>418</v>
      </c>
      <c r="Y459" s="8">
        <v>58088</v>
      </c>
      <c r="Z459" s="8">
        <f t="shared" si="240"/>
        <v>-10439</v>
      </c>
      <c r="AA459" s="8">
        <v>46963</v>
      </c>
      <c r="AB459" s="8">
        <f t="shared" si="227"/>
        <v>4285</v>
      </c>
      <c r="AC459" s="8">
        <v>11125</v>
      </c>
      <c r="AD459" s="8">
        <f t="shared" si="227"/>
        <v>-14724</v>
      </c>
      <c r="AE459" s="8">
        <v>172473</v>
      </c>
      <c r="AF459" s="8">
        <f t="shared" si="241"/>
        <v>7532</v>
      </c>
      <c r="AG459" s="8">
        <v>214224</v>
      </c>
      <c r="AH459" s="8">
        <f t="shared" si="242"/>
        <v>-16396</v>
      </c>
      <c r="AI459" s="8">
        <v>-41751</v>
      </c>
      <c r="AJ459" s="8">
        <f t="shared" si="243"/>
        <v>23928</v>
      </c>
      <c r="AK459" s="8">
        <v>107973</v>
      </c>
      <c r="AL459" s="8">
        <f t="shared" si="244"/>
        <v>5303</v>
      </c>
      <c r="AM459" s="8">
        <v>204112</v>
      </c>
      <c r="AN459" s="8">
        <f t="shared" si="245"/>
        <v>-15396</v>
      </c>
      <c r="AO459" s="8">
        <v>-96139</v>
      </c>
      <c r="AP459" s="8">
        <f t="shared" si="246"/>
        <v>20699</v>
      </c>
      <c r="AR459" s="8">
        <v>1778928</v>
      </c>
      <c r="AS459" s="8">
        <f t="shared" si="247"/>
        <v>136596</v>
      </c>
      <c r="AT459" s="8">
        <v>201361</v>
      </c>
      <c r="AU459" s="8">
        <f t="shared" si="248"/>
        <v>-3941</v>
      </c>
      <c r="AV459" s="8">
        <v>238391</v>
      </c>
      <c r="AW459" s="8">
        <f t="shared" si="249"/>
        <v>65749</v>
      </c>
      <c r="AX459" s="8">
        <f t="shared" si="224"/>
        <v>-37030</v>
      </c>
      <c r="AY459" s="8">
        <f t="shared" si="250"/>
        <v>-69690</v>
      </c>
      <c r="AZ459" s="8">
        <v>780738</v>
      </c>
      <c r="BA459" s="8">
        <f t="shared" si="251"/>
        <v>61187</v>
      </c>
      <c r="BB459" s="8">
        <v>691165</v>
      </c>
      <c r="BC459" s="8">
        <f t="shared" si="252"/>
        <v>-6142</v>
      </c>
      <c r="BD459" s="8">
        <f t="shared" si="225"/>
        <v>89573</v>
      </c>
      <c r="BE459" s="8">
        <f t="shared" si="253"/>
        <v>67329</v>
      </c>
      <c r="BF459" s="8">
        <v>432434</v>
      </c>
      <c r="BG459" s="8">
        <f t="shared" si="254"/>
        <v>54015</v>
      </c>
      <c r="BH459" s="8">
        <v>570004</v>
      </c>
      <c r="BI459" s="8">
        <f t="shared" si="255"/>
        <v>-15053</v>
      </c>
      <c r="BJ459" s="8">
        <f t="shared" si="226"/>
        <v>-137570</v>
      </c>
      <c r="BK459" s="8">
        <f t="shared" si="228"/>
        <v>69068</v>
      </c>
    </row>
    <row r="460" spans="1:63">
      <c r="A460" s="5">
        <v>42087</v>
      </c>
      <c r="B460" s="8">
        <v>412662</v>
      </c>
      <c r="C460" s="8">
        <f t="shared" si="229"/>
        <v>-414</v>
      </c>
      <c r="D460" s="8">
        <v>64502</v>
      </c>
      <c r="E460" s="8">
        <f t="shared" si="230"/>
        <v>-1298</v>
      </c>
      <c r="F460" s="8">
        <v>60354</v>
      </c>
      <c r="G460" s="8">
        <f t="shared" si="231"/>
        <v>-1754</v>
      </c>
      <c r="H460" s="8">
        <v>4148</v>
      </c>
      <c r="I460" s="8">
        <f t="shared" si="232"/>
        <v>456</v>
      </c>
      <c r="J460" s="8">
        <v>176912</v>
      </c>
      <c r="K460" s="8">
        <f t="shared" si="233"/>
        <v>1061</v>
      </c>
      <c r="L460" s="8">
        <v>199348</v>
      </c>
      <c r="M460" s="8">
        <f t="shared" si="234"/>
        <v>6235</v>
      </c>
      <c r="N460" s="8">
        <v>-22436</v>
      </c>
      <c r="O460" s="8">
        <f t="shared" si="235"/>
        <v>-5174</v>
      </c>
      <c r="P460" s="8">
        <v>103791</v>
      </c>
      <c r="Q460" s="8">
        <f t="shared" si="236"/>
        <v>-961</v>
      </c>
      <c r="R460" s="8">
        <v>191528</v>
      </c>
      <c r="S460" s="8">
        <f t="shared" si="237"/>
        <v>6558</v>
      </c>
      <c r="T460" s="8">
        <v>-87737</v>
      </c>
      <c r="U460" s="8">
        <f t="shared" si="238"/>
        <v>-7519</v>
      </c>
      <c r="W460" s="8">
        <v>396578</v>
      </c>
      <c r="X460" s="8">
        <f t="shared" si="239"/>
        <v>-4681</v>
      </c>
      <c r="Y460" s="8">
        <v>52228</v>
      </c>
      <c r="Z460" s="8">
        <f t="shared" si="240"/>
        <v>-5860</v>
      </c>
      <c r="AA460" s="8">
        <v>46131</v>
      </c>
      <c r="AB460" s="8">
        <f t="shared" si="227"/>
        <v>-832</v>
      </c>
      <c r="AC460" s="8">
        <v>6097</v>
      </c>
      <c r="AD460" s="8">
        <f t="shared" si="227"/>
        <v>-5028</v>
      </c>
      <c r="AE460" s="8">
        <v>168763</v>
      </c>
      <c r="AF460" s="8">
        <f t="shared" si="241"/>
        <v>-3710</v>
      </c>
      <c r="AG460" s="8">
        <v>212167</v>
      </c>
      <c r="AH460" s="8">
        <f t="shared" si="242"/>
        <v>-2057</v>
      </c>
      <c r="AI460" s="8">
        <v>-43404</v>
      </c>
      <c r="AJ460" s="8">
        <f t="shared" si="243"/>
        <v>-1653</v>
      </c>
      <c r="AK460" s="8">
        <v>105018</v>
      </c>
      <c r="AL460" s="8">
        <f t="shared" si="244"/>
        <v>-2955</v>
      </c>
      <c r="AM460" s="8">
        <v>202127</v>
      </c>
      <c r="AN460" s="8">
        <f t="shared" si="245"/>
        <v>-1985</v>
      </c>
      <c r="AO460" s="8">
        <v>-97109</v>
      </c>
      <c r="AP460" s="8">
        <f t="shared" si="246"/>
        <v>-970</v>
      </c>
      <c r="AR460" s="8">
        <v>1806955</v>
      </c>
      <c r="AS460" s="8">
        <f t="shared" si="247"/>
        <v>28027</v>
      </c>
      <c r="AT460" s="8">
        <v>210622</v>
      </c>
      <c r="AU460" s="8">
        <f t="shared" si="248"/>
        <v>9261</v>
      </c>
      <c r="AV460" s="8">
        <v>209871</v>
      </c>
      <c r="AW460" s="8">
        <f t="shared" si="249"/>
        <v>-28520</v>
      </c>
      <c r="AX460" s="8">
        <f t="shared" si="224"/>
        <v>751</v>
      </c>
      <c r="AY460" s="8">
        <f t="shared" si="250"/>
        <v>37781</v>
      </c>
      <c r="AZ460" s="8">
        <v>789078</v>
      </c>
      <c r="BA460" s="8">
        <f t="shared" si="251"/>
        <v>8340</v>
      </c>
      <c r="BB460" s="8">
        <v>747900</v>
      </c>
      <c r="BC460" s="8">
        <f t="shared" si="252"/>
        <v>56735</v>
      </c>
      <c r="BD460" s="8">
        <f t="shared" si="225"/>
        <v>41178</v>
      </c>
      <c r="BE460" s="8">
        <f t="shared" si="253"/>
        <v>-48395</v>
      </c>
      <c r="BF460" s="8">
        <v>432809</v>
      </c>
      <c r="BG460" s="8">
        <f t="shared" si="254"/>
        <v>375</v>
      </c>
      <c r="BH460" s="8">
        <v>620323</v>
      </c>
      <c r="BI460" s="8">
        <f t="shared" si="255"/>
        <v>50319</v>
      </c>
      <c r="BJ460" s="8">
        <f t="shared" si="226"/>
        <v>-187514</v>
      </c>
      <c r="BK460" s="8">
        <f t="shared" si="228"/>
        <v>-49944</v>
      </c>
    </row>
    <row r="461" spans="1:63">
      <c r="A461" s="5">
        <v>42094</v>
      </c>
      <c r="B461" s="8">
        <v>419039</v>
      </c>
      <c r="C461" s="8">
        <f t="shared" si="229"/>
        <v>6377</v>
      </c>
      <c r="D461" s="8">
        <v>66410</v>
      </c>
      <c r="E461" s="8">
        <f t="shared" si="230"/>
        <v>1908</v>
      </c>
      <c r="F461" s="8">
        <v>68358</v>
      </c>
      <c r="G461" s="8">
        <f t="shared" si="231"/>
        <v>8004</v>
      </c>
      <c r="H461" s="8">
        <v>-1948</v>
      </c>
      <c r="I461" s="8">
        <f t="shared" si="232"/>
        <v>-6096</v>
      </c>
      <c r="J461" s="8">
        <v>183606</v>
      </c>
      <c r="K461" s="8">
        <f t="shared" si="233"/>
        <v>6694</v>
      </c>
      <c r="L461" s="8">
        <v>196841</v>
      </c>
      <c r="M461" s="8">
        <f t="shared" si="234"/>
        <v>-2507</v>
      </c>
      <c r="N461" s="8">
        <v>-13235</v>
      </c>
      <c r="O461" s="8">
        <f t="shared" si="235"/>
        <v>9201</v>
      </c>
      <c r="P461" s="8">
        <v>109385</v>
      </c>
      <c r="Q461" s="8">
        <f t="shared" si="236"/>
        <v>5594</v>
      </c>
      <c r="R461" s="8">
        <v>188378</v>
      </c>
      <c r="S461" s="8">
        <f t="shared" si="237"/>
        <v>-3150</v>
      </c>
      <c r="T461" s="8">
        <v>-78993</v>
      </c>
      <c r="U461" s="8">
        <f t="shared" si="238"/>
        <v>8744</v>
      </c>
      <c r="W461" s="8">
        <v>397665</v>
      </c>
      <c r="X461" s="8">
        <f t="shared" si="239"/>
        <v>1087</v>
      </c>
      <c r="Y461" s="8">
        <v>59818</v>
      </c>
      <c r="Z461" s="8">
        <f t="shared" si="240"/>
        <v>7590</v>
      </c>
      <c r="AA461" s="8">
        <v>45515</v>
      </c>
      <c r="AB461" s="8">
        <f t="shared" si="227"/>
        <v>-616</v>
      </c>
      <c r="AC461" s="8">
        <v>14303</v>
      </c>
      <c r="AD461" s="8">
        <f t="shared" si="227"/>
        <v>8206</v>
      </c>
      <c r="AE461" s="8">
        <v>166987</v>
      </c>
      <c r="AF461" s="8">
        <f t="shared" si="241"/>
        <v>-1776</v>
      </c>
      <c r="AG461" s="8">
        <v>219671</v>
      </c>
      <c r="AH461" s="8">
        <f t="shared" si="242"/>
        <v>7504</v>
      </c>
      <c r="AI461" s="8">
        <v>-52684</v>
      </c>
      <c r="AJ461" s="8">
        <f t="shared" si="243"/>
        <v>-9280</v>
      </c>
      <c r="AK461" s="8">
        <v>101065</v>
      </c>
      <c r="AL461" s="8">
        <f t="shared" si="244"/>
        <v>-3953</v>
      </c>
      <c r="AM461" s="8">
        <v>207381</v>
      </c>
      <c r="AN461" s="8">
        <f t="shared" si="245"/>
        <v>5254</v>
      </c>
      <c r="AO461" s="8">
        <v>-106316</v>
      </c>
      <c r="AP461" s="8">
        <f t="shared" si="246"/>
        <v>-9207</v>
      </c>
      <c r="AR461" s="8">
        <v>1807763</v>
      </c>
      <c r="AS461" s="8">
        <f t="shared" si="247"/>
        <v>808</v>
      </c>
      <c r="AT461" s="8">
        <v>197204</v>
      </c>
      <c r="AU461" s="8">
        <f t="shared" si="248"/>
        <v>-13418</v>
      </c>
      <c r="AV461" s="8">
        <v>188651</v>
      </c>
      <c r="AW461" s="8">
        <f t="shared" si="249"/>
        <v>-21220</v>
      </c>
      <c r="AX461" s="8">
        <f t="shared" si="224"/>
        <v>8553</v>
      </c>
      <c r="AY461" s="8">
        <f t="shared" si="250"/>
        <v>7802</v>
      </c>
      <c r="AZ461" s="8">
        <v>815698</v>
      </c>
      <c r="BA461" s="8">
        <f t="shared" si="251"/>
        <v>26620</v>
      </c>
      <c r="BB461" s="8">
        <v>773824</v>
      </c>
      <c r="BC461" s="8">
        <f t="shared" si="252"/>
        <v>25924</v>
      </c>
      <c r="BD461" s="8">
        <f t="shared" si="225"/>
        <v>41874</v>
      </c>
      <c r="BE461" s="8">
        <f t="shared" si="253"/>
        <v>696</v>
      </c>
      <c r="BF461" s="8">
        <v>443671</v>
      </c>
      <c r="BG461" s="8">
        <f t="shared" si="254"/>
        <v>10862</v>
      </c>
      <c r="BH461" s="8">
        <v>629917</v>
      </c>
      <c r="BI461" s="8">
        <f t="shared" si="255"/>
        <v>9594</v>
      </c>
      <c r="BJ461" s="8">
        <f t="shared" si="226"/>
        <v>-186246</v>
      </c>
      <c r="BK461" s="8">
        <f t="shared" si="228"/>
        <v>1268</v>
      </c>
    </row>
    <row r="462" spans="1:63">
      <c r="A462" s="5">
        <v>42101</v>
      </c>
      <c r="B462" s="8">
        <v>408666</v>
      </c>
      <c r="C462" s="8">
        <f t="shared" si="229"/>
        <v>-10373</v>
      </c>
      <c r="D462" s="8">
        <v>69278</v>
      </c>
      <c r="E462" s="8">
        <f t="shared" si="230"/>
        <v>2868</v>
      </c>
      <c r="F462" s="8">
        <v>62261</v>
      </c>
      <c r="G462" s="8">
        <f t="shared" si="231"/>
        <v>-6097</v>
      </c>
      <c r="H462" s="8">
        <v>7017</v>
      </c>
      <c r="I462" s="8">
        <f t="shared" si="232"/>
        <v>8965</v>
      </c>
      <c r="J462" s="8">
        <v>175220</v>
      </c>
      <c r="K462" s="8">
        <f t="shared" si="233"/>
        <v>-8386</v>
      </c>
      <c r="L462" s="8">
        <v>200399</v>
      </c>
      <c r="M462" s="8">
        <f t="shared" si="234"/>
        <v>3558</v>
      </c>
      <c r="N462" s="8">
        <v>-25179</v>
      </c>
      <c r="O462" s="8">
        <f t="shared" si="235"/>
        <v>-11944</v>
      </c>
      <c r="P462" s="8">
        <v>100124</v>
      </c>
      <c r="Q462" s="8">
        <f t="shared" si="236"/>
        <v>-9261</v>
      </c>
      <c r="R462" s="8">
        <v>191427</v>
      </c>
      <c r="S462" s="8">
        <f t="shared" si="237"/>
        <v>3049</v>
      </c>
      <c r="T462" s="8">
        <v>-91303</v>
      </c>
      <c r="U462" s="8">
        <f t="shared" si="238"/>
        <v>-12310</v>
      </c>
      <c r="W462" s="8">
        <v>395137</v>
      </c>
      <c r="X462" s="8">
        <f t="shared" si="239"/>
        <v>-2528</v>
      </c>
      <c r="Y462" s="8">
        <v>50813</v>
      </c>
      <c r="Z462" s="8">
        <f t="shared" si="240"/>
        <v>-9005</v>
      </c>
      <c r="AA462" s="8">
        <v>51459</v>
      </c>
      <c r="AB462" s="8">
        <f t="shared" si="227"/>
        <v>5944</v>
      </c>
      <c r="AC462" s="8">
        <v>-646</v>
      </c>
      <c r="AD462" s="8">
        <f t="shared" si="227"/>
        <v>-14949</v>
      </c>
      <c r="AE462" s="8">
        <v>171328</v>
      </c>
      <c r="AF462" s="8">
        <f t="shared" si="241"/>
        <v>4341</v>
      </c>
      <c r="AG462" s="8">
        <v>207888</v>
      </c>
      <c r="AH462" s="8">
        <f t="shared" si="242"/>
        <v>-11783</v>
      </c>
      <c r="AI462" s="8">
        <v>-36560</v>
      </c>
      <c r="AJ462" s="8">
        <f t="shared" si="243"/>
        <v>16124</v>
      </c>
      <c r="AK462" s="8">
        <v>104369</v>
      </c>
      <c r="AL462" s="8">
        <f t="shared" si="244"/>
        <v>3304</v>
      </c>
      <c r="AM462" s="8">
        <v>193915</v>
      </c>
      <c r="AN462" s="8">
        <f t="shared" si="245"/>
        <v>-13466</v>
      </c>
      <c r="AO462" s="8">
        <v>-89546</v>
      </c>
      <c r="AP462" s="8">
        <f t="shared" si="246"/>
        <v>16770</v>
      </c>
      <c r="AR462" s="8">
        <v>1809465</v>
      </c>
      <c r="AS462" s="8">
        <f t="shared" si="247"/>
        <v>1702</v>
      </c>
      <c r="AT462" s="8">
        <v>192746</v>
      </c>
      <c r="AU462" s="8">
        <f t="shared" si="248"/>
        <v>-4458</v>
      </c>
      <c r="AV462" s="8">
        <v>183655</v>
      </c>
      <c r="AW462" s="8">
        <f t="shared" si="249"/>
        <v>-4996</v>
      </c>
      <c r="AX462" s="8">
        <f t="shared" si="224"/>
        <v>9091</v>
      </c>
      <c r="AY462" s="8">
        <f t="shared" si="250"/>
        <v>538</v>
      </c>
      <c r="AZ462" s="8">
        <v>802881</v>
      </c>
      <c r="BA462" s="8">
        <f t="shared" si="251"/>
        <v>-12817</v>
      </c>
      <c r="BB462" s="8">
        <v>757204</v>
      </c>
      <c r="BC462" s="8">
        <f t="shared" si="252"/>
        <v>-16620</v>
      </c>
      <c r="BD462" s="8">
        <f t="shared" si="225"/>
        <v>45677</v>
      </c>
      <c r="BE462" s="8">
        <f t="shared" si="253"/>
        <v>3803</v>
      </c>
      <c r="BF462" s="8">
        <v>437356</v>
      </c>
      <c r="BG462" s="8">
        <f t="shared" si="254"/>
        <v>-6315</v>
      </c>
      <c r="BH462" s="8">
        <v>617393</v>
      </c>
      <c r="BI462" s="8">
        <f t="shared" si="255"/>
        <v>-12524</v>
      </c>
      <c r="BJ462" s="8">
        <f t="shared" si="226"/>
        <v>-180037</v>
      </c>
      <c r="BK462" s="8">
        <f t="shared" si="228"/>
        <v>6209</v>
      </c>
    </row>
    <row r="463" spans="1:63">
      <c r="A463" s="5">
        <v>42108</v>
      </c>
      <c r="B463" s="8">
        <v>408589</v>
      </c>
      <c r="C463" s="8">
        <f t="shared" si="229"/>
        <v>-77</v>
      </c>
      <c r="D463" s="8">
        <v>73148</v>
      </c>
      <c r="E463" s="8">
        <f t="shared" si="230"/>
        <v>3870</v>
      </c>
      <c r="F463" s="8">
        <v>55488</v>
      </c>
      <c r="G463" s="8">
        <f t="shared" si="231"/>
        <v>-6773</v>
      </c>
      <c r="H463" s="8">
        <v>17660</v>
      </c>
      <c r="I463" s="8">
        <f t="shared" si="232"/>
        <v>10643</v>
      </c>
      <c r="J463" s="8">
        <v>167906</v>
      </c>
      <c r="K463" s="8">
        <f t="shared" si="233"/>
        <v>-7314</v>
      </c>
      <c r="L463" s="8">
        <v>207736</v>
      </c>
      <c r="M463" s="8">
        <f t="shared" si="234"/>
        <v>7337</v>
      </c>
      <c r="N463" s="8">
        <v>-39830</v>
      </c>
      <c r="O463" s="8">
        <f t="shared" si="235"/>
        <v>-14651</v>
      </c>
      <c r="P463" s="8">
        <v>93908</v>
      </c>
      <c r="Q463" s="8">
        <f t="shared" si="236"/>
        <v>-6216</v>
      </c>
      <c r="R463" s="8">
        <v>197854</v>
      </c>
      <c r="S463" s="8">
        <f t="shared" si="237"/>
        <v>6427</v>
      </c>
      <c r="T463" s="8">
        <v>-103946</v>
      </c>
      <c r="U463" s="8">
        <f t="shared" si="238"/>
        <v>-12643</v>
      </c>
      <c r="W463" s="8">
        <v>404553</v>
      </c>
      <c r="X463" s="8">
        <f t="shared" si="239"/>
        <v>9416</v>
      </c>
      <c r="Y463" s="8">
        <v>46325</v>
      </c>
      <c r="Z463" s="8">
        <f t="shared" si="240"/>
        <v>-4488</v>
      </c>
      <c r="AA463" s="8">
        <v>66042</v>
      </c>
      <c r="AB463" s="8">
        <f t="shared" si="227"/>
        <v>14583</v>
      </c>
      <c r="AC463" s="8">
        <v>-19717</v>
      </c>
      <c r="AD463" s="8">
        <f t="shared" si="227"/>
        <v>-19071</v>
      </c>
      <c r="AE463" s="8">
        <v>179961</v>
      </c>
      <c r="AF463" s="8">
        <f t="shared" si="241"/>
        <v>8633</v>
      </c>
      <c r="AG463" s="8">
        <v>191252</v>
      </c>
      <c r="AH463" s="8">
        <f t="shared" si="242"/>
        <v>-16636</v>
      </c>
      <c r="AI463" s="8">
        <v>-11291</v>
      </c>
      <c r="AJ463" s="8">
        <f t="shared" si="243"/>
        <v>25269</v>
      </c>
      <c r="AK463" s="8">
        <v>111735</v>
      </c>
      <c r="AL463" s="8">
        <f t="shared" si="244"/>
        <v>7366</v>
      </c>
      <c r="AM463" s="8">
        <v>178452</v>
      </c>
      <c r="AN463" s="8">
        <f t="shared" si="245"/>
        <v>-15463</v>
      </c>
      <c r="AO463" s="8">
        <v>-66717</v>
      </c>
      <c r="AP463" s="8">
        <f t="shared" si="246"/>
        <v>22829</v>
      </c>
      <c r="AR463" s="8">
        <v>1875432</v>
      </c>
      <c r="AS463" s="8">
        <f t="shared" si="247"/>
        <v>65967</v>
      </c>
      <c r="AT463" s="8">
        <v>182558</v>
      </c>
      <c r="AU463" s="8">
        <f t="shared" si="248"/>
        <v>-10188</v>
      </c>
      <c r="AV463" s="8">
        <v>230870</v>
      </c>
      <c r="AW463" s="8">
        <f t="shared" si="249"/>
        <v>47215</v>
      </c>
      <c r="AX463" s="8">
        <f t="shared" si="224"/>
        <v>-48312</v>
      </c>
      <c r="AY463" s="8">
        <f t="shared" si="250"/>
        <v>-57403</v>
      </c>
      <c r="AZ463" s="8">
        <v>829559</v>
      </c>
      <c r="BA463" s="8">
        <f t="shared" si="251"/>
        <v>26678</v>
      </c>
      <c r="BB463" s="8">
        <v>730289</v>
      </c>
      <c r="BC463" s="8">
        <f t="shared" si="252"/>
        <v>-26915</v>
      </c>
      <c r="BD463" s="8">
        <f t="shared" si="225"/>
        <v>99270</v>
      </c>
      <c r="BE463" s="8">
        <f t="shared" si="253"/>
        <v>53593</v>
      </c>
      <c r="BF463" s="8">
        <v>474003</v>
      </c>
      <c r="BG463" s="8">
        <f t="shared" si="254"/>
        <v>36647</v>
      </c>
      <c r="BH463" s="8">
        <v>603561</v>
      </c>
      <c r="BI463" s="8">
        <f t="shared" si="255"/>
        <v>-13832</v>
      </c>
      <c r="BJ463" s="8">
        <f t="shared" si="226"/>
        <v>-129558</v>
      </c>
      <c r="BK463" s="8">
        <f t="shared" si="228"/>
        <v>50479</v>
      </c>
    </row>
    <row r="464" spans="1:63">
      <c r="A464" s="5">
        <v>42115</v>
      </c>
      <c r="B464" s="8">
        <v>419094</v>
      </c>
      <c r="C464" s="8">
        <f t="shared" si="229"/>
        <v>10505</v>
      </c>
      <c r="D464" s="8">
        <v>70695</v>
      </c>
      <c r="E464" s="8">
        <f t="shared" si="230"/>
        <v>-2453</v>
      </c>
      <c r="F464" s="8">
        <v>49046</v>
      </c>
      <c r="G464" s="8">
        <f t="shared" si="231"/>
        <v>-6442</v>
      </c>
      <c r="H464" s="8">
        <v>21649</v>
      </c>
      <c r="I464" s="8">
        <f t="shared" si="232"/>
        <v>3989</v>
      </c>
      <c r="J464" s="8">
        <v>162925</v>
      </c>
      <c r="K464" s="8">
        <f t="shared" si="233"/>
        <v>-4981</v>
      </c>
      <c r="L464" s="8">
        <v>217369</v>
      </c>
      <c r="M464" s="8">
        <f t="shared" si="234"/>
        <v>9633</v>
      </c>
      <c r="N464" s="8">
        <v>-54444</v>
      </c>
      <c r="O464" s="8">
        <f t="shared" si="235"/>
        <v>-14614</v>
      </c>
      <c r="P464" s="8">
        <v>89307</v>
      </c>
      <c r="Q464" s="8">
        <f t="shared" si="236"/>
        <v>-4601</v>
      </c>
      <c r="R464" s="8">
        <v>207336</v>
      </c>
      <c r="S464" s="8">
        <f t="shared" si="237"/>
        <v>9482</v>
      </c>
      <c r="T464" s="8">
        <v>-118029</v>
      </c>
      <c r="U464" s="8">
        <f t="shared" si="238"/>
        <v>-14083</v>
      </c>
      <c r="W464" s="8">
        <v>406009</v>
      </c>
      <c r="X464" s="8">
        <f t="shared" si="239"/>
        <v>1456</v>
      </c>
      <c r="Y464" s="8">
        <v>51543</v>
      </c>
      <c r="Z464" s="8">
        <f t="shared" si="240"/>
        <v>5218</v>
      </c>
      <c r="AA464" s="8">
        <v>63533</v>
      </c>
      <c r="AB464" s="8">
        <f t="shared" si="227"/>
        <v>-2509</v>
      </c>
      <c r="AC464" s="8">
        <v>-11990</v>
      </c>
      <c r="AD464" s="8">
        <f t="shared" si="227"/>
        <v>7727</v>
      </c>
      <c r="AE464" s="8">
        <v>179576</v>
      </c>
      <c r="AF464" s="8">
        <f t="shared" si="241"/>
        <v>-385</v>
      </c>
      <c r="AG464" s="8">
        <v>199561</v>
      </c>
      <c r="AH464" s="8">
        <f t="shared" si="242"/>
        <v>8309</v>
      </c>
      <c r="AI464" s="8">
        <v>-19985</v>
      </c>
      <c r="AJ464" s="8">
        <f t="shared" si="243"/>
        <v>-8694</v>
      </c>
      <c r="AK464" s="8">
        <v>111344</v>
      </c>
      <c r="AL464" s="8">
        <f t="shared" si="244"/>
        <v>-391</v>
      </c>
      <c r="AM464" s="8">
        <v>186384</v>
      </c>
      <c r="AN464" s="8">
        <f t="shared" si="245"/>
        <v>7932</v>
      </c>
      <c r="AO464" s="8">
        <v>-75040</v>
      </c>
      <c r="AP464" s="8">
        <f t="shared" si="246"/>
        <v>-8323</v>
      </c>
      <c r="AR464" s="8">
        <v>1851654</v>
      </c>
      <c r="AS464" s="8">
        <f t="shared" si="247"/>
        <v>-23778</v>
      </c>
      <c r="AT464" s="8">
        <v>173809</v>
      </c>
      <c r="AU464" s="8">
        <f t="shared" si="248"/>
        <v>-8749</v>
      </c>
      <c r="AV464" s="8">
        <v>239107</v>
      </c>
      <c r="AW464" s="8">
        <f t="shared" si="249"/>
        <v>8237</v>
      </c>
      <c r="AX464" s="8">
        <f t="shared" si="224"/>
        <v>-65298</v>
      </c>
      <c r="AY464" s="8">
        <f t="shared" si="250"/>
        <v>-16986</v>
      </c>
      <c r="AZ464" s="8">
        <v>829644</v>
      </c>
      <c r="BA464" s="8">
        <f t="shared" si="251"/>
        <v>85</v>
      </c>
      <c r="BB464" s="8">
        <v>705746</v>
      </c>
      <c r="BC464" s="8">
        <f t="shared" si="252"/>
        <v>-24543</v>
      </c>
      <c r="BD464" s="8">
        <f t="shared" si="225"/>
        <v>123898</v>
      </c>
      <c r="BE464" s="8">
        <f t="shared" si="253"/>
        <v>24628</v>
      </c>
      <c r="BF464" s="8">
        <v>473050</v>
      </c>
      <c r="BG464" s="8">
        <f t="shared" si="254"/>
        <v>-953</v>
      </c>
      <c r="BH464" s="8">
        <v>579155</v>
      </c>
      <c r="BI464" s="8">
        <f t="shared" si="255"/>
        <v>-24406</v>
      </c>
      <c r="BJ464" s="8">
        <f t="shared" si="226"/>
        <v>-106105</v>
      </c>
      <c r="BK464" s="8">
        <f t="shared" si="228"/>
        <v>23453</v>
      </c>
    </row>
    <row r="465" spans="1:63">
      <c r="A465" s="5">
        <v>42122</v>
      </c>
      <c r="B465" s="8">
        <v>410383</v>
      </c>
      <c r="C465" s="8">
        <f t="shared" si="229"/>
        <v>-8711</v>
      </c>
      <c r="D465" s="8">
        <v>73354</v>
      </c>
      <c r="E465" s="8">
        <f t="shared" si="230"/>
        <v>2659</v>
      </c>
      <c r="F465" s="8">
        <v>56581</v>
      </c>
      <c r="G465" s="8">
        <f t="shared" si="231"/>
        <v>7535</v>
      </c>
      <c r="H465" s="8">
        <v>16773</v>
      </c>
      <c r="I465" s="8">
        <f t="shared" si="232"/>
        <v>-4876</v>
      </c>
      <c r="J465" s="8">
        <v>170807</v>
      </c>
      <c r="K465" s="8">
        <f t="shared" si="233"/>
        <v>7882</v>
      </c>
      <c r="L465" s="8">
        <v>216911</v>
      </c>
      <c r="M465" s="8">
        <f t="shared" si="234"/>
        <v>-458</v>
      </c>
      <c r="N465" s="8">
        <v>-46104</v>
      </c>
      <c r="O465" s="8">
        <f t="shared" si="235"/>
        <v>8340</v>
      </c>
      <c r="P465" s="8">
        <v>90653</v>
      </c>
      <c r="Q465" s="8">
        <f t="shared" si="236"/>
        <v>1346</v>
      </c>
      <c r="R465" s="8">
        <v>201393</v>
      </c>
      <c r="S465" s="8">
        <f t="shared" si="237"/>
        <v>-5943</v>
      </c>
      <c r="T465" s="8">
        <v>-110740</v>
      </c>
      <c r="U465" s="8">
        <f t="shared" si="238"/>
        <v>7289</v>
      </c>
      <c r="W465" s="8">
        <v>380325</v>
      </c>
      <c r="X465" s="8">
        <f t="shared" si="239"/>
        <v>-25684</v>
      </c>
      <c r="Y465" s="8">
        <v>57206</v>
      </c>
      <c r="Z465" s="8">
        <f t="shared" si="240"/>
        <v>5663</v>
      </c>
      <c r="AA465" s="8">
        <v>55436</v>
      </c>
      <c r="AB465" s="8">
        <f t="shared" si="227"/>
        <v>-8097</v>
      </c>
      <c r="AC465" s="8">
        <v>1770</v>
      </c>
      <c r="AD465" s="8">
        <f t="shared" si="227"/>
        <v>13760</v>
      </c>
      <c r="AE465" s="8">
        <v>168271</v>
      </c>
      <c r="AF465" s="8">
        <f t="shared" si="241"/>
        <v>-11305</v>
      </c>
      <c r="AG465" s="8">
        <v>200210</v>
      </c>
      <c r="AH465" s="8">
        <f t="shared" si="242"/>
        <v>649</v>
      </c>
      <c r="AI465" s="8">
        <v>-31939</v>
      </c>
      <c r="AJ465" s="8">
        <f t="shared" si="243"/>
        <v>-11954</v>
      </c>
      <c r="AK465" s="8">
        <v>103420</v>
      </c>
      <c r="AL465" s="8">
        <f t="shared" si="244"/>
        <v>-7924</v>
      </c>
      <c r="AM465" s="8">
        <v>189608</v>
      </c>
      <c r="AN465" s="8">
        <f t="shared" si="245"/>
        <v>3224</v>
      </c>
      <c r="AO465" s="8">
        <v>-86188</v>
      </c>
      <c r="AP465" s="8">
        <f t="shared" si="246"/>
        <v>-11148</v>
      </c>
      <c r="AR465" s="8">
        <v>1770937</v>
      </c>
      <c r="AS465" s="8">
        <f t="shared" si="247"/>
        <v>-80717</v>
      </c>
      <c r="AT465" s="8">
        <v>190346</v>
      </c>
      <c r="AU465" s="8">
        <f t="shared" si="248"/>
        <v>16537</v>
      </c>
      <c r="AV465" s="8">
        <v>282729</v>
      </c>
      <c r="AW465" s="8">
        <f t="shared" si="249"/>
        <v>43622</v>
      </c>
      <c r="AX465" s="8">
        <f t="shared" si="224"/>
        <v>-92383</v>
      </c>
      <c r="AY465" s="8">
        <f t="shared" si="250"/>
        <v>-27085</v>
      </c>
      <c r="AZ465" s="8">
        <v>766425</v>
      </c>
      <c r="BA465" s="8">
        <f t="shared" si="251"/>
        <v>-63219</v>
      </c>
      <c r="BB465" s="8">
        <v>623231</v>
      </c>
      <c r="BC465" s="8">
        <f t="shared" si="252"/>
        <v>-82515</v>
      </c>
      <c r="BD465" s="8">
        <f t="shared" si="225"/>
        <v>143194</v>
      </c>
      <c r="BE465" s="8">
        <f t="shared" si="253"/>
        <v>19296</v>
      </c>
      <c r="BF465" s="8">
        <v>416528</v>
      </c>
      <c r="BG465" s="8">
        <f t="shared" si="254"/>
        <v>-56522</v>
      </c>
      <c r="BH465" s="8">
        <v>510839</v>
      </c>
      <c r="BI465" s="8">
        <f t="shared" si="255"/>
        <v>-68316</v>
      </c>
      <c r="BJ465" s="8">
        <f t="shared" si="226"/>
        <v>-94311</v>
      </c>
      <c r="BK465" s="8">
        <f t="shared" si="228"/>
        <v>11794</v>
      </c>
    </row>
    <row r="466" spans="1:63">
      <c r="A466" s="5">
        <v>42129</v>
      </c>
      <c r="B466" s="8">
        <v>411477</v>
      </c>
      <c r="C466" s="8">
        <f t="shared" si="229"/>
        <v>1094</v>
      </c>
      <c r="D466" s="8">
        <v>82763</v>
      </c>
      <c r="E466" s="8">
        <f t="shared" si="230"/>
        <v>9409</v>
      </c>
      <c r="F466" s="8">
        <v>45825</v>
      </c>
      <c r="G466" s="8">
        <f t="shared" si="231"/>
        <v>-10756</v>
      </c>
      <c r="H466" s="8">
        <v>36938</v>
      </c>
      <c r="I466" s="8">
        <f t="shared" si="232"/>
        <v>20165</v>
      </c>
      <c r="J466" s="8">
        <v>158334</v>
      </c>
      <c r="K466" s="8">
        <f t="shared" si="233"/>
        <v>-12473</v>
      </c>
      <c r="L466" s="8">
        <v>235903</v>
      </c>
      <c r="M466" s="8">
        <f t="shared" si="234"/>
        <v>18992</v>
      </c>
      <c r="N466" s="8">
        <v>-77569</v>
      </c>
      <c r="O466" s="8">
        <f t="shared" si="235"/>
        <v>-31465</v>
      </c>
      <c r="P466" s="8">
        <v>74742</v>
      </c>
      <c r="Q466" s="8">
        <f t="shared" si="236"/>
        <v>-15911</v>
      </c>
      <c r="R466" s="8">
        <v>218278</v>
      </c>
      <c r="S466" s="8">
        <f t="shared" si="237"/>
        <v>16885</v>
      </c>
      <c r="T466" s="8">
        <v>-143536</v>
      </c>
      <c r="U466" s="8">
        <f t="shared" si="238"/>
        <v>-32796</v>
      </c>
      <c r="W466" s="8">
        <v>382696</v>
      </c>
      <c r="X466" s="8">
        <f t="shared" si="239"/>
        <v>2371</v>
      </c>
      <c r="Y466" s="8">
        <v>54079</v>
      </c>
      <c r="Z466" s="8">
        <f t="shared" si="240"/>
        <v>-3127</v>
      </c>
      <c r="AA466" s="8">
        <v>55528</v>
      </c>
      <c r="AB466" s="8">
        <f t="shared" si="227"/>
        <v>92</v>
      </c>
      <c r="AC466" s="8">
        <v>-1449</v>
      </c>
      <c r="AD466" s="8">
        <f t="shared" si="227"/>
        <v>-3219</v>
      </c>
      <c r="AE466" s="8">
        <v>170467</v>
      </c>
      <c r="AF466" s="8">
        <f t="shared" si="241"/>
        <v>2196</v>
      </c>
      <c r="AG466" s="8">
        <v>199856</v>
      </c>
      <c r="AH466" s="8">
        <f t="shared" si="242"/>
        <v>-354</v>
      </c>
      <c r="AI466" s="8">
        <v>-29389</v>
      </c>
      <c r="AJ466" s="8">
        <f t="shared" si="243"/>
        <v>2550</v>
      </c>
      <c r="AK466" s="8">
        <v>102368</v>
      </c>
      <c r="AL466" s="8">
        <f t="shared" si="244"/>
        <v>-1052</v>
      </c>
      <c r="AM466" s="8">
        <v>190278</v>
      </c>
      <c r="AN466" s="8">
        <f t="shared" si="245"/>
        <v>670</v>
      </c>
      <c r="AO466" s="8">
        <v>-87910</v>
      </c>
      <c r="AP466" s="8">
        <f t="shared" si="246"/>
        <v>-1722</v>
      </c>
      <c r="AR466" s="8">
        <v>1817160</v>
      </c>
      <c r="AS466" s="8">
        <f t="shared" si="247"/>
        <v>46223</v>
      </c>
      <c r="AT466" s="8">
        <v>205145</v>
      </c>
      <c r="AU466" s="8">
        <f t="shared" si="248"/>
        <v>14799</v>
      </c>
      <c r="AV466" s="8">
        <v>322130</v>
      </c>
      <c r="AW466" s="8">
        <f t="shared" si="249"/>
        <v>39401</v>
      </c>
      <c r="AX466" s="8">
        <f t="shared" si="224"/>
        <v>-116985</v>
      </c>
      <c r="AY466" s="8">
        <f t="shared" si="250"/>
        <v>-24602</v>
      </c>
      <c r="AZ466" s="8">
        <v>796306</v>
      </c>
      <c r="BA466" s="8">
        <f t="shared" si="251"/>
        <v>29881</v>
      </c>
      <c r="BB466" s="8">
        <v>627260</v>
      </c>
      <c r="BC466" s="8">
        <f t="shared" si="252"/>
        <v>4029</v>
      </c>
      <c r="BD466" s="8">
        <f t="shared" si="225"/>
        <v>169046</v>
      </c>
      <c r="BE466" s="8">
        <f t="shared" si="253"/>
        <v>25852</v>
      </c>
      <c r="BF466" s="8">
        <v>440049</v>
      </c>
      <c r="BG466" s="8">
        <f t="shared" si="254"/>
        <v>23521</v>
      </c>
      <c r="BH466" s="8">
        <v>514689</v>
      </c>
      <c r="BI466" s="8">
        <f t="shared" si="255"/>
        <v>3850</v>
      </c>
      <c r="BJ466" s="8">
        <f t="shared" si="226"/>
        <v>-74640</v>
      </c>
      <c r="BK466" s="8">
        <f t="shared" si="228"/>
        <v>19671</v>
      </c>
    </row>
    <row r="467" spans="1:63">
      <c r="A467" s="5">
        <v>42136</v>
      </c>
      <c r="B467" s="8">
        <v>424056</v>
      </c>
      <c r="C467" s="8">
        <f t="shared" si="229"/>
        <v>12579</v>
      </c>
      <c r="D467" s="8">
        <v>81623</v>
      </c>
      <c r="E467" s="8">
        <f t="shared" si="230"/>
        <v>-1140</v>
      </c>
      <c r="F467" s="8">
        <v>40623</v>
      </c>
      <c r="G467" s="8">
        <f t="shared" si="231"/>
        <v>-5202</v>
      </c>
      <c r="H467" s="8">
        <v>41000</v>
      </c>
      <c r="I467" s="8">
        <f t="shared" si="232"/>
        <v>4062</v>
      </c>
      <c r="J467" s="8">
        <v>158457</v>
      </c>
      <c r="K467" s="8">
        <f t="shared" si="233"/>
        <v>123</v>
      </c>
      <c r="L467" s="8">
        <v>243463</v>
      </c>
      <c r="M467" s="8">
        <f t="shared" si="234"/>
        <v>7560</v>
      </c>
      <c r="N467" s="8">
        <v>-85006</v>
      </c>
      <c r="O467" s="8">
        <f t="shared" si="235"/>
        <v>-7437</v>
      </c>
      <c r="P467" s="8">
        <v>73218</v>
      </c>
      <c r="Q467" s="8">
        <f t="shared" si="236"/>
        <v>-1524</v>
      </c>
      <c r="R467" s="8">
        <v>229335</v>
      </c>
      <c r="S467" s="8">
        <f t="shared" si="237"/>
        <v>11057</v>
      </c>
      <c r="T467" s="8">
        <v>-156117</v>
      </c>
      <c r="U467" s="8">
        <f t="shared" si="238"/>
        <v>-12581</v>
      </c>
      <c r="W467" s="8">
        <v>408028</v>
      </c>
      <c r="X467" s="8">
        <f t="shared" si="239"/>
        <v>25332</v>
      </c>
      <c r="Y467" s="8">
        <v>52850</v>
      </c>
      <c r="Z467" s="8">
        <f t="shared" si="240"/>
        <v>-1229</v>
      </c>
      <c r="AA467" s="8">
        <v>64357</v>
      </c>
      <c r="AB467" s="8">
        <f t="shared" si="227"/>
        <v>8829</v>
      </c>
      <c r="AC467" s="8">
        <v>-11507</v>
      </c>
      <c r="AD467" s="8">
        <f t="shared" si="227"/>
        <v>-10058</v>
      </c>
      <c r="AE467" s="8">
        <v>187114</v>
      </c>
      <c r="AF467" s="8">
        <f t="shared" si="241"/>
        <v>16647</v>
      </c>
      <c r="AG467" s="8">
        <v>201583</v>
      </c>
      <c r="AH467" s="8">
        <f t="shared" si="242"/>
        <v>1727</v>
      </c>
      <c r="AI467" s="8">
        <v>-14469</v>
      </c>
      <c r="AJ467" s="8">
        <f t="shared" si="243"/>
        <v>14920</v>
      </c>
      <c r="AK467" s="8">
        <v>112251</v>
      </c>
      <c r="AL467" s="8">
        <f t="shared" si="244"/>
        <v>9883</v>
      </c>
      <c r="AM467" s="8">
        <v>191287</v>
      </c>
      <c r="AN467" s="8">
        <f t="shared" si="245"/>
        <v>1009</v>
      </c>
      <c r="AO467" s="8">
        <v>-79036</v>
      </c>
      <c r="AP467" s="8">
        <f t="shared" si="246"/>
        <v>8874</v>
      </c>
      <c r="AR467" s="8">
        <v>1839894</v>
      </c>
      <c r="AS467" s="8">
        <f t="shared" si="247"/>
        <v>22734</v>
      </c>
      <c r="AT467" s="8">
        <v>222320</v>
      </c>
      <c r="AU467" s="8">
        <f t="shared" si="248"/>
        <v>17175</v>
      </c>
      <c r="AV467" s="8">
        <v>338900</v>
      </c>
      <c r="AW467" s="8">
        <f t="shared" si="249"/>
        <v>16770</v>
      </c>
      <c r="AX467" s="8">
        <f t="shared" si="224"/>
        <v>-116580</v>
      </c>
      <c r="AY467" s="8">
        <f t="shared" si="250"/>
        <v>405</v>
      </c>
      <c r="AZ467" s="8">
        <v>807398</v>
      </c>
      <c r="BA467" s="8">
        <f t="shared" si="251"/>
        <v>11092</v>
      </c>
      <c r="BB467" s="8">
        <v>647652</v>
      </c>
      <c r="BC467" s="8">
        <f t="shared" si="252"/>
        <v>20392</v>
      </c>
      <c r="BD467" s="8">
        <f t="shared" si="225"/>
        <v>159746</v>
      </c>
      <c r="BE467" s="8">
        <f t="shared" si="253"/>
        <v>-9300</v>
      </c>
      <c r="BF467" s="8">
        <v>439952</v>
      </c>
      <c r="BG467" s="8">
        <f t="shared" si="254"/>
        <v>-97</v>
      </c>
      <c r="BH467" s="8">
        <v>531930</v>
      </c>
      <c r="BI467" s="8">
        <f t="shared" si="255"/>
        <v>17241</v>
      </c>
      <c r="BJ467" s="8">
        <f t="shared" si="226"/>
        <v>-91978</v>
      </c>
      <c r="BK467" s="8">
        <f t="shared" si="228"/>
        <v>-17338</v>
      </c>
    </row>
    <row r="468" spans="1:63">
      <c r="A468" s="5">
        <v>42143</v>
      </c>
      <c r="B468" s="8">
        <v>431604</v>
      </c>
      <c r="C468" s="8">
        <f t="shared" si="229"/>
        <v>7548</v>
      </c>
      <c r="D468" s="8">
        <v>73733</v>
      </c>
      <c r="E468" s="8">
        <f t="shared" si="230"/>
        <v>-7890</v>
      </c>
      <c r="F468" s="8">
        <v>45977</v>
      </c>
      <c r="G468" s="8">
        <f t="shared" si="231"/>
        <v>5354</v>
      </c>
      <c r="H468" s="8">
        <v>27756</v>
      </c>
      <c r="I468" s="8">
        <f t="shared" si="232"/>
        <v>-13244</v>
      </c>
      <c r="J468" s="8">
        <v>158208</v>
      </c>
      <c r="K468" s="8">
        <f t="shared" si="233"/>
        <v>-249</v>
      </c>
      <c r="L468" s="8">
        <v>238451</v>
      </c>
      <c r="M468" s="8">
        <f t="shared" si="234"/>
        <v>-5012</v>
      </c>
      <c r="N468" s="8">
        <v>-80243</v>
      </c>
      <c r="O468" s="8">
        <f t="shared" si="235"/>
        <v>4763</v>
      </c>
      <c r="P468" s="8">
        <v>71921</v>
      </c>
      <c r="Q468" s="8">
        <f t="shared" si="236"/>
        <v>-1297</v>
      </c>
      <c r="R468" s="8">
        <v>226126</v>
      </c>
      <c r="S468" s="8">
        <f t="shared" si="237"/>
        <v>-3209</v>
      </c>
      <c r="T468" s="8">
        <v>-154205</v>
      </c>
      <c r="U468" s="8">
        <f t="shared" si="238"/>
        <v>1912</v>
      </c>
      <c r="W468" s="8">
        <v>411478</v>
      </c>
      <c r="X468" s="8">
        <f t="shared" si="239"/>
        <v>3450</v>
      </c>
      <c r="Y468" s="8">
        <v>51418</v>
      </c>
      <c r="Z468" s="8">
        <f t="shared" si="240"/>
        <v>-1432</v>
      </c>
      <c r="AA468" s="8">
        <v>60693</v>
      </c>
      <c r="AB468" s="8">
        <f t="shared" si="227"/>
        <v>-3664</v>
      </c>
      <c r="AC468" s="8">
        <v>-9275</v>
      </c>
      <c r="AD468" s="8">
        <f t="shared" si="227"/>
        <v>2232</v>
      </c>
      <c r="AE468" s="8">
        <v>187573</v>
      </c>
      <c r="AF468" s="8">
        <f t="shared" si="241"/>
        <v>459</v>
      </c>
      <c r="AG468" s="8">
        <v>202689</v>
      </c>
      <c r="AH468" s="8">
        <f t="shared" si="242"/>
        <v>1106</v>
      </c>
      <c r="AI468" s="8">
        <v>-15116</v>
      </c>
      <c r="AJ468" s="8">
        <f t="shared" si="243"/>
        <v>-647</v>
      </c>
      <c r="AK468" s="8">
        <v>114900</v>
      </c>
      <c r="AL468" s="8">
        <f t="shared" si="244"/>
        <v>2649</v>
      </c>
      <c r="AM468" s="8">
        <v>192383</v>
      </c>
      <c r="AN468" s="8">
        <f t="shared" si="245"/>
        <v>1096</v>
      </c>
      <c r="AO468" s="8">
        <v>-77483</v>
      </c>
      <c r="AP468" s="8">
        <f t="shared" si="246"/>
        <v>1553</v>
      </c>
      <c r="AR468" s="8">
        <v>1899696</v>
      </c>
      <c r="AS468" s="8">
        <f t="shared" si="247"/>
        <v>59802</v>
      </c>
      <c r="AT468" s="8">
        <v>230992</v>
      </c>
      <c r="AU468" s="8">
        <f t="shared" si="248"/>
        <v>8672</v>
      </c>
      <c r="AV468" s="8">
        <v>365732</v>
      </c>
      <c r="AW468" s="8">
        <f t="shared" si="249"/>
        <v>26832</v>
      </c>
      <c r="AX468" s="8">
        <f t="shared" si="224"/>
        <v>-134740</v>
      </c>
      <c r="AY468" s="8">
        <f t="shared" si="250"/>
        <v>-18160</v>
      </c>
      <c r="AZ468" s="8">
        <v>840196</v>
      </c>
      <c r="BA468" s="8">
        <f t="shared" si="251"/>
        <v>32798</v>
      </c>
      <c r="BB468" s="8">
        <v>664902</v>
      </c>
      <c r="BC468" s="8">
        <f t="shared" si="252"/>
        <v>17250</v>
      </c>
      <c r="BD468" s="8">
        <f t="shared" si="225"/>
        <v>175294</v>
      </c>
      <c r="BE468" s="8">
        <f t="shared" si="253"/>
        <v>15548</v>
      </c>
      <c r="BF468" s="8">
        <v>459152</v>
      </c>
      <c r="BG468" s="8">
        <f t="shared" si="254"/>
        <v>19200</v>
      </c>
      <c r="BH468" s="8">
        <v>541030</v>
      </c>
      <c r="BI468" s="8">
        <f t="shared" si="255"/>
        <v>9100</v>
      </c>
      <c r="BJ468" s="8">
        <f t="shared" si="226"/>
        <v>-81878</v>
      </c>
      <c r="BK468" s="8">
        <f t="shared" si="228"/>
        <v>10100</v>
      </c>
    </row>
    <row r="469" spans="1:63">
      <c r="A469" s="5">
        <v>42150</v>
      </c>
      <c r="B469" s="8">
        <v>432561</v>
      </c>
      <c r="C469" s="8">
        <f t="shared" si="229"/>
        <v>957</v>
      </c>
      <c r="D469" s="8">
        <v>75950</v>
      </c>
      <c r="E469" s="8">
        <f t="shared" si="230"/>
        <v>2217</v>
      </c>
      <c r="F469" s="8">
        <v>47379</v>
      </c>
      <c r="G469" s="8">
        <f t="shared" si="231"/>
        <v>1402</v>
      </c>
      <c r="H469" s="8">
        <v>28571</v>
      </c>
      <c r="I469" s="8">
        <f t="shared" si="232"/>
        <v>815</v>
      </c>
      <c r="J469" s="8">
        <v>166915</v>
      </c>
      <c r="K469" s="8">
        <f t="shared" si="233"/>
        <v>8707</v>
      </c>
      <c r="L469" s="8">
        <v>231603</v>
      </c>
      <c r="M469" s="8">
        <f t="shared" si="234"/>
        <v>-6848</v>
      </c>
      <c r="N469" s="8">
        <v>-64688</v>
      </c>
      <c r="O469" s="8">
        <f t="shared" si="235"/>
        <v>15555</v>
      </c>
      <c r="P469" s="8">
        <v>77978</v>
      </c>
      <c r="Q469" s="8">
        <f t="shared" si="236"/>
        <v>6057</v>
      </c>
      <c r="R469" s="8">
        <v>221226</v>
      </c>
      <c r="S469" s="8">
        <f t="shared" si="237"/>
        <v>-4900</v>
      </c>
      <c r="T469" s="8">
        <v>-143248</v>
      </c>
      <c r="U469" s="8">
        <f t="shared" si="238"/>
        <v>10957</v>
      </c>
      <c r="W469" s="8">
        <v>435135</v>
      </c>
      <c r="X469" s="8">
        <f t="shared" si="239"/>
        <v>23657</v>
      </c>
      <c r="Y469" s="8">
        <v>55085</v>
      </c>
      <c r="Z469" s="8">
        <f t="shared" si="240"/>
        <v>3667</v>
      </c>
      <c r="AA469" s="8">
        <v>64404</v>
      </c>
      <c r="AB469" s="8">
        <f t="shared" si="227"/>
        <v>3711</v>
      </c>
      <c r="AC469" s="8">
        <v>-9319</v>
      </c>
      <c r="AD469" s="8">
        <f t="shared" si="227"/>
        <v>-44</v>
      </c>
      <c r="AE469" s="8">
        <v>204129</v>
      </c>
      <c r="AF469" s="8">
        <f t="shared" si="241"/>
        <v>16556</v>
      </c>
      <c r="AG469" s="8">
        <v>218247</v>
      </c>
      <c r="AH469" s="8">
        <f t="shared" si="242"/>
        <v>15558</v>
      </c>
      <c r="AI469" s="8">
        <v>-14118</v>
      </c>
      <c r="AJ469" s="8">
        <f t="shared" si="243"/>
        <v>998</v>
      </c>
      <c r="AK469" s="8">
        <v>129181</v>
      </c>
      <c r="AL469" s="8">
        <f t="shared" si="244"/>
        <v>14281</v>
      </c>
      <c r="AM469" s="8">
        <v>205179</v>
      </c>
      <c r="AN469" s="8">
        <f t="shared" si="245"/>
        <v>12796</v>
      </c>
      <c r="AO469" s="8">
        <v>-75998</v>
      </c>
      <c r="AP469" s="8">
        <f t="shared" si="246"/>
        <v>1485</v>
      </c>
      <c r="AR469" s="8">
        <v>1940073</v>
      </c>
      <c r="AS469" s="8">
        <f t="shared" si="247"/>
        <v>40377</v>
      </c>
      <c r="AT469" s="8">
        <v>236588</v>
      </c>
      <c r="AU469" s="8">
        <f t="shared" si="248"/>
        <v>5596</v>
      </c>
      <c r="AV469" s="8">
        <v>377031</v>
      </c>
      <c r="AW469" s="8">
        <f t="shared" si="249"/>
        <v>11299</v>
      </c>
      <c r="AX469" s="8">
        <f t="shared" si="224"/>
        <v>-140443</v>
      </c>
      <c r="AY469" s="8">
        <f t="shared" si="250"/>
        <v>-5703</v>
      </c>
      <c r="AZ469" s="8">
        <v>853087</v>
      </c>
      <c r="BA469" s="8">
        <f t="shared" si="251"/>
        <v>12891</v>
      </c>
      <c r="BB469" s="8">
        <v>671202</v>
      </c>
      <c r="BC469" s="8">
        <f t="shared" si="252"/>
        <v>6300</v>
      </c>
      <c r="BD469" s="8">
        <f t="shared" si="225"/>
        <v>181885</v>
      </c>
      <c r="BE469" s="8">
        <f t="shared" si="253"/>
        <v>6591</v>
      </c>
      <c r="BF469" s="8">
        <v>464023</v>
      </c>
      <c r="BG469" s="8">
        <f t="shared" si="254"/>
        <v>4871</v>
      </c>
      <c r="BH469" s="8">
        <v>543264</v>
      </c>
      <c r="BI469" s="8">
        <f t="shared" si="255"/>
        <v>2234</v>
      </c>
      <c r="BJ469" s="8">
        <f t="shared" si="226"/>
        <v>-79241</v>
      </c>
      <c r="BK469" s="8">
        <f t="shared" si="228"/>
        <v>2637</v>
      </c>
    </row>
    <row r="470" spans="1:63">
      <c r="A470" s="5">
        <v>42157</v>
      </c>
      <c r="B470" s="8">
        <v>449051</v>
      </c>
      <c r="C470" s="8">
        <f t="shared" si="229"/>
        <v>16490</v>
      </c>
      <c r="D470" s="8">
        <v>86189</v>
      </c>
      <c r="E470" s="8">
        <f t="shared" si="230"/>
        <v>10239</v>
      </c>
      <c r="F470" s="8">
        <v>26559</v>
      </c>
      <c r="G470" s="8">
        <f t="shared" si="231"/>
        <v>-20820</v>
      </c>
      <c r="H470" s="8">
        <v>59630</v>
      </c>
      <c r="I470" s="8">
        <f t="shared" si="232"/>
        <v>31059</v>
      </c>
      <c r="J470" s="8">
        <v>165647</v>
      </c>
      <c r="K470" s="8">
        <f t="shared" si="233"/>
        <v>-1268</v>
      </c>
      <c r="L470" s="8">
        <v>270540</v>
      </c>
      <c r="M470" s="8">
        <f t="shared" si="234"/>
        <v>38937</v>
      </c>
      <c r="N470" s="8">
        <v>-104893</v>
      </c>
      <c r="O470" s="8">
        <f t="shared" si="235"/>
        <v>-40205</v>
      </c>
      <c r="P470" s="8">
        <v>74539</v>
      </c>
      <c r="Q470" s="8">
        <f t="shared" si="236"/>
        <v>-3439</v>
      </c>
      <c r="R470" s="8">
        <v>259804</v>
      </c>
      <c r="S470" s="8">
        <f t="shared" si="237"/>
        <v>38578</v>
      </c>
      <c r="T470" s="8">
        <v>-185265</v>
      </c>
      <c r="U470" s="8">
        <f t="shared" si="238"/>
        <v>-42017</v>
      </c>
      <c r="W470" s="8">
        <v>457716</v>
      </c>
      <c r="X470" s="8">
        <f t="shared" si="239"/>
        <v>22581</v>
      </c>
      <c r="Y470" s="8">
        <v>56640</v>
      </c>
      <c r="Z470" s="8">
        <f t="shared" si="240"/>
        <v>1555</v>
      </c>
      <c r="AA470" s="8">
        <v>64968</v>
      </c>
      <c r="AB470" s="8">
        <f t="shared" si="227"/>
        <v>564</v>
      </c>
      <c r="AC470" s="8">
        <v>-8328</v>
      </c>
      <c r="AD470" s="8">
        <f t="shared" si="227"/>
        <v>991</v>
      </c>
      <c r="AE470" s="8">
        <v>211274</v>
      </c>
      <c r="AF470" s="8">
        <f t="shared" si="241"/>
        <v>7145</v>
      </c>
      <c r="AG470" s="8">
        <v>227918</v>
      </c>
      <c r="AH470" s="8">
        <f t="shared" si="242"/>
        <v>9671</v>
      </c>
      <c r="AI470" s="8">
        <v>-16644</v>
      </c>
      <c r="AJ470" s="8">
        <f t="shared" si="243"/>
        <v>-2526</v>
      </c>
      <c r="AK470" s="8">
        <v>132957</v>
      </c>
      <c r="AL470" s="8">
        <f t="shared" si="244"/>
        <v>3776</v>
      </c>
      <c r="AM470" s="8">
        <v>209992</v>
      </c>
      <c r="AN470" s="8">
        <f t="shared" si="245"/>
        <v>4813</v>
      </c>
      <c r="AO470" s="8">
        <v>-77035</v>
      </c>
      <c r="AP470" s="8">
        <f t="shared" si="246"/>
        <v>-1037</v>
      </c>
      <c r="AR470" s="8">
        <v>1967101</v>
      </c>
      <c r="AS470" s="8">
        <f t="shared" si="247"/>
        <v>27028</v>
      </c>
      <c r="AT470" s="8">
        <v>243527</v>
      </c>
      <c r="AU470" s="8">
        <f t="shared" si="248"/>
        <v>6939</v>
      </c>
      <c r="AV470" s="8">
        <v>378368</v>
      </c>
      <c r="AW470" s="8">
        <f t="shared" si="249"/>
        <v>1337</v>
      </c>
      <c r="AX470" s="8">
        <f t="shared" si="224"/>
        <v>-134841</v>
      </c>
      <c r="AY470" s="8">
        <f t="shared" si="250"/>
        <v>5602</v>
      </c>
      <c r="AZ470" s="8">
        <v>864292</v>
      </c>
      <c r="BA470" s="8">
        <f t="shared" si="251"/>
        <v>11205</v>
      </c>
      <c r="BB470" s="8">
        <v>688067</v>
      </c>
      <c r="BC470" s="8">
        <f t="shared" si="252"/>
        <v>16865</v>
      </c>
      <c r="BD470" s="8">
        <f t="shared" si="225"/>
        <v>176225</v>
      </c>
      <c r="BE470" s="8">
        <f t="shared" si="253"/>
        <v>-5660</v>
      </c>
      <c r="BF470" s="8">
        <v>469461</v>
      </c>
      <c r="BG470" s="8">
        <f t="shared" si="254"/>
        <v>5438</v>
      </c>
      <c r="BH470" s="8">
        <v>550964</v>
      </c>
      <c r="BI470" s="8">
        <f t="shared" si="255"/>
        <v>7700</v>
      </c>
      <c r="BJ470" s="8">
        <f t="shared" si="226"/>
        <v>-81503</v>
      </c>
      <c r="BK470" s="8">
        <f t="shared" si="228"/>
        <v>-2262</v>
      </c>
    </row>
    <row r="471" spans="1:63">
      <c r="A471" s="5">
        <v>42164</v>
      </c>
      <c r="B471" s="8">
        <v>463167</v>
      </c>
      <c r="C471" s="8">
        <f t="shared" si="229"/>
        <v>14116</v>
      </c>
      <c r="D471" s="8">
        <v>89587</v>
      </c>
      <c r="E471" s="8">
        <f t="shared" si="230"/>
        <v>3398</v>
      </c>
      <c r="F471" s="8">
        <v>24323</v>
      </c>
      <c r="G471" s="8">
        <f t="shared" si="231"/>
        <v>-2236</v>
      </c>
      <c r="H471" s="8">
        <v>65264</v>
      </c>
      <c r="I471" s="8">
        <f t="shared" si="232"/>
        <v>5634</v>
      </c>
      <c r="J471" s="8">
        <v>161831</v>
      </c>
      <c r="K471" s="8">
        <f t="shared" si="233"/>
        <v>-3816</v>
      </c>
      <c r="L471" s="8">
        <v>281894</v>
      </c>
      <c r="M471" s="8">
        <f t="shared" si="234"/>
        <v>11354</v>
      </c>
      <c r="N471" s="8">
        <v>-120063</v>
      </c>
      <c r="O471" s="8">
        <f t="shared" si="235"/>
        <v>-15170</v>
      </c>
      <c r="P471" s="8">
        <v>74149</v>
      </c>
      <c r="Q471" s="8">
        <f t="shared" si="236"/>
        <v>-390</v>
      </c>
      <c r="R471" s="8">
        <v>271462</v>
      </c>
      <c r="S471" s="8">
        <f t="shared" si="237"/>
        <v>11658</v>
      </c>
      <c r="T471" s="8">
        <v>-197313</v>
      </c>
      <c r="U471" s="8">
        <f t="shared" si="238"/>
        <v>-12048</v>
      </c>
      <c r="W471" s="8">
        <v>467084</v>
      </c>
      <c r="X471" s="8">
        <f t="shared" si="239"/>
        <v>9368</v>
      </c>
      <c r="Y471" s="8">
        <v>59925</v>
      </c>
      <c r="Z471" s="8">
        <f t="shared" si="240"/>
        <v>3285</v>
      </c>
      <c r="AA471" s="8">
        <v>60171</v>
      </c>
      <c r="AB471" s="8">
        <f t="shared" si="227"/>
        <v>-4797</v>
      </c>
      <c r="AC471" s="8">
        <v>-246</v>
      </c>
      <c r="AD471" s="8">
        <f t="shared" si="227"/>
        <v>8082</v>
      </c>
      <c r="AE471" s="8">
        <v>205097</v>
      </c>
      <c r="AF471" s="8">
        <f t="shared" si="241"/>
        <v>-6177</v>
      </c>
      <c r="AG471" s="8">
        <v>238401</v>
      </c>
      <c r="AH471" s="8">
        <f t="shared" si="242"/>
        <v>10483</v>
      </c>
      <c r="AI471" s="8">
        <v>-33304</v>
      </c>
      <c r="AJ471" s="8">
        <f t="shared" si="243"/>
        <v>-16660</v>
      </c>
      <c r="AK471" s="8">
        <v>129441</v>
      </c>
      <c r="AL471" s="8">
        <f t="shared" si="244"/>
        <v>-3516</v>
      </c>
      <c r="AM471" s="8">
        <v>222529</v>
      </c>
      <c r="AN471" s="8">
        <f t="shared" si="245"/>
        <v>12537</v>
      </c>
      <c r="AO471" s="8">
        <v>-93088</v>
      </c>
      <c r="AP471" s="8">
        <f t="shared" si="246"/>
        <v>-16053</v>
      </c>
      <c r="AR471" s="8">
        <v>1982262</v>
      </c>
      <c r="AS471" s="8">
        <f t="shared" si="247"/>
        <v>15161</v>
      </c>
      <c r="AT471" s="8">
        <v>246716</v>
      </c>
      <c r="AU471" s="8">
        <f t="shared" si="248"/>
        <v>3189</v>
      </c>
      <c r="AV471" s="8">
        <v>337289</v>
      </c>
      <c r="AW471" s="8">
        <f t="shared" si="249"/>
        <v>-41079</v>
      </c>
      <c r="AX471" s="8">
        <f t="shared" si="224"/>
        <v>-90573</v>
      </c>
      <c r="AY471" s="8">
        <f t="shared" si="250"/>
        <v>44268</v>
      </c>
      <c r="AZ471" s="8">
        <v>852944</v>
      </c>
      <c r="BA471" s="8">
        <f t="shared" si="251"/>
        <v>-11348</v>
      </c>
      <c r="BB471" s="8">
        <v>711972</v>
      </c>
      <c r="BC471" s="8">
        <f t="shared" si="252"/>
        <v>23905</v>
      </c>
      <c r="BD471" s="8">
        <f t="shared" si="225"/>
        <v>140972</v>
      </c>
      <c r="BE471" s="8">
        <f t="shared" si="253"/>
        <v>-35253</v>
      </c>
      <c r="BF471" s="8">
        <v>459004</v>
      </c>
      <c r="BG471" s="8">
        <f t="shared" si="254"/>
        <v>-10457</v>
      </c>
      <c r="BH471" s="8">
        <v>572618</v>
      </c>
      <c r="BI471" s="8">
        <f t="shared" si="255"/>
        <v>21654</v>
      </c>
      <c r="BJ471" s="8">
        <f t="shared" si="226"/>
        <v>-113614</v>
      </c>
      <c r="BK471" s="8">
        <f t="shared" si="228"/>
        <v>-32111</v>
      </c>
    </row>
    <row r="472" spans="1:63">
      <c r="A472" s="5">
        <v>42171</v>
      </c>
      <c r="B472" s="8">
        <v>453141</v>
      </c>
      <c r="C472" s="8">
        <f t="shared" si="229"/>
        <v>-10026</v>
      </c>
      <c r="D472" s="8">
        <v>79687</v>
      </c>
      <c r="E472" s="8">
        <f t="shared" si="230"/>
        <v>-9900</v>
      </c>
      <c r="F472" s="8">
        <v>39994</v>
      </c>
      <c r="G472" s="8">
        <f t="shared" si="231"/>
        <v>15671</v>
      </c>
      <c r="H472" s="8">
        <v>39693</v>
      </c>
      <c r="I472" s="8">
        <f t="shared" si="232"/>
        <v>-25571</v>
      </c>
      <c r="J472" s="8">
        <v>173578</v>
      </c>
      <c r="K472" s="8">
        <f t="shared" si="233"/>
        <v>11747</v>
      </c>
      <c r="L472" s="8">
        <v>258517</v>
      </c>
      <c r="M472" s="8">
        <f t="shared" si="234"/>
        <v>-23377</v>
      </c>
      <c r="N472" s="8">
        <v>-84939</v>
      </c>
      <c r="O472" s="8">
        <f t="shared" si="235"/>
        <v>35124</v>
      </c>
      <c r="P472" s="8">
        <v>82784</v>
      </c>
      <c r="Q472" s="8">
        <f t="shared" si="236"/>
        <v>8635</v>
      </c>
      <c r="R472" s="8">
        <v>247597</v>
      </c>
      <c r="S472" s="8">
        <f t="shared" si="237"/>
        <v>-23865</v>
      </c>
      <c r="T472" s="8">
        <v>-164813</v>
      </c>
      <c r="U472" s="8">
        <f t="shared" si="238"/>
        <v>32500</v>
      </c>
      <c r="W472" s="8">
        <v>471308</v>
      </c>
      <c r="X472" s="8">
        <f t="shared" si="239"/>
        <v>4224</v>
      </c>
      <c r="Y472" s="8">
        <v>65385</v>
      </c>
      <c r="Z472" s="8">
        <f t="shared" si="240"/>
        <v>5460</v>
      </c>
      <c r="AA472" s="8">
        <v>55272</v>
      </c>
      <c r="AB472" s="8">
        <f t="shared" si="227"/>
        <v>-4899</v>
      </c>
      <c r="AC472" s="8">
        <v>10113</v>
      </c>
      <c r="AD472" s="8">
        <f t="shared" si="227"/>
        <v>10359</v>
      </c>
      <c r="AE472" s="8">
        <v>199279</v>
      </c>
      <c r="AF472" s="8">
        <f t="shared" si="241"/>
        <v>-5818</v>
      </c>
      <c r="AG472" s="8">
        <v>249718</v>
      </c>
      <c r="AH472" s="8">
        <f t="shared" si="242"/>
        <v>11317</v>
      </c>
      <c r="AI472" s="8">
        <v>-50439</v>
      </c>
      <c r="AJ472" s="8">
        <f t="shared" si="243"/>
        <v>-17135</v>
      </c>
      <c r="AK472" s="8">
        <v>123857</v>
      </c>
      <c r="AL472" s="8">
        <f t="shared" si="244"/>
        <v>-5584</v>
      </c>
      <c r="AM472" s="8">
        <v>231122</v>
      </c>
      <c r="AN472" s="8">
        <f t="shared" si="245"/>
        <v>8593</v>
      </c>
      <c r="AO472" s="8">
        <v>-107265</v>
      </c>
      <c r="AP472" s="8">
        <f t="shared" si="246"/>
        <v>-14177</v>
      </c>
      <c r="AR472" s="8">
        <v>2015048</v>
      </c>
      <c r="AS472" s="8">
        <f t="shared" si="247"/>
        <v>32786</v>
      </c>
      <c r="AT472" s="8">
        <v>246955</v>
      </c>
      <c r="AU472" s="8">
        <f t="shared" si="248"/>
        <v>239</v>
      </c>
      <c r="AV472" s="8">
        <v>367126</v>
      </c>
      <c r="AW472" s="8">
        <f t="shared" si="249"/>
        <v>29837</v>
      </c>
      <c r="AX472" s="8">
        <f t="shared" si="224"/>
        <v>-120171</v>
      </c>
      <c r="AY472" s="8">
        <f t="shared" si="250"/>
        <v>-29598</v>
      </c>
      <c r="AZ472" s="8">
        <v>866155</v>
      </c>
      <c r="BA472" s="8">
        <f t="shared" si="251"/>
        <v>13211</v>
      </c>
      <c r="BB472" s="8">
        <v>692934</v>
      </c>
      <c r="BC472" s="8">
        <f t="shared" si="252"/>
        <v>-19038</v>
      </c>
      <c r="BD472" s="8">
        <f t="shared" si="225"/>
        <v>173221</v>
      </c>
      <c r="BE472" s="8">
        <f t="shared" si="253"/>
        <v>32249</v>
      </c>
      <c r="BF472" s="8">
        <v>473632</v>
      </c>
      <c r="BG472" s="8">
        <f t="shared" si="254"/>
        <v>14628</v>
      </c>
      <c r="BH472" s="8">
        <v>561758</v>
      </c>
      <c r="BI472" s="8">
        <f t="shared" si="255"/>
        <v>-10860</v>
      </c>
      <c r="BJ472" s="8">
        <f t="shared" si="226"/>
        <v>-88126</v>
      </c>
      <c r="BK472" s="8">
        <f t="shared" si="228"/>
        <v>25488</v>
      </c>
    </row>
    <row r="473" spans="1:63">
      <c r="A473" s="5">
        <v>42178</v>
      </c>
      <c r="B473" s="8">
        <v>436962</v>
      </c>
      <c r="C473" s="8">
        <f t="shared" si="229"/>
        <v>-16179</v>
      </c>
      <c r="D473" s="8">
        <v>64514</v>
      </c>
      <c r="E473" s="8">
        <f t="shared" si="230"/>
        <v>-15173</v>
      </c>
      <c r="F473" s="8">
        <v>45923</v>
      </c>
      <c r="G473" s="8">
        <f t="shared" si="231"/>
        <v>5929</v>
      </c>
      <c r="H473" s="8">
        <v>18591</v>
      </c>
      <c r="I473" s="8">
        <f t="shared" si="232"/>
        <v>-21102</v>
      </c>
      <c r="J473" s="8">
        <v>175843</v>
      </c>
      <c r="K473" s="8">
        <f t="shared" si="233"/>
        <v>2265</v>
      </c>
      <c r="L473" s="8">
        <v>239651</v>
      </c>
      <c r="M473" s="8">
        <f t="shared" si="234"/>
        <v>-18866</v>
      </c>
      <c r="N473" s="8">
        <v>-63808</v>
      </c>
      <c r="O473" s="8">
        <f t="shared" si="235"/>
        <v>21131</v>
      </c>
      <c r="P473" s="8">
        <v>88535</v>
      </c>
      <c r="Q473" s="8">
        <f t="shared" si="236"/>
        <v>5751</v>
      </c>
      <c r="R473" s="8">
        <v>235665</v>
      </c>
      <c r="S473" s="8">
        <f t="shared" si="237"/>
        <v>-11932</v>
      </c>
      <c r="T473" s="8">
        <v>-147130</v>
      </c>
      <c r="U473" s="8">
        <f t="shared" si="238"/>
        <v>17683</v>
      </c>
      <c r="W473" s="8">
        <v>484468</v>
      </c>
      <c r="X473" s="8">
        <f t="shared" si="239"/>
        <v>13160</v>
      </c>
      <c r="Y473" s="8">
        <v>73768</v>
      </c>
      <c r="Z473" s="8">
        <f t="shared" si="240"/>
        <v>8383</v>
      </c>
      <c r="AA473" s="8">
        <v>47363</v>
      </c>
      <c r="AB473" s="8">
        <f t="shared" si="227"/>
        <v>-7909</v>
      </c>
      <c r="AC473" s="8">
        <v>26405</v>
      </c>
      <c r="AD473" s="8">
        <f t="shared" si="227"/>
        <v>16292</v>
      </c>
      <c r="AE473" s="8">
        <v>196730</v>
      </c>
      <c r="AF473" s="8">
        <f t="shared" si="241"/>
        <v>-2549</v>
      </c>
      <c r="AG473" s="8">
        <v>267348</v>
      </c>
      <c r="AH473" s="8">
        <f t="shared" si="242"/>
        <v>17630</v>
      </c>
      <c r="AI473" s="8">
        <v>-70618</v>
      </c>
      <c r="AJ473" s="8">
        <f t="shared" si="243"/>
        <v>-20179</v>
      </c>
      <c r="AK473" s="8">
        <v>120973</v>
      </c>
      <c r="AL473" s="8">
        <f t="shared" si="244"/>
        <v>-2884</v>
      </c>
      <c r="AM473" s="8">
        <v>247122</v>
      </c>
      <c r="AN473" s="8">
        <f t="shared" si="245"/>
        <v>16000</v>
      </c>
      <c r="AO473" s="8">
        <v>-126149</v>
      </c>
      <c r="AP473" s="8">
        <f t="shared" si="246"/>
        <v>-18884</v>
      </c>
      <c r="AR473" s="8">
        <v>1985010</v>
      </c>
      <c r="AS473" s="8">
        <f t="shared" si="247"/>
        <v>-30038</v>
      </c>
      <c r="AT473" s="8">
        <v>245666</v>
      </c>
      <c r="AU473" s="8">
        <f t="shared" si="248"/>
        <v>-1289</v>
      </c>
      <c r="AV473" s="8">
        <v>340188</v>
      </c>
      <c r="AW473" s="8">
        <f t="shared" si="249"/>
        <v>-26938</v>
      </c>
      <c r="AX473" s="8">
        <f t="shared" si="224"/>
        <v>-94522</v>
      </c>
      <c r="AY473" s="8">
        <f t="shared" si="250"/>
        <v>25649</v>
      </c>
      <c r="AZ473" s="8">
        <v>850833</v>
      </c>
      <c r="BA473" s="8">
        <f t="shared" si="251"/>
        <v>-15322</v>
      </c>
      <c r="BB473" s="8">
        <v>724223</v>
      </c>
      <c r="BC473" s="8">
        <f t="shared" si="252"/>
        <v>31289</v>
      </c>
      <c r="BD473" s="8">
        <f t="shared" si="225"/>
        <v>126610</v>
      </c>
      <c r="BE473" s="8">
        <f t="shared" si="253"/>
        <v>-46611</v>
      </c>
      <c r="BF473" s="8">
        <v>456542</v>
      </c>
      <c r="BG473" s="8">
        <f t="shared" si="254"/>
        <v>-17090</v>
      </c>
      <c r="BH473" s="8">
        <v>593406</v>
      </c>
      <c r="BI473" s="8">
        <f t="shared" si="255"/>
        <v>31648</v>
      </c>
      <c r="BJ473" s="8">
        <f t="shared" si="226"/>
        <v>-136864</v>
      </c>
      <c r="BK473" s="8">
        <f t="shared" si="228"/>
        <v>-48738</v>
      </c>
    </row>
    <row r="474" spans="1:63">
      <c r="A474" s="5">
        <v>42185</v>
      </c>
      <c r="B474" s="8">
        <v>407470</v>
      </c>
      <c r="C474" s="8">
        <f t="shared" si="229"/>
        <v>-29492</v>
      </c>
      <c r="D474" s="8">
        <v>69233</v>
      </c>
      <c r="E474" s="8">
        <f t="shared" si="230"/>
        <v>4719</v>
      </c>
      <c r="F474" s="8">
        <v>39486</v>
      </c>
      <c r="G474" s="8">
        <f t="shared" si="231"/>
        <v>-6437</v>
      </c>
      <c r="H474" s="8">
        <v>29747</v>
      </c>
      <c r="I474" s="8">
        <f t="shared" si="232"/>
        <v>11156</v>
      </c>
      <c r="J474" s="8">
        <v>159655</v>
      </c>
      <c r="K474" s="8">
        <f t="shared" si="233"/>
        <v>-16188</v>
      </c>
      <c r="L474" s="8">
        <v>237033</v>
      </c>
      <c r="M474" s="8">
        <f t="shared" si="234"/>
        <v>-2618</v>
      </c>
      <c r="N474" s="8">
        <v>-77378</v>
      </c>
      <c r="O474" s="8">
        <f t="shared" si="235"/>
        <v>-13570</v>
      </c>
      <c r="P474" s="8">
        <v>76931</v>
      </c>
      <c r="Q474" s="8">
        <f t="shared" si="236"/>
        <v>-11604</v>
      </c>
      <c r="R474" s="8">
        <v>232498</v>
      </c>
      <c r="S474" s="8">
        <f t="shared" si="237"/>
        <v>-3167</v>
      </c>
      <c r="T474" s="8">
        <v>-155567</v>
      </c>
      <c r="U474" s="8">
        <f t="shared" si="238"/>
        <v>-8437</v>
      </c>
      <c r="W474" s="8">
        <v>447921</v>
      </c>
      <c r="X474" s="8">
        <f t="shared" si="239"/>
        <v>-36547</v>
      </c>
      <c r="Y474" s="8">
        <v>85567</v>
      </c>
      <c r="Z474" s="8">
        <f t="shared" si="240"/>
        <v>11799</v>
      </c>
      <c r="AA474" s="8">
        <v>45982</v>
      </c>
      <c r="AB474" s="8">
        <f t="shared" si="227"/>
        <v>-1381</v>
      </c>
      <c r="AC474" s="8">
        <v>39585</v>
      </c>
      <c r="AD474" s="8">
        <f t="shared" si="227"/>
        <v>13180</v>
      </c>
      <c r="AE474" s="8">
        <v>174576</v>
      </c>
      <c r="AF474" s="8">
        <f t="shared" si="241"/>
        <v>-22154</v>
      </c>
      <c r="AG474" s="8">
        <v>259973</v>
      </c>
      <c r="AH474" s="8">
        <f t="shared" si="242"/>
        <v>-7375</v>
      </c>
      <c r="AI474" s="8">
        <v>-85397</v>
      </c>
      <c r="AJ474" s="8">
        <f t="shared" si="243"/>
        <v>-14779</v>
      </c>
      <c r="AK474" s="8">
        <v>110121</v>
      </c>
      <c r="AL474" s="8">
        <f t="shared" si="244"/>
        <v>-10852</v>
      </c>
      <c r="AM474" s="8">
        <v>247901</v>
      </c>
      <c r="AN474" s="8">
        <f t="shared" si="245"/>
        <v>779</v>
      </c>
      <c r="AO474" s="8">
        <v>-137780</v>
      </c>
      <c r="AP474" s="8">
        <f t="shared" si="246"/>
        <v>-11631</v>
      </c>
      <c r="AR474" s="8">
        <v>1872560</v>
      </c>
      <c r="AS474" s="8">
        <f t="shared" si="247"/>
        <v>-112450</v>
      </c>
      <c r="AT474" s="8">
        <v>291529</v>
      </c>
      <c r="AU474" s="8">
        <f t="shared" si="248"/>
        <v>45863</v>
      </c>
      <c r="AV474" s="8">
        <v>220923</v>
      </c>
      <c r="AW474" s="8">
        <f t="shared" si="249"/>
        <v>-119265</v>
      </c>
      <c r="AX474" s="8">
        <f t="shared" si="224"/>
        <v>70606</v>
      </c>
      <c r="AY474" s="8">
        <f t="shared" si="250"/>
        <v>165128</v>
      </c>
      <c r="AZ474" s="8">
        <v>755035</v>
      </c>
      <c r="BA474" s="8">
        <f t="shared" si="251"/>
        <v>-95798</v>
      </c>
      <c r="BB474" s="8">
        <v>763798</v>
      </c>
      <c r="BC474" s="8">
        <f t="shared" si="252"/>
        <v>39575</v>
      </c>
      <c r="BD474" s="8">
        <f t="shared" si="225"/>
        <v>-8763</v>
      </c>
      <c r="BE474" s="8">
        <f t="shared" si="253"/>
        <v>-135373</v>
      </c>
      <c r="BF474" s="8">
        <v>387118</v>
      </c>
      <c r="BG474" s="8">
        <f t="shared" si="254"/>
        <v>-69424</v>
      </c>
      <c r="BH474" s="8">
        <v>654676</v>
      </c>
      <c r="BI474" s="8">
        <f t="shared" si="255"/>
        <v>61270</v>
      </c>
      <c r="BJ474" s="8">
        <f t="shared" si="226"/>
        <v>-267558</v>
      </c>
      <c r="BK474" s="8">
        <f t="shared" si="228"/>
        <v>-130694</v>
      </c>
    </row>
    <row r="475" spans="1:63">
      <c r="A475" s="5">
        <v>42192</v>
      </c>
      <c r="B475" s="8">
        <v>396447</v>
      </c>
      <c r="C475" s="8">
        <f t="shared" si="229"/>
        <v>-11023</v>
      </c>
      <c r="D475" s="8">
        <v>63231</v>
      </c>
      <c r="E475" s="8">
        <f t="shared" si="230"/>
        <v>-6002</v>
      </c>
      <c r="F475" s="8">
        <v>45448</v>
      </c>
      <c r="G475" s="8">
        <f t="shared" si="231"/>
        <v>5962</v>
      </c>
      <c r="H475" s="8">
        <v>17783</v>
      </c>
      <c r="I475" s="8">
        <f t="shared" si="232"/>
        <v>-11964</v>
      </c>
      <c r="J475" s="8">
        <v>171802</v>
      </c>
      <c r="K475" s="8">
        <f t="shared" si="233"/>
        <v>12147</v>
      </c>
      <c r="L475" s="8">
        <v>220813</v>
      </c>
      <c r="M475" s="8">
        <f t="shared" si="234"/>
        <v>-16220</v>
      </c>
      <c r="N475" s="8">
        <v>-49011</v>
      </c>
      <c r="O475" s="8">
        <f t="shared" si="235"/>
        <v>28367</v>
      </c>
      <c r="P475" s="8">
        <v>90586</v>
      </c>
      <c r="Q475" s="8">
        <f t="shared" si="236"/>
        <v>13655</v>
      </c>
      <c r="R475" s="8">
        <v>216345</v>
      </c>
      <c r="S475" s="8">
        <f t="shared" si="237"/>
        <v>-16153</v>
      </c>
      <c r="T475" s="8">
        <v>-125759</v>
      </c>
      <c r="U475" s="8">
        <f t="shared" si="238"/>
        <v>29808</v>
      </c>
      <c r="W475" s="8">
        <v>452377</v>
      </c>
      <c r="X475" s="8">
        <f t="shared" si="239"/>
        <v>4456</v>
      </c>
      <c r="Y475" s="8">
        <v>89301</v>
      </c>
      <c r="Z475" s="8">
        <f t="shared" si="240"/>
        <v>3734</v>
      </c>
      <c r="AA475" s="8">
        <v>41524</v>
      </c>
      <c r="AB475" s="8">
        <f t="shared" si="227"/>
        <v>-4458</v>
      </c>
      <c r="AC475" s="8">
        <v>47777</v>
      </c>
      <c r="AD475" s="8">
        <f t="shared" si="227"/>
        <v>8192</v>
      </c>
      <c r="AE475" s="8">
        <v>172481</v>
      </c>
      <c r="AF475" s="8">
        <f t="shared" si="241"/>
        <v>-2095</v>
      </c>
      <c r="AG475" s="8">
        <v>268103</v>
      </c>
      <c r="AH475" s="8">
        <f t="shared" si="242"/>
        <v>8130</v>
      </c>
      <c r="AI475" s="8">
        <v>-95622</v>
      </c>
      <c r="AJ475" s="8">
        <f t="shared" si="243"/>
        <v>-10225</v>
      </c>
      <c r="AK475" s="8">
        <v>108198</v>
      </c>
      <c r="AL475" s="8">
        <f t="shared" si="244"/>
        <v>-1923</v>
      </c>
      <c r="AM475" s="8">
        <v>256397</v>
      </c>
      <c r="AN475" s="8">
        <f t="shared" si="245"/>
        <v>8496</v>
      </c>
      <c r="AO475" s="8">
        <v>-148199</v>
      </c>
      <c r="AP475" s="8">
        <f t="shared" si="246"/>
        <v>-10419</v>
      </c>
      <c r="AR475" s="8">
        <v>1892372</v>
      </c>
      <c r="AS475" s="8">
        <f t="shared" si="247"/>
        <v>19812</v>
      </c>
      <c r="AT475" s="8">
        <v>288542</v>
      </c>
      <c r="AU475" s="8">
        <f t="shared" si="248"/>
        <v>-2987</v>
      </c>
      <c r="AV475" s="8">
        <v>115262</v>
      </c>
      <c r="AW475" s="8">
        <f t="shared" si="249"/>
        <v>-105661</v>
      </c>
      <c r="AX475" s="8">
        <f t="shared" si="224"/>
        <v>173280</v>
      </c>
      <c r="AY475" s="8">
        <f t="shared" si="250"/>
        <v>102674</v>
      </c>
      <c r="AZ475" s="8">
        <v>735150</v>
      </c>
      <c r="BA475" s="8">
        <f t="shared" si="251"/>
        <v>-19885</v>
      </c>
      <c r="BB475" s="8">
        <v>832265</v>
      </c>
      <c r="BC475" s="8">
        <f t="shared" si="252"/>
        <v>68467</v>
      </c>
      <c r="BD475" s="8">
        <f t="shared" si="225"/>
        <v>-97115</v>
      </c>
      <c r="BE475" s="8">
        <f t="shared" si="253"/>
        <v>-88352</v>
      </c>
      <c r="BF475" s="8">
        <v>364419</v>
      </c>
      <c r="BG475" s="8">
        <f t="shared" si="254"/>
        <v>-22699</v>
      </c>
      <c r="BH475" s="8">
        <v>716344</v>
      </c>
      <c r="BI475" s="8">
        <f t="shared" si="255"/>
        <v>61668</v>
      </c>
      <c r="BJ475" s="8">
        <f t="shared" si="226"/>
        <v>-351925</v>
      </c>
      <c r="BK475" s="8">
        <f t="shared" si="228"/>
        <v>-84367</v>
      </c>
    </row>
    <row r="476" spans="1:63">
      <c r="A476" s="5">
        <v>42199</v>
      </c>
      <c r="B476" s="8">
        <v>408733</v>
      </c>
      <c r="C476" s="8">
        <f t="shared" si="229"/>
        <v>12286</v>
      </c>
      <c r="D476" s="8">
        <v>64258</v>
      </c>
      <c r="E476" s="8">
        <f t="shared" si="230"/>
        <v>1027</v>
      </c>
      <c r="F476" s="8">
        <v>37565</v>
      </c>
      <c r="G476" s="8">
        <f t="shared" si="231"/>
        <v>-7883</v>
      </c>
      <c r="H476" s="8">
        <v>26693</v>
      </c>
      <c r="I476" s="8">
        <f t="shared" si="232"/>
        <v>8910</v>
      </c>
      <c r="J476" s="8">
        <v>172173</v>
      </c>
      <c r="K476" s="8">
        <f t="shared" si="233"/>
        <v>371</v>
      </c>
      <c r="L476" s="8">
        <v>232903</v>
      </c>
      <c r="M476" s="8">
        <f t="shared" si="234"/>
        <v>12090</v>
      </c>
      <c r="N476" s="8">
        <v>-60730</v>
      </c>
      <c r="O476" s="8">
        <f t="shared" si="235"/>
        <v>-11719</v>
      </c>
      <c r="P476" s="8">
        <v>93637</v>
      </c>
      <c r="Q476" s="8">
        <f t="shared" si="236"/>
        <v>3051</v>
      </c>
      <c r="R476" s="8">
        <v>227662</v>
      </c>
      <c r="S476" s="8">
        <f t="shared" si="237"/>
        <v>11317</v>
      </c>
      <c r="T476" s="8">
        <v>-134025</v>
      </c>
      <c r="U476" s="8">
        <f t="shared" si="238"/>
        <v>-8266</v>
      </c>
      <c r="W476" s="8">
        <v>463051</v>
      </c>
      <c r="X476" s="8">
        <f t="shared" si="239"/>
        <v>10674</v>
      </c>
      <c r="Y476" s="8">
        <v>87135</v>
      </c>
      <c r="Z476" s="8">
        <f t="shared" si="240"/>
        <v>-2166</v>
      </c>
      <c r="AA476" s="8">
        <v>33330</v>
      </c>
      <c r="AB476" s="8">
        <f t="shared" si="227"/>
        <v>-8194</v>
      </c>
      <c r="AC476" s="8">
        <v>53805</v>
      </c>
      <c r="AD476" s="8">
        <f t="shared" si="227"/>
        <v>6028</v>
      </c>
      <c r="AE476" s="8">
        <v>175847</v>
      </c>
      <c r="AF476" s="8">
        <f t="shared" si="241"/>
        <v>3366</v>
      </c>
      <c r="AG476" s="8">
        <v>285079</v>
      </c>
      <c r="AH476" s="8">
        <f t="shared" si="242"/>
        <v>16976</v>
      </c>
      <c r="AI476" s="8">
        <v>-109232</v>
      </c>
      <c r="AJ476" s="8">
        <f t="shared" si="243"/>
        <v>-13610</v>
      </c>
      <c r="AK476" s="8">
        <v>110468</v>
      </c>
      <c r="AL476" s="8">
        <f t="shared" si="244"/>
        <v>2270</v>
      </c>
      <c r="AM476" s="8">
        <v>272502</v>
      </c>
      <c r="AN476" s="8">
        <f t="shared" si="245"/>
        <v>16105</v>
      </c>
      <c r="AO476" s="8">
        <v>-162034</v>
      </c>
      <c r="AP476" s="8">
        <f t="shared" si="246"/>
        <v>-13835</v>
      </c>
      <c r="AR476" s="8">
        <v>1953234</v>
      </c>
      <c r="AS476" s="8">
        <f t="shared" si="247"/>
        <v>60862</v>
      </c>
      <c r="AT476" s="8">
        <v>293372</v>
      </c>
      <c r="AU476" s="8">
        <f t="shared" si="248"/>
        <v>4830</v>
      </c>
      <c r="AV476" s="8">
        <v>90625</v>
      </c>
      <c r="AW476" s="8">
        <f t="shared" si="249"/>
        <v>-24637</v>
      </c>
      <c r="AX476" s="8">
        <f t="shared" si="224"/>
        <v>202747</v>
      </c>
      <c r="AY476" s="8">
        <f t="shared" si="250"/>
        <v>29467</v>
      </c>
      <c r="AZ476" s="8">
        <v>740504</v>
      </c>
      <c r="BA476" s="8">
        <f t="shared" si="251"/>
        <v>5354</v>
      </c>
      <c r="BB476" s="8">
        <v>893859</v>
      </c>
      <c r="BC476" s="8">
        <f t="shared" si="252"/>
        <v>61594</v>
      </c>
      <c r="BD476" s="8">
        <f t="shared" si="225"/>
        <v>-153355</v>
      </c>
      <c r="BE476" s="8">
        <f t="shared" si="253"/>
        <v>-56240</v>
      </c>
      <c r="BF476" s="8">
        <v>380140</v>
      </c>
      <c r="BG476" s="8">
        <f t="shared" si="254"/>
        <v>15721</v>
      </c>
      <c r="BH476" s="8">
        <v>782752</v>
      </c>
      <c r="BI476" s="8">
        <f t="shared" si="255"/>
        <v>66408</v>
      </c>
      <c r="BJ476" s="8">
        <f t="shared" si="226"/>
        <v>-402612</v>
      </c>
      <c r="BK476" s="8">
        <f t="shared" si="228"/>
        <v>-50687</v>
      </c>
    </row>
    <row r="477" spans="1:63">
      <c r="A477" s="5">
        <v>42206</v>
      </c>
      <c r="B477" s="8">
        <v>410641</v>
      </c>
      <c r="C477" s="8">
        <f t="shared" si="229"/>
        <v>1908</v>
      </c>
      <c r="D477" s="8">
        <v>60662</v>
      </c>
      <c r="E477" s="8">
        <f t="shared" si="230"/>
        <v>-3596</v>
      </c>
      <c r="F477" s="8">
        <v>43872</v>
      </c>
      <c r="G477" s="8">
        <f t="shared" si="231"/>
        <v>6307</v>
      </c>
      <c r="H477" s="8">
        <v>16790</v>
      </c>
      <c r="I477" s="8">
        <f t="shared" si="232"/>
        <v>-9903</v>
      </c>
      <c r="J477" s="8">
        <v>174090</v>
      </c>
      <c r="K477" s="8">
        <f t="shared" si="233"/>
        <v>1917</v>
      </c>
      <c r="L477" s="8">
        <v>223958</v>
      </c>
      <c r="M477" s="8">
        <f t="shared" si="234"/>
        <v>-8945</v>
      </c>
      <c r="N477" s="8">
        <v>-49868</v>
      </c>
      <c r="O477" s="8">
        <f t="shared" si="235"/>
        <v>10862</v>
      </c>
      <c r="P477" s="8">
        <v>95561</v>
      </c>
      <c r="Q477" s="8">
        <f t="shared" si="236"/>
        <v>1924</v>
      </c>
      <c r="R477" s="8">
        <v>218557</v>
      </c>
      <c r="S477" s="8">
        <f t="shared" si="237"/>
        <v>-9105</v>
      </c>
      <c r="T477" s="8">
        <v>-122996</v>
      </c>
      <c r="U477" s="8">
        <f t="shared" si="238"/>
        <v>11029</v>
      </c>
      <c r="W477" s="8">
        <v>475130</v>
      </c>
      <c r="X477" s="8">
        <f t="shared" si="239"/>
        <v>12079</v>
      </c>
      <c r="Y477" s="8">
        <v>91737</v>
      </c>
      <c r="Z477" s="8">
        <f t="shared" si="240"/>
        <v>4602</v>
      </c>
      <c r="AA477" s="8">
        <v>30520</v>
      </c>
      <c r="AB477" s="8">
        <f t="shared" si="227"/>
        <v>-2810</v>
      </c>
      <c r="AC477" s="8">
        <v>61217</v>
      </c>
      <c r="AD477" s="8">
        <f t="shared" si="227"/>
        <v>7412</v>
      </c>
      <c r="AE477" s="8">
        <v>176264</v>
      </c>
      <c r="AF477" s="8">
        <f t="shared" si="241"/>
        <v>417</v>
      </c>
      <c r="AG477" s="8">
        <v>297401</v>
      </c>
      <c r="AH477" s="8">
        <f t="shared" si="242"/>
        <v>12322</v>
      </c>
      <c r="AI477" s="8">
        <v>-121137</v>
      </c>
      <c r="AJ477" s="8">
        <f t="shared" si="243"/>
        <v>-11905</v>
      </c>
      <c r="AK477" s="8">
        <v>110655</v>
      </c>
      <c r="AL477" s="8">
        <f t="shared" si="244"/>
        <v>187</v>
      </c>
      <c r="AM477" s="8">
        <v>284114</v>
      </c>
      <c r="AN477" s="8">
        <f t="shared" si="245"/>
        <v>11612</v>
      </c>
      <c r="AO477" s="8">
        <v>-173459</v>
      </c>
      <c r="AP477" s="8">
        <f t="shared" si="246"/>
        <v>-11425</v>
      </c>
      <c r="AR477" s="8">
        <v>1975488</v>
      </c>
      <c r="AS477" s="8">
        <f t="shared" si="247"/>
        <v>22254</v>
      </c>
      <c r="AT477" s="8">
        <v>334088</v>
      </c>
      <c r="AU477" s="8">
        <f t="shared" si="248"/>
        <v>40716</v>
      </c>
      <c r="AV477" s="8">
        <v>54423</v>
      </c>
      <c r="AW477" s="8">
        <f t="shared" si="249"/>
        <v>-36202</v>
      </c>
      <c r="AX477" s="8">
        <f t="shared" si="224"/>
        <v>279665</v>
      </c>
      <c r="AY477" s="8">
        <f t="shared" si="250"/>
        <v>76918</v>
      </c>
      <c r="AZ477" s="8">
        <v>744327</v>
      </c>
      <c r="BA477" s="8">
        <f t="shared" si="251"/>
        <v>3823</v>
      </c>
      <c r="BB477" s="8">
        <v>944070</v>
      </c>
      <c r="BC477" s="8">
        <f t="shared" si="252"/>
        <v>50211</v>
      </c>
      <c r="BD477" s="8">
        <f t="shared" si="225"/>
        <v>-199743</v>
      </c>
      <c r="BE477" s="8">
        <f t="shared" si="253"/>
        <v>-46388</v>
      </c>
      <c r="BF477" s="8">
        <v>375268</v>
      </c>
      <c r="BG477" s="8">
        <f t="shared" si="254"/>
        <v>-4872</v>
      </c>
      <c r="BH477" s="8">
        <v>829313</v>
      </c>
      <c r="BI477" s="8">
        <f t="shared" si="255"/>
        <v>46561</v>
      </c>
      <c r="BJ477" s="8">
        <f t="shared" si="226"/>
        <v>-454045</v>
      </c>
      <c r="BK477" s="8">
        <f t="shared" si="228"/>
        <v>-51433</v>
      </c>
    </row>
    <row r="478" spans="1:63">
      <c r="A478" s="5">
        <v>42213</v>
      </c>
      <c r="B478" s="8">
        <v>406200</v>
      </c>
      <c r="C478" s="8">
        <f t="shared" si="229"/>
        <v>-4441</v>
      </c>
      <c r="D478" s="8">
        <v>56869</v>
      </c>
      <c r="E478" s="8">
        <f t="shared" si="230"/>
        <v>-3793</v>
      </c>
      <c r="F478" s="8">
        <v>58099</v>
      </c>
      <c r="G478" s="8">
        <f t="shared" si="231"/>
        <v>14227</v>
      </c>
      <c r="H478" s="8">
        <v>-1230</v>
      </c>
      <c r="I478" s="8">
        <f t="shared" si="232"/>
        <v>-18020</v>
      </c>
      <c r="J478" s="8">
        <v>185150</v>
      </c>
      <c r="K478" s="8">
        <f t="shared" si="233"/>
        <v>11060</v>
      </c>
      <c r="L478" s="8">
        <v>209104</v>
      </c>
      <c r="M478" s="8">
        <f t="shared" si="234"/>
        <v>-14854</v>
      </c>
      <c r="N478" s="8">
        <v>-23954</v>
      </c>
      <c r="O478" s="8">
        <f t="shared" si="235"/>
        <v>25914</v>
      </c>
      <c r="P478" s="8">
        <v>106514</v>
      </c>
      <c r="Q478" s="8">
        <f t="shared" si="236"/>
        <v>10953</v>
      </c>
      <c r="R478" s="8">
        <v>204006</v>
      </c>
      <c r="S478" s="8">
        <f t="shared" si="237"/>
        <v>-14551</v>
      </c>
      <c r="T478" s="8">
        <v>-97492</v>
      </c>
      <c r="U478" s="8">
        <f t="shared" si="238"/>
        <v>25504</v>
      </c>
      <c r="W478" s="8">
        <v>448106</v>
      </c>
      <c r="X478" s="8">
        <f t="shared" si="239"/>
        <v>-27024</v>
      </c>
      <c r="Y478" s="8">
        <v>92051</v>
      </c>
      <c r="Z478" s="8">
        <f t="shared" si="240"/>
        <v>314</v>
      </c>
      <c r="AA478" s="8">
        <v>34189</v>
      </c>
      <c r="AB478" s="8">
        <f t="shared" si="227"/>
        <v>3669</v>
      </c>
      <c r="AC478" s="8">
        <v>57862</v>
      </c>
      <c r="AD478" s="8">
        <f t="shared" si="227"/>
        <v>-3355</v>
      </c>
      <c r="AE478" s="8">
        <v>174422</v>
      </c>
      <c r="AF478" s="8">
        <f t="shared" si="241"/>
        <v>-1842</v>
      </c>
      <c r="AG478" s="8">
        <v>283321</v>
      </c>
      <c r="AH478" s="8">
        <f t="shared" si="242"/>
        <v>-14080</v>
      </c>
      <c r="AI478" s="8">
        <v>-108899</v>
      </c>
      <c r="AJ478" s="8">
        <f t="shared" si="243"/>
        <v>12238</v>
      </c>
      <c r="AK478" s="8">
        <v>108676</v>
      </c>
      <c r="AL478" s="8">
        <f t="shared" si="244"/>
        <v>-1979</v>
      </c>
      <c r="AM478" s="8">
        <v>271043</v>
      </c>
      <c r="AN478" s="8">
        <f t="shared" si="245"/>
        <v>-13071</v>
      </c>
      <c r="AO478" s="8">
        <v>-162367</v>
      </c>
      <c r="AP478" s="8">
        <f t="shared" si="246"/>
        <v>11092</v>
      </c>
      <c r="AR478" s="8">
        <v>1867692</v>
      </c>
      <c r="AS478" s="8">
        <f t="shared" si="247"/>
        <v>-107796</v>
      </c>
      <c r="AT478" s="8">
        <v>302594</v>
      </c>
      <c r="AU478" s="8">
        <f t="shared" si="248"/>
        <v>-31494</v>
      </c>
      <c r="AV478" s="8">
        <v>59793</v>
      </c>
      <c r="AW478" s="8">
        <f t="shared" si="249"/>
        <v>5370</v>
      </c>
      <c r="AX478" s="8">
        <f t="shared" si="224"/>
        <v>242801</v>
      </c>
      <c r="AY478" s="8">
        <f t="shared" si="250"/>
        <v>-36864</v>
      </c>
      <c r="AZ478" s="8">
        <v>729108</v>
      </c>
      <c r="BA478" s="8">
        <f t="shared" si="251"/>
        <v>-15219</v>
      </c>
      <c r="BB478" s="8">
        <v>897619</v>
      </c>
      <c r="BC478" s="8">
        <f t="shared" si="252"/>
        <v>-46451</v>
      </c>
      <c r="BD478" s="8">
        <f t="shared" si="225"/>
        <v>-168511</v>
      </c>
      <c r="BE478" s="8">
        <f t="shared" si="253"/>
        <v>31232</v>
      </c>
      <c r="BF478" s="8">
        <v>368259</v>
      </c>
      <c r="BG478" s="8">
        <f t="shared" si="254"/>
        <v>-7009</v>
      </c>
      <c r="BH478" s="8">
        <v>792428</v>
      </c>
      <c r="BI478" s="8">
        <f t="shared" si="255"/>
        <v>-36885</v>
      </c>
      <c r="BJ478" s="8">
        <f t="shared" si="226"/>
        <v>-424169</v>
      </c>
      <c r="BK478" s="8">
        <f t="shared" si="228"/>
        <v>29876</v>
      </c>
    </row>
    <row r="479" spans="1:63">
      <c r="A479" s="5">
        <v>42220</v>
      </c>
      <c r="B479" s="8">
        <v>411438</v>
      </c>
      <c r="C479" s="8">
        <f t="shared" si="229"/>
        <v>5238</v>
      </c>
      <c r="D479" s="8">
        <v>57118</v>
      </c>
      <c r="E479" s="8">
        <f t="shared" si="230"/>
        <v>249</v>
      </c>
      <c r="F479" s="8">
        <v>69515</v>
      </c>
      <c r="G479" s="8">
        <f t="shared" si="231"/>
        <v>11416</v>
      </c>
      <c r="H479" s="8">
        <v>-12397</v>
      </c>
      <c r="I479" s="8">
        <f t="shared" si="232"/>
        <v>-11167</v>
      </c>
      <c r="J479" s="8">
        <v>190202</v>
      </c>
      <c r="K479" s="8">
        <f t="shared" si="233"/>
        <v>5052</v>
      </c>
      <c r="L479" s="8">
        <v>200917</v>
      </c>
      <c r="M479" s="8">
        <f t="shared" si="234"/>
        <v>-8187</v>
      </c>
      <c r="N479" s="8">
        <v>-10715</v>
      </c>
      <c r="O479" s="8">
        <f t="shared" si="235"/>
        <v>13239</v>
      </c>
      <c r="P479" s="8">
        <v>112920</v>
      </c>
      <c r="Q479" s="8">
        <f t="shared" si="236"/>
        <v>6406</v>
      </c>
      <c r="R479" s="8">
        <v>194055</v>
      </c>
      <c r="S479" s="8">
        <f t="shared" si="237"/>
        <v>-9951</v>
      </c>
      <c r="T479" s="8">
        <v>-81135</v>
      </c>
      <c r="U479" s="8">
        <f t="shared" si="238"/>
        <v>16357</v>
      </c>
      <c r="W479" s="8">
        <v>435642</v>
      </c>
      <c r="X479" s="8">
        <f t="shared" si="239"/>
        <v>-12464</v>
      </c>
      <c r="Y479" s="8">
        <v>89783</v>
      </c>
      <c r="Z479" s="8">
        <f t="shared" si="240"/>
        <v>-2268</v>
      </c>
      <c r="AA479" s="8">
        <v>31631</v>
      </c>
      <c r="AB479" s="8">
        <f t="shared" si="227"/>
        <v>-2558</v>
      </c>
      <c r="AC479" s="8">
        <v>58152</v>
      </c>
      <c r="AD479" s="8">
        <f t="shared" si="227"/>
        <v>290</v>
      </c>
      <c r="AE479" s="8">
        <v>166352</v>
      </c>
      <c r="AF479" s="8">
        <f t="shared" si="241"/>
        <v>-8070</v>
      </c>
      <c r="AG479" s="8">
        <v>278316</v>
      </c>
      <c r="AH479" s="8">
        <f t="shared" si="242"/>
        <v>-5005</v>
      </c>
      <c r="AI479" s="8">
        <v>-111964</v>
      </c>
      <c r="AJ479" s="8">
        <f t="shared" si="243"/>
        <v>-3065</v>
      </c>
      <c r="AK479" s="8">
        <v>99999</v>
      </c>
      <c r="AL479" s="8">
        <f t="shared" si="244"/>
        <v>-8677</v>
      </c>
      <c r="AM479" s="8">
        <v>265625</v>
      </c>
      <c r="AN479" s="8">
        <f t="shared" si="245"/>
        <v>-5418</v>
      </c>
      <c r="AO479" s="8">
        <v>-165626</v>
      </c>
      <c r="AP479" s="8">
        <f t="shared" si="246"/>
        <v>-3259</v>
      </c>
      <c r="AR479" s="8">
        <v>1917728</v>
      </c>
      <c r="AS479" s="8">
        <f t="shared" si="247"/>
        <v>50036</v>
      </c>
      <c r="AT479" s="8">
        <v>283371</v>
      </c>
      <c r="AU479" s="8">
        <f t="shared" si="248"/>
        <v>-19223</v>
      </c>
      <c r="AV479" s="8">
        <v>119572</v>
      </c>
      <c r="AW479" s="8">
        <f t="shared" si="249"/>
        <v>59779</v>
      </c>
      <c r="AX479" s="8">
        <f t="shared" si="224"/>
        <v>163799</v>
      </c>
      <c r="AY479" s="8">
        <f t="shared" si="250"/>
        <v>-79002</v>
      </c>
      <c r="AZ479" s="8">
        <v>759874</v>
      </c>
      <c r="BA479" s="8">
        <f t="shared" si="251"/>
        <v>30766</v>
      </c>
      <c r="BB479" s="8">
        <v>864587</v>
      </c>
      <c r="BC479" s="8">
        <f t="shared" si="252"/>
        <v>-33032</v>
      </c>
      <c r="BD479" s="8">
        <f t="shared" si="225"/>
        <v>-104713</v>
      </c>
      <c r="BE479" s="8">
        <f t="shared" si="253"/>
        <v>63798</v>
      </c>
      <c r="BF479" s="8">
        <v>394418</v>
      </c>
      <c r="BG479" s="8">
        <f t="shared" si="254"/>
        <v>26159</v>
      </c>
      <c r="BH479" s="8">
        <v>757947</v>
      </c>
      <c r="BI479" s="8">
        <f t="shared" si="255"/>
        <v>-34481</v>
      </c>
      <c r="BJ479" s="8">
        <f t="shared" si="226"/>
        <v>-363529</v>
      </c>
      <c r="BK479" s="8">
        <f t="shared" si="228"/>
        <v>60640</v>
      </c>
    </row>
    <row r="480" spans="1:63">
      <c r="A480" s="5">
        <v>42227</v>
      </c>
      <c r="B480" s="8">
        <v>413322</v>
      </c>
      <c r="C480" s="8">
        <f t="shared" si="229"/>
        <v>1884</v>
      </c>
      <c r="D480" s="8">
        <v>59851</v>
      </c>
      <c r="E480" s="8">
        <f t="shared" si="230"/>
        <v>2733</v>
      </c>
      <c r="F480" s="8">
        <v>68165</v>
      </c>
      <c r="G480" s="8">
        <f t="shared" si="231"/>
        <v>-1350</v>
      </c>
      <c r="H480" s="8">
        <v>-8314</v>
      </c>
      <c r="I480" s="8">
        <f t="shared" si="232"/>
        <v>4083</v>
      </c>
      <c r="J480" s="8">
        <v>187472</v>
      </c>
      <c r="K480" s="8">
        <f t="shared" si="233"/>
        <v>-2730</v>
      </c>
      <c r="L480" s="8">
        <v>199141</v>
      </c>
      <c r="M480" s="8">
        <f t="shared" si="234"/>
        <v>-1776</v>
      </c>
      <c r="N480" s="8">
        <v>-11669</v>
      </c>
      <c r="O480" s="8">
        <f t="shared" si="235"/>
        <v>-954</v>
      </c>
      <c r="P480" s="8">
        <v>112686</v>
      </c>
      <c r="Q480" s="8">
        <f t="shared" si="236"/>
        <v>-234</v>
      </c>
      <c r="R480" s="8">
        <v>193162</v>
      </c>
      <c r="S480" s="8">
        <f t="shared" si="237"/>
        <v>-893</v>
      </c>
      <c r="T480" s="8">
        <v>-80476</v>
      </c>
      <c r="U480" s="8">
        <f t="shared" si="238"/>
        <v>659</v>
      </c>
      <c r="W480" s="8">
        <v>449908</v>
      </c>
      <c r="X480" s="8">
        <f t="shared" si="239"/>
        <v>14266</v>
      </c>
      <c r="Y480" s="8">
        <v>89145</v>
      </c>
      <c r="Z480" s="8">
        <f t="shared" si="240"/>
        <v>-638</v>
      </c>
      <c r="AA480" s="8">
        <v>33617</v>
      </c>
      <c r="AB480" s="8">
        <f t="shared" si="227"/>
        <v>1986</v>
      </c>
      <c r="AC480" s="8">
        <v>55528</v>
      </c>
      <c r="AD480" s="8">
        <f t="shared" si="227"/>
        <v>-2624</v>
      </c>
      <c r="AE480" s="8">
        <v>173017</v>
      </c>
      <c r="AF480" s="8">
        <f t="shared" si="241"/>
        <v>6665</v>
      </c>
      <c r="AG480" s="8">
        <v>284575</v>
      </c>
      <c r="AH480" s="8">
        <f t="shared" si="242"/>
        <v>6259</v>
      </c>
      <c r="AI480" s="8">
        <v>-111558</v>
      </c>
      <c r="AJ480" s="8">
        <f t="shared" si="243"/>
        <v>406</v>
      </c>
      <c r="AK480" s="8">
        <v>103777</v>
      </c>
      <c r="AL480" s="8">
        <f t="shared" si="244"/>
        <v>3778</v>
      </c>
      <c r="AM480" s="8">
        <v>268483</v>
      </c>
      <c r="AN480" s="8">
        <f t="shared" si="245"/>
        <v>2858</v>
      </c>
      <c r="AO480" s="8">
        <v>-164706</v>
      </c>
      <c r="AP480" s="8">
        <f t="shared" si="246"/>
        <v>920</v>
      </c>
      <c r="AR480" s="8">
        <v>1938783</v>
      </c>
      <c r="AS480" s="8">
        <f t="shared" si="247"/>
        <v>21055</v>
      </c>
      <c r="AT480" s="8">
        <v>271129</v>
      </c>
      <c r="AU480" s="8">
        <f t="shared" si="248"/>
        <v>-12242</v>
      </c>
      <c r="AV480" s="8">
        <v>170011</v>
      </c>
      <c r="AW480" s="8">
        <f t="shared" si="249"/>
        <v>50439</v>
      </c>
      <c r="AX480" s="8">
        <f t="shared" si="224"/>
        <v>101118</v>
      </c>
      <c r="AY480" s="8">
        <f t="shared" si="250"/>
        <v>-62681</v>
      </c>
      <c r="AZ480" s="8">
        <v>783364</v>
      </c>
      <c r="BA480" s="8">
        <f t="shared" si="251"/>
        <v>23490</v>
      </c>
      <c r="BB480" s="8">
        <v>854819</v>
      </c>
      <c r="BC480" s="8">
        <f t="shared" si="252"/>
        <v>-9768</v>
      </c>
      <c r="BD480" s="8">
        <f t="shared" si="225"/>
        <v>-71455</v>
      </c>
      <c r="BE480" s="8">
        <f t="shared" si="253"/>
        <v>33258</v>
      </c>
      <c r="BF480" s="8">
        <v>418910</v>
      </c>
      <c r="BG480" s="8">
        <f t="shared" si="254"/>
        <v>24492</v>
      </c>
      <c r="BH480" s="8">
        <v>748987</v>
      </c>
      <c r="BI480" s="8">
        <f t="shared" si="255"/>
        <v>-8960</v>
      </c>
      <c r="BJ480" s="8">
        <f t="shared" si="226"/>
        <v>-330077</v>
      </c>
      <c r="BK480" s="8">
        <f t="shared" si="228"/>
        <v>33452</v>
      </c>
    </row>
    <row r="481" spans="1:63">
      <c r="A481" s="5">
        <v>42234</v>
      </c>
      <c r="B481" s="8">
        <v>429846</v>
      </c>
      <c r="C481" s="8">
        <f t="shared" si="229"/>
        <v>16524</v>
      </c>
      <c r="D481" s="8">
        <v>65208</v>
      </c>
      <c r="E481" s="8">
        <f t="shared" si="230"/>
        <v>5357</v>
      </c>
      <c r="F481" s="8">
        <v>76524</v>
      </c>
      <c r="G481" s="8">
        <f t="shared" si="231"/>
        <v>8359</v>
      </c>
      <c r="H481" s="8">
        <v>-11316</v>
      </c>
      <c r="I481" s="8">
        <f t="shared" si="232"/>
        <v>-3002</v>
      </c>
      <c r="J481" s="8">
        <v>195782</v>
      </c>
      <c r="K481" s="8">
        <f t="shared" si="233"/>
        <v>8310</v>
      </c>
      <c r="L481" s="8">
        <v>197363</v>
      </c>
      <c r="M481" s="8">
        <f t="shared" si="234"/>
        <v>-1778</v>
      </c>
      <c r="N481" s="8">
        <v>-1581</v>
      </c>
      <c r="O481" s="8">
        <f t="shared" si="235"/>
        <v>10088</v>
      </c>
      <c r="P481" s="8">
        <v>118962</v>
      </c>
      <c r="Q481" s="8">
        <f t="shared" si="236"/>
        <v>6276</v>
      </c>
      <c r="R481" s="8">
        <v>192239</v>
      </c>
      <c r="S481" s="8">
        <f t="shared" si="237"/>
        <v>-923</v>
      </c>
      <c r="T481" s="8">
        <v>-73277</v>
      </c>
      <c r="U481" s="8">
        <f t="shared" si="238"/>
        <v>7199</v>
      </c>
      <c r="W481" s="8">
        <v>446512</v>
      </c>
      <c r="X481" s="8">
        <f t="shared" si="239"/>
        <v>-3396</v>
      </c>
      <c r="Y481" s="8">
        <v>76978</v>
      </c>
      <c r="Z481" s="8">
        <f t="shared" si="240"/>
        <v>-12167</v>
      </c>
      <c r="AA481" s="8">
        <v>35952</v>
      </c>
      <c r="AB481" s="8">
        <f t="shared" si="227"/>
        <v>2335</v>
      </c>
      <c r="AC481" s="8">
        <v>41026</v>
      </c>
      <c r="AD481" s="8">
        <f t="shared" si="227"/>
        <v>-14502</v>
      </c>
      <c r="AE481" s="8">
        <v>180104</v>
      </c>
      <c r="AF481" s="8">
        <f t="shared" si="241"/>
        <v>7087</v>
      </c>
      <c r="AG481" s="8">
        <v>271228</v>
      </c>
      <c r="AH481" s="8">
        <f t="shared" si="242"/>
        <v>-13347</v>
      </c>
      <c r="AI481" s="8">
        <v>-91124</v>
      </c>
      <c r="AJ481" s="8">
        <f t="shared" si="243"/>
        <v>20434</v>
      </c>
      <c r="AK481" s="8">
        <v>107257</v>
      </c>
      <c r="AL481" s="8">
        <f t="shared" si="244"/>
        <v>3480</v>
      </c>
      <c r="AM481" s="8">
        <v>253557</v>
      </c>
      <c r="AN481" s="8">
        <f t="shared" si="245"/>
        <v>-14926</v>
      </c>
      <c r="AO481" s="8">
        <v>-146300</v>
      </c>
      <c r="AP481" s="8">
        <f t="shared" si="246"/>
        <v>18406</v>
      </c>
      <c r="AR481" s="8">
        <v>1912247</v>
      </c>
      <c r="AS481" s="8">
        <f t="shared" si="247"/>
        <v>-26536</v>
      </c>
      <c r="AT481" s="8">
        <v>259802</v>
      </c>
      <c r="AU481" s="8">
        <f t="shared" si="248"/>
        <v>-11327</v>
      </c>
      <c r="AV481" s="8">
        <v>186176</v>
      </c>
      <c r="AW481" s="8">
        <f t="shared" si="249"/>
        <v>16165</v>
      </c>
      <c r="AX481" s="8">
        <f t="shared" si="224"/>
        <v>73626</v>
      </c>
      <c r="AY481" s="8">
        <f t="shared" si="250"/>
        <v>-27492</v>
      </c>
      <c r="AZ481" s="8">
        <v>793068</v>
      </c>
      <c r="BA481" s="8">
        <f t="shared" si="251"/>
        <v>9704</v>
      </c>
      <c r="BB481" s="8">
        <v>828232</v>
      </c>
      <c r="BC481" s="8">
        <f t="shared" si="252"/>
        <v>-26587</v>
      </c>
      <c r="BD481" s="8">
        <f t="shared" si="225"/>
        <v>-35164</v>
      </c>
      <c r="BE481" s="8">
        <f t="shared" si="253"/>
        <v>36291</v>
      </c>
      <c r="BF481" s="8">
        <v>432150</v>
      </c>
      <c r="BG481" s="8">
        <f t="shared" si="254"/>
        <v>13240</v>
      </c>
      <c r="BH481" s="8">
        <v>728847</v>
      </c>
      <c r="BI481" s="8">
        <f t="shared" si="255"/>
        <v>-20140</v>
      </c>
      <c r="BJ481" s="8">
        <f t="shared" si="226"/>
        <v>-296697</v>
      </c>
      <c r="BK481" s="8">
        <f t="shared" si="228"/>
        <v>33380</v>
      </c>
    </row>
    <row r="482" spans="1:63">
      <c r="A482" s="5">
        <v>42241</v>
      </c>
      <c r="B482" s="8">
        <v>447591</v>
      </c>
      <c r="C482" s="8">
        <f t="shared" si="229"/>
        <v>17745</v>
      </c>
      <c r="D482" s="8">
        <v>65836</v>
      </c>
      <c r="E482" s="8">
        <f t="shared" si="230"/>
        <v>628</v>
      </c>
      <c r="F482" s="8">
        <v>74843</v>
      </c>
      <c r="G482" s="8">
        <f t="shared" si="231"/>
        <v>-1681</v>
      </c>
      <c r="H482" s="8">
        <v>-9007</v>
      </c>
      <c r="I482" s="8">
        <f t="shared" si="232"/>
        <v>2309</v>
      </c>
      <c r="J482" s="8">
        <v>204954</v>
      </c>
      <c r="K482" s="8">
        <f t="shared" si="233"/>
        <v>9172</v>
      </c>
      <c r="L482" s="8">
        <v>206537</v>
      </c>
      <c r="M482" s="8">
        <f t="shared" si="234"/>
        <v>9174</v>
      </c>
      <c r="N482" s="8">
        <v>-1583</v>
      </c>
      <c r="O482" s="8">
        <f t="shared" si="235"/>
        <v>-2</v>
      </c>
      <c r="P482" s="8">
        <v>125973</v>
      </c>
      <c r="Q482" s="8">
        <f t="shared" si="236"/>
        <v>7011</v>
      </c>
      <c r="R482" s="8">
        <v>200408</v>
      </c>
      <c r="S482" s="8">
        <f t="shared" si="237"/>
        <v>8169</v>
      </c>
      <c r="T482" s="8">
        <v>-74435</v>
      </c>
      <c r="U482" s="8">
        <f t="shared" si="238"/>
        <v>-1158</v>
      </c>
      <c r="W482" s="8">
        <v>441427</v>
      </c>
      <c r="X482" s="8">
        <f t="shared" si="239"/>
        <v>-5085</v>
      </c>
      <c r="Y482" s="8">
        <v>71501</v>
      </c>
      <c r="Z482" s="8">
        <f t="shared" si="240"/>
        <v>-5477</v>
      </c>
      <c r="AA482" s="8">
        <v>26373</v>
      </c>
      <c r="AB482" s="8">
        <f t="shared" si="227"/>
        <v>-9579</v>
      </c>
      <c r="AC482" s="8">
        <v>45128</v>
      </c>
      <c r="AD482" s="8">
        <f t="shared" si="227"/>
        <v>4102</v>
      </c>
      <c r="AE482" s="8">
        <v>184611</v>
      </c>
      <c r="AF482" s="8">
        <f t="shared" si="241"/>
        <v>4507</v>
      </c>
      <c r="AG482" s="8">
        <v>281107</v>
      </c>
      <c r="AH482" s="8">
        <f t="shared" si="242"/>
        <v>9879</v>
      </c>
      <c r="AI482" s="8">
        <v>-96496</v>
      </c>
      <c r="AJ482" s="8">
        <f t="shared" si="243"/>
        <v>-5372</v>
      </c>
      <c r="AK482" s="8">
        <v>111784</v>
      </c>
      <c r="AL482" s="8">
        <f t="shared" si="244"/>
        <v>4527</v>
      </c>
      <c r="AM482" s="8">
        <v>260674</v>
      </c>
      <c r="AN482" s="8">
        <f t="shared" si="245"/>
        <v>7117</v>
      </c>
      <c r="AO482" s="8">
        <v>-148890</v>
      </c>
      <c r="AP482" s="8">
        <f t="shared" si="246"/>
        <v>-2590</v>
      </c>
      <c r="AR482" s="8">
        <v>1685206</v>
      </c>
      <c r="AS482" s="8">
        <f t="shared" si="247"/>
        <v>-227041</v>
      </c>
      <c r="AT482" s="8">
        <v>244006</v>
      </c>
      <c r="AU482" s="8">
        <f t="shared" si="248"/>
        <v>-15796</v>
      </c>
      <c r="AV482" s="8">
        <v>170469</v>
      </c>
      <c r="AW482" s="8">
        <f t="shared" si="249"/>
        <v>-15707</v>
      </c>
      <c r="AX482" s="8">
        <f t="shared" si="224"/>
        <v>73537</v>
      </c>
      <c r="AY482" s="8">
        <f t="shared" si="250"/>
        <v>-89</v>
      </c>
      <c r="AZ482" s="8">
        <v>740271</v>
      </c>
      <c r="BA482" s="8">
        <f t="shared" si="251"/>
        <v>-52797</v>
      </c>
      <c r="BB482" s="8">
        <v>774910</v>
      </c>
      <c r="BC482" s="8">
        <f t="shared" si="252"/>
        <v>-53322</v>
      </c>
      <c r="BD482" s="8">
        <f t="shared" si="225"/>
        <v>-34639</v>
      </c>
      <c r="BE482" s="8">
        <f t="shared" si="253"/>
        <v>525</v>
      </c>
      <c r="BF482" s="8">
        <v>400693</v>
      </c>
      <c r="BG482" s="8">
        <f t="shared" si="254"/>
        <v>-31457</v>
      </c>
      <c r="BH482" s="8">
        <v>691526</v>
      </c>
      <c r="BI482" s="8">
        <f t="shared" si="255"/>
        <v>-37321</v>
      </c>
      <c r="BJ482" s="8">
        <f t="shared" si="226"/>
        <v>-290833</v>
      </c>
      <c r="BK482" s="8">
        <f t="shared" si="228"/>
        <v>5864</v>
      </c>
    </row>
    <row r="483" spans="1:63">
      <c r="A483" s="5">
        <v>42248</v>
      </c>
      <c r="B483" s="8">
        <v>441807</v>
      </c>
      <c r="C483" s="8">
        <f t="shared" si="229"/>
        <v>-5784</v>
      </c>
      <c r="D483" s="8">
        <v>71385</v>
      </c>
      <c r="E483" s="8">
        <f t="shared" si="230"/>
        <v>5549</v>
      </c>
      <c r="F483" s="8">
        <v>78865</v>
      </c>
      <c r="G483" s="8">
        <f t="shared" si="231"/>
        <v>4022</v>
      </c>
      <c r="H483" s="8">
        <v>-7480</v>
      </c>
      <c r="I483" s="8">
        <f t="shared" si="232"/>
        <v>1527</v>
      </c>
      <c r="J483" s="8">
        <v>198336</v>
      </c>
      <c r="K483" s="8">
        <f t="shared" si="233"/>
        <v>-6618</v>
      </c>
      <c r="L483" s="8">
        <v>196245</v>
      </c>
      <c r="M483" s="8">
        <f t="shared" si="234"/>
        <v>-10292</v>
      </c>
      <c r="N483" s="8">
        <v>2091</v>
      </c>
      <c r="O483" s="8">
        <f t="shared" si="235"/>
        <v>3674</v>
      </c>
      <c r="P483" s="8">
        <v>117724</v>
      </c>
      <c r="Q483" s="8">
        <f t="shared" si="236"/>
        <v>-8249</v>
      </c>
      <c r="R483" s="8">
        <v>187771</v>
      </c>
      <c r="S483" s="8">
        <f t="shared" si="237"/>
        <v>-12637</v>
      </c>
      <c r="T483" s="8">
        <v>-70047</v>
      </c>
      <c r="U483" s="8">
        <f t="shared" si="238"/>
        <v>4388</v>
      </c>
      <c r="W483" s="8">
        <v>425046</v>
      </c>
      <c r="X483" s="8">
        <f t="shared" si="239"/>
        <v>-16381</v>
      </c>
      <c r="Y483" s="8">
        <v>64252</v>
      </c>
      <c r="Z483" s="8">
        <f t="shared" si="240"/>
        <v>-7249</v>
      </c>
      <c r="AA483" s="8">
        <v>29861</v>
      </c>
      <c r="AB483" s="8">
        <f t="shared" si="227"/>
        <v>3488</v>
      </c>
      <c r="AC483" s="8">
        <v>34391</v>
      </c>
      <c r="AD483" s="8">
        <f t="shared" si="227"/>
        <v>-10737</v>
      </c>
      <c r="AE483" s="8">
        <v>179878</v>
      </c>
      <c r="AF483" s="8">
        <f t="shared" si="241"/>
        <v>-4733</v>
      </c>
      <c r="AG483" s="8">
        <v>261834</v>
      </c>
      <c r="AH483" s="8">
        <f t="shared" si="242"/>
        <v>-19273</v>
      </c>
      <c r="AI483" s="8">
        <v>-81956</v>
      </c>
      <c r="AJ483" s="8">
        <f t="shared" si="243"/>
        <v>14540</v>
      </c>
      <c r="AK483" s="8">
        <v>109108</v>
      </c>
      <c r="AL483" s="8">
        <f t="shared" si="244"/>
        <v>-2676</v>
      </c>
      <c r="AM483" s="8">
        <v>243989</v>
      </c>
      <c r="AN483" s="8">
        <f t="shared" si="245"/>
        <v>-16685</v>
      </c>
      <c r="AO483" s="8">
        <v>-134881</v>
      </c>
      <c r="AP483" s="8">
        <f t="shared" si="246"/>
        <v>14009</v>
      </c>
      <c r="AR483" s="8">
        <v>1641364</v>
      </c>
      <c r="AS483" s="8">
        <f t="shared" si="247"/>
        <v>-43842</v>
      </c>
      <c r="AT483" s="8">
        <v>241494</v>
      </c>
      <c r="AU483" s="8">
        <f t="shared" si="248"/>
        <v>-2512</v>
      </c>
      <c r="AV483" s="8">
        <v>164509</v>
      </c>
      <c r="AW483" s="8">
        <f t="shared" si="249"/>
        <v>-5960</v>
      </c>
      <c r="AX483" s="8">
        <f t="shared" si="224"/>
        <v>76985</v>
      </c>
      <c r="AY483" s="8">
        <f t="shared" si="250"/>
        <v>3448</v>
      </c>
      <c r="AZ483" s="8">
        <v>702225</v>
      </c>
      <c r="BA483" s="8">
        <f t="shared" si="251"/>
        <v>-38046</v>
      </c>
      <c r="BB483" s="8">
        <v>740910</v>
      </c>
      <c r="BC483" s="8">
        <f t="shared" si="252"/>
        <v>-34000</v>
      </c>
      <c r="BD483" s="8">
        <f t="shared" si="225"/>
        <v>-38685</v>
      </c>
      <c r="BE483" s="8">
        <f t="shared" si="253"/>
        <v>-4046</v>
      </c>
      <c r="BF483" s="8">
        <v>361004</v>
      </c>
      <c r="BG483" s="8">
        <f t="shared" si="254"/>
        <v>-39689</v>
      </c>
      <c r="BH483" s="8">
        <v>654518</v>
      </c>
      <c r="BI483" s="8">
        <f t="shared" si="255"/>
        <v>-37008</v>
      </c>
      <c r="BJ483" s="8">
        <f t="shared" si="226"/>
        <v>-293514</v>
      </c>
      <c r="BK483" s="8">
        <f t="shared" si="228"/>
        <v>-2681</v>
      </c>
    </row>
    <row r="484" spans="1:63">
      <c r="A484" s="5">
        <v>42255</v>
      </c>
      <c r="B484" s="8">
        <v>457841</v>
      </c>
      <c r="C484" s="8">
        <f t="shared" si="229"/>
        <v>16034</v>
      </c>
      <c r="D484" s="8">
        <v>67663</v>
      </c>
      <c r="E484" s="8">
        <f t="shared" si="230"/>
        <v>-3722</v>
      </c>
      <c r="F484" s="8">
        <v>79173</v>
      </c>
      <c r="G484" s="8">
        <f t="shared" si="231"/>
        <v>308</v>
      </c>
      <c r="H484" s="8">
        <v>-11510</v>
      </c>
      <c r="I484" s="8">
        <f t="shared" si="232"/>
        <v>-4030</v>
      </c>
      <c r="J484" s="8">
        <v>201569</v>
      </c>
      <c r="K484" s="8">
        <f t="shared" si="233"/>
        <v>3233</v>
      </c>
      <c r="L484" s="8">
        <v>205255</v>
      </c>
      <c r="M484" s="8">
        <f t="shared" si="234"/>
        <v>9010</v>
      </c>
      <c r="N484" s="8">
        <v>-3686</v>
      </c>
      <c r="O484" s="8">
        <f t="shared" si="235"/>
        <v>-5777</v>
      </c>
      <c r="P484" s="8">
        <v>120468</v>
      </c>
      <c r="Q484" s="8">
        <f t="shared" si="236"/>
        <v>2744</v>
      </c>
      <c r="R484" s="8">
        <v>197027</v>
      </c>
      <c r="S484" s="8">
        <f t="shared" si="237"/>
        <v>9256</v>
      </c>
      <c r="T484" s="8">
        <v>-76559</v>
      </c>
      <c r="U484" s="8">
        <f t="shared" si="238"/>
        <v>-6512</v>
      </c>
      <c r="W484" s="8">
        <v>435946</v>
      </c>
      <c r="X484" s="8">
        <f t="shared" si="239"/>
        <v>10900</v>
      </c>
      <c r="Y484" s="8">
        <v>64461</v>
      </c>
      <c r="Z484" s="8">
        <f t="shared" si="240"/>
        <v>209</v>
      </c>
      <c r="AA484" s="8">
        <v>34899</v>
      </c>
      <c r="AB484" s="8">
        <f t="shared" si="227"/>
        <v>5038</v>
      </c>
      <c r="AC484" s="8">
        <v>29562</v>
      </c>
      <c r="AD484" s="8">
        <f t="shared" si="227"/>
        <v>-4829</v>
      </c>
      <c r="AE484" s="8">
        <v>183758</v>
      </c>
      <c r="AF484" s="8">
        <f t="shared" si="241"/>
        <v>3880</v>
      </c>
      <c r="AG484" s="8">
        <v>266422</v>
      </c>
      <c r="AH484" s="8">
        <f t="shared" si="242"/>
        <v>4588</v>
      </c>
      <c r="AI484" s="8">
        <v>-82664</v>
      </c>
      <c r="AJ484" s="8">
        <f t="shared" si="243"/>
        <v>-708</v>
      </c>
      <c r="AK484" s="8">
        <v>113742</v>
      </c>
      <c r="AL484" s="8">
        <f t="shared" si="244"/>
        <v>4634</v>
      </c>
      <c r="AM484" s="8">
        <v>249186</v>
      </c>
      <c r="AN484" s="8">
        <f t="shared" si="245"/>
        <v>5197</v>
      </c>
      <c r="AO484" s="8">
        <v>-135444</v>
      </c>
      <c r="AP484" s="8">
        <f t="shared" si="246"/>
        <v>-563</v>
      </c>
      <c r="AR484" s="8">
        <v>1682121</v>
      </c>
      <c r="AS484" s="8">
        <f t="shared" si="247"/>
        <v>40757</v>
      </c>
      <c r="AT484" s="8">
        <v>242547</v>
      </c>
      <c r="AU484" s="8">
        <f t="shared" si="248"/>
        <v>1053</v>
      </c>
      <c r="AV484" s="8">
        <v>195286</v>
      </c>
      <c r="AW484" s="8">
        <f t="shared" si="249"/>
        <v>30777</v>
      </c>
      <c r="AX484" s="8">
        <f t="shared" si="224"/>
        <v>47261</v>
      </c>
      <c r="AY484" s="8">
        <f t="shared" si="250"/>
        <v>-29724</v>
      </c>
      <c r="AZ484" s="8">
        <v>725231</v>
      </c>
      <c r="BA484" s="8">
        <f t="shared" si="251"/>
        <v>23006</v>
      </c>
      <c r="BB484" s="8">
        <v>733172</v>
      </c>
      <c r="BC484" s="8">
        <f t="shared" si="252"/>
        <v>-7738</v>
      </c>
      <c r="BD484" s="8">
        <f t="shared" si="225"/>
        <v>-7941</v>
      </c>
      <c r="BE484" s="8">
        <f t="shared" si="253"/>
        <v>30744</v>
      </c>
      <c r="BF484" s="8">
        <v>385211</v>
      </c>
      <c r="BG484" s="8">
        <f t="shared" si="254"/>
        <v>24207</v>
      </c>
      <c r="BH484" s="8">
        <v>643690</v>
      </c>
      <c r="BI484" s="8">
        <f t="shared" si="255"/>
        <v>-10828</v>
      </c>
      <c r="BJ484" s="8">
        <f t="shared" si="226"/>
        <v>-258479</v>
      </c>
      <c r="BK484" s="8">
        <f t="shared" si="228"/>
        <v>35035</v>
      </c>
    </row>
    <row r="485" spans="1:63">
      <c r="A485" s="5">
        <v>42262</v>
      </c>
      <c r="B485" s="8">
        <v>466092</v>
      </c>
      <c r="C485" s="8">
        <f t="shared" si="229"/>
        <v>8251</v>
      </c>
      <c r="D485" s="8">
        <v>68048</v>
      </c>
      <c r="E485" s="8">
        <f t="shared" si="230"/>
        <v>385</v>
      </c>
      <c r="F485" s="8">
        <v>85935</v>
      </c>
      <c r="G485" s="8">
        <f t="shared" si="231"/>
        <v>6762</v>
      </c>
      <c r="H485" s="8">
        <v>-17887</v>
      </c>
      <c r="I485" s="8">
        <f t="shared" si="232"/>
        <v>-6377</v>
      </c>
      <c r="J485" s="8">
        <v>207949</v>
      </c>
      <c r="K485" s="8">
        <f t="shared" si="233"/>
        <v>6380</v>
      </c>
      <c r="L485" s="8">
        <v>202997</v>
      </c>
      <c r="M485" s="8">
        <f t="shared" si="234"/>
        <v>-2258</v>
      </c>
      <c r="N485" s="8">
        <v>4952</v>
      </c>
      <c r="O485" s="8">
        <f t="shared" si="235"/>
        <v>8638</v>
      </c>
      <c r="P485" s="8">
        <v>126172</v>
      </c>
      <c r="Q485" s="8">
        <f t="shared" si="236"/>
        <v>5704</v>
      </c>
      <c r="R485" s="8">
        <v>195090</v>
      </c>
      <c r="S485" s="8">
        <f t="shared" si="237"/>
        <v>-1937</v>
      </c>
      <c r="T485" s="8">
        <v>-68918</v>
      </c>
      <c r="U485" s="8">
        <f t="shared" si="238"/>
        <v>7641</v>
      </c>
      <c r="W485" s="8">
        <v>446712</v>
      </c>
      <c r="X485" s="8">
        <f t="shared" si="239"/>
        <v>10766</v>
      </c>
      <c r="Y485" s="8">
        <v>67267</v>
      </c>
      <c r="Z485" s="8">
        <f t="shared" si="240"/>
        <v>2806</v>
      </c>
      <c r="AA485" s="8">
        <v>31299</v>
      </c>
      <c r="AB485" s="8">
        <f t="shared" si="227"/>
        <v>-3600</v>
      </c>
      <c r="AC485" s="8">
        <v>35968</v>
      </c>
      <c r="AD485" s="8">
        <f t="shared" si="227"/>
        <v>6406</v>
      </c>
      <c r="AE485" s="8">
        <v>184635</v>
      </c>
      <c r="AF485" s="8">
        <f t="shared" si="241"/>
        <v>877</v>
      </c>
      <c r="AG485" s="8">
        <v>281474</v>
      </c>
      <c r="AH485" s="8">
        <f t="shared" si="242"/>
        <v>15052</v>
      </c>
      <c r="AI485" s="8">
        <v>-96839</v>
      </c>
      <c r="AJ485" s="8">
        <f t="shared" si="243"/>
        <v>-14175</v>
      </c>
      <c r="AK485" s="8">
        <v>114359</v>
      </c>
      <c r="AL485" s="8">
        <f t="shared" si="244"/>
        <v>617</v>
      </c>
      <c r="AM485" s="8">
        <v>262533</v>
      </c>
      <c r="AN485" s="8">
        <f t="shared" si="245"/>
        <v>13347</v>
      </c>
      <c r="AO485" s="8">
        <v>-148174</v>
      </c>
      <c r="AP485" s="8">
        <f t="shared" si="246"/>
        <v>-12730</v>
      </c>
      <c r="AR485" s="8">
        <v>1700758</v>
      </c>
      <c r="AS485" s="8">
        <f t="shared" si="247"/>
        <v>18637</v>
      </c>
      <c r="AT485" s="8">
        <v>249800</v>
      </c>
      <c r="AU485" s="8">
        <f t="shared" si="248"/>
        <v>7253</v>
      </c>
      <c r="AV485" s="8">
        <v>180004</v>
      </c>
      <c r="AW485" s="8">
        <f t="shared" si="249"/>
        <v>-15282</v>
      </c>
      <c r="AX485" s="8">
        <f t="shared" si="224"/>
        <v>69796</v>
      </c>
      <c r="AY485" s="8">
        <f t="shared" si="250"/>
        <v>22535</v>
      </c>
      <c r="AZ485" s="8">
        <v>717856</v>
      </c>
      <c r="BA485" s="8">
        <f t="shared" si="251"/>
        <v>-7375</v>
      </c>
      <c r="BB485" s="8">
        <v>774406</v>
      </c>
      <c r="BC485" s="8">
        <f t="shared" si="252"/>
        <v>41234</v>
      </c>
      <c r="BD485" s="8">
        <f t="shared" si="225"/>
        <v>-56550</v>
      </c>
      <c r="BE485" s="8">
        <f t="shared" si="253"/>
        <v>-48609</v>
      </c>
      <c r="BF485" s="8">
        <v>369450</v>
      </c>
      <c r="BG485" s="8">
        <f t="shared" si="254"/>
        <v>-15761</v>
      </c>
      <c r="BH485" s="8">
        <v>675175</v>
      </c>
      <c r="BI485" s="8">
        <f t="shared" si="255"/>
        <v>31485</v>
      </c>
      <c r="BJ485" s="8">
        <f t="shared" si="226"/>
        <v>-305725</v>
      </c>
      <c r="BK485" s="8">
        <f t="shared" si="228"/>
        <v>-47246</v>
      </c>
    </row>
    <row r="486" spans="1:63">
      <c r="A486" s="5">
        <v>42269</v>
      </c>
      <c r="B486" s="8">
        <v>475547</v>
      </c>
      <c r="C486" s="8">
        <f t="shared" si="229"/>
        <v>9455</v>
      </c>
      <c r="D486" s="8">
        <v>68453</v>
      </c>
      <c r="E486" s="8">
        <f t="shared" si="230"/>
        <v>405</v>
      </c>
      <c r="F486" s="8">
        <v>87249</v>
      </c>
      <c r="G486" s="8">
        <f t="shared" si="231"/>
        <v>1314</v>
      </c>
      <c r="H486" s="8">
        <v>-18796</v>
      </c>
      <c r="I486" s="8">
        <f t="shared" si="232"/>
        <v>-909</v>
      </c>
      <c r="J486" s="8">
        <v>212373</v>
      </c>
      <c r="K486" s="8">
        <f t="shared" si="233"/>
        <v>4424</v>
      </c>
      <c r="L486" s="8">
        <v>206143</v>
      </c>
      <c r="M486" s="8">
        <f t="shared" si="234"/>
        <v>3146</v>
      </c>
      <c r="N486" s="8">
        <v>6230</v>
      </c>
      <c r="O486" s="8">
        <f t="shared" si="235"/>
        <v>1278</v>
      </c>
      <c r="P486" s="8">
        <v>130563</v>
      </c>
      <c r="Q486" s="8">
        <f t="shared" si="236"/>
        <v>4391</v>
      </c>
      <c r="R486" s="8">
        <v>197321</v>
      </c>
      <c r="S486" s="8">
        <f t="shared" si="237"/>
        <v>2231</v>
      </c>
      <c r="T486" s="8">
        <v>-66758</v>
      </c>
      <c r="U486" s="8">
        <f t="shared" si="238"/>
        <v>2160</v>
      </c>
      <c r="W486" s="8">
        <v>444170</v>
      </c>
      <c r="X486" s="8">
        <f t="shared" si="239"/>
        <v>-2542</v>
      </c>
      <c r="Y486" s="8">
        <v>60866</v>
      </c>
      <c r="Z486" s="8">
        <f t="shared" si="240"/>
        <v>-6401</v>
      </c>
      <c r="AA486" s="8">
        <v>42666</v>
      </c>
      <c r="AB486" s="8">
        <f t="shared" si="227"/>
        <v>11367</v>
      </c>
      <c r="AC486" s="8">
        <v>18200</v>
      </c>
      <c r="AD486" s="8">
        <f t="shared" si="227"/>
        <v>-17768</v>
      </c>
      <c r="AE486" s="8">
        <v>186542</v>
      </c>
      <c r="AF486" s="8">
        <f t="shared" si="241"/>
        <v>1907</v>
      </c>
      <c r="AG486" s="8">
        <v>262987</v>
      </c>
      <c r="AH486" s="8">
        <f t="shared" si="242"/>
        <v>-18487</v>
      </c>
      <c r="AI486" s="8">
        <v>-76445</v>
      </c>
      <c r="AJ486" s="8">
        <f t="shared" si="243"/>
        <v>20394</v>
      </c>
      <c r="AK486" s="8">
        <v>116863</v>
      </c>
      <c r="AL486" s="8">
        <f t="shared" si="244"/>
        <v>2504</v>
      </c>
      <c r="AM486" s="8">
        <v>245420</v>
      </c>
      <c r="AN486" s="8">
        <f t="shared" si="245"/>
        <v>-17113</v>
      </c>
      <c r="AO486" s="8">
        <v>-128557</v>
      </c>
      <c r="AP486" s="8">
        <f t="shared" si="246"/>
        <v>19617</v>
      </c>
      <c r="AR486" s="8">
        <v>1726114</v>
      </c>
      <c r="AS486" s="8">
        <f t="shared" si="247"/>
        <v>25356</v>
      </c>
      <c r="AT486" s="8">
        <v>249623</v>
      </c>
      <c r="AU486" s="8">
        <f t="shared" si="248"/>
        <v>-177</v>
      </c>
      <c r="AV486" s="8">
        <v>182998</v>
      </c>
      <c r="AW486" s="8">
        <f t="shared" si="249"/>
        <v>2994</v>
      </c>
      <c r="AX486" s="8">
        <f t="shared" si="224"/>
        <v>66625</v>
      </c>
      <c r="AY486" s="8">
        <f t="shared" si="250"/>
        <v>-3171</v>
      </c>
      <c r="AZ486" s="8">
        <v>725124</v>
      </c>
      <c r="BA486" s="8">
        <f t="shared" si="251"/>
        <v>7268</v>
      </c>
      <c r="BB486" s="8">
        <v>777761</v>
      </c>
      <c r="BC486" s="8">
        <f t="shared" si="252"/>
        <v>3355</v>
      </c>
      <c r="BD486" s="8">
        <f t="shared" si="225"/>
        <v>-52637</v>
      </c>
      <c r="BE486" s="8">
        <f t="shared" si="253"/>
        <v>3913</v>
      </c>
      <c r="BF486" s="8">
        <v>375012</v>
      </c>
      <c r="BG486" s="8">
        <f t="shared" si="254"/>
        <v>5562</v>
      </c>
      <c r="BH486" s="8">
        <v>675182</v>
      </c>
      <c r="BI486" s="8">
        <f t="shared" si="255"/>
        <v>7</v>
      </c>
      <c r="BJ486" s="8">
        <f t="shared" si="226"/>
        <v>-300170</v>
      </c>
      <c r="BK486" s="8">
        <f t="shared" si="228"/>
        <v>5555</v>
      </c>
    </row>
    <row r="487" spans="1:63">
      <c r="A487" s="5">
        <v>42276</v>
      </c>
      <c r="B487" s="8">
        <v>449963</v>
      </c>
      <c r="C487" s="8">
        <f t="shared" si="229"/>
        <v>-25584</v>
      </c>
      <c r="D487" s="8">
        <v>64425</v>
      </c>
      <c r="E487" s="8">
        <f t="shared" si="230"/>
        <v>-4028</v>
      </c>
      <c r="F487" s="8">
        <v>67719</v>
      </c>
      <c r="G487" s="8">
        <f t="shared" si="231"/>
        <v>-19530</v>
      </c>
      <c r="H487" s="8">
        <v>-3294</v>
      </c>
      <c r="I487" s="8">
        <f t="shared" si="232"/>
        <v>15502</v>
      </c>
      <c r="J487" s="8">
        <v>197421</v>
      </c>
      <c r="K487" s="8">
        <f t="shared" si="233"/>
        <v>-14952</v>
      </c>
      <c r="L487" s="8">
        <v>210675</v>
      </c>
      <c r="M487" s="8">
        <f t="shared" si="234"/>
        <v>4532</v>
      </c>
      <c r="N487" s="8">
        <v>-13254</v>
      </c>
      <c r="O487" s="8">
        <f t="shared" si="235"/>
        <v>-19484</v>
      </c>
      <c r="P487" s="8">
        <v>115801</v>
      </c>
      <c r="Q487" s="8">
        <f t="shared" si="236"/>
        <v>-14762</v>
      </c>
      <c r="R487" s="8">
        <v>202400</v>
      </c>
      <c r="S487" s="8">
        <f t="shared" si="237"/>
        <v>5079</v>
      </c>
      <c r="T487" s="8">
        <v>-86599</v>
      </c>
      <c r="U487" s="8">
        <f t="shared" si="238"/>
        <v>-19841</v>
      </c>
      <c r="W487" s="8">
        <v>424037</v>
      </c>
      <c r="X487" s="8">
        <f t="shared" si="239"/>
        <v>-20133</v>
      </c>
      <c r="Y487" s="8">
        <v>60564</v>
      </c>
      <c r="Z487" s="8">
        <f t="shared" si="240"/>
        <v>-302</v>
      </c>
      <c r="AA487" s="8">
        <v>40721</v>
      </c>
      <c r="AB487" s="8">
        <f t="shared" si="227"/>
        <v>-1945</v>
      </c>
      <c r="AC487" s="8">
        <v>19843</v>
      </c>
      <c r="AD487" s="8">
        <f t="shared" si="227"/>
        <v>1643</v>
      </c>
      <c r="AE487" s="8">
        <v>178446</v>
      </c>
      <c r="AF487" s="8">
        <f t="shared" si="241"/>
        <v>-8096</v>
      </c>
      <c r="AG487" s="8">
        <v>253902</v>
      </c>
      <c r="AH487" s="8">
        <f t="shared" si="242"/>
        <v>-9085</v>
      </c>
      <c r="AI487" s="8">
        <v>-75456</v>
      </c>
      <c r="AJ487" s="8">
        <f t="shared" si="243"/>
        <v>989</v>
      </c>
      <c r="AK487" s="8">
        <v>112426</v>
      </c>
      <c r="AL487" s="8">
        <f t="shared" si="244"/>
        <v>-4437</v>
      </c>
      <c r="AM487" s="8">
        <v>234914</v>
      </c>
      <c r="AN487" s="8">
        <f t="shared" si="245"/>
        <v>-10506</v>
      </c>
      <c r="AO487" s="8">
        <v>-122488</v>
      </c>
      <c r="AP487" s="8">
        <f t="shared" si="246"/>
        <v>6069</v>
      </c>
      <c r="AR487" s="8">
        <v>1720579</v>
      </c>
      <c r="AS487" s="8">
        <f t="shared" si="247"/>
        <v>-5535</v>
      </c>
      <c r="AT487" s="8">
        <v>251827</v>
      </c>
      <c r="AU487" s="8">
        <f t="shared" si="248"/>
        <v>2204</v>
      </c>
      <c r="AV487" s="8">
        <v>184414</v>
      </c>
      <c r="AW487" s="8">
        <f t="shared" si="249"/>
        <v>1416</v>
      </c>
      <c r="AX487" s="8">
        <f t="shared" si="224"/>
        <v>67413</v>
      </c>
      <c r="AY487" s="8">
        <f t="shared" si="250"/>
        <v>788</v>
      </c>
      <c r="AZ487" s="8">
        <v>737385</v>
      </c>
      <c r="BA487" s="8">
        <f t="shared" si="251"/>
        <v>12261</v>
      </c>
      <c r="BB487" s="8">
        <v>798456</v>
      </c>
      <c r="BC487" s="8">
        <f t="shared" si="252"/>
        <v>20695</v>
      </c>
      <c r="BD487" s="8">
        <f t="shared" si="225"/>
        <v>-61071</v>
      </c>
      <c r="BE487" s="8">
        <f t="shared" si="253"/>
        <v>-8434</v>
      </c>
      <c r="BF487" s="8">
        <v>383209</v>
      </c>
      <c r="BG487" s="8">
        <f t="shared" si="254"/>
        <v>8197</v>
      </c>
      <c r="BH487" s="8">
        <v>696403</v>
      </c>
      <c r="BI487" s="8">
        <f t="shared" si="255"/>
        <v>21221</v>
      </c>
      <c r="BJ487" s="8">
        <f t="shared" si="226"/>
        <v>-313194</v>
      </c>
      <c r="BK487" s="8">
        <f t="shared" si="228"/>
        <v>-13024</v>
      </c>
    </row>
    <row r="488" spans="1:63">
      <c r="A488" s="5">
        <v>42283</v>
      </c>
      <c r="B488" s="8">
        <v>455222</v>
      </c>
      <c r="C488" s="8">
        <f t="shared" si="229"/>
        <v>5259</v>
      </c>
      <c r="D488" s="8">
        <v>67984</v>
      </c>
      <c r="E488" s="8">
        <f t="shared" si="230"/>
        <v>3559</v>
      </c>
      <c r="F488" s="8">
        <v>54680</v>
      </c>
      <c r="G488" s="8">
        <f t="shared" si="231"/>
        <v>-13039</v>
      </c>
      <c r="H488" s="8">
        <v>13304</v>
      </c>
      <c r="I488" s="8">
        <f t="shared" si="232"/>
        <v>16598</v>
      </c>
      <c r="J488" s="8">
        <v>197396</v>
      </c>
      <c r="K488" s="8">
        <f t="shared" si="233"/>
        <v>-25</v>
      </c>
      <c r="L488" s="8">
        <v>230601</v>
      </c>
      <c r="M488" s="8">
        <f t="shared" si="234"/>
        <v>19926</v>
      </c>
      <c r="N488" s="8">
        <v>-33205</v>
      </c>
      <c r="O488" s="8">
        <f t="shared" si="235"/>
        <v>-19951</v>
      </c>
      <c r="P488" s="8">
        <v>113318</v>
      </c>
      <c r="Q488" s="8">
        <f t="shared" si="236"/>
        <v>-2483</v>
      </c>
      <c r="R488" s="8">
        <v>220416</v>
      </c>
      <c r="S488" s="8">
        <f t="shared" si="237"/>
        <v>18016</v>
      </c>
      <c r="T488" s="8">
        <v>-107098</v>
      </c>
      <c r="U488" s="8">
        <f t="shared" si="238"/>
        <v>-20499</v>
      </c>
      <c r="W488" s="8">
        <v>436115</v>
      </c>
      <c r="X488" s="8">
        <f t="shared" si="239"/>
        <v>12078</v>
      </c>
      <c r="Y488" s="8">
        <v>57465</v>
      </c>
      <c r="Z488" s="8">
        <f t="shared" si="240"/>
        <v>-3099</v>
      </c>
      <c r="AA488" s="8">
        <v>37804</v>
      </c>
      <c r="AB488" s="8">
        <f t="shared" si="227"/>
        <v>-2917</v>
      </c>
      <c r="AC488" s="8">
        <v>19661</v>
      </c>
      <c r="AD488" s="8">
        <f t="shared" si="227"/>
        <v>-182</v>
      </c>
      <c r="AE488" s="8">
        <v>181959</v>
      </c>
      <c r="AF488" s="8">
        <f t="shared" si="241"/>
        <v>3513</v>
      </c>
      <c r="AG488" s="8">
        <v>259192</v>
      </c>
      <c r="AH488" s="8">
        <f t="shared" si="242"/>
        <v>5290</v>
      </c>
      <c r="AI488" s="8">
        <v>-77233</v>
      </c>
      <c r="AJ488" s="8">
        <f t="shared" si="243"/>
        <v>-1777</v>
      </c>
      <c r="AK488" s="8">
        <v>113742</v>
      </c>
      <c r="AL488" s="8">
        <f t="shared" si="244"/>
        <v>1316</v>
      </c>
      <c r="AM488" s="8">
        <v>237595</v>
      </c>
      <c r="AN488" s="8">
        <f t="shared" si="245"/>
        <v>2681</v>
      </c>
      <c r="AO488" s="8">
        <v>-123853</v>
      </c>
      <c r="AP488" s="8">
        <f t="shared" si="246"/>
        <v>-1365</v>
      </c>
      <c r="AR488" s="8">
        <v>1734290</v>
      </c>
      <c r="AS488" s="8">
        <f t="shared" si="247"/>
        <v>13711</v>
      </c>
      <c r="AT488" s="8">
        <v>268718</v>
      </c>
      <c r="AU488" s="8">
        <f t="shared" si="248"/>
        <v>16891</v>
      </c>
      <c r="AV488" s="8">
        <v>150989</v>
      </c>
      <c r="AW488" s="8">
        <f t="shared" si="249"/>
        <v>-33425</v>
      </c>
      <c r="AX488" s="8">
        <f t="shared" si="224"/>
        <v>117729</v>
      </c>
      <c r="AY488" s="8">
        <f t="shared" si="250"/>
        <v>50316</v>
      </c>
      <c r="AZ488" s="8">
        <v>743475</v>
      </c>
      <c r="BA488" s="8">
        <f t="shared" si="251"/>
        <v>6090</v>
      </c>
      <c r="BB488" s="8">
        <v>860314</v>
      </c>
      <c r="BC488" s="8">
        <f t="shared" si="252"/>
        <v>61858</v>
      </c>
      <c r="BD488" s="8">
        <f t="shared" si="225"/>
        <v>-116839</v>
      </c>
      <c r="BE488" s="8">
        <f t="shared" si="253"/>
        <v>-55768</v>
      </c>
      <c r="BF488" s="8">
        <v>386488</v>
      </c>
      <c r="BG488" s="8">
        <f t="shared" si="254"/>
        <v>3279</v>
      </c>
      <c r="BH488" s="8">
        <v>749251</v>
      </c>
      <c r="BI488" s="8">
        <f t="shared" si="255"/>
        <v>52848</v>
      </c>
      <c r="BJ488" s="8">
        <f t="shared" si="226"/>
        <v>-362763</v>
      </c>
      <c r="BK488" s="8">
        <f t="shared" si="228"/>
        <v>-49569</v>
      </c>
    </row>
    <row r="489" spans="1:63">
      <c r="A489" s="5">
        <v>42290</v>
      </c>
      <c r="B489" s="8">
        <v>470365</v>
      </c>
      <c r="C489" s="8">
        <f t="shared" si="229"/>
        <v>15143</v>
      </c>
      <c r="D489" s="8">
        <v>68577</v>
      </c>
      <c r="E489" s="8">
        <f t="shared" si="230"/>
        <v>593</v>
      </c>
      <c r="F489" s="8">
        <v>50034</v>
      </c>
      <c r="G489" s="8">
        <f t="shared" si="231"/>
        <v>-4646</v>
      </c>
      <c r="H489" s="8">
        <v>18543</v>
      </c>
      <c r="I489" s="8">
        <f t="shared" si="232"/>
        <v>5239</v>
      </c>
      <c r="J489" s="8">
        <v>206753</v>
      </c>
      <c r="K489" s="8">
        <f t="shared" si="233"/>
        <v>9357</v>
      </c>
      <c r="L489" s="8">
        <v>247238</v>
      </c>
      <c r="M489" s="8">
        <f t="shared" si="234"/>
        <v>16637</v>
      </c>
      <c r="N489" s="8">
        <v>-40485</v>
      </c>
      <c r="O489" s="8">
        <f t="shared" si="235"/>
        <v>-7280</v>
      </c>
      <c r="P489" s="8">
        <v>120392</v>
      </c>
      <c r="Q489" s="8">
        <f t="shared" si="236"/>
        <v>7074</v>
      </c>
      <c r="R489" s="8">
        <v>233859</v>
      </c>
      <c r="S489" s="8">
        <f t="shared" si="237"/>
        <v>13443</v>
      </c>
      <c r="T489" s="8">
        <v>-113467</v>
      </c>
      <c r="U489" s="8">
        <f t="shared" si="238"/>
        <v>-6369</v>
      </c>
      <c r="W489" s="8">
        <v>461441</v>
      </c>
      <c r="X489" s="8">
        <f t="shared" si="239"/>
        <v>25326</v>
      </c>
      <c r="Y489" s="8">
        <v>67758</v>
      </c>
      <c r="Z489" s="8">
        <f t="shared" si="240"/>
        <v>10293</v>
      </c>
      <c r="AA489" s="8">
        <v>37068</v>
      </c>
      <c r="AB489" s="8">
        <f t="shared" si="227"/>
        <v>-736</v>
      </c>
      <c r="AC489" s="8">
        <v>30690</v>
      </c>
      <c r="AD489" s="8">
        <f t="shared" si="227"/>
        <v>11029</v>
      </c>
      <c r="AE489" s="8">
        <v>179404</v>
      </c>
      <c r="AF489" s="8">
        <f t="shared" si="241"/>
        <v>-2555</v>
      </c>
      <c r="AG489" s="8">
        <v>276246</v>
      </c>
      <c r="AH489" s="8">
        <f t="shared" si="242"/>
        <v>17054</v>
      </c>
      <c r="AI489" s="8">
        <v>-96842</v>
      </c>
      <c r="AJ489" s="8">
        <f t="shared" si="243"/>
        <v>-19609</v>
      </c>
      <c r="AK489" s="8">
        <v>113532</v>
      </c>
      <c r="AL489" s="8">
        <f t="shared" si="244"/>
        <v>-210</v>
      </c>
      <c r="AM489" s="8">
        <v>254854</v>
      </c>
      <c r="AN489" s="8">
        <f t="shared" si="245"/>
        <v>17259</v>
      </c>
      <c r="AO489" s="8">
        <v>-141322</v>
      </c>
      <c r="AP489" s="8">
        <f t="shared" si="246"/>
        <v>-17469</v>
      </c>
      <c r="AR489" s="8">
        <v>1698898</v>
      </c>
      <c r="AS489" s="8">
        <f t="shared" si="247"/>
        <v>-35392</v>
      </c>
      <c r="AT489" s="8">
        <v>242931</v>
      </c>
      <c r="AU489" s="8">
        <f t="shared" si="248"/>
        <v>-25787</v>
      </c>
      <c r="AV489" s="8">
        <v>150707</v>
      </c>
      <c r="AW489" s="8">
        <f t="shared" si="249"/>
        <v>-282</v>
      </c>
      <c r="AX489" s="8">
        <f t="shared" si="224"/>
        <v>92224</v>
      </c>
      <c r="AY489" s="8">
        <f t="shared" si="250"/>
        <v>-25505</v>
      </c>
      <c r="AZ489" s="8">
        <v>733304</v>
      </c>
      <c r="BA489" s="8">
        <f t="shared" si="251"/>
        <v>-10171</v>
      </c>
      <c r="BB489" s="8">
        <v>811708</v>
      </c>
      <c r="BC489" s="8">
        <f t="shared" si="252"/>
        <v>-48606</v>
      </c>
      <c r="BD489" s="8">
        <f t="shared" si="225"/>
        <v>-78404</v>
      </c>
      <c r="BE489" s="8">
        <f t="shared" si="253"/>
        <v>38435</v>
      </c>
      <c r="BF489" s="8">
        <v>382733</v>
      </c>
      <c r="BG489" s="8">
        <f t="shared" si="254"/>
        <v>-3755</v>
      </c>
      <c r="BH489" s="8">
        <v>714640</v>
      </c>
      <c r="BI489" s="8">
        <f t="shared" si="255"/>
        <v>-34611</v>
      </c>
      <c r="BJ489" s="8">
        <f t="shared" si="226"/>
        <v>-331907</v>
      </c>
      <c r="BK489" s="8">
        <f t="shared" si="228"/>
        <v>30856</v>
      </c>
    </row>
    <row r="490" spans="1:63">
      <c r="A490" s="5">
        <v>42297</v>
      </c>
      <c r="B490" s="8">
        <v>476935</v>
      </c>
      <c r="C490" s="8">
        <f t="shared" si="229"/>
        <v>6570</v>
      </c>
      <c r="D490" s="8">
        <v>73777</v>
      </c>
      <c r="E490" s="8">
        <f t="shared" si="230"/>
        <v>5200</v>
      </c>
      <c r="F490" s="8">
        <v>48595</v>
      </c>
      <c r="G490" s="8">
        <f t="shared" si="231"/>
        <v>-1439</v>
      </c>
      <c r="H490" s="8">
        <v>25182</v>
      </c>
      <c r="I490" s="8">
        <f t="shared" si="232"/>
        <v>6639</v>
      </c>
      <c r="J490" s="8">
        <v>205566</v>
      </c>
      <c r="K490" s="8">
        <f t="shared" si="233"/>
        <v>-1187</v>
      </c>
      <c r="L490" s="8">
        <v>248039</v>
      </c>
      <c r="M490" s="8">
        <f t="shared" si="234"/>
        <v>801</v>
      </c>
      <c r="N490" s="8">
        <v>-42473</v>
      </c>
      <c r="O490" s="8">
        <f t="shared" si="235"/>
        <v>-1988</v>
      </c>
      <c r="P490" s="8">
        <v>120061</v>
      </c>
      <c r="Q490" s="8">
        <f t="shared" si="236"/>
        <v>-331</v>
      </c>
      <c r="R490" s="8">
        <v>234736</v>
      </c>
      <c r="S490" s="8">
        <f t="shared" si="237"/>
        <v>877</v>
      </c>
      <c r="T490" s="8">
        <v>-114675</v>
      </c>
      <c r="U490" s="8">
        <f t="shared" si="238"/>
        <v>-1208</v>
      </c>
      <c r="W490" s="8">
        <v>473682</v>
      </c>
      <c r="X490" s="8">
        <f t="shared" si="239"/>
        <v>12241</v>
      </c>
      <c r="Y490" s="8">
        <v>65017</v>
      </c>
      <c r="Z490" s="8">
        <f t="shared" si="240"/>
        <v>-2741</v>
      </c>
      <c r="AA490" s="8">
        <v>37762</v>
      </c>
      <c r="AB490" s="8">
        <f t="shared" si="227"/>
        <v>694</v>
      </c>
      <c r="AC490" s="8">
        <v>27255</v>
      </c>
      <c r="AD490" s="8">
        <f t="shared" si="227"/>
        <v>-3435</v>
      </c>
      <c r="AE490" s="8">
        <v>193258</v>
      </c>
      <c r="AF490" s="8">
        <f t="shared" si="241"/>
        <v>13854</v>
      </c>
      <c r="AG490" s="8">
        <v>285031</v>
      </c>
      <c r="AH490" s="8">
        <f t="shared" si="242"/>
        <v>8785</v>
      </c>
      <c r="AI490" s="8">
        <v>-91773</v>
      </c>
      <c r="AJ490" s="8">
        <f t="shared" si="243"/>
        <v>5069</v>
      </c>
      <c r="AK490" s="8">
        <v>125502</v>
      </c>
      <c r="AL490" s="8">
        <f t="shared" si="244"/>
        <v>11970</v>
      </c>
      <c r="AM490" s="8">
        <v>263127</v>
      </c>
      <c r="AN490" s="8">
        <f t="shared" si="245"/>
        <v>8273</v>
      </c>
      <c r="AO490" s="8">
        <v>-137625</v>
      </c>
      <c r="AP490" s="8">
        <f t="shared" si="246"/>
        <v>3697</v>
      </c>
      <c r="AR490" s="8">
        <v>1731746</v>
      </c>
      <c r="AS490" s="8">
        <f t="shared" si="247"/>
        <v>32848</v>
      </c>
      <c r="AT490" s="8">
        <v>223910</v>
      </c>
      <c r="AU490" s="8">
        <f t="shared" si="248"/>
        <v>-19021</v>
      </c>
      <c r="AV490" s="8">
        <v>191077</v>
      </c>
      <c r="AW490" s="8">
        <f t="shared" si="249"/>
        <v>40370</v>
      </c>
      <c r="AX490" s="8">
        <f t="shared" si="224"/>
        <v>32833</v>
      </c>
      <c r="AY490" s="8">
        <f t="shared" si="250"/>
        <v>-59391</v>
      </c>
      <c r="AZ490" s="8">
        <v>754306</v>
      </c>
      <c r="BA490" s="8">
        <f t="shared" si="251"/>
        <v>21002</v>
      </c>
      <c r="BB490" s="8">
        <v>779159</v>
      </c>
      <c r="BC490" s="8">
        <f t="shared" si="252"/>
        <v>-32549</v>
      </c>
      <c r="BD490" s="8">
        <f t="shared" si="225"/>
        <v>-24853</v>
      </c>
      <c r="BE490" s="8">
        <f t="shared" si="253"/>
        <v>53551</v>
      </c>
      <c r="BF490" s="8">
        <v>402377</v>
      </c>
      <c r="BG490" s="8">
        <f t="shared" si="254"/>
        <v>19644</v>
      </c>
      <c r="BH490" s="8">
        <v>687331</v>
      </c>
      <c r="BI490" s="8">
        <f t="shared" si="255"/>
        <v>-27309</v>
      </c>
      <c r="BJ490" s="8">
        <f t="shared" si="226"/>
        <v>-284954</v>
      </c>
      <c r="BK490" s="8">
        <f t="shared" si="228"/>
        <v>46953</v>
      </c>
    </row>
    <row r="491" spans="1:63">
      <c r="A491" s="5">
        <v>42304</v>
      </c>
      <c r="B491" s="8">
        <v>484197</v>
      </c>
      <c r="C491" s="8">
        <f t="shared" si="229"/>
        <v>7262</v>
      </c>
      <c r="D491" s="8">
        <v>68866</v>
      </c>
      <c r="E491" s="8">
        <f t="shared" si="230"/>
        <v>-4911</v>
      </c>
      <c r="F491" s="8">
        <v>48360</v>
      </c>
      <c r="G491" s="8">
        <f t="shared" si="231"/>
        <v>-235</v>
      </c>
      <c r="H491" s="8">
        <v>20506</v>
      </c>
      <c r="I491" s="8">
        <f t="shared" si="232"/>
        <v>-4676</v>
      </c>
      <c r="J491" s="8">
        <v>204695</v>
      </c>
      <c r="K491" s="8">
        <f t="shared" si="233"/>
        <v>-871</v>
      </c>
      <c r="L491" s="8">
        <v>243221</v>
      </c>
      <c r="M491" s="8">
        <f t="shared" si="234"/>
        <v>-4818</v>
      </c>
      <c r="N491" s="8">
        <v>-38526</v>
      </c>
      <c r="O491" s="8">
        <f t="shared" si="235"/>
        <v>3947</v>
      </c>
      <c r="P491" s="8">
        <v>117734</v>
      </c>
      <c r="Q491" s="8">
        <f t="shared" si="236"/>
        <v>-2327</v>
      </c>
      <c r="R491" s="8">
        <v>228427</v>
      </c>
      <c r="S491" s="8">
        <f t="shared" si="237"/>
        <v>-6309</v>
      </c>
      <c r="T491" s="8">
        <v>-110693</v>
      </c>
      <c r="U491" s="8">
        <f t="shared" si="238"/>
        <v>3982</v>
      </c>
      <c r="W491" s="8">
        <v>464361</v>
      </c>
      <c r="X491" s="8">
        <f t="shared" si="239"/>
        <v>-9321</v>
      </c>
      <c r="Y491" s="8">
        <v>52431</v>
      </c>
      <c r="Z491" s="8">
        <f t="shared" si="240"/>
        <v>-12586</v>
      </c>
      <c r="AA491" s="8">
        <v>44043</v>
      </c>
      <c r="AB491" s="8">
        <f t="shared" si="227"/>
        <v>6281</v>
      </c>
      <c r="AC491" s="8">
        <v>8388</v>
      </c>
      <c r="AD491" s="8">
        <f t="shared" si="227"/>
        <v>-18867</v>
      </c>
      <c r="AE491" s="8">
        <v>207362</v>
      </c>
      <c r="AF491" s="8">
        <f t="shared" si="241"/>
        <v>14104</v>
      </c>
      <c r="AG491" s="8">
        <v>275988</v>
      </c>
      <c r="AH491" s="8">
        <f t="shared" si="242"/>
        <v>-9043</v>
      </c>
      <c r="AI491" s="8">
        <v>-68626</v>
      </c>
      <c r="AJ491" s="8">
        <f t="shared" si="243"/>
        <v>23147</v>
      </c>
      <c r="AK491" s="8">
        <v>139481</v>
      </c>
      <c r="AL491" s="8">
        <f t="shared" si="244"/>
        <v>13979</v>
      </c>
      <c r="AM491" s="8">
        <v>252459</v>
      </c>
      <c r="AN491" s="8">
        <f t="shared" si="245"/>
        <v>-10668</v>
      </c>
      <c r="AO491" s="8">
        <v>-112978</v>
      </c>
      <c r="AP491" s="8">
        <f t="shared" si="246"/>
        <v>24647</v>
      </c>
      <c r="AR491" s="8">
        <v>1699940</v>
      </c>
      <c r="AS491" s="8">
        <f t="shared" si="247"/>
        <v>-31806</v>
      </c>
      <c r="AT491" s="8">
        <v>225978</v>
      </c>
      <c r="AU491" s="8">
        <f t="shared" si="248"/>
        <v>2068</v>
      </c>
      <c r="AV491" s="8">
        <v>192378</v>
      </c>
      <c r="AW491" s="8">
        <f t="shared" si="249"/>
        <v>1301</v>
      </c>
      <c r="AX491" s="8">
        <f t="shared" si="224"/>
        <v>33600</v>
      </c>
      <c r="AY491" s="8">
        <f t="shared" si="250"/>
        <v>767</v>
      </c>
      <c r="AZ491" s="8">
        <v>744367</v>
      </c>
      <c r="BA491" s="8">
        <f t="shared" si="251"/>
        <v>-9939</v>
      </c>
      <c r="BB491" s="8">
        <v>783232</v>
      </c>
      <c r="BC491" s="8">
        <f t="shared" si="252"/>
        <v>4073</v>
      </c>
      <c r="BD491" s="8">
        <f t="shared" si="225"/>
        <v>-38865</v>
      </c>
      <c r="BE491" s="8">
        <f t="shared" si="253"/>
        <v>-14012</v>
      </c>
      <c r="BF491" s="8">
        <v>391133</v>
      </c>
      <c r="BG491" s="8">
        <f t="shared" si="254"/>
        <v>-11244</v>
      </c>
      <c r="BH491" s="8">
        <v>688550</v>
      </c>
      <c r="BI491" s="8">
        <f t="shared" si="255"/>
        <v>1219</v>
      </c>
      <c r="BJ491" s="8">
        <f t="shared" si="226"/>
        <v>-297417</v>
      </c>
      <c r="BK491" s="8">
        <f t="shared" si="228"/>
        <v>-12463</v>
      </c>
    </row>
    <row r="492" spans="1:63">
      <c r="A492" s="5">
        <v>42311</v>
      </c>
      <c r="B492" s="8">
        <v>503883</v>
      </c>
      <c r="C492" s="8">
        <f t="shared" si="229"/>
        <v>19686</v>
      </c>
      <c r="D492" s="8">
        <v>63963</v>
      </c>
      <c r="E492" s="8">
        <f t="shared" si="230"/>
        <v>-4903</v>
      </c>
      <c r="F492" s="8">
        <v>50325</v>
      </c>
      <c r="G492" s="8">
        <f t="shared" si="231"/>
        <v>1965</v>
      </c>
      <c r="H492" s="8">
        <v>13638</v>
      </c>
      <c r="I492" s="8">
        <f t="shared" si="232"/>
        <v>-6868</v>
      </c>
      <c r="J492" s="8">
        <v>217814</v>
      </c>
      <c r="K492" s="8">
        <f t="shared" si="233"/>
        <v>13119</v>
      </c>
      <c r="L492" s="8">
        <v>250157</v>
      </c>
      <c r="M492" s="8">
        <f t="shared" si="234"/>
        <v>6936</v>
      </c>
      <c r="N492" s="8">
        <v>-32343</v>
      </c>
      <c r="O492" s="8">
        <f t="shared" si="235"/>
        <v>6183</v>
      </c>
      <c r="P492" s="8">
        <v>128472</v>
      </c>
      <c r="Q492" s="8">
        <f t="shared" si="236"/>
        <v>10738</v>
      </c>
      <c r="R492" s="8">
        <v>233441</v>
      </c>
      <c r="S492" s="8">
        <f t="shared" si="237"/>
        <v>5014</v>
      </c>
      <c r="T492" s="8">
        <v>-104969</v>
      </c>
      <c r="U492" s="8">
        <f t="shared" si="238"/>
        <v>5724</v>
      </c>
      <c r="W492" s="8">
        <v>471925</v>
      </c>
      <c r="X492" s="8">
        <f t="shared" si="239"/>
        <v>7564</v>
      </c>
      <c r="Y492" s="8">
        <v>51302</v>
      </c>
      <c r="Z492" s="8">
        <f t="shared" si="240"/>
        <v>-1129</v>
      </c>
      <c r="AA492" s="8">
        <v>50257</v>
      </c>
      <c r="AB492" s="8">
        <f t="shared" si="227"/>
        <v>6214</v>
      </c>
      <c r="AC492" s="8">
        <v>1045</v>
      </c>
      <c r="AD492" s="8">
        <f t="shared" si="227"/>
        <v>-7343</v>
      </c>
      <c r="AE492" s="8">
        <v>217173</v>
      </c>
      <c r="AF492" s="8">
        <f t="shared" si="241"/>
        <v>9811</v>
      </c>
      <c r="AG492" s="8">
        <v>270619</v>
      </c>
      <c r="AH492" s="8">
        <f t="shared" si="242"/>
        <v>-5369</v>
      </c>
      <c r="AI492" s="8">
        <v>-53446</v>
      </c>
      <c r="AJ492" s="8">
        <f t="shared" si="243"/>
        <v>15180</v>
      </c>
      <c r="AK492" s="8">
        <v>148724</v>
      </c>
      <c r="AL492" s="8">
        <f t="shared" si="244"/>
        <v>9243</v>
      </c>
      <c r="AM492" s="8">
        <v>245834</v>
      </c>
      <c r="AN492" s="8">
        <f t="shared" si="245"/>
        <v>-6625</v>
      </c>
      <c r="AO492" s="8">
        <v>-97110</v>
      </c>
      <c r="AP492" s="8">
        <f t="shared" si="246"/>
        <v>15868</v>
      </c>
      <c r="AR492" s="8">
        <v>1742154</v>
      </c>
      <c r="AS492" s="8">
        <f t="shared" si="247"/>
        <v>42214</v>
      </c>
      <c r="AT492" s="8">
        <v>218405</v>
      </c>
      <c r="AU492" s="8">
        <f t="shared" si="248"/>
        <v>-7573</v>
      </c>
      <c r="AV492" s="8">
        <v>193640</v>
      </c>
      <c r="AW492" s="8">
        <f t="shared" si="249"/>
        <v>1262</v>
      </c>
      <c r="AX492" s="8">
        <f t="shared" si="224"/>
        <v>24765</v>
      </c>
      <c r="AY492" s="8">
        <f t="shared" si="250"/>
        <v>-8835</v>
      </c>
      <c r="AZ492" s="8">
        <v>757020</v>
      </c>
      <c r="BA492" s="8">
        <f t="shared" si="251"/>
        <v>12653</v>
      </c>
      <c r="BB492" s="8">
        <v>795008</v>
      </c>
      <c r="BC492" s="8">
        <f t="shared" si="252"/>
        <v>11776</v>
      </c>
      <c r="BD492" s="8">
        <f t="shared" si="225"/>
        <v>-37988</v>
      </c>
      <c r="BE492" s="8">
        <f t="shared" si="253"/>
        <v>877</v>
      </c>
      <c r="BF492" s="8">
        <v>404864</v>
      </c>
      <c r="BG492" s="8">
        <f t="shared" si="254"/>
        <v>13731</v>
      </c>
      <c r="BH492" s="8">
        <v>704374</v>
      </c>
      <c r="BI492" s="8">
        <f t="shared" si="255"/>
        <v>15824</v>
      </c>
      <c r="BJ492" s="8">
        <f t="shared" si="226"/>
        <v>-299510</v>
      </c>
      <c r="BK492" s="8">
        <f t="shared" si="228"/>
        <v>-2093</v>
      </c>
    </row>
    <row r="493" spans="1:63">
      <c r="A493" s="5">
        <v>42318</v>
      </c>
      <c r="B493" s="8">
        <v>517952</v>
      </c>
      <c r="C493" s="8">
        <f t="shared" si="229"/>
        <v>14069</v>
      </c>
      <c r="D493" s="8">
        <v>63914</v>
      </c>
      <c r="E493" s="8">
        <f t="shared" si="230"/>
        <v>-49</v>
      </c>
      <c r="F493" s="8">
        <v>63299</v>
      </c>
      <c r="G493" s="8">
        <f t="shared" si="231"/>
        <v>12974</v>
      </c>
      <c r="H493" s="8">
        <v>615</v>
      </c>
      <c r="I493" s="8">
        <f t="shared" si="232"/>
        <v>-13023</v>
      </c>
      <c r="J493" s="8">
        <v>226792</v>
      </c>
      <c r="K493" s="8">
        <f t="shared" si="233"/>
        <v>8978</v>
      </c>
      <c r="L493" s="8">
        <v>241938</v>
      </c>
      <c r="M493" s="8">
        <f t="shared" si="234"/>
        <v>-8219</v>
      </c>
      <c r="N493" s="8">
        <v>-15146</v>
      </c>
      <c r="O493" s="8">
        <f t="shared" si="235"/>
        <v>17197</v>
      </c>
      <c r="P493" s="8">
        <v>141479</v>
      </c>
      <c r="Q493" s="8">
        <f t="shared" si="236"/>
        <v>13007</v>
      </c>
      <c r="R493" s="8">
        <v>229119</v>
      </c>
      <c r="S493" s="8">
        <f t="shared" si="237"/>
        <v>-4322</v>
      </c>
      <c r="T493" s="8">
        <v>-87640</v>
      </c>
      <c r="U493" s="8">
        <f t="shared" si="238"/>
        <v>17329</v>
      </c>
      <c r="W493" s="8">
        <v>488379</v>
      </c>
      <c r="X493" s="8">
        <f t="shared" si="239"/>
        <v>16454</v>
      </c>
      <c r="Y493" s="8">
        <v>53897</v>
      </c>
      <c r="Z493" s="8">
        <f t="shared" si="240"/>
        <v>2595</v>
      </c>
      <c r="AA493" s="8">
        <v>59256</v>
      </c>
      <c r="AB493" s="8">
        <f t="shared" si="227"/>
        <v>8999</v>
      </c>
      <c r="AC493" s="8">
        <v>-5359</v>
      </c>
      <c r="AD493" s="8">
        <f t="shared" si="227"/>
        <v>-6404</v>
      </c>
      <c r="AE493" s="8">
        <v>225935</v>
      </c>
      <c r="AF493" s="8">
        <f t="shared" si="241"/>
        <v>8762</v>
      </c>
      <c r="AG493" s="8">
        <v>264490</v>
      </c>
      <c r="AH493" s="8">
        <f t="shared" si="242"/>
        <v>-6129</v>
      </c>
      <c r="AI493" s="8">
        <v>-38555</v>
      </c>
      <c r="AJ493" s="8">
        <f t="shared" si="243"/>
        <v>14891</v>
      </c>
      <c r="AK493" s="8">
        <v>157819</v>
      </c>
      <c r="AL493" s="8">
        <f t="shared" si="244"/>
        <v>9095</v>
      </c>
      <c r="AM493" s="8">
        <v>237850</v>
      </c>
      <c r="AN493" s="8">
        <f t="shared" si="245"/>
        <v>-7984</v>
      </c>
      <c r="AO493" s="8">
        <v>-80031</v>
      </c>
      <c r="AP493" s="8">
        <f t="shared" si="246"/>
        <v>17079</v>
      </c>
      <c r="AR493" s="8">
        <v>1841342</v>
      </c>
      <c r="AS493" s="8">
        <f t="shared" si="247"/>
        <v>99188</v>
      </c>
      <c r="AT493" s="8">
        <v>187511</v>
      </c>
      <c r="AU493" s="8">
        <f t="shared" si="248"/>
        <v>-30894</v>
      </c>
      <c r="AV493" s="8">
        <v>245915</v>
      </c>
      <c r="AW493" s="8">
        <f t="shared" si="249"/>
        <v>52275</v>
      </c>
      <c r="AX493" s="8">
        <f t="shared" si="224"/>
        <v>-58404</v>
      </c>
      <c r="AY493" s="8">
        <f t="shared" si="250"/>
        <v>-83169</v>
      </c>
      <c r="AZ493" s="8">
        <v>796943</v>
      </c>
      <c r="BA493" s="8">
        <f t="shared" si="251"/>
        <v>39923</v>
      </c>
      <c r="BB493" s="8">
        <v>751914</v>
      </c>
      <c r="BC493" s="8">
        <f t="shared" si="252"/>
        <v>-43094</v>
      </c>
      <c r="BD493" s="8">
        <f t="shared" si="225"/>
        <v>45029</v>
      </c>
      <c r="BE493" s="8">
        <f t="shared" si="253"/>
        <v>83017</v>
      </c>
      <c r="BF493" s="8">
        <v>457070</v>
      </c>
      <c r="BG493" s="8">
        <f t="shared" si="254"/>
        <v>52206</v>
      </c>
      <c r="BH493" s="8">
        <v>677003</v>
      </c>
      <c r="BI493" s="8">
        <f t="shared" si="255"/>
        <v>-27371</v>
      </c>
      <c r="BJ493" s="8">
        <f t="shared" si="226"/>
        <v>-219933</v>
      </c>
      <c r="BK493" s="8">
        <f t="shared" si="228"/>
        <v>79577</v>
      </c>
    </row>
    <row r="494" spans="1:63">
      <c r="A494" s="5">
        <v>42325</v>
      </c>
      <c r="B494" s="8">
        <v>515991</v>
      </c>
      <c r="C494" s="8">
        <f t="shared" si="229"/>
        <v>-1961</v>
      </c>
      <c r="D494" s="8">
        <v>67040</v>
      </c>
      <c r="E494" s="8">
        <f t="shared" si="230"/>
        <v>3126</v>
      </c>
      <c r="F494" s="8">
        <v>63946</v>
      </c>
      <c r="G494" s="8">
        <f t="shared" si="231"/>
        <v>647</v>
      </c>
      <c r="H494" s="8">
        <v>3094</v>
      </c>
      <c r="I494" s="8">
        <f t="shared" si="232"/>
        <v>2479</v>
      </c>
      <c r="J494" s="8">
        <v>225522</v>
      </c>
      <c r="K494" s="8">
        <f t="shared" si="233"/>
        <v>-1270</v>
      </c>
      <c r="L494" s="8">
        <v>240790</v>
      </c>
      <c r="M494" s="8">
        <f t="shared" si="234"/>
        <v>-1148</v>
      </c>
      <c r="N494" s="8">
        <v>-15268</v>
      </c>
      <c r="O494" s="8">
        <f t="shared" si="235"/>
        <v>-122</v>
      </c>
      <c r="P494" s="8">
        <v>142099</v>
      </c>
      <c r="Q494" s="8">
        <f t="shared" si="236"/>
        <v>620</v>
      </c>
      <c r="R494" s="8">
        <v>228685</v>
      </c>
      <c r="S494" s="8">
        <f t="shared" si="237"/>
        <v>-434</v>
      </c>
      <c r="T494" s="8">
        <v>-86586</v>
      </c>
      <c r="U494" s="8">
        <f t="shared" si="238"/>
        <v>1054</v>
      </c>
      <c r="W494" s="8">
        <v>494600</v>
      </c>
      <c r="X494" s="8">
        <f t="shared" si="239"/>
        <v>6221</v>
      </c>
      <c r="Y494" s="8">
        <v>50793</v>
      </c>
      <c r="Z494" s="8">
        <f t="shared" si="240"/>
        <v>-3104</v>
      </c>
      <c r="AA494" s="8">
        <v>65474</v>
      </c>
      <c r="AB494" s="8">
        <f t="shared" si="227"/>
        <v>6218</v>
      </c>
      <c r="AC494" s="8">
        <v>-14681</v>
      </c>
      <c r="AD494" s="8">
        <f t="shared" si="227"/>
        <v>-9322</v>
      </c>
      <c r="AE494" s="8">
        <v>236082</v>
      </c>
      <c r="AF494" s="8">
        <f t="shared" si="241"/>
        <v>10147</v>
      </c>
      <c r="AG494" s="8">
        <v>253197</v>
      </c>
      <c r="AH494" s="8">
        <f t="shared" si="242"/>
        <v>-11293</v>
      </c>
      <c r="AI494" s="8">
        <v>-17115</v>
      </c>
      <c r="AJ494" s="8">
        <f t="shared" si="243"/>
        <v>21440</v>
      </c>
      <c r="AK494" s="8">
        <v>165115</v>
      </c>
      <c r="AL494" s="8">
        <f t="shared" si="244"/>
        <v>7296</v>
      </c>
      <c r="AM494" s="8">
        <v>224107</v>
      </c>
      <c r="AN494" s="8">
        <f t="shared" si="245"/>
        <v>-13743</v>
      </c>
      <c r="AO494" s="8">
        <v>-58992</v>
      </c>
      <c r="AP494" s="8">
        <f t="shared" si="246"/>
        <v>21039</v>
      </c>
      <c r="AR494" s="8">
        <v>1835757</v>
      </c>
      <c r="AS494" s="8">
        <f t="shared" si="247"/>
        <v>-5585</v>
      </c>
      <c r="AT494" s="8">
        <v>172377</v>
      </c>
      <c r="AU494" s="8">
        <f t="shared" si="248"/>
        <v>-15134</v>
      </c>
      <c r="AV494" s="8">
        <v>257040</v>
      </c>
      <c r="AW494" s="8">
        <f t="shared" si="249"/>
        <v>11125</v>
      </c>
      <c r="AX494" s="8">
        <f t="shared" si="224"/>
        <v>-84663</v>
      </c>
      <c r="AY494" s="8">
        <f t="shared" si="250"/>
        <v>-26259</v>
      </c>
      <c r="AZ494" s="8">
        <v>807606</v>
      </c>
      <c r="BA494" s="8">
        <f t="shared" si="251"/>
        <v>10663</v>
      </c>
      <c r="BB494" s="8">
        <v>739408</v>
      </c>
      <c r="BC494" s="8">
        <f t="shared" si="252"/>
        <v>-12506</v>
      </c>
      <c r="BD494" s="8">
        <f t="shared" si="225"/>
        <v>68198</v>
      </c>
      <c r="BE494" s="8">
        <f t="shared" si="253"/>
        <v>23169</v>
      </c>
      <c r="BF494" s="8">
        <v>466028</v>
      </c>
      <c r="BG494" s="8">
        <f t="shared" si="254"/>
        <v>8958</v>
      </c>
      <c r="BH494" s="8">
        <v>663777</v>
      </c>
      <c r="BI494" s="8">
        <f t="shared" si="255"/>
        <v>-13226</v>
      </c>
      <c r="BJ494" s="8">
        <f t="shared" si="226"/>
        <v>-197749</v>
      </c>
      <c r="BK494" s="8">
        <f t="shared" si="228"/>
        <v>22184</v>
      </c>
    </row>
    <row r="495" spans="1:63">
      <c r="A495" s="5">
        <v>42332</v>
      </c>
      <c r="B495" s="8">
        <v>476706</v>
      </c>
      <c r="C495" s="8">
        <f t="shared" si="229"/>
        <v>-39285</v>
      </c>
      <c r="D495" s="8">
        <v>72024</v>
      </c>
      <c r="E495" s="8">
        <f t="shared" si="230"/>
        <v>4984</v>
      </c>
      <c r="F495" s="8">
        <v>50489</v>
      </c>
      <c r="G495" s="8">
        <f t="shared" si="231"/>
        <v>-13457</v>
      </c>
      <c r="H495" s="8">
        <v>21535</v>
      </c>
      <c r="I495" s="8">
        <f t="shared" si="232"/>
        <v>18441</v>
      </c>
      <c r="J495" s="8">
        <v>203678</v>
      </c>
      <c r="K495" s="8">
        <f t="shared" si="233"/>
        <v>-21844</v>
      </c>
      <c r="L495" s="8">
        <v>243823</v>
      </c>
      <c r="M495" s="8">
        <f t="shared" si="234"/>
        <v>3033</v>
      </c>
      <c r="N495" s="8">
        <v>-40145</v>
      </c>
      <c r="O495" s="8">
        <f t="shared" si="235"/>
        <v>-24877</v>
      </c>
      <c r="P495" s="8">
        <v>122365</v>
      </c>
      <c r="Q495" s="8">
        <f t="shared" si="236"/>
        <v>-19734</v>
      </c>
      <c r="R495" s="8">
        <v>234319</v>
      </c>
      <c r="S495" s="8">
        <f t="shared" si="237"/>
        <v>5634</v>
      </c>
      <c r="T495" s="8">
        <v>-111954</v>
      </c>
      <c r="U495" s="8">
        <f t="shared" si="238"/>
        <v>-25368</v>
      </c>
      <c r="W495" s="8">
        <v>472852</v>
      </c>
      <c r="X495" s="8">
        <f t="shared" si="239"/>
        <v>-21748</v>
      </c>
      <c r="Y495" s="8">
        <v>48012</v>
      </c>
      <c r="Z495" s="8">
        <f t="shared" si="240"/>
        <v>-2781</v>
      </c>
      <c r="AA495" s="8">
        <v>72278</v>
      </c>
      <c r="AB495" s="8">
        <f t="shared" si="227"/>
        <v>6804</v>
      </c>
      <c r="AC495" s="8">
        <v>-24266</v>
      </c>
      <c r="AD495" s="8">
        <f t="shared" si="227"/>
        <v>-9585</v>
      </c>
      <c r="AE495" s="8">
        <v>231798</v>
      </c>
      <c r="AF495" s="8">
        <f t="shared" si="241"/>
        <v>-4284</v>
      </c>
      <c r="AG495" s="8">
        <v>229822</v>
      </c>
      <c r="AH495" s="8">
        <f t="shared" si="242"/>
        <v>-23375</v>
      </c>
      <c r="AI495" s="8">
        <v>1976</v>
      </c>
      <c r="AJ495" s="8">
        <f t="shared" si="243"/>
        <v>19091</v>
      </c>
      <c r="AK495" s="8">
        <v>164361</v>
      </c>
      <c r="AL495" s="8">
        <f t="shared" si="244"/>
        <v>-754</v>
      </c>
      <c r="AM495" s="8">
        <v>205498</v>
      </c>
      <c r="AN495" s="8">
        <f t="shared" si="245"/>
        <v>-18609</v>
      </c>
      <c r="AO495" s="8">
        <v>-41137</v>
      </c>
      <c r="AP495" s="8">
        <f t="shared" si="246"/>
        <v>17855</v>
      </c>
      <c r="AR495" s="8">
        <v>1569546</v>
      </c>
      <c r="AS495" s="8">
        <f t="shared" si="247"/>
        <v>-266211</v>
      </c>
      <c r="AT495" s="8">
        <v>164118</v>
      </c>
      <c r="AU495" s="8">
        <f t="shared" si="248"/>
        <v>-8259</v>
      </c>
      <c r="AV495" s="8">
        <v>263926</v>
      </c>
      <c r="AW495" s="8">
        <f t="shared" si="249"/>
        <v>6886</v>
      </c>
      <c r="AX495" s="8">
        <f t="shared" si="224"/>
        <v>-99808</v>
      </c>
      <c r="AY495" s="8">
        <f t="shared" si="250"/>
        <v>-15145</v>
      </c>
      <c r="AZ495" s="8">
        <v>718753</v>
      </c>
      <c r="BA495" s="8">
        <f t="shared" si="251"/>
        <v>-88853</v>
      </c>
      <c r="BB495" s="8">
        <v>654777</v>
      </c>
      <c r="BC495" s="8">
        <f t="shared" si="252"/>
        <v>-84631</v>
      </c>
      <c r="BD495" s="8">
        <f t="shared" si="225"/>
        <v>63976</v>
      </c>
      <c r="BE495" s="8">
        <f t="shared" si="253"/>
        <v>-4222</v>
      </c>
      <c r="BF495" s="8">
        <v>401493</v>
      </c>
      <c r="BG495" s="8">
        <f t="shared" si="254"/>
        <v>-64535</v>
      </c>
      <c r="BH495" s="8">
        <v>593963</v>
      </c>
      <c r="BI495" s="8">
        <f t="shared" si="255"/>
        <v>-69814</v>
      </c>
      <c r="BJ495" s="8">
        <f t="shared" si="226"/>
        <v>-192470</v>
      </c>
      <c r="BK495" s="8">
        <f t="shared" si="228"/>
        <v>5279</v>
      </c>
    </row>
    <row r="496" spans="1:63">
      <c r="A496" s="5">
        <v>42339</v>
      </c>
      <c r="B496" s="8">
        <v>479984</v>
      </c>
      <c r="C496" s="8">
        <f t="shared" si="229"/>
        <v>3278</v>
      </c>
      <c r="D496" s="8">
        <v>75770</v>
      </c>
      <c r="E496" s="8">
        <f t="shared" si="230"/>
        <v>3746</v>
      </c>
      <c r="F496" s="8">
        <v>35232</v>
      </c>
      <c r="G496" s="8">
        <f t="shared" si="231"/>
        <v>-15257</v>
      </c>
      <c r="H496" s="8">
        <v>40538</v>
      </c>
      <c r="I496" s="8">
        <f t="shared" si="232"/>
        <v>19003</v>
      </c>
      <c r="J496" s="8">
        <v>199976</v>
      </c>
      <c r="K496" s="8">
        <f t="shared" si="233"/>
        <v>-3702</v>
      </c>
      <c r="L496" s="8">
        <v>264096</v>
      </c>
      <c r="M496" s="8">
        <f t="shared" si="234"/>
        <v>20273</v>
      </c>
      <c r="N496" s="8">
        <v>-64120</v>
      </c>
      <c r="O496" s="8">
        <f t="shared" si="235"/>
        <v>-23975</v>
      </c>
      <c r="P496" s="8">
        <v>116374</v>
      </c>
      <c r="Q496" s="8">
        <f t="shared" si="236"/>
        <v>-5991</v>
      </c>
      <c r="R496" s="8">
        <v>251646</v>
      </c>
      <c r="S496" s="8">
        <f t="shared" si="237"/>
        <v>17327</v>
      </c>
      <c r="T496" s="8">
        <v>-135272</v>
      </c>
      <c r="U496" s="8">
        <f t="shared" si="238"/>
        <v>-23318</v>
      </c>
      <c r="W496" s="8">
        <v>467557</v>
      </c>
      <c r="X496" s="8">
        <f t="shared" si="239"/>
        <v>-5295</v>
      </c>
      <c r="Y496" s="8">
        <v>51113</v>
      </c>
      <c r="Z496" s="8">
        <f t="shared" si="240"/>
        <v>3101</v>
      </c>
      <c r="AA496" s="8">
        <v>73426</v>
      </c>
      <c r="AB496" s="8">
        <f t="shared" si="227"/>
        <v>1148</v>
      </c>
      <c r="AC496" s="8">
        <v>-22313</v>
      </c>
      <c r="AD496" s="8">
        <f t="shared" si="227"/>
        <v>1953</v>
      </c>
      <c r="AE496" s="8">
        <v>230374</v>
      </c>
      <c r="AF496" s="8">
        <f t="shared" si="241"/>
        <v>-1424</v>
      </c>
      <c r="AG496" s="8">
        <v>230048</v>
      </c>
      <c r="AH496" s="8">
        <f t="shared" si="242"/>
        <v>226</v>
      </c>
      <c r="AI496" s="8">
        <v>326</v>
      </c>
      <c r="AJ496" s="8">
        <f t="shared" si="243"/>
        <v>-1650</v>
      </c>
      <c r="AK496" s="8">
        <v>164211</v>
      </c>
      <c r="AL496" s="8">
        <f t="shared" si="244"/>
        <v>-150</v>
      </c>
      <c r="AM496" s="8">
        <v>208865</v>
      </c>
      <c r="AN496" s="8">
        <f t="shared" si="245"/>
        <v>3367</v>
      </c>
      <c r="AO496" s="8">
        <v>-44654</v>
      </c>
      <c r="AP496" s="8">
        <f t="shared" si="246"/>
        <v>-3517</v>
      </c>
      <c r="AR496" s="8">
        <v>1564356</v>
      </c>
      <c r="AS496" s="8">
        <f t="shared" si="247"/>
        <v>-5190</v>
      </c>
      <c r="AT496" s="8">
        <v>175087</v>
      </c>
      <c r="AU496" s="8">
        <f t="shared" si="248"/>
        <v>10969</v>
      </c>
      <c r="AV496" s="8">
        <v>253227</v>
      </c>
      <c r="AW496" s="8">
        <f t="shared" si="249"/>
        <v>-10699</v>
      </c>
      <c r="AX496" s="8">
        <f t="shared" si="224"/>
        <v>-78140</v>
      </c>
      <c r="AY496" s="8">
        <f t="shared" si="250"/>
        <v>21668</v>
      </c>
      <c r="AZ496" s="8">
        <v>716539</v>
      </c>
      <c r="BA496" s="8">
        <f t="shared" si="251"/>
        <v>-2214</v>
      </c>
      <c r="BB496" s="8">
        <v>674846</v>
      </c>
      <c r="BC496" s="8">
        <f t="shared" si="252"/>
        <v>20069</v>
      </c>
      <c r="BD496" s="8">
        <f t="shared" si="225"/>
        <v>41693</v>
      </c>
      <c r="BE496" s="8">
        <f t="shared" si="253"/>
        <v>-22283</v>
      </c>
      <c r="BF496" s="8">
        <v>357634</v>
      </c>
      <c r="BG496" s="8">
        <f t="shared" si="254"/>
        <v>-43859</v>
      </c>
      <c r="BH496" s="8">
        <v>613948</v>
      </c>
      <c r="BI496" s="8">
        <f t="shared" si="255"/>
        <v>19985</v>
      </c>
      <c r="BJ496" s="8">
        <f t="shared" si="226"/>
        <v>-256314</v>
      </c>
      <c r="BK496" s="8">
        <f t="shared" si="228"/>
        <v>-63844</v>
      </c>
    </row>
    <row r="497" spans="1:63">
      <c r="A497" s="5">
        <v>42346</v>
      </c>
      <c r="B497" s="8">
        <v>474295</v>
      </c>
      <c r="C497" s="8">
        <f t="shared" si="229"/>
        <v>-5689</v>
      </c>
      <c r="D497" s="8">
        <v>75521</v>
      </c>
      <c r="E497" s="8">
        <f t="shared" si="230"/>
        <v>-249</v>
      </c>
      <c r="F497" s="8">
        <v>13055</v>
      </c>
      <c r="G497" s="8">
        <f t="shared" si="231"/>
        <v>-22177</v>
      </c>
      <c r="H497" s="8">
        <v>62466</v>
      </c>
      <c r="I497" s="8">
        <f t="shared" si="232"/>
        <v>21928</v>
      </c>
      <c r="J497" s="8">
        <v>187031</v>
      </c>
      <c r="K497" s="8">
        <f t="shared" si="233"/>
        <v>-12945</v>
      </c>
      <c r="L497" s="8">
        <v>286284</v>
      </c>
      <c r="M497" s="8">
        <f t="shared" si="234"/>
        <v>22188</v>
      </c>
      <c r="N497" s="8">
        <v>-99253</v>
      </c>
      <c r="O497" s="8">
        <f t="shared" si="235"/>
        <v>-35133</v>
      </c>
      <c r="P497" s="8">
        <v>104328</v>
      </c>
      <c r="Q497" s="8">
        <f t="shared" si="236"/>
        <v>-12046</v>
      </c>
      <c r="R497" s="8">
        <v>272721</v>
      </c>
      <c r="S497" s="8">
        <f t="shared" si="237"/>
        <v>21075</v>
      </c>
      <c r="T497" s="8">
        <v>-168393</v>
      </c>
      <c r="U497" s="8">
        <f t="shared" si="238"/>
        <v>-33121</v>
      </c>
      <c r="W497" s="8">
        <v>477281</v>
      </c>
      <c r="X497" s="8">
        <f t="shared" si="239"/>
        <v>9724</v>
      </c>
      <c r="Y497" s="8">
        <v>48939</v>
      </c>
      <c r="Z497" s="8">
        <f t="shared" si="240"/>
        <v>-2174</v>
      </c>
      <c r="AA497" s="8">
        <v>70712</v>
      </c>
      <c r="AB497" s="8">
        <f t="shared" si="227"/>
        <v>-2714</v>
      </c>
      <c r="AC497" s="8">
        <v>-21773</v>
      </c>
      <c r="AD497" s="8">
        <f t="shared" si="227"/>
        <v>540</v>
      </c>
      <c r="AE497" s="8">
        <v>238745</v>
      </c>
      <c r="AF497" s="8">
        <f t="shared" si="241"/>
        <v>8371</v>
      </c>
      <c r="AG497" s="8">
        <v>229141</v>
      </c>
      <c r="AH497" s="8">
        <f t="shared" si="242"/>
        <v>-907</v>
      </c>
      <c r="AI497" s="8">
        <v>9604</v>
      </c>
      <c r="AJ497" s="8">
        <f t="shared" si="243"/>
        <v>9278</v>
      </c>
      <c r="AK497" s="8">
        <v>173771</v>
      </c>
      <c r="AL497" s="8">
        <f t="shared" si="244"/>
        <v>9560</v>
      </c>
      <c r="AM497" s="8">
        <v>210047</v>
      </c>
      <c r="AN497" s="8">
        <f t="shared" si="245"/>
        <v>1182</v>
      </c>
      <c r="AO497" s="8">
        <v>-36276</v>
      </c>
      <c r="AP497" s="8">
        <f t="shared" si="246"/>
        <v>8378</v>
      </c>
      <c r="AR497" s="8">
        <v>1555113</v>
      </c>
      <c r="AS497" s="8">
        <f t="shared" si="247"/>
        <v>-9243</v>
      </c>
      <c r="AT497" s="8">
        <v>172487</v>
      </c>
      <c r="AU497" s="8">
        <f t="shared" si="248"/>
        <v>-2600</v>
      </c>
      <c r="AV497" s="8">
        <v>237233</v>
      </c>
      <c r="AW497" s="8">
        <f t="shared" si="249"/>
        <v>-15994</v>
      </c>
      <c r="AX497" s="8">
        <f t="shared" si="224"/>
        <v>-64746</v>
      </c>
      <c r="AY497" s="8">
        <f t="shared" si="250"/>
        <v>13394</v>
      </c>
      <c r="AZ497" s="8">
        <v>709878</v>
      </c>
      <c r="BA497" s="8">
        <f t="shared" si="251"/>
        <v>-6661</v>
      </c>
      <c r="BB497" s="8">
        <v>688845</v>
      </c>
      <c r="BC497" s="8">
        <f t="shared" si="252"/>
        <v>13999</v>
      </c>
      <c r="BD497" s="8">
        <f t="shared" si="225"/>
        <v>21033</v>
      </c>
      <c r="BE497" s="8">
        <f t="shared" si="253"/>
        <v>-20660</v>
      </c>
      <c r="BF497" s="8">
        <v>354693</v>
      </c>
      <c r="BG497" s="8">
        <f t="shared" si="254"/>
        <v>-2941</v>
      </c>
      <c r="BH497" s="8">
        <v>630285</v>
      </c>
      <c r="BI497" s="8">
        <f t="shared" si="255"/>
        <v>16337</v>
      </c>
      <c r="BJ497" s="8">
        <f t="shared" si="226"/>
        <v>-275592</v>
      </c>
      <c r="BK497" s="8">
        <f t="shared" si="228"/>
        <v>-19278</v>
      </c>
    </row>
    <row r="498" spans="1:63">
      <c r="A498" s="5">
        <v>42353</v>
      </c>
      <c r="B498" s="8">
        <v>480175</v>
      </c>
      <c r="C498" s="8">
        <f t="shared" si="229"/>
        <v>5880</v>
      </c>
      <c r="D498" s="8">
        <v>83089</v>
      </c>
      <c r="E498" s="8">
        <f t="shared" si="230"/>
        <v>7568</v>
      </c>
      <c r="F498" s="8">
        <v>10632</v>
      </c>
      <c r="G498" s="8">
        <f t="shared" si="231"/>
        <v>-2423</v>
      </c>
      <c r="H498" s="8">
        <v>72457</v>
      </c>
      <c r="I498" s="8">
        <f t="shared" si="232"/>
        <v>9991</v>
      </c>
      <c r="J498" s="8">
        <v>178873</v>
      </c>
      <c r="K498" s="8">
        <f t="shared" si="233"/>
        <v>-8158</v>
      </c>
      <c r="L498" s="8">
        <v>282961</v>
      </c>
      <c r="M498" s="8">
        <f t="shared" si="234"/>
        <v>-3323</v>
      </c>
      <c r="N498" s="8">
        <v>-104088</v>
      </c>
      <c r="O498" s="8">
        <f t="shared" si="235"/>
        <v>-4835</v>
      </c>
      <c r="P498" s="8">
        <v>96390</v>
      </c>
      <c r="Q498" s="8">
        <f t="shared" si="236"/>
        <v>-7938</v>
      </c>
      <c r="R498" s="8">
        <v>271923</v>
      </c>
      <c r="S498" s="8">
        <f t="shared" si="237"/>
        <v>-798</v>
      </c>
      <c r="T498" s="8">
        <v>-175533</v>
      </c>
      <c r="U498" s="8">
        <f t="shared" si="238"/>
        <v>-7140</v>
      </c>
      <c r="W498" s="8">
        <v>483004</v>
      </c>
      <c r="X498" s="8">
        <f t="shared" si="239"/>
        <v>5723</v>
      </c>
      <c r="Y498" s="8">
        <v>44274</v>
      </c>
      <c r="Z498" s="8">
        <f t="shared" si="240"/>
        <v>-4665</v>
      </c>
      <c r="AA498" s="8">
        <v>75464</v>
      </c>
      <c r="AB498" s="8">
        <f t="shared" si="227"/>
        <v>4752</v>
      </c>
      <c r="AC498" s="8">
        <v>-31190</v>
      </c>
      <c r="AD498" s="8">
        <f t="shared" si="227"/>
        <v>-9417</v>
      </c>
      <c r="AE498" s="8">
        <v>242344</v>
      </c>
      <c r="AF498" s="8">
        <f t="shared" si="241"/>
        <v>3599</v>
      </c>
      <c r="AG498" s="8">
        <v>224156</v>
      </c>
      <c r="AH498" s="8">
        <f t="shared" si="242"/>
        <v>-4985</v>
      </c>
      <c r="AI498" s="8">
        <v>18188</v>
      </c>
      <c r="AJ498" s="8">
        <f t="shared" si="243"/>
        <v>8584</v>
      </c>
      <c r="AK498" s="8">
        <v>177896</v>
      </c>
      <c r="AL498" s="8">
        <f t="shared" si="244"/>
        <v>4125</v>
      </c>
      <c r="AM498" s="8">
        <v>204576</v>
      </c>
      <c r="AN498" s="8">
        <f t="shared" si="245"/>
        <v>-5471</v>
      </c>
      <c r="AO498" s="8">
        <v>-26680</v>
      </c>
      <c r="AP498" s="8">
        <f t="shared" si="246"/>
        <v>9596</v>
      </c>
      <c r="AR498" s="8">
        <v>1544832</v>
      </c>
      <c r="AS498" s="8">
        <f t="shared" si="247"/>
        <v>-10281</v>
      </c>
      <c r="AT498" s="8">
        <v>168519</v>
      </c>
      <c r="AU498" s="8">
        <f t="shared" si="248"/>
        <v>-3968</v>
      </c>
      <c r="AV498" s="8">
        <v>207625</v>
      </c>
      <c r="AW498" s="8">
        <f t="shared" si="249"/>
        <v>-29608</v>
      </c>
      <c r="AX498" s="8">
        <f t="shared" si="224"/>
        <v>-39106</v>
      </c>
      <c r="AY498" s="8">
        <f t="shared" si="250"/>
        <v>25640</v>
      </c>
      <c r="AZ498" s="8">
        <v>699568</v>
      </c>
      <c r="BA498" s="8">
        <f t="shared" si="251"/>
        <v>-10310</v>
      </c>
      <c r="BB498" s="8">
        <v>706038</v>
      </c>
      <c r="BC498" s="8">
        <f t="shared" si="252"/>
        <v>17193</v>
      </c>
      <c r="BD498" s="8">
        <f t="shared" si="225"/>
        <v>-6470</v>
      </c>
      <c r="BE498" s="8">
        <f t="shared" si="253"/>
        <v>-27503</v>
      </c>
      <c r="BF498" s="8">
        <v>346442</v>
      </c>
      <c r="BG498" s="8">
        <f t="shared" si="254"/>
        <v>-8251</v>
      </c>
      <c r="BH498" s="8">
        <v>644561</v>
      </c>
      <c r="BI498" s="8">
        <f t="shared" si="255"/>
        <v>14276</v>
      </c>
      <c r="BJ498" s="8">
        <f t="shared" si="226"/>
        <v>-298119</v>
      </c>
      <c r="BK498" s="8">
        <f t="shared" si="228"/>
        <v>-22527</v>
      </c>
    </row>
    <row r="499" spans="1:63">
      <c r="A499" s="5">
        <v>42360</v>
      </c>
      <c r="B499" s="8">
        <v>457235</v>
      </c>
      <c r="C499" s="8">
        <f t="shared" si="229"/>
        <v>-22940</v>
      </c>
      <c r="D499" s="8">
        <v>84851</v>
      </c>
      <c r="E499" s="8">
        <f t="shared" si="230"/>
        <v>1762</v>
      </c>
      <c r="F499" s="8">
        <v>19568</v>
      </c>
      <c r="G499" s="8">
        <f t="shared" si="231"/>
        <v>8936</v>
      </c>
      <c r="H499" s="8">
        <v>65283</v>
      </c>
      <c r="I499" s="8">
        <f t="shared" si="232"/>
        <v>-7174</v>
      </c>
      <c r="J499" s="8">
        <v>174887</v>
      </c>
      <c r="K499" s="8">
        <f t="shared" si="233"/>
        <v>-3986</v>
      </c>
      <c r="L499" s="8">
        <v>266629</v>
      </c>
      <c r="M499" s="8">
        <f t="shared" si="234"/>
        <v>-16332</v>
      </c>
      <c r="N499" s="8">
        <v>-91742</v>
      </c>
      <c r="O499" s="8">
        <f t="shared" si="235"/>
        <v>12346</v>
      </c>
      <c r="P499" s="8">
        <v>93525</v>
      </c>
      <c r="Q499" s="8">
        <f t="shared" si="236"/>
        <v>-2865</v>
      </c>
      <c r="R499" s="8">
        <v>256530</v>
      </c>
      <c r="S499" s="8">
        <f t="shared" si="237"/>
        <v>-15393</v>
      </c>
      <c r="T499" s="8">
        <v>-163005</v>
      </c>
      <c r="U499" s="8">
        <f t="shared" si="238"/>
        <v>12528</v>
      </c>
      <c r="W499" s="8">
        <v>465681</v>
      </c>
      <c r="X499" s="8">
        <f t="shared" si="239"/>
        <v>-17323</v>
      </c>
      <c r="Y499" s="8">
        <v>42036</v>
      </c>
      <c r="Z499" s="8">
        <f t="shared" si="240"/>
        <v>-2238</v>
      </c>
      <c r="AA499" s="8">
        <v>76221</v>
      </c>
      <c r="AB499" s="8">
        <f t="shared" si="227"/>
        <v>757</v>
      </c>
      <c r="AC499" s="8">
        <v>-34185</v>
      </c>
      <c r="AD499" s="8">
        <f t="shared" si="227"/>
        <v>-2995</v>
      </c>
      <c r="AE499" s="8">
        <v>232960</v>
      </c>
      <c r="AF499" s="8">
        <f t="shared" si="241"/>
        <v>-9384</v>
      </c>
      <c r="AG499" s="8">
        <v>216166</v>
      </c>
      <c r="AH499" s="8">
        <f t="shared" si="242"/>
        <v>-7990</v>
      </c>
      <c r="AI499" s="8">
        <v>16794</v>
      </c>
      <c r="AJ499" s="8">
        <f t="shared" si="243"/>
        <v>-1394</v>
      </c>
      <c r="AK499" s="8">
        <v>171030</v>
      </c>
      <c r="AL499" s="8">
        <f t="shared" si="244"/>
        <v>-6866</v>
      </c>
      <c r="AM499" s="8">
        <v>199662</v>
      </c>
      <c r="AN499" s="8">
        <f t="shared" si="245"/>
        <v>-4914</v>
      </c>
      <c r="AO499" s="8">
        <v>-28632</v>
      </c>
      <c r="AP499" s="8">
        <f t="shared" si="246"/>
        <v>-1952</v>
      </c>
      <c r="AR499" s="8">
        <v>1586524</v>
      </c>
      <c r="AS499" s="8">
        <f t="shared" si="247"/>
        <v>41692</v>
      </c>
      <c r="AT499" s="8">
        <v>152914</v>
      </c>
      <c r="AU499" s="8">
        <f t="shared" si="248"/>
        <v>-15605</v>
      </c>
      <c r="AV499" s="8">
        <v>235457</v>
      </c>
      <c r="AW499" s="8">
        <f t="shared" si="249"/>
        <v>27832</v>
      </c>
      <c r="AX499" s="8">
        <f t="shared" si="224"/>
        <v>-82543</v>
      </c>
      <c r="AY499" s="8">
        <f t="shared" si="250"/>
        <v>-43437</v>
      </c>
      <c r="AZ499" s="8">
        <v>729920</v>
      </c>
      <c r="BA499" s="8">
        <f t="shared" si="251"/>
        <v>30352</v>
      </c>
      <c r="BB499" s="8">
        <v>696006</v>
      </c>
      <c r="BC499" s="8">
        <f t="shared" si="252"/>
        <v>-10032</v>
      </c>
      <c r="BD499" s="8">
        <f t="shared" si="225"/>
        <v>33914</v>
      </c>
      <c r="BE499" s="8">
        <f t="shared" si="253"/>
        <v>40384</v>
      </c>
      <c r="BF499" s="8">
        <v>374212</v>
      </c>
      <c r="BG499" s="8">
        <f t="shared" si="254"/>
        <v>27770</v>
      </c>
      <c r="BH499" s="8">
        <v>634755</v>
      </c>
      <c r="BI499" s="8">
        <f t="shared" si="255"/>
        <v>-9806</v>
      </c>
      <c r="BJ499" s="8">
        <f t="shared" si="226"/>
        <v>-260543</v>
      </c>
      <c r="BK499" s="8">
        <f t="shared" si="228"/>
        <v>37576</v>
      </c>
    </row>
    <row r="500" spans="1:63">
      <c r="A500" s="5">
        <v>42367</v>
      </c>
      <c r="B500" s="8">
        <v>425727</v>
      </c>
      <c r="C500" s="8">
        <f t="shared" si="229"/>
        <v>-31508</v>
      </c>
      <c r="D500" s="8">
        <v>79996</v>
      </c>
      <c r="E500" s="8">
        <f t="shared" si="230"/>
        <v>-4855</v>
      </c>
      <c r="F500" s="8">
        <v>19101</v>
      </c>
      <c r="G500" s="8">
        <f t="shared" si="231"/>
        <v>-467</v>
      </c>
      <c r="H500" s="8">
        <v>60895</v>
      </c>
      <c r="I500" s="8">
        <f t="shared" si="232"/>
        <v>-4388</v>
      </c>
      <c r="J500" s="8">
        <v>162296</v>
      </c>
      <c r="K500" s="8">
        <f t="shared" si="233"/>
        <v>-12591</v>
      </c>
      <c r="L500" s="8">
        <v>257154</v>
      </c>
      <c r="M500" s="8">
        <f t="shared" si="234"/>
        <v>-9475</v>
      </c>
      <c r="N500" s="8">
        <v>-94858</v>
      </c>
      <c r="O500" s="8">
        <f t="shared" si="235"/>
        <v>-3116</v>
      </c>
      <c r="P500" s="8">
        <v>84777</v>
      </c>
      <c r="Q500" s="8">
        <f t="shared" si="236"/>
        <v>-8748</v>
      </c>
      <c r="R500" s="8">
        <v>250420</v>
      </c>
      <c r="S500" s="8">
        <f t="shared" si="237"/>
        <v>-6110</v>
      </c>
      <c r="T500" s="8">
        <v>-165643</v>
      </c>
      <c r="U500" s="8">
        <f t="shared" si="238"/>
        <v>-2638</v>
      </c>
      <c r="W500" s="8">
        <v>456689</v>
      </c>
      <c r="X500" s="8">
        <f t="shared" si="239"/>
        <v>-8992</v>
      </c>
      <c r="Y500" s="8">
        <v>40758</v>
      </c>
      <c r="Z500" s="8">
        <f t="shared" si="240"/>
        <v>-1278</v>
      </c>
      <c r="AA500" s="8">
        <v>81601</v>
      </c>
      <c r="AB500" s="8">
        <f t="shared" si="227"/>
        <v>5380</v>
      </c>
      <c r="AC500" s="8">
        <v>-40843</v>
      </c>
      <c r="AD500" s="8">
        <f t="shared" si="227"/>
        <v>-6658</v>
      </c>
      <c r="AE500" s="8">
        <v>233513</v>
      </c>
      <c r="AF500" s="8">
        <f t="shared" si="241"/>
        <v>553</v>
      </c>
      <c r="AG500" s="8">
        <v>204212</v>
      </c>
      <c r="AH500" s="8">
        <f t="shared" si="242"/>
        <v>-11954</v>
      </c>
      <c r="AI500" s="8">
        <v>29301</v>
      </c>
      <c r="AJ500" s="8">
        <f t="shared" si="243"/>
        <v>12507</v>
      </c>
      <c r="AK500" s="8">
        <v>172700</v>
      </c>
      <c r="AL500" s="8">
        <f t="shared" si="244"/>
        <v>1670</v>
      </c>
      <c r="AM500" s="8">
        <v>189788</v>
      </c>
      <c r="AN500" s="8">
        <f t="shared" si="245"/>
        <v>-9874</v>
      </c>
      <c r="AO500" s="8">
        <v>-17088</v>
      </c>
      <c r="AP500" s="8">
        <f t="shared" si="246"/>
        <v>11544</v>
      </c>
      <c r="AR500" s="8">
        <v>1595753</v>
      </c>
      <c r="AS500" s="8">
        <f t="shared" si="247"/>
        <v>9229</v>
      </c>
      <c r="AT500" s="8">
        <v>153826</v>
      </c>
      <c r="AU500" s="8">
        <f t="shared" si="248"/>
        <v>912</v>
      </c>
      <c r="AV500" s="8">
        <v>289937</v>
      </c>
      <c r="AW500" s="8">
        <f t="shared" si="249"/>
        <v>54480</v>
      </c>
      <c r="AX500" s="8">
        <f t="shared" si="224"/>
        <v>-136111</v>
      </c>
      <c r="AY500" s="8">
        <f t="shared" si="250"/>
        <v>-53568</v>
      </c>
      <c r="AZ500" s="8">
        <v>738044</v>
      </c>
      <c r="BA500" s="8">
        <f t="shared" si="251"/>
        <v>8124</v>
      </c>
      <c r="BB500" s="8">
        <v>652565</v>
      </c>
      <c r="BC500" s="8">
        <f t="shared" si="252"/>
        <v>-43441</v>
      </c>
      <c r="BD500" s="8">
        <f t="shared" si="225"/>
        <v>85479</v>
      </c>
      <c r="BE500" s="8">
        <f t="shared" si="253"/>
        <v>51565</v>
      </c>
      <c r="BF500" s="8">
        <v>382500</v>
      </c>
      <c r="BG500" s="8">
        <f t="shared" si="254"/>
        <v>8288</v>
      </c>
      <c r="BH500" s="8">
        <v>591553</v>
      </c>
      <c r="BI500" s="8">
        <f t="shared" si="255"/>
        <v>-43202</v>
      </c>
      <c r="BJ500" s="8">
        <f t="shared" si="226"/>
        <v>-209053</v>
      </c>
      <c r="BK500" s="8">
        <f t="shared" si="228"/>
        <v>51490</v>
      </c>
    </row>
    <row r="501" spans="1:63">
      <c r="A501" s="5">
        <v>42374</v>
      </c>
      <c r="B501" s="8">
        <v>424762</v>
      </c>
      <c r="C501" s="8">
        <f t="shared" si="229"/>
        <v>-965</v>
      </c>
      <c r="D501" s="8">
        <v>74774</v>
      </c>
      <c r="E501" s="8">
        <f t="shared" si="230"/>
        <v>-5222</v>
      </c>
      <c r="F501" s="8">
        <v>27394</v>
      </c>
      <c r="G501" s="8">
        <f t="shared" si="231"/>
        <v>8293</v>
      </c>
      <c r="H501" s="8">
        <v>47380</v>
      </c>
      <c r="I501" s="8">
        <f t="shared" si="232"/>
        <v>-13515</v>
      </c>
      <c r="J501" s="8">
        <v>166884</v>
      </c>
      <c r="K501" s="8">
        <f t="shared" si="233"/>
        <v>4588</v>
      </c>
      <c r="L501" s="8">
        <v>242896</v>
      </c>
      <c r="M501" s="8">
        <f t="shared" si="234"/>
        <v>-14258</v>
      </c>
      <c r="N501" s="8">
        <v>-76012</v>
      </c>
      <c r="O501" s="8">
        <f t="shared" si="235"/>
        <v>18846</v>
      </c>
      <c r="P501" s="8">
        <v>89248</v>
      </c>
      <c r="Q501" s="8">
        <f t="shared" si="236"/>
        <v>4471</v>
      </c>
      <c r="R501" s="8">
        <v>236717</v>
      </c>
      <c r="S501" s="8">
        <f t="shared" si="237"/>
        <v>-13703</v>
      </c>
      <c r="T501" s="8">
        <v>-147469</v>
      </c>
      <c r="U501" s="8">
        <f t="shared" si="238"/>
        <v>18174</v>
      </c>
      <c r="W501" s="8">
        <v>465827</v>
      </c>
      <c r="X501" s="8">
        <f t="shared" si="239"/>
        <v>9138</v>
      </c>
      <c r="Y501" s="8">
        <v>41805</v>
      </c>
      <c r="Z501" s="8">
        <f t="shared" si="240"/>
        <v>1047</v>
      </c>
      <c r="AA501" s="8">
        <v>91193</v>
      </c>
      <c r="AB501" s="8">
        <f t="shared" si="227"/>
        <v>9592</v>
      </c>
      <c r="AC501" s="8">
        <v>-49388</v>
      </c>
      <c r="AD501" s="8">
        <f t="shared" si="227"/>
        <v>-8545</v>
      </c>
      <c r="AE501" s="8">
        <v>236522</v>
      </c>
      <c r="AF501" s="8">
        <f t="shared" si="241"/>
        <v>3009</v>
      </c>
      <c r="AG501" s="8">
        <v>197323</v>
      </c>
      <c r="AH501" s="8">
        <f t="shared" si="242"/>
        <v>-6889</v>
      </c>
      <c r="AI501" s="8">
        <v>39199</v>
      </c>
      <c r="AJ501" s="8">
        <f t="shared" si="243"/>
        <v>9898</v>
      </c>
      <c r="AK501" s="8">
        <v>174677</v>
      </c>
      <c r="AL501" s="8">
        <f t="shared" si="244"/>
        <v>1977</v>
      </c>
      <c r="AM501" s="8">
        <v>183500</v>
      </c>
      <c r="AN501" s="8">
        <f t="shared" si="245"/>
        <v>-6288</v>
      </c>
      <c r="AO501" s="8">
        <v>-8823</v>
      </c>
      <c r="AP501" s="8">
        <f t="shared" si="246"/>
        <v>8265</v>
      </c>
      <c r="AR501" s="8">
        <v>1664511</v>
      </c>
      <c r="AS501" s="8">
        <f t="shared" si="247"/>
        <v>68758</v>
      </c>
      <c r="AT501" s="8">
        <v>156263</v>
      </c>
      <c r="AU501" s="8">
        <f t="shared" si="248"/>
        <v>2437</v>
      </c>
      <c r="AV501" s="8">
        <v>318251</v>
      </c>
      <c r="AW501" s="8">
        <f t="shared" si="249"/>
        <v>28314</v>
      </c>
      <c r="AX501" s="8">
        <f t="shared" si="224"/>
        <v>-161988</v>
      </c>
      <c r="AY501" s="8">
        <f t="shared" si="250"/>
        <v>-25877</v>
      </c>
      <c r="AZ501" s="8">
        <v>760416</v>
      </c>
      <c r="BA501" s="8">
        <f t="shared" si="251"/>
        <v>22372</v>
      </c>
      <c r="BB501" s="8">
        <v>646750</v>
      </c>
      <c r="BC501" s="8">
        <f t="shared" si="252"/>
        <v>-5815</v>
      </c>
      <c r="BD501" s="8">
        <f t="shared" si="225"/>
        <v>113666</v>
      </c>
      <c r="BE501" s="8">
        <f t="shared" si="253"/>
        <v>28187</v>
      </c>
      <c r="BF501" s="8">
        <v>406709</v>
      </c>
      <c r="BG501" s="8">
        <f t="shared" si="254"/>
        <v>24209</v>
      </c>
      <c r="BH501" s="8">
        <v>582305</v>
      </c>
      <c r="BI501" s="8">
        <f t="shared" si="255"/>
        <v>-9248</v>
      </c>
      <c r="BJ501" s="8">
        <f t="shared" si="226"/>
        <v>-175596</v>
      </c>
      <c r="BK501" s="8">
        <f t="shared" si="228"/>
        <v>33457</v>
      </c>
    </row>
    <row r="502" spans="1:63">
      <c r="A502" s="5">
        <v>42381</v>
      </c>
      <c r="B502" s="8">
        <v>443192</v>
      </c>
      <c r="C502" s="8">
        <f t="shared" si="229"/>
        <v>18430</v>
      </c>
      <c r="D502" s="8">
        <v>69874</v>
      </c>
      <c r="E502" s="8">
        <f t="shared" si="230"/>
        <v>-4900</v>
      </c>
      <c r="F502" s="8">
        <v>37027</v>
      </c>
      <c r="G502" s="8">
        <f t="shared" si="231"/>
        <v>9633</v>
      </c>
      <c r="H502" s="8">
        <v>32847</v>
      </c>
      <c r="I502" s="8">
        <f t="shared" si="232"/>
        <v>-14533</v>
      </c>
      <c r="J502" s="8">
        <v>176623</v>
      </c>
      <c r="K502" s="8">
        <f t="shared" si="233"/>
        <v>9739</v>
      </c>
      <c r="L502" s="8">
        <v>230836</v>
      </c>
      <c r="M502" s="8">
        <f t="shared" si="234"/>
        <v>-12060</v>
      </c>
      <c r="N502" s="8">
        <v>-54213</v>
      </c>
      <c r="O502" s="8">
        <f t="shared" si="235"/>
        <v>21799</v>
      </c>
      <c r="P502" s="8">
        <v>102321</v>
      </c>
      <c r="Q502" s="8">
        <f t="shared" si="236"/>
        <v>13073</v>
      </c>
      <c r="R502" s="8">
        <v>224836</v>
      </c>
      <c r="S502" s="8">
        <f t="shared" si="237"/>
        <v>-11881</v>
      </c>
      <c r="T502" s="8">
        <v>-122515</v>
      </c>
      <c r="U502" s="8">
        <f t="shared" si="238"/>
        <v>24954</v>
      </c>
      <c r="W502" s="8">
        <v>464707</v>
      </c>
      <c r="X502" s="8">
        <f t="shared" si="239"/>
        <v>-1120</v>
      </c>
      <c r="Y502" s="8">
        <v>41699</v>
      </c>
      <c r="Z502" s="8">
        <f t="shared" si="240"/>
        <v>-106</v>
      </c>
      <c r="AA502" s="8">
        <v>87775</v>
      </c>
      <c r="AB502" s="8">
        <f t="shared" si="227"/>
        <v>-3418</v>
      </c>
      <c r="AC502" s="8">
        <v>-46076</v>
      </c>
      <c r="AD502" s="8">
        <f t="shared" si="227"/>
        <v>3312</v>
      </c>
      <c r="AE502" s="8">
        <v>232286</v>
      </c>
      <c r="AF502" s="8">
        <f t="shared" si="241"/>
        <v>-4236</v>
      </c>
      <c r="AG502" s="8">
        <v>196451</v>
      </c>
      <c r="AH502" s="8">
        <f t="shared" si="242"/>
        <v>-872</v>
      </c>
      <c r="AI502" s="8">
        <v>35835</v>
      </c>
      <c r="AJ502" s="8">
        <f t="shared" si="243"/>
        <v>-3364</v>
      </c>
      <c r="AK502" s="8">
        <v>170743</v>
      </c>
      <c r="AL502" s="8">
        <f t="shared" si="244"/>
        <v>-3934</v>
      </c>
      <c r="AM502" s="8">
        <v>182605</v>
      </c>
      <c r="AN502" s="8">
        <f t="shared" si="245"/>
        <v>-895</v>
      </c>
      <c r="AO502" s="8">
        <v>-11862</v>
      </c>
      <c r="AP502" s="8">
        <f t="shared" si="246"/>
        <v>-3039</v>
      </c>
      <c r="AR502" s="8">
        <v>1718119</v>
      </c>
      <c r="AS502" s="8">
        <f t="shared" si="247"/>
        <v>53608</v>
      </c>
      <c r="AT502" s="8">
        <v>153725</v>
      </c>
      <c r="AU502" s="8">
        <f t="shared" si="248"/>
        <v>-2538</v>
      </c>
      <c r="AV502" s="8">
        <v>340556</v>
      </c>
      <c r="AW502" s="8">
        <f t="shared" si="249"/>
        <v>22305</v>
      </c>
      <c r="AX502" s="8">
        <f t="shared" si="224"/>
        <v>-186831</v>
      </c>
      <c r="AY502" s="8">
        <f t="shared" si="250"/>
        <v>-24843</v>
      </c>
      <c r="AZ502" s="8">
        <v>767030</v>
      </c>
      <c r="BA502" s="8">
        <f t="shared" si="251"/>
        <v>6614</v>
      </c>
      <c r="BB502" s="8">
        <v>632723</v>
      </c>
      <c r="BC502" s="8">
        <f t="shared" si="252"/>
        <v>-14027</v>
      </c>
      <c r="BD502" s="8">
        <f t="shared" si="225"/>
        <v>134307</v>
      </c>
      <c r="BE502" s="8">
        <f t="shared" si="253"/>
        <v>20641</v>
      </c>
      <c r="BF502" s="8">
        <v>425720</v>
      </c>
      <c r="BG502" s="8">
        <f t="shared" si="254"/>
        <v>19011</v>
      </c>
      <c r="BH502" s="8">
        <v>564260</v>
      </c>
      <c r="BI502" s="8">
        <f t="shared" si="255"/>
        <v>-18045</v>
      </c>
      <c r="BJ502" s="8">
        <f t="shared" si="226"/>
        <v>-138540</v>
      </c>
      <c r="BK502" s="8">
        <f t="shared" si="228"/>
        <v>37056</v>
      </c>
    </row>
    <row r="503" spans="1:63">
      <c r="A503" s="5">
        <v>42388</v>
      </c>
      <c r="B503" s="8">
        <v>451196</v>
      </c>
      <c r="C503" s="8">
        <f t="shared" si="229"/>
        <v>8004</v>
      </c>
      <c r="D503" s="8">
        <v>70681</v>
      </c>
      <c r="E503" s="8">
        <f t="shared" si="230"/>
        <v>807</v>
      </c>
      <c r="F503" s="8">
        <v>31134</v>
      </c>
      <c r="G503" s="8">
        <f t="shared" si="231"/>
        <v>-5893</v>
      </c>
      <c r="H503" s="8">
        <v>39547</v>
      </c>
      <c r="I503" s="8">
        <f t="shared" si="232"/>
        <v>6700</v>
      </c>
      <c r="J503" s="8">
        <v>176242</v>
      </c>
      <c r="K503" s="8">
        <f t="shared" si="233"/>
        <v>-381</v>
      </c>
      <c r="L503" s="8">
        <v>238385</v>
      </c>
      <c r="M503" s="8">
        <f t="shared" si="234"/>
        <v>7549</v>
      </c>
      <c r="N503" s="8">
        <v>-62143</v>
      </c>
      <c r="O503" s="8">
        <f t="shared" si="235"/>
        <v>-7930</v>
      </c>
      <c r="P503" s="8">
        <v>101772</v>
      </c>
      <c r="Q503" s="8">
        <f t="shared" si="236"/>
        <v>-549</v>
      </c>
      <c r="R503" s="8">
        <v>230281</v>
      </c>
      <c r="S503" s="8">
        <f t="shared" si="237"/>
        <v>5445</v>
      </c>
      <c r="T503" s="8">
        <v>-128509</v>
      </c>
      <c r="U503" s="8">
        <f t="shared" si="238"/>
        <v>-5994</v>
      </c>
      <c r="W503" s="8">
        <v>474896</v>
      </c>
      <c r="X503" s="8">
        <f t="shared" si="239"/>
        <v>10189</v>
      </c>
      <c r="Y503" s="8">
        <v>39939</v>
      </c>
      <c r="Z503" s="8">
        <f t="shared" si="240"/>
        <v>-1760</v>
      </c>
      <c r="AA503" s="8">
        <v>87205</v>
      </c>
      <c r="AB503" s="8">
        <f t="shared" si="227"/>
        <v>-570</v>
      </c>
      <c r="AC503" s="8">
        <v>-47266</v>
      </c>
      <c r="AD503" s="8">
        <f t="shared" si="227"/>
        <v>-1190</v>
      </c>
      <c r="AE503" s="8">
        <v>239149</v>
      </c>
      <c r="AF503" s="8">
        <f t="shared" si="241"/>
        <v>6863</v>
      </c>
      <c r="AG503" s="8">
        <v>197181</v>
      </c>
      <c r="AH503" s="8">
        <f t="shared" si="242"/>
        <v>730</v>
      </c>
      <c r="AI503" s="8">
        <v>41968</v>
      </c>
      <c r="AJ503" s="8">
        <f t="shared" si="243"/>
        <v>6133</v>
      </c>
      <c r="AK503" s="8">
        <v>174261</v>
      </c>
      <c r="AL503" s="8">
        <f t="shared" si="244"/>
        <v>3518</v>
      </c>
      <c r="AM503" s="8">
        <v>181782</v>
      </c>
      <c r="AN503" s="8">
        <f t="shared" si="245"/>
        <v>-823</v>
      </c>
      <c r="AO503" s="8">
        <v>-7521</v>
      </c>
      <c r="AP503" s="8">
        <f t="shared" si="246"/>
        <v>4341</v>
      </c>
      <c r="AR503" s="8">
        <v>1725214</v>
      </c>
      <c r="AS503" s="8">
        <f t="shared" si="247"/>
        <v>7095</v>
      </c>
      <c r="AT503" s="8">
        <v>155584</v>
      </c>
      <c r="AU503" s="8">
        <f t="shared" si="248"/>
        <v>1859</v>
      </c>
      <c r="AV503" s="8">
        <v>313794</v>
      </c>
      <c r="AW503" s="8">
        <f t="shared" si="249"/>
        <v>-26762</v>
      </c>
      <c r="AX503" s="8">
        <f t="shared" si="224"/>
        <v>-158210</v>
      </c>
      <c r="AY503" s="8">
        <f t="shared" si="250"/>
        <v>28621</v>
      </c>
      <c r="AZ503" s="8">
        <v>765539</v>
      </c>
      <c r="BA503" s="8">
        <f t="shared" si="251"/>
        <v>-1491</v>
      </c>
      <c r="BB503" s="8">
        <v>657575</v>
      </c>
      <c r="BC503" s="8">
        <f t="shared" si="252"/>
        <v>24852</v>
      </c>
      <c r="BD503" s="8">
        <f t="shared" si="225"/>
        <v>107964</v>
      </c>
      <c r="BE503" s="8">
        <f t="shared" si="253"/>
        <v>-26343</v>
      </c>
      <c r="BF503" s="8">
        <v>427251</v>
      </c>
      <c r="BG503" s="8">
        <f t="shared" si="254"/>
        <v>1531</v>
      </c>
      <c r="BH503" s="8">
        <v>573488</v>
      </c>
      <c r="BI503" s="8">
        <f t="shared" si="255"/>
        <v>9228</v>
      </c>
      <c r="BJ503" s="8">
        <f t="shared" si="226"/>
        <v>-146237</v>
      </c>
      <c r="BK503" s="8">
        <f t="shared" si="228"/>
        <v>-7697</v>
      </c>
    </row>
    <row r="504" spans="1:63">
      <c r="A504" s="5">
        <v>42395</v>
      </c>
      <c r="B504" s="8">
        <v>450610</v>
      </c>
      <c r="C504" s="8">
        <f t="shared" si="229"/>
        <v>-586</v>
      </c>
      <c r="D504" s="8">
        <v>66829</v>
      </c>
      <c r="E504" s="8">
        <f t="shared" si="230"/>
        <v>-3852</v>
      </c>
      <c r="F504" s="8">
        <v>18280</v>
      </c>
      <c r="G504" s="8">
        <f t="shared" si="231"/>
        <v>-12854</v>
      </c>
      <c r="H504" s="8">
        <v>48549</v>
      </c>
      <c r="I504" s="8">
        <f t="shared" si="232"/>
        <v>9002</v>
      </c>
      <c r="J504" s="8">
        <v>171464</v>
      </c>
      <c r="K504" s="8">
        <f t="shared" si="233"/>
        <v>-4778</v>
      </c>
      <c r="L504" s="8">
        <v>250153</v>
      </c>
      <c r="M504" s="8">
        <f t="shared" si="234"/>
        <v>11768</v>
      </c>
      <c r="N504" s="8">
        <v>-78689</v>
      </c>
      <c r="O504" s="8">
        <f t="shared" si="235"/>
        <v>-16546</v>
      </c>
      <c r="P504" s="8">
        <v>97391</v>
      </c>
      <c r="Q504" s="8">
        <f t="shared" si="236"/>
        <v>-4381</v>
      </c>
      <c r="R504" s="8">
        <v>241062</v>
      </c>
      <c r="S504" s="8">
        <f t="shared" si="237"/>
        <v>10781</v>
      </c>
      <c r="T504" s="8">
        <v>-143671</v>
      </c>
      <c r="U504" s="8">
        <f t="shared" si="238"/>
        <v>-15162</v>
      </c>
      <c r="W504" s="8">
        <v>475888</v>
      </c>
      <c r="X504" s="8">
        <f t="shared" si="239"/>
        <v>992</v>
      </c>
      <c r="Y504" s="8">
        <v>37755</v>
      </c>
      <c r="Z504" s="8">
        <f t="shared" si="240"/>
        <v>-2184</v>
      </c>
      <c r="AA504" s="8">
        <v>76077</v>
      </c>
      <c r="AB504" s="8">
        <f t="shared" si="227"/>
        <v>-11128</v>
      </c>
      <c r="AC504" s="8">
        <v>-38322</v>
      </c>
      <c r="AD504" s="8">
        <f t="shared" si="227"/>
        <v>8944</v>
      </c>
      <c r="AE504" s="8">
        <v>235771</v>
      </c>
      <c r="AF504" s="8">
        <f t="shared" si="241"/>
        <v>-3378</v>
      </c>
      <c r="AG504" s="8">
        <v>204459</v>
      </c>
      <c r="AH504" s="8">
        <f t="shared" si="242"/>
        <v>7278</v>
      </c>
      <c r="AI504" s="8">
        <v>31312</v>
      </c>
      <c r="AJ504" s="8">
        <f t="shared" si="243"/>
        <v>-10656</v>
      </c>
      <c r="AK504" s="8">
        <v>170571</v>
      </c>
      <c r="AL504" s="8">
        <f t="shared" si="244"/>
        <v>-3690</v>
      </c>
      <c r="AM504" s="8">
        <v>186626</v>
      </c>
      <c r="AN504" s="8">
        <f t="shared" si="245"/>
        <v>4844</v>
      </c>
      <c r="AO504" s="8">
        <v>-16055</v>
      </c>
      <c r="AP504" s="8">
        <f t="shared" si="246"/>
        <v>-8534</v>
      </c>
      <c r="AR504" s="8">
        <v>1664876</v>
      </c>
      <c r="AS504" s="8">
        <f t="shared" si="247"/>
        <v>-60338</v>
      </c>
      <c r="AT504" s="8">
        <v>154428</v>
      </c>
      <c r="AU504" s="8">
        <f t="shared" si="248"/>
        <v>-1156</v>
      </c>
      <c r="AV504" s="8">
        <v>241625</v>
      </c>
      <c r="AW504" s="8">
        <f t="shared" si="249"/>
        <v>-72169</v>
      </c>
      <c r="AX504" s="8">
        <f t="shared" si="224"/>
        <v>-87197</v>
      </c>
      <c r="AY504" s="8">
        <f t="shared" si="250"/>
        <v>71013</v>
      </c>
      <c r="AZ504" s="8">
        <v>738623</v>
      </c>
      <c r="BA504" s="8">
        <f t="shared" si="251"/>
        <v>-26916</v>
      </c>
      <c r="BB504" s="8">
        <v>690274</v>
      </c>
      <c r="BC504" s="8">
        <f t="shared" si="252"/>
        <v>32699</v>
      </c>
      <c r="BD504" s="8">
        <f t="shared" si="225"/>
        <v>48349</v>
      </c>
      <c r="BE504" s="8">
        <f t="shared" si="253"/>
        <v>-59615</v>
      </c>
      <c r="BF504" s="8">
        <v>402855</v>
      </c>
      <c r="BG504" s="8">
        <f t="shared" si="254"/>
        <v>-24396</v>
      </c>
      <c r="BH504" s="8">
        <v>605427</v>
      </c>
      <c r="BI504" s="8">
        <f t="shared" si="255"/>
        <v>31939</v>
      </c>
      <c r="BJ504" s="8">
        <f t="shared" si="226"/>
        <v>-202572</v>
      </c>
      <c r="BK504" s="8">
        <f t="shared" si="228"/>
        <v>-56335</v>
      </c>
    </row>
    <row r="505" spans="1:63">
      <c r="A505" s="5">
        <v>42402</v>
      </c>
      <c r="B505" s="8">
        <v>459602</v>
      </c>
      <c r="C505" s="8">
        <f t="shared" si="229"/>
        <v>8992</v>
      </c>
      <c r="D505" s="8">
        <v>71814</v>
      </c>
      <c r="E505" s="8">
        <f t="shared" si="230"/>
        <v>4985</v>
      </c>
      <c r="F505" s="8">
        <v>21403</v>
      </c>
      <c r="G505" s="8">
        <f t="shared" si="231"/>
        <v>3123</v>
      </c>
      <c r="H505" s="8">
        <v>50411</v>
      </c>
      <c r="I505" s="8">
        <f t="shared" si="232"/>
        <v>1862</v>
      </c>
      <c r="J505" s="8">
        <v>177898</v>
      </c>
      <c r="K505" s="8">
        <f t="shared" si="233"/>
        <v>6434</v>
      </c>
      <c r="L505" s="8">
        <v>258748</v>
      </c>
      <c r="M505" s="8">
        <f t="shared" si="234"/>
        <v>8595</v>
      </c>
      <c r="N505" s="8">
        <v>-80850</v>
      </c>
      <c r="O505" s="8">
        <f t="shared" si="235"/>
        <v>-2161</v>
      </c>
      <c r="P505" s="8">
        <v>104552</v>
      </c>
      <c r="Q505" s="8">
        <f t="shared" si="236"/>
        <v>7161</v>
      </c>
      <c r="R505" s="8">
        <v>252333</v>
      </c>
      <c r="S505" s="8">
        <f t="shared" si="237"/>
        <v>11271</v>
      </c>
      <c r="T505" s="8">
        <v>-147781</v>
      </c>
      <c r="U505" s="8">
        <f t="shared" si="238"/>
        <v>-4110</v>
      </c>
      <c r="W505" s="8">
        <v>470699</v>
      </c>
      <c r="X505" s="8">
        <f t="shared" si="239"/>
        <v>-5189</v>
      </c>
      <c r="Y505" s="8">
        <v>33253</v>
      </c>
      <c r="Z505" s="8">
        <f t="shared" si="240"/>
        <v>-4502</v>
      </c>
      <c r="AA505" s="8">
        <v>66452</v>
      </c>
      <c r="AB505" s="8">
        <f t="shared" si="227"/>
        <v>-9625</v>
      </c>
      <c r="AC505" s="8">
        <v>-33199</v>
      </c>
      <c r="AD505" s="8">
        <f t="shared" si="227"/>
        <v>5123</v>
      </c>
      <c r="AE505" s="8">
        <v>233436</v>
      </c>
      <c r="AF505" s="8">
        <f t="shared" si="241"/>
        <v>-2335</v>
      </c>
      <c r="AG505" s="8">
        <v>207378</v>
      </c>
      <c r="AH505" s="8">
        <f t="shared" si="242"/>
        <v>2919</v>
      </c>
      <c r="AI505" s="8">
        <v>26058</v>
      </c>
      <c r="AJ505" s="8">
        <f t="shared" si="243"/>
        <v>-5254</v>
      </c>
      <c r="AK505" s="8">
        <v>167773</v>
      </c>
      <c r="AL505" s="8">
        <f t="shared" si="244"/>
        <v>-2798</v>
      </c>
      <c r="AM505" s="8">
        <v>190966</v>
      </c>
      <c r="AN505" s="8">
        <f t="shared" si="245"/>
        <v>4340</v>
      </c>
      <c r="AO505" s="8">
        <v>-23193</v>
      </c>
      <c r="AP505" s="8">
        <f t="shared" si="246"/>
        <v>-7138</v>
      </c>
      <c r="AR505" s="8">
        <v>1690543</v>
      </c>
      <c r="AS505" s="8">
        <f t="shared" si="247"/>
        <v>25667</v>
      </c>
      <c r="AT505" s="8">
        <v>173472</v>
      </c>
      <c r="AU505" s="8">
        <f t="shared" si="248"/>
        <v>19044</v>
      </c>
      <c r="AV505" s="8">
        <v>232951</v>
      </c>
      <c r="AW505" s="8">
        <f t="shared" si="249"/>
        <v>-8674</v>
      </c>
      <c r="AX505" s="8">
        <f t="shared" si="224"/>
        <v>-59479</v>
      </c>
      <c r="AY505" s="8">
        <f t="shared" si="250"/>
        <v>27718</v>
      </c>
      <c r="AZ505" s="8">
        <v>747656</v>
      </c>
      <c r="BA505" s="8">
        <f t="shared" si="251"/>
        <v>9033</v>
      </c>
      <c r="BB505" s="8">
        <v>723452</v>
      </c>
      <c r="BC505" s="8">
        <f t="shared" si="252"/>
        <v>33178</v>
      </c>
      <c r="BD505" s="8">
        <f t="shared" si="225"/>
        <v>24204</v>
      </c>
      <c r="BE505" s="8">
        <f t="shared" si="253"/>
        <v>-24145</v>
      </c>
      <c r="BF505" s="8">
        <v>400101</v>
      </c>
      <c r="BG505" s="8">
        <f t="shared" si="254"/>
        <v>-2754</v>
      </c>
      <c r="BH505" s="8">
        <v>634687</v>
      </c>
      <c r="BI505" s="8">
        <f t="shared" si="255"/>
        <v>29260</v>
      </c>
      <c r="BJ505" s="8">
        <f t="shared" si="226"/>
        <v>-234586</v>
      </c>
      <c r="BK505" s="8">
        <f t="shared" si="228"/>
        <v>-32014</v>
      </c>
    </row>
    <row r="506" spans="1:63">
      <c r="A506" s="5">
        <v>42409</v>
      </c>
      <c r="B506" s="8">
        <v>460218</v>
      </c>
      <c r="C506" s="8">
        <f t="shared" si="229"/>
        <v>616</v>
      </c>
      <c r="D506" s="8">
        <v>72545</v>
      </c>
      <c r="E506" s="8">
        <f t="shared" si="230"/>
        <v>731</v>
      </c>
      <c r="F506" s="8">
        <v>25284</v>
      </c>
      <c r="G506" s="8">
        <f t="shared" si="231"/>
        <v>3881</v>
      </c>
      <c r="H506" s="8">
        <v>47261</v>
      </c>
      <c r="I506" s="8">
        <f t="shared" si="232"/>
        <v>-3150</v>
      </c>
      <c r="J506" s="8">
        <v>181451</v>
      </c>
      <c r="K506" s="8">
        <f t="shared" si="233"/>
        <v>3553</v>
      </c>
      <c r="L506" s="8">
        <v>256902</v>
      </c>
      <c r="M506" s="8">
        <f t="shared" si="234"/>
        <v>-1846</v>
      </c>
      <c r="N506" s="8">
        <v>-75451</v>
      </c>
      <c r="O506" s="8">
        <f t="shared" si="235"/>
        <v>5399</v>
      </c>
      <c r="P506" s="8">
        <v>105667</v>
      </c>
      <c r="Q506" s="8">
        <f t="shared" si="236"/>
        <v>1115</v>
      </c>
      <c r="R506" s="8">
        <v>248890</v>
      </c>
      <c r="S506" s="8">
        <f t="shared" si="237"/>
        <v>-3443</v>
      </c>
      <c r="T506" s="8">
        <v>-143223</v>
      </c>
      <c r="U506" s="8">
        <f t="shared" si="238"/>
        <v>4558</v>
      </c>
      <c r="W506" s="8">
        <v>490072</v>
      </c>
      <c r="X506" s="8">
        <f t="shared" si="239"/>
        <v>19373</v>
      </c>
      <c r="Y506" s="8">
        <v>32663</v>
      </c>
      <c r="Z506" s="8">
        <f t="shared" si="240"/>
        <v>-590</v>
      </c>
      <c r="AA506" s="8">
        <v>81521</v>
      </c>
      <c r="AB506" s="8">
        <f t="shared" si="227"/>
        <v>15069</v>
      </c>
      <c r="AC506" s="8">
        <v>-48858</v>
      </c>
      <c r="AD506" s="8">
        <f t="shared" si="227"/>
        <v>-15659</v>
      </c>
      <c r="AE506" s="8">
        <v>245617</v>
      </c>
      <c r="AF506" s="8">
        <f t="shared" si="241"/>
        <v>12181</v>
      </c>
      <c r="AG506" s="8">
        <v>198928</v>
      </c>
      <c r="AH506" s="8">
        <f t="shared" si="242"/>
        <v>-8450</v>
      </c>
      <c r="AI506" s="8">
        <v>46689</v>
      </c>
      <c r="AJ506" s="8">
        <f t="shared" si="243"/>
        <v>20631</v>
      </c>
      <c r="AK506" s="8">
        <v>176973</v>
      </c>
      <c r="AL506" s="8">
        <f t="shared" si="244"/>
        <v>9200</v>
      </c>
      <c r="AM506" s="8">
        <v>182250</v>
      </c>
      <c r="AN506" s="8">
        <f t="shared" si="245"/>
        <v>-8716</v>
      </c>
      <c r="AO506" s="8">
        <v>-5277</v>
      </c>
      <c r="AP506" s="8">
        <f t="shared" si="246"/>
        <v>17916</v>
      </c>
      <c r="AR506" s="8">
        <v>1747003</v>
      </c>
      <c r="AS506" s="8">
        <f t="shared" si="247"/>
        <v>56460</v>
      </c>
      <c r="AT506" s="8">
        <v>165855</v>
      </c>
      <c r="AU506" s="8">
        <f t="shared" si="248"/>
        <v>-7617</v>
      </c>
      <c r="AV506" s="8">
        <v>268640</v>
      </c>
      <c r="AW506" s="8">
        <f t="shared" si="249"/>
        <v>35689</v>
      </c>
      <c r="AX506" s="8">
        <f t="shared" si="224"/>
        <v>-102785</v>
      </c>
      <c r="AY506" s="8">
        <f t="shared" si="250"/>
        <v>-43306</v>
      </c>
      <c r="AZ506" s="8">
        <v>779598</v>
      </c>
      <c r="BA506" s="8">
        <f t="shared" si="251"/>
        <v>31942</v>
      </c>
      <c r="BB506" s="8">
        <v>694372</v>
      </c>
      <c r="BC506" s="8">
        <f t="shared" si="252"/>
        <v>-29080</v>
      </c>
      <c r="BD506" s="8">
        <f t="shared" si="225"/>
        <v>85226</v>
      </c>
      <c r="BE506" s="8">
        <f t="shared" si="253"/>
        <v>61022</v>
      </c>
      <c r="BF506" s="8">
        <v>425181</v>
      </c>
      <c r="BG506" s="8">
        <f t="shared" si="254"/>
        <v>25080</v>
      </c>
      <c r="BH506" s="8">
        <v>601924</v>
      </c>
      <c r="BI506" s="8">
        <f t="shared" si="255"/>
        <v>-32763</v>
      </c>
      <c r="BJ506" s="8">
        <f t="shared" si="226"/>
        <v>-176743</v>
      </c>
      <c r="BK506" s="8">
        <f t="shared" si="228"/>
        <v>57843</v>
      </c>
    </row>
    <row r="507" spans="1:63">
      <c r="A507" s="5">
        <v>42416</v>
      </c>
      <c r="B507" s="8">
        <v>467318</v>
      </c>
      <c r="C507" s="8">
        <f t="shared" si="229"/>
        <v>7100</v>
      </c>
      <c r="D507" s="8">
        <v>78893</v>
      </c>
      <c r="E507" s="8">
        <f t="shared" si="230"/>
        <v>6348</v>
      </c>
      <c r="F507" s="8">
        <v>21221</v>
      </c>
      <c r="G507" s="8">
        <f t="shared" si="231"/>
        <v>-4063</v>
      </c>
      <c r="H507" s="8">
        <v>57672</v>
      </c>
      <c r="I507" s="8">
        <f t="shared" si="232"/>
        <v>10411</v>
      </c>
      <c r="J507" s="8">
        <v>178202</v>
      </c>
      <c r="K507" s="8">
        <f t="shared" si="233"/>
        <v>-3249</v>
      </c>
      <c r="L507" s="8">
        <v>269329</v>
      </c>
      <c r="M507" s="8">
        <f t="shared" si="234"/>
        <v>12427</v>
      </c>
      <c r="N507" s="8">
        <v>-91127</v>
      </c>
      <c r="O507" s="8">
        <f t="shared" si="235"/>
        <v>-15676</v>
      </c>
      <c r="P507" s="8">
        <v>100289</v>
      </c>
      <c r="Q507" s="8">
        <f t="shared" si="236"/>
        <v>-5378</v>
      </c>
      <c r="R507" s="8">
        <v>259310</v>
      </c>
      <c r="S507" s="8">
        <f t="shared" si="237"/>
        <v>10420</v>
      </c>
      <c r="T507" s="8">
        <v>-159021</v>
      </c>
      <c r="U507" s="8">
        <f t="shared" si="238"/>
        <v>-15798</v>
      </c>
      <c r="W507" s="8">
        <v>494216</v>
      </c>
      <c r="X507" s="8">
        <f t="shared" si="239"/>
        <v>4144</v>
      </c>
      <c r="Y507" s="8">
        <v>34096</v>
      </c>
      <c r="Z507" s="8">
        <f t="shared" si="240"/>
        <v>1433</v>
      </c>
      <c r="AA507" s="8">
        <v>79147</v>
      </c>
      <c r="AB507" s="8">
        <f t="shared" si="227"/>
        <v>-2374</v>
      </c>
      <c r="AC507" s="8">
        <v>-45051</v>
      </c>
      <c r="AD507" s="8">
        <f t="shared" si="227"/>
        <v>3807</v>
      </c>
      <c r="AE507" s="8">
        <v>249592</v>
      </c>
      <c r="AF507" s="8">
        <f t="shared" si="241"/>
        <v>3975</v>
      </c>
      <c r="AG507" s="8">
        <v>206208</v>
      </c>
      <c r="AH507" s="8">
        <f t="shared" si="242"/>
        <v>7280</v>
      </c>
      <c r="AI507" s="8">
        <v>43384</v>
      </c>
      <c r="AJ507" s="8">
        <f t="shared" si="243"/>
        <v>-3305</v>
      </c>
      <c r="AK507" s="8">
        <v>179461</v>
      </c>
      <c r="AL507" s="8">
        <f t="shared" si="244"/>
        <v>2488</v>
      </c>
      <c r="AM507" s="8">
        <v>187038</v>
      </c>
      <c r="AN507" s="8">
        <f t="shared" si="245"/>
        <v>4788</v>
      </c>
      <c r="AO507" s="8">
        <v>-7577</v>
      </c>
      <c r="AP507" s="8">
        <f t="shared" si="246"/>
        <v>-2300</v>
      </c>
      <c r="AR507" s="8">
        <v>1749401</v>
      </c>
      <c r="AS507" s="8">
        <f t="shared" si="247"/>
        <v>2398</v>
      </c>
      <c r="AT507" s="8">
        <v>160192</v>
      </c>
      <c r="AU507" s="8">
        <f t="shared" si="248"/>
        <v>-5663</v>
      </c>
      <c r="AV507" s="8">
        <v>298129</v>
      </c>
      <c r="AW507" s="8">
        <f t="shared" si="249"/>
        <v>29489</v>
      </c>
      <c r="AX507" s="8">
        <f t="shared" si="224"/>
        <v>-137937</v>
      </c>
      <c r="AY507" s="8">
        <f t="shared" si="250"/>
        <v>-35152</v>
      </c>
      <c r="AZ507" s="8">
        <v>787532</v>
      </c>
      <c r="BA507" s="8">
        <f t="shared" si="251"/>
        <v>7934</v>
      </c>
      <c r="BB507" s="8">
        <v>680412</v>
      </c>
      <c r="BC507" s="8">
        <f t="shared" si="252"/>
        <v>-13960</v>
      </c>
      <c r="BD507" s="8">
        <f t="shared" si="225"/>
        <v>107120</v>
      </c>
      <c r="BE507" s="8">
        <f t="shared" si="253"/>
        <v>21894</v>
      </c>
      <c r="BF507" s="8">
        <v>424562</v>
      </c>
      <c r="BG507" s="8">
        <f t="shared" si="254"/>
        <v>-619</v>
      </c>
      <c r="BH507" s="8">
        <v>577895</v>
      </c>
      <c r="BI507" s="8">
        <f t="shared" si="255"/>
        <v>-24029</v>
      </c>
      <c r="BJ507" s="8">
        <f t="shared" si="226"/>
        <v>-153333</v>
      </c>
      <c r="BK507" s="8">
        <f t="shared" si="228"/>
        <v>23410</v>
      </c>
    </row>
    <row r="508" spans="1:63">
      <c r="A508" s="5">
        <v>42423</v>
      </c>
      <c r="B508" s="8">
        <v>446568</v>
      </c>
      <c r="C508" s="8">
        <f t="shared" si="229"/>
        <v>-20750</v>
      </c>
      <c r="D508" s="8">
        <v>80075</v>
      </c>
      <c r="E508" s="8">
        <f t="shared" si="230"/>
        <v>1182</v>
      </c>
      <c r="F508" s="8">
        <v>29587</v>
      </c>
      <c r="G508" s="8">
        <f t="shared" si="231"/>
        <v>8366</v>
      </c>
      <c r="H508" s="8">
        <v>50488</v>
      </c>
      <c r="I508" s="8">
        <f t="shared" si="232"/>
        <v>-7184</v>
      </c>
      <c r="J508" s="8">
        <v>178167</v>
      </c>
      <c r="K508" s="8">
        <f t="shared" si="233"/>
        <v>-35</v>
      </c>
      <c r="L508" s="8">
        <v>252994</v>
      </c>
      <c r="M508" s="8">
        <f t="shared" si="234"/>
        <v>-16335</v>
      </c>
      <c r="N508" s="8">
        <v>-74827</v>
      </c>
      <c r="O508" s="8">
        <f t="shared" si="235"/>
        <v>16300</v>
      </c>
      <c r="P508" s="8">
        <v>100922</v>
      </c>
      <c r="Q508" s="8">
        <f t="shared" si="236"/>
        <v>633</v>
      </c>
      <c r="R508" s="8">
        <v>243371</v>
      </c>
      <c r="S508" s="8">
        <f t="shared" si="237"/>
        <v>-15939</v>
      </c>
      <c r="T508" s="8">
        <v>-142449</v>
      </c>
      <c r="U508" s="8">
        <f t="shared" si="238"/>
        <v>16572</v>
      </c>
      <c r="W508" s="8">
        <v>461698</v>
      </c>
      <c r="X508" s="8">
        <f t="shared" si="239"/>
        <v>-32518</v>
      </c>
      <c r="Y508" s="8">
        <v>31426</v>
      </c>
      <c r="Z508" s="8">
        <f t="shared" si="240"/>
        <v>-2670</v>
      </c>
      <c r="AA508" s="8">
        <v>78168</v>
      </c>
      <c r="AB508" s="8">
        <f t="shared" si="227"/>
        <v>-979</v>
      </c>
      <c r="AC508" s="8">
        <v>-46742</v>
      </c>
      <c r="AD508" s="8">
        <f t="shared" si="227"/>
        <v>-1691</v>
      </c>
      <c r="AE508" s="8">
        <v>242976</v>
      </c>
      <c r="AF508" s="8">
        <f t="shared" si="241"/>
        <v>-6616</v>
      </c>
      <c r="AG508" s="8">
        <v>190823</v>
      </c>
      <c r="AH508" s="8">
        <f t="shared" si="242"/>
        <v>-15385</v>
      </c>
      <c r="AI508" s="8">
        <v>52153</v>
      </c>
      <c r="AJ508" s="8">
        <f t="shared" si="243"/>
        <v>8769</v>
      </c>
      <c r="AK508" s="8">
        <v>176479</v>
      </c>
      <c r="AL508" s="8">
        <f t="shared" si="244"/>
        <v>-2982</v>
      </c>
      <c r="AM508" s="8">
        <v>176611</v>
      </c>
      <c r="AN508" s="8">
        <f t="shared" si="245"/>
        <v>-10427</v>
      </c>
      <c r="AO508" s="8">
        <v>-132</v>
      </c>
      <c r="AP508" s="8">
        <f t="shared" si="246"/>
        <v>7445</v>
      </c>
      <c r="AR508" s="8">
        <v>1622002</v>
      </c>
      <c r="AS508" s="8">
        <f t="shared" si="247"/>
        <v>-127399</v>
      </c>
      <c r="AT508" s="8">
        <v>160811</v>
      </c>
      <c r="AU508" s="8">
        <f t="shared" si="248"/>
        <v>619</v>
      </c>
      <c r="AV508" s="8">
        <v>295145</v>
      </c>
      <c r="AW508" s="8">
        <f t="shared" si="249"/>
        <v>-2984</v>
      </c>
      <c r="AX508" s="8">
        <f t="shared" si="224"/>
        <v>-134334</v>
      </c>
      <c r="AY508" s="8">
        <f t="shared" si="250"/>
        <v>3603</v>
      </c>
      <c r="AZ508" s="8">
        <v>738175</v>
      </c>
      <c r="BA508" s="8">
        <f t="shared" si="251"/>
        <v>-49357</v>
      </c>
      <c r="BB508" s="8">
        <v>636301</v>
      </c>
      <c r="BC508" s="8">
        <f t="shared" si="252"/>
        <v>-44111</v>
      </c>
      <c r="BD508" s="8">
        <f t="shared" si="225"/>
        <v>101874</v>
      </c>
      <c r="BE508" s="8">
        <f t="shared" si="253"/>
        <v>-5246</v>
      </c>
      <c r="BF508" s="8">
        <v>408227</v>
      </c>
      <c r="BG508" s="8">
        <f t="shared" si="254"/>
        <v>-16335</v>
      </c>
      <c r="BH508" s="8">
        <v>568129</v>
      </c>
      <c r="BI508" s="8">
        <f t="shared" si="255"/>
        <v>-9766</v>
      </c>
      <c r="BJ508" s="8">
        <f t="shared" si="226"/>
        <v>-159902</v>
      </c>
      <c r="BK508" s="8">
        <f t="shared" si="228"/>
        <v>-6569</v>
      </c>
    </row>
    <row r="509" spans="1:63">
      <c r="A509" s="5">
        <v>42430</v>
      </c>
      <c r="B509" s="8">
        <v>421163</v>
      </c>
      <c r="C509" s="8">
        <f t="shared" si="229"/>
        <v>-25405</v>
      </c>
      <c r="D509" s="8">
        <v>75301</v>
      </c>
      <c r="E509" s="8">
        <f t="shared" si="230"/>
        <v>-4774</v>
      </c>
      <c r="F509" s="8">
        <v>33740</v>
      </c>
      <c r="G509" s="8">
        <f t="shared" si="231"/>
        <v>4153</v>
      </c>
      <c r="H509" s="8">
        <v>41561</v>
      </c>
      <c r="I509" s="8">
        <f t="shared" si="232"/>
        <v>-8927</v>
      </c>
      <c r="J509" s="8">
        <v>170919</v>
      </c>
      <c r="K509" s="8">
        <f t="shared" si="233"/>
        <v>-7248</v>
      </c>
      <c r="L509" s="8">
        <v>228854</v>
      </c>
      <c r="M509" s="8">
        <f t="shared" si="234"/>
        <v>-24140</v>
      </c>
      <c r="N509" s="8">
        <v>-57935</v>
      </c>
      <c r="O509" s="8">
        <f t="shared" si="235"/>
        <v>16892</v>
      </c>
      <c r="P509" s="8">
        <v>91718</v>
      </c>
      <c r="Q509" s="8">
        <f t="shared" si="236"/>
        <v>-9204</v>
      </c>
      <c r="R509" s="8">
        <v>217593</v>
      </c>
      <c r="S509" s="8">
        <f t="shared" si="237"/>
        <v>-25778</v>
      </c>
      <c r="T509" s="8">
        <v>-125875</v>
      </c>
      <c r="U509" s="8">
        <f t="shared" si="238"/>
        <v>16574</v>
      </c>
      <c r="W509" s="8">
        <v>444548</v>
      </c>
      <c r="X509" s="8">
        <f t="shared" si="239"/>
        <v>-17150</v>
      </c>
      <c r="Y509" s="8">
        <v>30731</v>
      </c>
      <c r="Z509" s="8">
        <f t="shared" si="240"/>
        <v>-695</v>
      </c>
      <c r="AA509" s="8">
        <v>79450</v>
      </c>
      <c r="AB509" s="8">
        <f t="shared" si="227"/>
        <v>1282</v>
      </c>
      <c r="AC509" s="8">
        <v>-48719</v>
      </c>
      <c r="AD509" s="8">
        <f t="shared" si="227"/>
        <v>-1977</v>
      </c>
      <c r="AE509" s="8">
        <v>232030</v>
      </c>
      <c r="AF509" s="8">
        <f t="shared" si="241"/>
        <v>-10946</v>
      </c>
      <c r="AG509" s="8">
        <v>173263</v>
      </c>
      <c r="AH509" s="8">
        <f t="shared" si="242"/>
        <v>-17560</v>
      </c>
      <c r="AI509" s="8">
        <v>58767</v>
      </c>
      <c r="AJ509" s="8">
        <f t="shared" si="243"/>
        <v>6614</v>
      </c>
      <c r="AK509" s="8">
        <v>162076</v>
      </c>
      <c r="AL509" s="8">
        <f t="shared" si="244"/>
        <v>-14403</v>
      </c>
      <c r="AM509" s="8">
        <v>160262</v>
      </c>
      <c r="AN509" s="8">
        <f t="shared" si="245"/>
        <v>-16349</v>
      </c>
      <c r="AO509" s="8">
        <v>1814</v>
      </c>
      <c r="AP509" s="8">
        <f t="shared" si="246"/>
        <v>1946</v>
      </c>
      <c r="AR509" s="8">
        <v>1630381</v>
      </c>
      <c r="AS509" s="8">
        <f t="shared" si="247"/>
        <v>8379</v>
      </c>
      <c r="AT509" s="8">
        <v>144629</v>
      </c>
      <c r="AU509" s="8">
        <f t="shared" si="248"/>
        <v>-16182</v>
      </c>
      <c r="AV509" s="8">
        <v>348466</v>
      </c>
      <c r="AW509" s="8">
        <f t="shared" si="249"/>
        <v>53321</v>
      </c>
      <c r="AX509" s="8">
        <f t="shared" si="224"/>
        <v>-203837</v>
      </c>
      <c r="AY509" s="8">
        <f t="shared" si="250"/>
        <v>-69503</v>
      </c>
      <c r="AZ509" s="8">
        <v>746142</v>
      </c>
      <c r="BA509" s="8">
        <f t="shared" si="251"/>
        <v>7967</v>
      </c>
      <c r="BB509" s="8">
        <v>588155</v>
      </c>
      <c r="BC509" s="8">
        <f t="shared" si="252"/>
        <v>-48146</v>
      </c>
      <c r="BD509" s="8">
        <f t="shared" si="225"/>
        <v>157987</v>
      </c>
      <c r="BE509" s="8">
        <f t="shared" si="253"/>
        <v>56113</v>
      </c>
      <c r="BF509" s="8">
        <v>417912</v>
      </c>
      <c r="BG509" s="8">
        <f t="shared" si="254"/>
        <v>9685</v>
      </c>
      <c r="BH509" s="8">
        <v>523329</v>
      </c>
      <c r="BI509" s="8">
        <f t="shared" si="255"/>
        <v>-44800</v>
      </c>
      <c r="BJ509" s="8">
        <f t="shared" si="226"/>
        <v>-105417</v>
      </c>
      <c r="BK509" s="8">
        <f t="shared" si="228"/>
        <v>54485</v>
      </c>
    </row>
    <row r="510" spans="1:63">
      <c r="A510" s="5">
        <v>42437</v>
      </c>
      <c r="B510" s="8">
        <v>424624</v>
      </c>
      <c r="C510" s="8">
        <f t="shared" si="229"/>
        <v>3461</v>
      </c>
      <c r="D510" s="8">
        <v>72100</v>
      </c>
      <c r="E510" s="8">
        <f t="shared" si="230"/>
        <v>-3201</v>
      </c>
      <c r="F510" s="8">
        <v>33008</v>
      </c>
      <c r="G510" s="8">
        <f t="shared" si="231"/>
        <v>-732</v>
      </c>
      <c r="H510" s="8">
        <v>39092</v>
      </c>
      <c r="I510" s="8">
        <f t="shared" si="232"/>
        <v>-2469</v>
      </c>
      <c r="J510" s="8">
        <v>175878</v>
      </c>
      <c r="K510" s="8">
        <f t="shared" si="233"/>
        <v>4959</v>
      </c>
      <c r="L510" s="8">
        <v>233849</v>
      </c>
      <c r="M510" s="8">
        <f t="shared" si="234"/>
        <v>4995</v>
      </c>
      <c r="N510" s="8">
        <v>-57971</v>
      </c>
      <c r="O510" s="8">
        <f t="shared" si="235"/>
        <v>-36</v>
      </c>
      <c r="P510" s="8">
        <v>96240</v>
      </c>
      <c r="Q510" s="8">
        <f t="shared" si="236"/>
        <v>4522</v>
      </c>
      <c r="R510" s="8">
        <v>222909</v>
      </c>
      <c r="S510" s="8">
        <f t="shared" si="237"/>
        <v>5316</v>
      </c>
      <c r="T510" s="8">
        <v>-126669</v>
      </c>
      <c r="U510" s="8">
        <f t="shared" si="238"/>
        <v>-794</v>
      </c>
      <c r="W510" s="8">
        <v>421302</v>
      </c>
      <c r="X510" s="8">
        <f t="shared" si="239"/>
        <v>-23246</v>
      </c>
      <c r="Y510" s="8">
        <v>35774</v>
      </c>
      <c r="Z510" s="8">
        <f t="shared" si="240"/>
        <v>5043</v>
      </c>
      <c r="AA510" s="8">
        <v>60013</v>
      </c>
      <c r="AB510" s="8">
        <f t="shared" si="227"/>
        <v>-19437</v>
      </c>
      <c r="AC510" s="8">
        <v>-24239</v>
      </c>
      <c r="AD510" s="8">
        <f t="shared" si="227"/>
        <v>24480</v>
      </c>
      <c r="AE510" s="8">
        <v>210857</v>
      </c>
      <c r="AF510" s="8">
        <f t="shared" si="241"/>
        <v>-21173</v>
      </c>
      <c r="AG510" s="8">
        <v>182482</v>
      </c>
      <c r="AH510" s="8">
        <f t="shared" si="242"/>
        <v>9219</v>
      </c>
      <c r="AI510" s="8">
        <v>28375</v>
      </c>
      <c r="AJ510" s="8">
        <f t="shared" si="243"/>
        <v>-30392</v>
      </c>
      <c r="AK510" s="8">
        <v>142885</v>
      </c>
      <c r="AL510" s="8">
        <f t="shared" si="244"/>
        <v>-19191</v>
      </c>
      <c r="AM510" s="8">
        <v>169580</v>
      </c>
      <c r="AN510" s="8">
        <f t="shared" si="245"/>
        <v>9318</v>
      </c>
      <c r="AO510" s="8">
        <v>-26695</v>
      </c>
      <c r="AP510" s="8">
        <f t="shared" si="246"/>
        <v>-28509</v>
      </c>
      <c r="AR510" s="8">
        <v>1687116</v>
      </c>
      <c r="AS510" s="8">
        <f t="shared" si="247"/>
        <v>56735</v>
      </c>
      <c r="AT510" s="8">
        <v>145100</v>
      </c>
      <c r="AU510" s="8">
        <f t="shared" si="248"/>
        <v>471</v>
      </c>
      <c r="AV510" s="8">
        <v>374276</v>
      </c>
      <c r="AW510" s="8">
        <f t="shared" si="249"/>
        <v>25810</v>
      </c>
      <c r="AX510" s="8">
        <f t="shared" si="224"/>
        <v>-229176</v>
      </c>
      <c r="AY510" s="8">
        <f t="shared" si="250"/>
        <v>-25339</v>
      </c>
      <c r="AZ510" s="8">
        <v>764363</v>
      </c>
      <c r="BA510" s="8">
        <f t="shared" si="251"/>
        <v>18221</v>
      </c>
      <c r="BB510" s="8">
        <v>598497</v>
      </c>
      <c r="BC510" s="8">
        <f t="shared" si="252"/>
        <v>10342</v>
      </c>
      <c r="BD510" s="8">
        <f t="shared" si="225"/>
        <v>165866</v>
      </c>
      <c r="BE510" s="8">
        <f t="shared" si="253"/>
        <v>7879</v>
      </c>
      <c r="BF510" s="8">
        <v>438366</v>
      </c>
      <c r="BG510" s="8">
        <f t="shared" si="254"/>
        <v>20454</v>
      </c>
      <c r="BH510" s="8">
        <v>531571</v>
      </c>
      <c r="BI510" s="8">
        <f t="shared" si="255"/>
        <v>8242</v>
      </c>
      <c r="BJ510" s="8">
        <f t="shared" si="226"/>
        <v>-93205</v>
      </c>
      <c r="BK510" s="8">
        <f t="shared" si="228"/>
        <v>12212</v>
      </c>
    </row>
    <row r="511" spans="1:63">
      <c r="A511" s="5">
        <v>42444</v>
      </c>
      <c r="B511" s="8">
        <v>467437</v>
      </c>
      <c r="C511" s="8">
        <f t="shared" si="229"/>
        <v>42813</v>
      </c>
      <c r="D511" s="8">
        <v>99347</v>
      </c>
      <c r="E511" s="8">
        <f t="shared" si="230"/>
        <v>27247</v>
      </c>
      <c r="F511" s="8">
        <v>24439</v>
      </c>
      <c r="G511" s="8">
        <f t="shared" si="231"/>
        <v>-8569</v>
      </c>
      <c r="H511" s="8">
        <v>74908</v>
      </c>
      <c r="I511" s="8">
        <f t="shared" si="232"/>
        <v>35816</v>
      </c>
      <c r="J511" s="8">
        <v>173806</v>
      </c>
      <c r="K511" s="8">
        <f t="shared" si="233"/>
        <v>-2072</v>
      </c>
      <c r="L511" s="8">
        <v>282615</v>
      </c>
      <c r="M511" s="8">
        <f t="shared" si="234"/>
        <v>48766</v>
      </c>
      <c r="N511" s="8">
        <v>-108809</v>
      </c>
      <c r="O511" s="8">
        <f t="shared" si="235"/>
        <v>-50838</v>
      </c>
      <c r="P511" s="8">
        <v>91207</v>
      </c>
      <c r="Q511" s="8">
        <f t="shared" si="236"/>
        <v>-5033</v>
      </c>
      <c r="R511" s="8">
        <v>268115</v>
      </c>
      <c r="S511" s="8">
        <f t="shared" si="237"/>
        <v>45206</v>
      </c>
      <c r="T511" s="8">
        <v>-176908</v>
      </c>
      <c r="U511" s="8">
        <f t="shared" si="238"/>
        <v>-50239</v>
      </c>
      <c r="W511" s="8">
        <v>426711</v>
      </c>
      <c r="X511" s="8">
        <f t="shared" si="239"/>
        <v>5409</v>
      </c>
      <c r="Y511" s="8">
        <v>39642</v>
      </c>
      <c r="Z511" s="8">
        <f t="shared" si="240"/>
        <v>3868</v>
      </c>
      <c r="AA511" s="8">
        <v>62633</v>
      </c>
      <c r="AB511" s="8">
        <f t="shared" si="227"/>
        <v>2620</v>
      </c>
      <c r="AC511" s="8">
        <v>-22991</v>
      </c>
      <c r="AD511" s="8">
        <f t="shared" si="227"/>
        <v>1248</v>
      </c>
      <c r="AE511" s="8">
        <v>214422</v>
      </c>
      <c r="AF511" s="8">
        <f t="shared" si="241"/>
        <v>3565</v>
      </c>
      <c r="AG511" s="8">
        <v>185404</v>
      </c>
      <c r="AH511" s="8">
        <f t="shared" si="242"/>
        <v>2922</v>
      </c>
      <c r="AI511" s="8">
        <v>29018</v>
      </c>
      <c r="AJ511" s="8">
        <f t="shared" si="243"/>
        <v>643</v>
      </c>
      <c r="AK511" s="8">
        <v>146195</v>
      </c>
      <c r="AL511" s="8">
        <f t="shared" si="244"/>
        <v>3310</v>
      </c>
      <c r="AM511" s="8">
        <v>171235</v>
      </c>
      <c r="AN511" s="8">
        <f t="shared" si="245"/>
        <v>1655</v>
      </c>
      <c r="AO511" s="8">
        <v>-25040</v>
      </c>
      <c r="AP511" s="8">
        <f t="shared" si="246"/>
        <v>1655</v>
      </c>
      <c r="AR511" s="8">
        <v>1714437</v>
      </c>
      <c r="AS511" s="8">
        <f t="shared" si="247"/>
        <v>27321</v>
      </c>
      <c r="AT511" s="8">
        <v>161903</v>
      </c>
      <c r="AU511" s="8">
        <f t="shared" si="248"/>
        <v>16803</v>
      </c>
      <c r="AV511" s="8">
        <v>350070</v>
      </c>
      <c r="AW511" s="8">
        <f t="shared" si="249"/>
        <v>-24206</v>
      </c>
      <c r="AX511" s="8">
        <f t="shared" si="224"/>
        <v>-188167</v>
      </c>
      <c r="AY511" s="8">
        <f t="shared" si="250"/>
        <v>41009</v>
      </c>
      <c r="AZ511" s="8">
        <v>766988</v>
      </c>
      <c r="BA511" s="8">
        <f t="shared" si="251"/>
        <v>2625</v>
      </c>
      <c r="BB511" s="8">
        <v>641276</v>
      </c>
      <c r="BC511" s="8">
        <f t="shared" si="252"/>
        <v>42779</v>
      </c>
      <c r="BD511" s="8">
        <f t="shared" si="225"/>
        <v>125712</v>
      </c>
      <c r="BE511" s="8">
        <f t="shared" si="253"/>
        <v>-40154</v>
      </c>
      <c r="BF511" s="8">
        <v>436989</v>
      </c>
      <c r="BG511" s="8">
        <f t="shared" si="254"/>
        <v>-1377</v>
      </c>
      <c r="BH511" s="8">
        <v>563996</v>
      </c>
      <c r="BI511" s="8">
        <f t="shared" si="255"/>
        <v>32425</v>
      </c>
      <c r="BJ511" s="8">
        <f t="shared" si="226"/>
        <v>-127007</v>
      </c>
      <c r="BK511" s="8">
        <f t="shared" si="228"/>
        <v>-33802</v>
      </c>
    </row>
    <row r="512" spans="1:63">
      <c r="A512" s="5">
        <v>42451</v>
      </c>
      <c r="B512" s="8">
        <v>507806</v>
      </c>
      <c r="C512" s="8">
        <f t="shared" si="229"/>
        <v>40369</v>
      </c>
      <c r="D512" s="8">
        <v>119675</v>
      </c>
      <c r="E512" s="8">
        <f t="shared" si="230"/>
        <v>20328</v>
      </c>
      <c r="F512" s="8">
        <v>20335</v>
      </c>
      <c r="G512" s="8">
        <f t="shared" si="231"/>
        <v>-4104</v>
      </c>
      <c r="H512" s="8">
        <v>99340</v>
      </c>
      <c r="I512" s="8">
        <f t="shared" si="232"/>
        <v>24432</v>
      </c>
      <c r="J512" s="8">
        <v>169724</v>
      </c>
      <c r="K512" s="8">
        <f t="shared" si="233"/>
        <v>-4082</v>
      </c>
      <c r="L512" s="8">
        <v>307347</v>
      </c>
      <c r="M512" s="8">
        <f t="shared" si="234"/>
        <v>24732</v>
      </c>
      <c r="N512" s="8">
        <v>-137623</v>
      </c>
      <c r="O512" s="8">
        <f t="shared" si="235"/>
        <v>-28814</v>
      </c>
      <c r="P512" s="8">
        <v>86600</v>
      </c>
      <c r="Q512" s="8">
        <f t="shared" si="236"/>
        <v>-4607</v>
      </c>
      <c r="R512" s="8">
        <v>291894</v>
      </c>
      <c r="S512" s="8">
        <f t="shared" si="237"/>
        <v>23779</v>
      </c>
      <c r="T512" s="8">
        <v>-205294</v>
      </c>
      <c r="U512" s="8">
        <f t="shared" si="238"/>
        <v>-28386</v>
      </c>
      <c r="W512" s="8">
        <v>432073</v>
      </c>
      <c r="X512" s="8">
        <f t="shared" si="239"/>
        <v>5362</v>
      </c>
      <c r="Y512" s="8">
        <v>39054</v>
      </c>
      <c r="Z512" s="8">
        <f t="shared" si="240"/>
        <v>-588</v>
      </c>
      <c r="AA512" s="8">
        <v>61164</v>
      </c>
      <c r="AB512" s="8">
        <f t="shared" si="227"/>
        <v>-1469</v>
      </c>
      <c r="AC512" s="8">
        <v>-22110</v>
      </c>
      <c r="AD512" s="8">
        <f t="shared" si="227"/>
        <v>881</v>
      </c>
      <c r="AE512" s="8">
        <v>209380</v>
      </c>
      <c r="AF512" s="8">
        <f t="shared" si="241"/>
        <v>-5042</v>
      </c>
      <c r="AG512" s="8">
        <v>188927</v>
      </c>
      <c r="AH512" s="8">
        <f t="shared" si="242"/>
        <v>3523</v>
      </c>
      <c r="AI512" s="8">
        <v>20453</v>
      </c>
      <c r="AJ512" s="8">
        <f t="shared" si="243"/>
        <v>-8565</v>
      </c>
      <c r="AK512" s="8">
        <v>138516</v>
      </c>
      <c r="AL512" s="8">
        <f t="shared" si="244"/>
        <v>-7679</v>
      </c>
      <c r="AM512" s="8">
        <v>173455</v>
      </c>
      <c r="AN512" s="8">
        <f t="shared" si="245"/>
        <v>2220</v>
      </c>
      <c r="AO512" s="8">
        <v>-34939</v>
      </c>
      <c r="AP512" s="8">
        <f t="shared" si="246"/>
        <v>-9899</v>
      </c>
      <c r="AR512" s="8">
        <v>1710319</v>
      </c>
      <c r="AS512" s="8">
        <f t="shared" si="247"/>
        <v>-4118</v>
      </c>
      <c r="AT512" s="8">
        <v>168208</v>
      </c>
      <c r="AU512" s="8">
        <f t="shared" si="248"/>
        <v>6305</v>
      </c>
      <c r="AV512" s="8">
        <v>322777</v>
      </c>
      <c r="AW512" s="8">
        <f t="shared" si="249"/>
        <v>-27293</v>
      </c>
      <c r="AX512" s="8">
        <f t="shared" si="224"/>
        <v>-154569</v>
      </c>
      <c r="AY512" s="8">
        <f t="shared" si="250"/>
        <v>33598</v>
      </c>
      <c r="AZ512" s="8">
        <v>756304</v>
      </c>
      <c r="BA512" s="8">
        <f t="shared" si="251"/>
        <v>-10684</v>
      </c>
      <c r="BB512" s="8">
        <v>665800</v>
      </c>
      <c r="BC512" s="8">
        <f t="shared" si="252"/>
        <v>24524</v>
      </c>
      <c r="BD512" s="8">
        <f t="shared" si="225"/>
        <v>90504</v>
      </c>
      <c r="BE512" s="8">
        <f t="shared" si="253"/>
        <v>-35208</v>
      </c>
      <c r="BF512" s="8">
        <v>425844</v>
      </c>
      <c r="BG512" s="8">
        <f t="shared" si="254"/>
        <v>-11145</v>
      </c>
      <c r="BH512" s="8">
        <v>587398</v>
      </c>
      <c r="BI512" s="8">
        <f t="shared" si="255"/>
        <v>23402</v>
      </c>
      <c r="BJ512" s="8">
        <f t="shared" si="226"/>
        <v>-161554</v>
      </c>
      <c r="BK512" s="8">
        <f t="shared" si="228"/>
        <v>-34547</v>
      </c>
    </row>
    <row r="513" spans="1:63">
      <c r="A513" s="5">
        <v>42458</v>
      </c>
      <c r="B513" s="8">
        <v>510217</v>
      </c>
      <c r="C513" s="8">
        <f t="shared" si="229"/>
        <v>2411</v>
      </c>
      <c r="D513" s="8">
        <v>124764</v>
      </c>
      <c r="E513" s="8">
        <f t="shared" si="230"/>
        <v>5089</v>
      </c>
      <c r="F513" s="8">
        <v>19109</v>
      </c>
      <c r="G513" s="8">
        <f t="shared" si="231"/>
        <v>-1226</v>
      </c>
      <c r="H513" s="8">
        <v>105655</v>
      </c>
      <c r="I513" s="8">
        <f t="shared" si="232"/>
        <v>6315</v>
      </c>
      <c r="J513" s="8">
        <v>171415</v>
      </c>
      <c r="K513" s="8">
        <f t="shared" si="233"/>
        <v>1691</v>
      </c>
      <c r="L513" s="8">
        <v>316831</v>
      </c>
      <c r="M513" s="8">
        <f t="shared" si="234"/>
        <v>9484</v>
      </c>
      <c r="N513" s="8">
        <v>-145416</v>
      </c>
      <c r="O513" s="8">
        <f t="shared" si="235"/>
        <v>-7793</v>
      </c>
      <c r="P513" s="8">
        <v>88562</v>
      </c>
      <c r="Q513" s="8">
        <f t="shared" si="236"/>
        <v>1962</v>
      </c>
      <c r="R513" s="8">
        <v>301396</v>
      </c>
      <c r="S513" s="8">
        <f t="shared" si="237"/>
        <v>9502</v>
      </c>
      <c r="T513" s="8">
        <v>-212834</v>
      </c>
      <c r="U513" s="8">
        <f t="shared" si="238"/>
        <v>-7540</v>
      </c>
      <c r="W513" s="8">
        <v>426004</v>
      </c>
      <c r="X513" s="8">
        <f t="shared" si="239"/>
        <v>-6069</v>
      </c>
      <c r="Y513" s="8">
        <v>39737</v>
      </c>
      <c r="Z513" s="8">
        <f t="shared" si="240"/>
        <v>683</v>
      </c>
      <c r="AA513" s="8">
        <v>52915</v>
      </c>
      <c r="AB513" s="8">
        <f t="shared" si="227"/>
        <v>-8249</v>
      </c>
      <c r="AC513" s="8">
        <v>-13178</v>
      </c>
      <c r="AD513" s="8">
        <f t="shared" si="227"/>
        <v>8932</v>
      </c>
      <c r="AE513" s="8">
        <v>203231</v>
      </c>
      <c r="AF513" s="8">
        <f t="shared" si="241"/>
        <v>-6149</v>
      </c>
      <c r="AG513" s="8">
        <v>195553</v>
      </c>
      <c r="AH513" s="8">
        <f t="shared" si="242"/>
        <v>6626</v>
      </c>
      <c r="AI513" s="8">
        <v>7678</v>
      </c>
      <c r="AJ513" s="8">
        <f t="shared" si="243"/>
        <v>-12775</v>
      </c>
      <c r="AK513" s="8">
        <v>129644</v>
      </c>
      <c r="AL513" s="8">
        <f t="shared" si="244"/>
        <v>-8872</v>
      </c>
      <c r="AM513" s="8">
        <v>178114</v>
      </c>
      <c r="AN513" s="8">
        <f t="shared" si="245"/>
        <v>4659</v>
      </c>
      <c r="AO513" s="8">
        <v>-48470</v>
      </c>
      <c r="AP513" s="8">
        <f t="shared" si="246"/>
        <v>-13531</v>
      </c>
      <c r="AR513" s="8">
        <v>1699627</v>
      </c>
      <c r="AS513" s="8">
        <f t="shared" si="247"/>
        <v>-10692</v>
      </c>
      <c r="AT513" s="8">
        <v>172210</v>
      </c>
      <c r="AU513" s="8">
        <f t="shared" si="248"/>
        <v>4002</v>
      </c>
      <c r="AV513" s="8">
        <v>280643</v>
      </c>
      <c r="AW513" s="8">
        <f t="shared" si="249"/>
        <v>-42134</v>
      </c>
      <c r="AX513" s="8">
        <f t="shared" si="224"/>
        <v>-108433</v>
      </c>
      <c r="AY513" s="8">
        <f t="shared" si="250"/>
        <v>46136</v>
      </c>
      <c r="AZ513" s="8">
        <v>758081</v>
      </c>
      <c r="BA513" s="8">
        <f t="shared" si="251"/>
        <v>1777</v>
      </c>
      <c r="BB513" s="8">
        <v>704992</v>
      </c>
      <c r="BC513" s="8">
        <f t="shared" si="252"/>
        <v>39192</v>
      </c>
      <c r="BD513" s="8">
        <f t="shared" si="225"/>
        <v>53089</v>
      </c>
      <c r="BE513" s="8">
        <f t="shared" si="253"/>
        <v>-37415</v>
      </c>
      <c r="BF513" s="8">
        <v>423699</v>
      </c>
      <c r="BG513" s="8">
        <f t="shared" si="254"/>
        <v>-2145</v>
      </c>
      <c r="BH513" s="8">
        <v>619595</v>
      </c>
      <c r="BI513" s="8">
        <f t="shared" si="255"/>
        <v>32197</v>
      </c>
      <c r="BJ513" s="8">
        <f t="shared" si="226"/>
        <v>-195896</v>
      </c>
      <c r="BK513" s="8">
        <f t="shared" si="228"/>
        <v>-34342</v>
      </c>
    </row>
    <row r="514" spans="1:63">
      <c r="A514" s="5">
        <v>42465</v>
      </c>
      <c r="B514" s="8">
        <v>543095</v>
      </c>
      <c r="C514" s="8">
        <f t="shared" si="229"/>
        <v>32878</v>
      </c>
      <c r="D514" s="8">
        <v>133220</v>
      </c>
      <c r="E514" s="8">
        <f t="shared" si="230"/>
        <v>8456</v>
      </c>
      <c r="F514" s="8">
        <v>24501</v>
      </c>
      <c r="G514" s="8">
        <f t="shared" si="231"/>
        <v>5392</v>
      </c>
      <c r="H514" s="8">
        <v>108719</v>
      </c>
      <c r="I514" s="8">
        <f t="shared" si="232"/>
        <v>3064</v>
      </c>
      <c r="J514" s="8">
        <v>170123</v>
      </c>
      <c r="K514" s="8">
        <f t="shared" si="233"/>
        <v>-1292</v>
      </c>
      <c r="L514" s="8">
        <v>322328</v>
      </c>
      <c r="M514" s="8">
        <f t="shared" si="234"/>
        <v>5497</v>
      </c>
      <c r="N514" s="8">
        <v>-152205</v>
      </c>
      <c r="O514" s="8">
        <f t="shared" si="235"/>
        <v>-6789</v>
      </c>
      <c r="P514" s="8">
        <v>84666</v>
      </c>
      <c r="Q514" s="8">
        <f t="shared" si="236"/>
        <v>-3896</v>
      </c>
      <c r="R514" s="8">
        <v>306368</v>
      </c>
      <c r="S514" s="8">
        <f t="shared" si="237"/>
        <v>4972</v>
      </c>
      <c r="T514" s="8">
        <v>-221702</v>
      </c>
      <c r="U514" s="8">
        <f t="shared" si="238"/>
        <v>-8868</v>
      </c>
      <c r="W514" s="8">
        <v>434689</v>
      </c>
      <c r="X514" s="8">
        <f t="shared" si="239"/>
        <v>8685</v>
      </c>
      <c r="Y514" s="8">
        <v>39186</v>
      </c>
      <c r="Z514" s="8">
        <f t="shared" si="240"/>
        <v>-551</v>
      </c>
      <c r="AA514" s="8">
        <v>59403</v>
      </c>
      <c r="AB514" s="8">
        <f t="shared" si="227"/>
        <v>6488</v>
      </c>
      <c r="AC514" s="8">
        <v>-20217</v>
      </c>
      <c r="AD514" s="8">
        <f t="shared" si="227"/>
        <v>-7039</v>
      </c>
      <c r="AE514" s="8">
        <v>217986</v>
      </c>
      <c r="AF514" s="8">
        <f t="shared" si="241"/>
        <v>14755</v>
      </c>
      <c r="AG514" s="8">
        <v>196773</v>
      </c>
      <c r="AH514" s="8">
        <f t="shared" si="242"/>
        <v>1220</v>
      </c>
      <c r="AI514" s="8">
        <v>21213</v>
      </c>
      <c r="AJ514" s="8">
        <f t="shared" si="243"/>
        <v>13535</v>
      </c>
      <c r="AK514" s="8">
        <v>139821</v>
      </c>
      <c r="AL514" s="8">
        <f t="shared" si="244"/>
        <v>10177</v>
      </c>
      <c r="AM514" s="8">
        <v>178698</v>
      </c>
      <c r="AN514" s="8">
        <f t="shared" si="245"/>
        <v>584</v>
      </c>
      <c r="AO514" s="8">
        <v>-38877</v>
      </c>
      <c r="AP514" s="8">
        <f t="shared" si="246"/>
        <v>9593</v>
      </c>
      <c r="AR514" s="8">
        <v>1850969</v>
      </c>
      <c r="AS514" s="8">
        <f t="shared" si="247"/>
        <v>151342</v>
      </c>
      <c r="AT514" s="8">
        <v>156829</v>
      </c>
      <c r="AU514" s="8">
        <f t="shared" si="248"/>
        <v>-15381</v>
      </c>
      <c r="AV514" s="8">
        <v>318694</v>
      </c>
      <c r="AW514" s="8">
        <f t="shared" si="249"/>
        <v>38051</v>
      </c>
      <c r="AX514" s="8">
        <f t="shared" si="224"/>
        <v>-161865</v>
      </c>
      <c r="AY514" s="8">
        <f t="shared" si="250"/>
        <v>-53432</v>
      </c>
      <c r="AZ514" s="8">
        <v>845877</v>
      </c>
      <c r="BA514" s="8">
        <f t="shared" si="251"/>
        <v>87796</v>
      </c>
      <c r="BB514" s="8">
        <v>710249</v>
      </c>
      <c r="BC514" s="8">
        <f t="shared" si="252"/>
        <v>5257</v>
      </c>
      <c r="BD514" s="8">
        <f t="shared" si="225"/>
        <v>135628</v>
      </c>
      <c r="BE514" s="8">
        <f t="shared" si="253"/>
        <v>82539</v>
      </c>
      <c r="BF514" s="8">
        <v>493827</v>
      </c>
      <c r="BG514" s="8">
        <f t="shared" si="254"/>
        <v>70128</v>
      </c>
      <c r="BH514" s="8">
        <v>630199</v>
      </c>
      <c r="BI514" s="8">
        <f t="shared" si="255"/>
        <v>10604</v>
      </c>
      <c r="BJ514" s="8">
        <f t="shared" si="226"/>
        <v>-136372</v>
      </c>
      <c r="BK514" s="8">
        <f t="shared" si="228"/>
        <v>59524</v>
      </c>
    </row>
    <row r="515" spans="1:63">
      <c r="A515" s="5">
        <v>42472</v>
      </c>
      <c r="B515" s="8">
        <v>533999</v>
      </c>
      <c r="C515" s="8">
        <f t="shared" si="229"/>
        <v>-9096</v>
      </c>
      <c r="D515" s="8">
        <v>127344</v>
      </c>
      <c r="E515" s="8">
        <f t="shared" si="230"/>
        <v>-5876</v>
      </c>
      <c r="F515" s="8">
        <v>30903</v>
      </c>
      <c r="G515" s="8">
        <f t="shared" si="231"/>
        <v>6402</v>
      </c>
      <c r="H515" s="8">
        <v>96441</v>
      </c>
      <c r="I515" s="8">
        <f t="shared" si="232"/>
        <v>-12278</v>
      </c>
      <c r="J515" s="8">
        <v>159514</v>
      </c>
      <c r="K515" s="8">
        <f t="shared" si="233"/>
        <v>-10609</v>
      </c>
      <c r="L515" s="8">
        <v>298751</v>
      </c>
      <c r="M515" s="8">
        <f t="shared" si="234"/>
        <v>-23577</v>
      </c>
      <c r="N515" s="8">
        <v>-139237</v>
      </c>
      <c r="O515" s="8">
        <f t="shared" si="235"/>
        <v>12968</v>
      </c>
      <c r="P515" s="8">
        <v>77787</v>
      </c>
      <c r="Q515" s="8">
        <f t="shared" si="236"/>
        <v>-6879</v>
      </c>
      <c r="R515" s="8">
        <v>284734</v>
      </c>
      <c r="S515" s="8">
        <f t="shared" si="237"/>
        <v>-21634</v>
      </c>
      <c r="T515" s="8">
        <v>-206947</v>
      </c>
      <c r="U515" s="8">
        <f t="shared" si="238"/>
        <v>14755</v>
      </c>
      <c r="W515" s="8">
        <v>433292</v>
      </c>
      <c r="X515" s="8">
        <f t="shared" si="239"/>
        <v>-1397</v>
      </c>
      <c r="Y515" s="8">
        <v>45066</v>
      </c>
      <c r="Z515" s="8">
        <f t="shared" si="240"/>
        <v>5880</v>
      </c>
      <c r="AA515" s="8">
        <v>51757</v>
      </c>
      <c r="AB515" s="8">
        <f t="shared" si="227"/>
        <v>-7646</v>
      </c>
      <c r="AC515" s="8">
        <v>-6691</v>
      </c>
      <c r="AD515" s="8">
        <f t="shared" si="227"/>
        <v>13526</v>
      </c>
      <c r="AE515" s="8">
        <v>201339</v>
      </c>
      <c r="AF515" s="8">
        <f t="shared" si="241"/>
        <v>-16647</v>
      </c>
      <c r="AG515" s="8">
        <v>203143</v>
      </c>
      <c r="AH515" s="8">
        <f t="shared" si="242"/>
        <v>6370</v>
      </c>
      <c r="AI515" s="8">
        <v>-1804</v>
      </c>
      <c r="AJ515" s="8">
        <f t="shared" si="243"/>
        <v>-23017</v>
      </c>
      <c r="AK515" s="8">
        <v>129284</v>
      </c>
      <c r="AL515" s="8">
        <f t="shared" si="244"/>
        <v>-10537</v>
      </c>
      <c r="AM515" s="8">
        <v>188413</v>
      </c>
      <c r="AN515" s="8">
        <f t="shared" si="245"/>
        <v>9715</v>
      </c>
      <c r="AO515" s="8">
        <v>-59129</v>
      </c>
      <c r="AP515" s="8">
        <f t="shared" si="246"/>
        <v>-20252</v>
      </c>
      <c r="AR515" s="8">
        <v>1886803</v>
      </c>
      <c r="AS515" s="8">
        <f t="shared" si="247"/>
        <v>35834</v>
      </c>
      <c r="AT515" s="8">
        <v>159873</v>
      </c>
      <c r="AU515" s="8">
        <f t="shared" si="248"/>
        <v>3044</v>
      </c>
      <c r="AV515" s="8">
        <v>296578</v>
      </c>
      <c r="AW515" s="8">
        <f t="shared" si="249"/>
        <v>-22116</v>
      </c>
      <c r="AX515" s="8">
        <f t="shared" si="224"/>
        <v>-136705</v>
      </c>
      <c r="AY515" s="8">
        <f t="shared" si="250"/>
        <v>25160</v>
      </c>
      <c r="AZ515" s="8">
        <v>854529</v>
      </c>
      <c r="BA515" s="8">
        <f t="shared" si="251"/>
        <v>8652</v>
      </c>
      <c r="BB515" s="8">
        <v>759633</v>
      </c>
      <c r="BC515" s="8">
        <f t="shared" si="252"/>
        <v>49384</v>
      </c>
      <c r="BD515" s="8">
        <f t="shared" si="225"/>
        <v>94896</v>
      </c>
      <c r="BE515" s="8">
        <f t="shared" si="253"/>
        <v>-40732</v>
      </c>
      <c r="BF515" s="8">
        <v>509632</v>
      </c>
      <c r="BG515" s="8">
        <f t="shared" si="254"/>
        <v>15805</v>
      </c>
      <c r="BH515" s="8">
        <v>679754</v>
      </c>
      <c r="BI515" s="8">
        <f t="shared" si="255"/>
        <v>49555</v>
      </c>
      <c r="BJ515" s="8">
        <f t="shared" si="226"/>
        <v>-170122</v>
      </c>
      <c r="BK515" s="8">
        <f t="shared" si="228"/>
        <v>-33750</v>
      </c>
    </row>
    <row r="516" spans="1:63">
      <c r="A516" s="5">
        <v>42479</v>
      </c>
      <c r="B516" s="8">
        <v>555782</v>
      </c>
      <c r="C516" s="8">
        <f t="shared" si="229"/>
        <v>21783</v>
      </c>
      <c r="D516" s="8">
        <v>119858</v>
      </c>
      <c r="E516" s="8">
        <f t="shared" si="230"/>
        <v>-7486</v>
      </c>
      <c r="F516" s="8">
        <v>27133</v>
      </c>
      <c r="G516" s="8">
        <f t="shared" si="231"/>
        <v>-3770</v>
      </c>
      <c r="H516" s="8">
        <v>92725</v>
      </c>
      <c r="I516" s="8">
        <f t="shared" si="232"/>
        <v>-3716</v>
      </c>
      <c r="J516" s="8">
        <v>167677</v>
      </c>
      <c r="K516" s="8">
        <f t="shared" si="233"/>
        <v>8163</v>
      </c>
      <c r="L516" s="8">
        <v>314872</v>
      </c>
      <c r="M516" s="8">
        <f t="shared" si="234"/>
        <v>16121</v>
      </c>
      <c r="N516" s="8">
        <v>-147195</v>
      </c>
      <c r="O516" s="8">
        <f t="shared" si="235"/>
        <v>-7958</v>
      </c>
      <c r="P516" s="8">
        <v>84364</v>
      </c>
      <c r="Q516" s="8">
        <f t="shared" si="236"/>
        <v>6577</v>
      </c>
      <c r="R516" s="8">
        <v>301339</v>
      </c>
      <c r="S516" s="8">
        <f t="shared" si="237"/>
        <v>16605</v>
      </c>
      <c r="T516" s="8">
        <v>-216975</v>
      </c>
      <c r="U516" s="8">
        <f t="shared" si="238"/>
        <v>-10028</v>
      </c>
      <c r="W516" s="8">
        <v>445419</v>
      </c>
      <c r="X516" s="8">
        <f t="shared" si="239"/>
        <v>12127</v>
      </c>
      <c r="Y516" s="8">
        <v>51142</v>
      </c>
      <c r="Z516" s="8">
        <f t="shared" si="240"/>
        <v>6076</v>
      </c>
      <c r="AA516" s="8">
        <v>38006</v>
      </c>
      <c r="AB516" s="8">
        <f t="shared" si="227"/>
        <v>-13751</v>
      </c>
      <c r="AC516" s="8">
        <v>13136</v>
      </c>
      <c r="AD516" s="8">
        <f t="shared" si="227"/>
        <v>19827</v>
      </c>
      <c r="AE516" s="8">
        <v>200975</v>
      </c>
      <c r="AF516" s="8">
        <f t="shared" si="241"/>
        <v>-364</v>
      </c>
      <c r="AG516" s="8">
        <v>235428</v>
      </c>
      <c r="AH516" s="8">
        <f t="shared" si="242"/>
        <v>32285</v>
      </c>
      <c r="AI516" s="8">
        <v>-34453</v>
      </c>
      <c r="AJ516" s="8">
        <f t="shared" si="243"/>
        <v>-32649</v>
      </c>
      <c r="AK516" s="8">
        <v>128849</v>
      </c>
      <c r="AL516" s="8">
        <f t="shared" si="244"/>
        <v>-435</v>
      </c>
      <c r="AM516" s="8">
        <v>219469</v>
      </c>
      <c r="AN516" s="8">
        <f t="shared" si="245"/>
        <v>31056</v>
      </c>
      <c r="AO516" s="8">
        <v>-90620</v>
      </c>
      <c r="AP516" s="8">
        <f t="shared" si="246"/>
        <v>-31491</v>
      </c>
      <c r="AR516" s="8">
        <v>1937677</v>
      </c>
      <c r="AS516" s="8">
        <f t="shared" si="247"/>
        <v>50874</v>
      </c>
      <c r="AT516" s="8">
        <v>185508</v>
      </c>
      <c r="AU516" s="8">
        <f t="shared" si="248"/>
        <v>25635</v>
      </c>
      <c r="AV516" s="8">
        <v>216417</v>
      </c>
      <c r="AW516" s="8">
        <f t="shared" si="249"/>
        <v>-80161</v>
      </c>
      <c r="AX516" s="8">
        <f t="shared" ref="AX516:AX579" si="256">AT516-AV516</f>
        <v>-30909</v>
      </c>
      <c r="AY516" s="8">
        <f t="shared" si="250"/>
        <v>105796</v>
      </c>
      <c r="AZ516" s="8">
        <v>845672</v>
      </c>
      <c r="BA516" s="8">
        <f t="shared" si="251"/>
        <v>-8857</v>
      </c>
      <c r="BB516" s="8">
        <v>880004</v>
      </c>
      <c r="BC516" s="8">
        <f t="shared" si="252"/>
        <v>120371</v>
      </c>
      <c r="BD516" s="8">
        <f t="shared" ref="BD516:BD579" si="257">AZ516-BB516</f>
        <v>-34332</v>
      </c>
      <c r="BE516" s="8">
        <f t="shared" si="253"/>
        <v>-129228</v>
      </c>
      <c r="BF516" s="8">
        <v>495083</v>
      </c>
      <c r="BG516" s="8">
        <f t="shared" si="254"/>
        <v>-14549</v>
      </c>
      <c r="BH516" s="8">
        <v>789747</v>
      </c>
      <c r="BI516" s="8">
        <f t="shared" si="255"/>
        <v>109993</v>
      </c>
      <c r="BJ516" s="8">
        <f t="shared" ref="BJ516:BJ579" si="258">BF516-BH516</f>
        <v>-294664</v>
      </c>
      <c r="BK516" s="8">
        <f t="shared" si="228"/>
        <v>-124542</v>
      </c>
    </row>
    <row r="517" spans="1:63">
      <c r="A517" s="5">
        <v>42486</v>
      </c>
      <c r="B517" s="8">
        <v>483471</v>
      </c>
      <c r="C517" s="8">
        <f t="shared" si="229"/>
        <v>-72311</v>
      </c>
      <c r="D517" s="8">
        <v>113379</v>
      </c>
      <c r="E517" s="8">
        <f t="shared" si="230"/>
        <v>-6479</v>
      </c>
      <c r="F517" s="8">
        <v>18978</v>
      </c>
      <c r="G517" s="8">
        <f t="shared" si="231"/>
        <v>-8155</v>
      </c>
      <c r="H517" s="8">
        <v>94401</v>
      </c>
      <c r="I517" s="8">
        <f t="shared" si="232"/>
        <v>1676</v>
      </c>
      <c r="J517" s="8">
        <v>150548</v>
      </c>
      <c r="K517" s="8">
        <f t="shared" si="233"/>
        <v>-17129</v>
      </c>
      <c r="L517" s="8">
        <v>298156</v>
      </c>
      <c r="M517" s="8">
        <f t="shared" si="234"/>
        <v>-16716</v>
      </c>
      <c r="N517" s="8">
        <v>-147608</v>
      </c>
      <c r="O517" s="8">
        <f t="shared" si="235"/>
        <v>-413</v>
      </c>
      <c r="P517" s="8">
        <v>69337</v>
      </c>
      <c r="Q517" s="8">
        <f t="shared" si="236"/>
        <v>-15027</v>
      </c>
      <c r="R517" s="8">
        <v>285123</v>
      </c>
      <c r="S517" s="8">
        <f t="shared" si="237"/>
        <v>-16216</v>
      </c>
      <c r="T517" s="8">
        <v>-215786</v>
      </c>
      <c r="U517" s="8">
        <f t="shared" si="238"/>
        <v>1189</v>
      </c>
      <c r="W517" s="8">
        <v>426439</v>
      </c>
      <c r="X517" s="8">
        <f t="shared" si="239"/>
        <v>-18980</v>
      </c>
      <c r="Y517" s="8">
        <v>57605</v>
      </c>
      <c r="Z517" s="8">
        <f t="shared" si="240"/>
        <v>6463</v>
      </c>
      <c r="AA517" s="8">
        <v>26431</v>
      </c>
      <c r="AB517" s="8">
        <f t="shared" ref="AB517:AD580" si="259">AA517-AA516</f>
        <v>-11575</v>
      </c>
      <c r="AC517" s="8">
        <v>31174</v>
      </c>
      <c r="AD517" s="8">
        <f t="shared" si="259"/>
        <v>18038</v>
      </c>
      <c r="AE517" s="8">
        <v>187270</v>
      </c>
      <c r="AF517" s="8">
        <f t="shared" si="241"/>
        <v>-13705</v>
      </c>
      <c r="AG517" s="8">
        <v>250505</v>
      </c>
      <c r="AH517" s="8">
        <f t="shared" si="242"/>
        <v>15077</v>
      </c>
      <c r="AI517" s="8">
        <v>-63235</v>
      </c>
      <c r="AJ517" s="8">
        <f t="shared" si="243"/>
        <v>-28782</v>
      </c>
      <c r="AK517" s="8">
        <v>112779</v>
      </c>
      <c r="AL517" s="8">
        <f t="shared" si="244"/>
        <v>-16070</v>
      </c>
      <c r="AM517" s="8">
        <v>232767</v>
      </c>
      <c r="AN517" s="8">
        <f t="shared" si="245"/>
        <v>13298</v>
      </c>
      <c r="AO517" s="8">
        <v>-119988</v>
      </c>
      <c r="AP517" s="8">
        <f t="shared" si="246"/>
        <v>-29368</v>
      </c>
      <c r="AR517" s="8">
        <v>1850214</v>
      </c>
      <c r="AS517" s="8">
        <f t="shared" si="247"/>
        <v>-87463</v>
      </c>
      <c r="AT517" s="8">
        <v>231735</v>
      </c>
      <c r="AU517" s="8">
        <f t="shared" si="248"/>
        <v>46227</v>
      </c>
      <c r="AV517" s="8">
        <v>151954</v>
      </c>
      <c r="AW517" s="8">
        <f t="shared" si="249"/>
        <v>-64463</v>
      </c>
      <c r="AX517" s="8">
        <f t="shared" si="256"/>
        <v>79781</v>
      </c>
      <c r="AY517" s="8">
        <f t="shared" si="250"/>
        <v>110690</v>
      </c>
      <c r="AZ517" s="8">
        <v>784786</v>
      </c>
      <c r="BA517" s="8">
        <f t="shared" si="251"/>
        <v>-60886</v>
      </c>
      <c r="BB517" s="8">
        <v>908609</v>
      </c>
      <c r="BC517" s="8">
        <f t="shared" si="252"/>
        <v>28605</v>
      </c>
      <c r="BD517" s="8">
        <f t="shared" si="257"/>
        <v>-123823</v>
      </c>
      <c r="BE517" s="8">
        <f t="shared" si="253"/>
        <v>-89491</v>
      </c>
      <c r="BF517" s="8">
        <v>456236</v>
      </c>
      <c r="BG517" s="8">
        <f t="shared" si="254"/>
        <v>-38847</v>
      </c>
      <c r="BH517" s="8">
        <v>829663</v>
      </c>
      <c r="BI517" s="8">
        <f t="shared" si="255"/>
        <v>39916</v>
      </c>
      <c r="BJ517" s="8">
        <f t="shared" si="258"/>
        <v>-373427</v>
      </c>
      <c r="BK517" s="8">
        <f t="shared" ref="BK517:BK580" si="260">BJ517-BJ516</f>
        <v>-78763</v>
      </c>
    </row>
    <row r="518" spans="1:63">
      <c r="A518" s="5">
        <v>42493</v>
      </c>
      <c r="B518" s="8">
        <v>461048</v>
      </c>
      <c r="C518" s="8">
        <f t="shared" si="229"/>
        <v>-22423</v>
      </c>
      <c r="D518" s="8">
        <v>99662</v>
      </c>
      <c r="E518" s="8">
        <f t="shared" si="230"/>
        <v>-13717</v>
      </c>
      <c r="F518" s="8">
        <v>28710</v>
      </c>
      <c r="G518" s="8">
        <f t="shared" si="231"/>
        <v>9732</v>
      </c>
      <c r="H518" s="8">
        <v>70952</v>
      </c>
      <c r="I518" s="8">
        <f t="shared" si="232"/>
        <v>-23449</v>
      </c>
      <c r="J518" s="8">
        <v>158067</v>
      </c>
      <c r="K518" s="8">
        <f t="shared" si="233"/>
        <v>7519</v>
      </c>
      <c r="L518" s="8">
        <v>263577</v>
      </c>
      <c r="M518" s="8">
        <f t="shared" si="234"/>
        <v>-34579</v>
      </c>
      <c r="N518" s="8">
        <v>-105510</v>
      </c>
      <c r="O518" s="8">
        <f t="shared" si="235"/>
        <v>42098</v>
      </c>
      <c r="P518" s="8">
        <v>75409</v>
      </c>
      <c r="Q518" s="8">
        <f t="shared" si="236"/>
        <v>6072</v>
      </c>
      <c r="R518" s="8">
        <v>246921</v>
      </c>
      <c r="S518" s="8">
        <f t="shared" si="237"/>
        <v>-38202</v>
      </c>
      <c r="T518" s="8">
        <v>-171512</v>
      </c>
      <c r="U518" s="8">
        <f t="shared" si="238"/>
        <v>44274</v>
      </c>
      <c r="W518" s="8">
        <v>424169</v>
      </c>
      <c r="X518" s="8">
        <f t="shared" si="239"/>
        <v>-2270</v>
      </c>
      <c r="Y518" s="8">
        <v>61895</v>
      </c>
      <c r="Z518" s="8">
        <f t="shared" si="240"/>
        <v>4290</v>
      </c>
      <c r="AA518" s="8">
        <v>19110</v>
      </c>
      <c r="AB518" s="8">
        <f t="shared" si="259"/>
        <v>-7321</v>
      </c>
      <c r="AC518" s="8">
        <v>42785</v>
      </c>
      <c r="AD518" s="8">
        <f t="shared" si="259"/>
        <v>11611</v>
      </c>
      <c r="AE518" s="8">
        <v>183080</v>
      </c>
      <c r="AF518" s="8">
        <f t="shared" si="241"/>
        <v>-4190</v>
      </c>
      <c r="AG518" s="8">
        <v>259435</v>
      </c>
      <c r="AH518" s="8">
        <f t="shared" si="242"/>
        <v>8930</v>
      </c>
      <c r="AI518" s="8">
        <v>-76355</v>
      </c>
      <c r="AJ518" s="8">
        <f t="shared" si="243"/>
        <v>-13120</v>
      </c>
      <c r="AK518" s="8">
        <v>101827</v>
      </c>
      <c r="AL518" s="8">
        <f t="shared" si="244"/>
        <v>-10952</v>
      </c>
      <c r="AM518" s="8">
        <v>240438</v>
      </c>
      <c r="AN518" s="8">
        <f t="shared" si="245"/>
        <v>7671</v>
      </c>
      <c r="AO518" s="8">
        <v>-138611</v>
      </c>
      <c r="AP518" s="8">
        <f t="shared" si="246"/>
        <v>-18623</v>
      </c>
      <c r="AR518" s="8">
        <v>1811506</v>
      </c>
      <c r="AS518" s="8">
        <f t="shared" si="247"/>
        <v>-38708</v>
      </c>
      <c r="AT518" s="8">
        <v>223937</v>
      </c>
      <c r="AU518" s="8">
        <f t="shared" si="248"/>
        <v>-7798</v>
      </c>
      <c r="AV518" s="8">
        <v>152905</v>
      </c>
      <c r="AW518" s="8">
        <f t="shared" si="249"/>
        <v>951</v>
      </c>
      <c r="AX518" s="8">
        <f t="shared" si="256"/>
        <v>71032</v>
      </c>
      <c r="AY518" s="8">
        <f t="shared" si="250"/>
        <v>-8749</v>
      </c>
      <c r="AZ518" s="8">
        <v>773450</v>
      </c>
      <c r="BA518" s="8">
        <f t="shared" si="251"/>
        <v>-11336</v>
      </c>
      <c r="BB518" s="8">
        <v>888137</v>
      </c>
      <c r="BC518" s="8">
        <f t="shared" si="252"/>
        <v>-20472</v>
      </c>
      <c r="BD518" s="8">
        <f t="shared" si="257"/>
        <v>-114687</v>
      </c>
      <c r="BE518" s="8">
        <f t="shared" si="253"/>
        <v>9136</v>
      </c>
      <c r="BF518" s="8">
        <v>443330</v>
      </c>
      <c r="BG518" s="8">
        <f t="shared" si="254"/>
        <v>-12906</v>
      </c>
      <c r="BH518" s="8">
        <v>812444</v>
      </c>
      <c r="BI518" s="8">
        <f t="shared" si="255"/>
        <v>-17219</v>
      </c>
      <c r="BJ518" s="8">
        <f t="shared" si="258"/>
        <v>-369114</v>
      </c>
      <c r="BK518" s="8">
        <f t="shared" si="260"/>
        <v>4313</v>
      </c>
    </row>
    <row r="519" spans="1:63">
      <c r="A519" s="5">
        <v>42500</v>
      </c>
      <c r="B519" s="8">
        <v>455419</v>
      </c>
      <c r="C519" s="8">
        <f t="shared" si="229"/>
        <v>-5629</v>
      </c>
      <c r="D519" s="8">
        <v>92385</v>
      </c>
      <c r="E519" s="8">
        <f t="shared" si="230"/>
        <v>-7277</v>
      </c>
      <c r="F519" s="8">
        <v>24052</v>
      </c>
      <c r="G519" s="8">
        <f t="shared" si="231"/>
        <v>-4658</v>
      </c>
      <c r="H519" s="8">
        <v>68333</v>
      </c>
      <c r="I519" s="8">
        <f t="shared" si="232"/>
        <v>-2619</v>
      </c>
      <c r="J519" s="8">
        <v>153068</v>
      </c>
      <c r="K519" s="8">
        <f t="shared" si="233"/>
        <v>-4999</v>
      </c>
      <c r="L519" s="8">
        <v>264807</v>
      </c>
      <c r="M519" s="8">
        <f t="shared" si="234"/>
        <v>1230</v>
      </c>
      <c r="N519" s="8">
        <v>-111739</v>
      </c>
      <c r="O519" s="8">
        <f t="shared" si="235"/>
        <v>-6229</v>
      </c>
      <c r="P519" s="8">
        <v>73172</v>
      </c>
      <c r="Q519" s="8">
        <f t="shared" si="236"/>
        <v>-2237</v>
      </c>
      <c r="R519" s="8">
        <v>248331</v>
      </c>
      <c r="S519" s="8">
        <f t="shared" si="237"/>
        <v>1410</v>
      </c>
      <c r="T519" s="8">
        <v>-175159</v>
      </c>
      <c r="U519" s="8">
        <f t="shared" si="238"/>
        <v>-3647</v>
      </c>
      <c r="W519" s="8">
        <v>449673</v>
      </c>
      <c r="X519" s="8">
        <f t="shared" si="239"/>
        <v>25504</v>
      </c>
      <c r="Y519" s="8">
        <v>71943</v>
      </c>
      <c r="Z519" s="8">
        <f t="shared" si="240"/>
        <v>10048</v>
      </c>
      <c r="AA519" s="8">
        <v>11752</v>
      </c>
      <c r="AB519" s="8">
        <f t="shared" si="259"/>
        <v>-7358</v>
      </c>
      <c r="AC519" s="8">
        <v>60191</v>
      </c>
      <c r="AD519" s="8">
        <f t="shared" si="259"/>
        <v>17406</v>
      </c>
      <c r="AE519" s="8">
        <v>181960</v>
      </c>
      <c r="AF519" s="8">
        <f t="shared" si="241"/>
        <v>-1120</v>
      </c>
      <c r="AG519" s="8">
        <v>279183</v>
      </c>
      <c r="AH519" s="8">
        <f t="shared" si="242"/>
        <v>19748</v>
      </c>
      <c r="AI519" s="8">
        <v>-97223</v>
      </c>
      <c r="AJ519" s="8">
        <f t="shared" si="243"/>
        <v>-20868</v>
      </c>
      <c r="AK519" s="8">
        <v>98956</v>
      </c>
      <c r="AL519" s="8">
        <f t="shared" si="244"/>
        <v>-2871</v>
      </c>
      <c r="AM519" s="8">
        <v>257189</v>
      </c>
      <c r="AN519" s="8">
        <f t="shared" si="245"/>
        <v>16751</v>
      </c>
      <c r="AO519" s="8">
        <v>-158233</v>
      </c>
      <c r="AP519" s="8">
        <f t="shared" si="246"/>
        <v>-19622</v>
      </c>
      <c r="AR519" s="8">
        <v>1787262</v>
      </c>
      <c r="AS519" s="8">
        <f t="shared" si="247"/>
        <v>-24244</v>
      </c>
      <c r="AT519" s="8">
        <v>203239</v>
      </c>
      <c r="AU519" s="8">
        <f t="shared" si="248"/>
        <v>-20698</v>
      </c>
      <c r="AV519" s="8">
        <v>160270</v>
      </c>
      <c r="AW519" s="8">
        <f t="shared" si="249"/>
        <v>7365</v>
      </c>
      <c r="AX519" s="8">
        <f t="shared" si="256"/>
        <v>42969</v>
      </c>
      <c r="AY519" s="8">
        <f t="shared" si="250"/>
        <v>-28063</v>
      </c>
      <c r="AZ519" s="8">
        <v>777440</v>
      </c>
      <c r="BA519" s="8">
        <f t="shared" si="251"/>
        <v>3990</v>
      </c>
      <c r="BB519" s="8">
        <v>857277</v>
      </c>
      <c r="BC519" s="8">
        <f t="shared" si="252"/>
        <v>-30860</v>
      </c>
      <c r="BD519" s="8">
        <f t="shared" si="257"/>
        <v>-79837</v>
      </c>
      <c r="BE519" s="8">
        <f t="shared" si="253"/>
        <v>34850</v>
      </c>
      <c r="BF519" s="8">
        <v>445053</v>
      </c>
      <c r="BG519" s="8">
        <f t="shared" si="254"/>
        <v>1723</v>
      </c>
      <c r="BH519" s="8">
        <v>783116</v>
      </c>
      <c r="BI519" s="8">
        <f t="shared" si="255"/>
        <v>-29328</v>
      </c>
      <c r="BJ519" s="8">
        <f t="shared" si="258"/>
        <v>-338063</v>
      </c>
      <c r="BK519" s="8">
        <f t="shared" si="260"/>
        <v>31051</v>
      </c>
    </row>
    <row r="520" spans="1:63">
      <c r="A520" s="5">
        <v>42507</v>
      </c>
      <c r="B520" s="8">
        <v>456108</v>
      </c>
      <c r="C520" s="8">
        <f t="shared" ref="C520:C583" si="261">B520-B519</f>
        <v>689</v>
      </c>
      <c r="D520" s="8">
        <v>89535</v>
      </c>
      <c r="E520" s="8">
        <f t="shared" ref="E520:E583" si="262">D520-D519</f>
        <v>-2850</v>
      </c>
      <c r="F520" s="8">
        <v>19539</v>
      </c>
      <c r="G520" s="8">
        <f t="shared" ref="G520:G583" si="263">F520-F519</f>
        <v>-4513</v>
      </c>
      <c r="H520" s="8">
        <v>69996</v>
      </c>
      <c r="I520" s="8">
        <f t="shared" ref="I520:I583" si="264">H520-H519</f>
        <v>1663</v>
      </c>
      <c r="J520" s="8">
        <v>164667</v>
      </c>
      <c r="K520" s="8">
        <f t="shared" ref="K520:K583" si="265">J520-J519</f>
        <v>11599</v>
      </c>
      <c r="L520" s="8">
        <v>271422</v>
      </c>
      <c r="M520" s="8">
        <f t="shared" ref="M520:M583" si="266">L520-L519</f>
        <v>6615</v>
      </c>
      <c r="N520" s="8">
        <v>-106755</v>
      </c>
      <c r="O520" s="8">
        <f t="shared" ref="O520:O583" si="267">N520-N519</f>
        <v>4984</v>
      </c>
      <c r="P520" s="8">
        <v>84841</v>
      </c>
      <c r="Q520" s="8">
        <f t="shared" ref="Q520:Q583" si="268">P520-P519</f>
        <v>11669</v>
      </c>
      <c r="R520" s="8">
        <v>255483</v>
      </c>
      <c r="S520" s="8">
        <f t="shared" ref="S520:S583" si="269">R520-R519</f>
        <v>7152</v>
      </c>
      <c r="T520" s="8">
        <v>-170642</v>
      </c>
      <c r="U520" s="8">
        <f t="shared" ref="U520:U583" si="270">T520-T519</f>
        <v>4517</v>
      </c>
      <c r="W520" s="8">
        <v>467361</v>
      </c>
      <c r="X520" s="8">
        <f t="shared" ref="X520:X583" si="271">W520-W519</f>
        <v>17688</v>
      </c>
      <c r="Y520" s="8">
        <v>72189</v>
      </c>
      <c r="Z520" s="8">
        <f t="shared" ref="Z520:Z583" si="272">Y520-Y519</f>
        <v>246</v>
      </c>
      <c r="AA520" s="8">
        <v>6401</v>
      </c>
      <c r="AB520" s="8">
        <f t="shared" si="259"/>
        <v>-5351</v>
      </c>
      <c r="AC520" s="8">
        <v>65788</v>
      </c>
      <c r="AD520" s="8">
        <f t="shared" si="259"/>
        <v>5597</v>
      </c>
      <c r="AE520" s="8">
        <v>184206</v>
      </c>
      <c r="AF520" s="8">
        <f t="shared" ref="AF520:AF583" si="273">AE520-AE519</f>
        <v>2246</v>
      </c>
      <c r="AG520" s="8">
        <v>293167</v>
      </c>
      <c r="AH520" s="8">
        <f t="shared" ref="AH520:AH583" si="274">AG520-AG519</f>
        <v>13984</v>
      </c>
      <c r="AI520" s="8">
        <v>-108961</v>
      </c>
      <c r="AJ520" s="8">
        <f t="shared" ref="AJ520:AJ583" si="275">AI520-AI519</f>
        <v>-11738</v>
      </c>
      <c r="AK520" s="8">
        <v>99781</v>
      </c>
      <c r="AL520" s="8">
        <f t="shared" ref="AL520:AL583" si="276">AK520-AK519</f>
        <v>825</v>
      </c>
      <c r="AM520" s="8">
        <v>271837</v>
      </c>
      <c r="AN520" s="8">
        <f t="shared" ref="AN520:AN583" si="277">AM520-AM519</f>
        <v>14648</v>
      </c>
      <c r="AO520" s="8">
        <v>-172056</v>
      </c>
      <c r="AP520" s="8">
        <f t="shared" ref="AP520:AP583" si="278">AO520-AO519</f>
        <v>-13823</v>
      </c>
      <c r="AR520" s="8">
        <v>1828693</v>
      </c>
      <c r="AS520" s="8">
        <f t="shared" ref="AS520:AS583" si="279">AR520-AR519</f>
        <v>41431</v>
      </c>
      <c r="AT520" s="8">
        <v>206525</v>
      </c>
      <c r="AU520" s="8">
        <f t="shared" ref="AU520:AU583" si="280">AT520-AT519</f>
        <v>3286</v>
      </c>
      <c r="AV520" s="8">
        <v>157547</v>
      </c>
      <c r="AW520" s="8">
        <f t="shared" ref="AW520:AW583" si="281">AV520-AV519</f>
        <v>-2723</v>
      </c>
      <c r="AX520" s="8">
        <f t="shared" si="256"/>
        <v>48978</v>
      </c>
      <c r="AY520" s="8">
        <f t="shared" ref="AY520:AY583" si="282">AX520-AX519</f>
        <v>6009</v>
      </c>
      <c r="AZ520" s="8">
        <v>792714</v>
      </c>
      <c r="BA520" s="8">
        <f t="shared" ref="BA520:BA583" si="283">AZ520-AZ519</f>
        <v>15274</v>
      </c>
      <c r="BB520" s="8">
        <v>894022</v>
      </c>
      <c r="BC520" s="8">
        <f t="shared" ref="BC520:BC583" si="284">BB520-BB519</f>
        <v>36745</v>
      </c>
      <c r="BD520" s="8">
        <f t="shared" si="257"/>
        <v>-101308</v>
      </c>
      <c r="BE520" s="8">
        <f t="shared" ref="BE520:BE583" si="285">BD520-BD519</f>
        <v>-21471</v>
      </c>
      <c r="BF520" s="8">
        <v>456197</v>
      </c>
      <c r="BG520" s="8">
        <f t="shared" ref="BG520:BG583" si="286">BF520-BF519</f>
        <v>11144</v>
      </c>
      <c r="BH520" s="8">
        <v>816350</v>
      </c>
      <c r="BI520" s="8">
        <f t="shared" ref="BI520:BI583" si="287">BH520-BH519</f>
        <v>33234</v>
      </c>
      <c r="BJ520" s="8">
        <f t="shared" si="258"/>
        <v>-360153</v>
      </c>
      <c r="BK520" s="8">
        <f t="shared" si="260"/>
        <v>-22090</v>
      </c>
    </row>
    <row r="521" spans="1:63">
      <c r="A521" s="5">
        <v>42514</v>
      </c>
      <c r="B521" s="8">
        <v>457478</v>
      </c>
      <c r="C521" s="8">
        <f t="shared" si="261"/>
        <v>1370</v>
      </c>
      <c r="D521" s="8">
        <v>76802</v>
      </c>
      <c r="E521" s="8">
        <f t="shared" si="262"/>
        <v>-12733</v>
      </c>
      <c r="F521" s="8">
        <v>30393</v>
      </c>
      <c r="G521" s="8">
        <f t="shared" si="263"/>
        <v>10854</v>
      </c>
      <c r="H521" s="8">
        <v>46409</v>
      </c>
      <c r="I521" s="8">
        <f t="shared" si="264"/>
        <v>-23587</v>
      </c>
      <c r="J521" s="8">
        <v>195009</v>
      </c>
      <c r="K521" s="8">
        <f t="shared" si="265"/>
        <v>30342</v>
      </c>
      <c r="L521" s="8">
        <v>257254</v>
      </c>
      <c r="M521" s="8">
        <f t="shared" si="266"/>
        <v>-14168</v>
      </c>
      <c r="N521" s="8">
        <v>-62245</v>
      </c>
      <c r="O521" s="8">
        <f t="shared" si="267"/>
        <v>44510</v>
      </c>
      <c r="P521" s="8">
        <v>112736</v>
      </c>
      <c r="Q521" s="8">
        <f t="shared" si="268"/>
        <v>27895</v>
      </c>
      <c r="R521" s="8">
        <v>243402</v>
      </c>
      <c r="S521" s="8">
        <f t="shared" si="269"/>
        <v>-12081</v>
      </c>
      <c r="T521" s="8">
        <v>-130666</v>
      </c>
      <c r="U521" s="8">
        <f t="shared" si="270"/>
        <v>39976</v>
      </c>
      <c r="W521" s="8">
        <v>463115</v>
      </c>
      <c r="X521" s="8">
        <f t="shared" si="271"/>
        <v>-4246</v>
      </c>
      <c r="Y521" s="8">
        <v>75327</v>
      </c>
      <c r="Z521" s="8">
        <f t="shared" si="272"/>
        <v>3138</v>
      </c>
      <c r="AA521" s="8">
        <v>4670</v>
      </c>
      <c r="AB521" s="8">
        <f t="shared" si="259"/>
        <v>-1731</v>
      </c>
      <c r="AC521" s="8">
        <v>70657</v>
      </c>
      <c r="AD521" s="8">
        <f t="shared" si="259"/>
        <v>4869</v>
      </c>
      <c r="AE521" s="8">
        <v>188860</v>
      </c>
      <c r="AF521" s="8">
        <f t="shared" si="273"/>
        <v>4654</v>
      </c>
      <c r="AG521" s="8">
        <v>296616</v>
      </c>
      <c r="AH521" s="8">
        <f t="shared" si="274"/>
        <v>3449</v>
      </c>
      <c r="AI521" s="8">
        <v>-107756</v>
      </c>
      <c r="AJ521" s="8">
        <f t="shared" si="275"/>
        <v>1205</v>
      </c>
      <c r="AK521" s="8">
        <v>105372</v>
      </c>
      <c r="AL521" s="8">
        <f t="shared" si="276"/>
        <v>5591</v>
      </c>
      <c r="AM521" s="8">
        <v>278771</v>
      </c>
      <c r="AN521" s="8">
        <f t="shared" si="277"/>
        <v>6934</v>
      </c>
      <c r="AO521" s="8">
        <v>-173399</v>
      </c>
      <c r="AP521" s="8">
        <f t="shared" si="278"/>
        <v>-1343</v>
      </c>
      <c r="AR521" s="8">
        <v>1840059</v>
      </c>
      <c r="AS521" s="8">
        <f t="shared" si="279"/>
        <v>11366</v>
      </c>
      <c r="AT521" s="8">
        <v>217372</v>
      </c>
      <c r="AU521" s="8">
        <f t="shared" si="280"/>
        <v>10847</v>
      </c>
      <c r="AV521" s="8">
        <v>152676</v>
      </c>
      <c r="AW521" s="8">
        <f t="shared" si="281"/>
        <v>-4871</v>
      </c>
      <c r="AX521" s="8">
        <f t="shared" si="256"/>
        <v>64696</v>
      </c>
      <c r="AY521" s="8">
        <f t="shared" si="282"/>
        <v>15718</v>
      </c>
      <c r="AZ521" s="8">
        <v>799699</v>
      </c>
      <c r="BA521" s="8">
        <f t="shared" si="283"/>
        <v>6985</v>
      </c>
      <c r="BB521" s="8">
        <v>925760</v>
      </c>
      <c r="BC521" s="8">
        <f t="shared" si="284"/>
        <v>31738</v>
      </c>
      <c r="BD521" s="8">
        <f t="shared" si="257"/>
        <v>-126061</v>
      </c>
      <c r="BE521" s="8">
        <f t="shared" si="285"/>
        <v>-24753</v>
      </c>
      <c r="BF521" s="8">
        <v>464455</v>
      </c>
      <c r="BG521" s="8">
        <f t="shared" si="286"/>
        <v>8258</v>
      </c>
      <c r="BH521" s="8">
        <v>847811</v>
      </c>
      <c r="BI521" s="8">
        <f t="shared" si="287"/>
        <v>31461</v>
      </c>
      <c r="BJ521" s="8">
        <f t="shared" si="258"/>
        <v>-383356</v>
      </c>
      <c r="BK521" s="8">
        <f t="shared" si="260"/>
        <v>-23203</v>
      </c>
    </row>
    <row r="522" spans="1:63">
      <c r="A522" s="5">
        <v>42521</v>
      </c>
      <c r="B522" s="8">
        <v>467378</v>
      </c>
      <c r="C522" s="8">
        <f t="shared" si="261"/>
        <v>9900</v>
      </c>
      <c r="D522" s="8">
        <v>75941</v>
      </c>
      <c r="E522" s="8">
        <f t="shared" si="262"/>
        <v>-861</v>
      </c>
      <c r="F522" s="8">
        <v>38933</v>
      </c>
      <c r="G522" s="8">
        <f t="shared" si="263"/>
        <v>8540</v>
      </c>
      <c r="H522" s="8">
        <v>37008</v>
      </c>
      <c r="I522" s="8">
        <f t="shared" si="264"/>
        <v>-9401</v>
      </c>
      <c r="J522" s="8">
        <v>199076</v>
      </c>
      <c r="K522" s="8">
        <f t="shared" si="265"/>
        <v>4067</v>
      </c>
      <c r="L522" s="8">
        <v>253818</v>
      </c>
      <c r="M522" s="8">
        <f t="shared" si="266"/>
        <v>-3436</v>
      </c>
      <c r="N522" s="8">
        <v>-54742</v>
      </c>
      <c r="O522" s="8">
        <f t="shared" si="267"/>
        <v>7503</v>
      </c>
      <c r="P522" s="8">
        <v>116948</v>
      </c>
      <c r="Q522" s="8">
        <f t="shared" si="268"/>
        <v>4212</v>
      </c>
      <c r="R522" s="8">
        <v>240964</v>
      </c>
      <c r="S522" s="8">
        <f t="shared" si="269"/>
        <v>-2438</v>
      </c>
      <c r="T522" s="8">
        <v>-124016</v>
      </c>
      <c r="U522" s="8">
        <f t="shared" si="270"/>
        <v>6650</v>
      </c>
      <c r="W522" s="8">
        <v>478491</v>
      </c>
      <c r="X522" s="8">
        <f t="shared" si="271"/>
        <v>15376</v>
      </c>
      <c r="Y522" s="8">
        <v>81549</v>
      </c>
      <c r="Z522" s="8">
        <f t="shared" si="272"/>
        <v>6222</v>
      </c>
      <c r="AA522" s="8">
        <v>6297</v>
      </c>
      <c r="AB522" s="8">
        <f t="shared" si="259"/>
        <v>1627</v>
      </c>
      <c r="AC522" s="8">
        <v>75252</v>
      </c>
      <c r="AD522" s="8">
        <f t="shared" si="259"/>
        <v>4595</v>
      </c>
      <c r="AE522" s="8">
        <v>192496</v>
      </c>
      <c r="AF522" s="8">
        <f t="shared" si="273"/>
        <v>3636</v>
      </c>
      <c r="AG522" s="8">
        <v>305977</v>
      </c>
      <c r="AH522" s="8">
        <f t="shared" si="274"/>
        <v>9361</v>
      </c>
      <c r="AI522" s="8">
        <v>-113481</v>
      </c>
      <c r="AJ522" s="8">
        <f t="shared" si="275"/>
        <v>-5725</v>
      </c>
      <c r="AK522" s="8">
        <v>109431</v>
      </c>
      <c r="AL522" s="8">
        <f t="shared" si="276"/>
        <v>4059</v>
      </c>
      <c r="AM522" s="8">
        <v>288623</v>
      </c>
      <c r="AN522" s="8">
        <f t="shared" si="277"/>
        <v>9852</v>
      </c>
      <c r="AO522" s="8">
        <v>-179192</v>
      </c>
      <c r="AP522" s="8">
        <f t="shared" si="278"/>
        <v>-5793</v>
      </c>
      <c r="AR522" s="8">
        <v>1866861</v>
      </c>
      <c r="AS522" s="8">
        <f t="shared" si="279"/>
        <v>26802</v>
      </c>
      <c r="AT522" s="8">
        <v>248107</v>
      </c>
      <c r="AU522" s="8">
        <f t="shared" si="280"/>
        <v>30735</v>
      </c>
      <c r="AV522" s="8">
        <v>117309</v>
      </c>
      <c r="AW522" s="8">
        <f t="shared" si="281"/>
        <v>-35367</v>
      </c>
      <c r="AX522" s="8">
        <f t="shared" si="256"/>
        <v>130798</v>
      </c>
      <c r="AY522" s="8">
        <f t="shared" si="282"/>
        <v>66102</v>
      </c>
      <c r="AZ522" s="8">
        <v>758738</v>
      </c>
      <c r="BA522" s="8">
        <f t="shared" si="283"/>
        <v>-40961</v>
      </c>
      <c r="BB522" s="8">
        <v>941514</v>
      </c>
      <c r="BC522" s="8">
        <f t="shared" si="284"/>
        <v>15754</v>
      </c>
      <c r="BD522" s="8">
        <f t="shared" si="257"/>
        <v>-182776</v>
      </c>
      <c r="BE522" s="8">
        <f t="shared" si="285"/>
        <v>-56715</v>
      </c>
      <c r="BF522" s="8">
        <v>421885</v>
      </c>
      <c r="BG522" s="8">
        <f t="shared" si="286"/>
        <v>-42570</v>
      </c>
      <c r="BH522" s="8">
        <v>866218</v>
      </c>
      <c r="BI522" s="8">
        <f t="shared" si="287"/>
        <v>18407</v>
      </c>
      <c r="BJ522" s="8">
        <f t="shared" si="258"/>
        <v>-444333</v>
      </c>
      <c r="BK522" s="8">
        <f t="shared" si="260"/>
        <v>-60977</v>
      </c>
    </row>
    <row r="523" spans="1:63">
      <c r="A523" s="5">
        <v>42528</v>
      </c>
      <c r="B523" s="8">
        <v>467423</v>
      </c>
      <c r="C523" s="8">
        <f t="shared" si="261"/>
        <v>45</v>
      </c>
      <c r="D523" s="8">
        <v>77666</v>
      </c>
      <c r="E523" s="8">
        <f t="shared" si="262"/>
        <v>1725</v>
      </c>
      <c r="F523" s="8">
        <v>36938</v>
      </c>
      <c r="G523" s="8">
        <f t="shared" si="263"/>
        <v>-1995</v>
      </c>
      <c r="H523" s="8">
        <v>40728</v>
      </c>
      <c r="I523" s="8">
        <f t="shared" si="264"/>
        <v>3720</v>
      </c>
      <c r="J523" s="8">
        <v>198604</v>
      </c>
      <c r="K523" s="8">
        <f t="shared" si="265"/>
        <v>-472</v>
      </c>
      <c r="L523" s="8">
        <v>251522</v>
      </c>
      <c r="M523" s="8">
        <f t="shared" si="266"/>
        <v>-2296</v>
      </c>
      <c r="N523" s="8">
        <v>-52918</v>
      </c>
      <c r="O523" s="8">
        <f t="shared" si="267"/>
        <v>1824</v>
      </c>
      <c r="P523" s="8">
        <v>113675</v>
      </c>
      <c r="Q523" s="8">
        <f t="shared" si="268"/>
        <v>-3273</v>
      </c>
      <c r="R523" s="8">
        <v>236576</v>
      </c>
      <c r="S523" s="8">
        <f t="shared" si="269"/>
        <v>-4388</v>
      </c>
      <c r="T523" s="8">
        <v>-122901</v>
      </c>
      <c r="U523" s="8">
        <f t="shared" si="270"/>
        <v>1115</v>
      </c>
      <c r="W523" s="8">
        <v>486991</v>
      </c>
      <c r="X523" s="8">
        <f t="shared" si="271"/>
        <v>8500</v>
      </c>
      <c r="Y523" s="8">
        <v>79512</v>
      </c>
      <c r="Z523" s="8">
        <f t="shared" si="272"/>
        <v>-2037</v>
      </c>
      <c r="AA523" s="8">
        <v>5739</v>
      </c>
      <c r="AB523" s="8">
        <f t="shared" si="259"/>
        <v>-558</v>
      </c>
      <c r="AC523" s="8">
        <v>73773</v>
      </c>
      <c r="AD523" s="8">
        <f t="shared" si="259"/>
        <v>-1479</v>
      </c>
      <c r="AE523" s="8">
        <v>192002</v>
      </c>
      <c r="AF523" s="8">
        <f t="shared" si="273"/>
        <v>-494</v>
      </c>
      <c r="AG523" s="8">
        <v>306874</v>
      </c>
      <c r="AH523" s="8">
        <f t="shared" si="274"/>
        <v>897</v>
      </c>
      <c r="AI523" s="8">
        <v>-114872</v>
      </c>
      <c r="AJ523" s="8">
        <f t="shared" si="275"/>
        <v>-1391</v>
      </c>
      <c r="AK523" s="8">
        <v>109005</v>
      </c>
      <c r="AL523" s="8">
        <f t="shared" si="276"/>
        <v>-426</v>
      </c>
      <c r="AM523" s="8">
        <v>289139</v>
      </c>
      <c r="AN523" s="8">
        <f t="shared" si="277"/>
        <v>516</v>
      </c>
      <c r="AO523" s="8">
        <v>-180134</v>
      </c>
      <c r="AP523" s="8">
        <f t="shared" si="278"/>
        <v>-942</v>
      </c>
      <c r="AR523" s="8">
        <v>2006083</v>
      </c>
      <c r="AS523" s="8">
        <f t="shared" si="279"/>
        <v>139222</v>
      </c>
      <c r="AT523" s="8">
        <v>298346</v>
      </c>
      <c r="AU523" s="8">
        <f t="shared" si="280"/>
        <v>50239</v>
      </c>
      <c r="AV523" s="8">
        <v>90379</v>
      </c>
      <c r="AW523" s="8">
        <f t="shared" si="281"/>
        <v>-26930</v>
      </c>
      <c r="AX523" s="8">
        <f t="shared" si="256"/>
        <v>207967</v>
      </c>
      <c r="AY523" s="8">
        <f t="shared" si="282"/>
        <v>77169</v>
      </c>
      <c r="AZ523" s="8">
        <v>769013</v>
      </c>
      <c r="BA523" s="8">
        <f t="shared" si="283"/>
        <v>10275</v>
      </c>
      <c r="BB523" s="8">
        <v>1027940</v>
      </c>
      <c r="BC523" s="8">
        <f t="shared" si="284"/>
        <v>86426</v>
      </c>
      <c r="BD523" s="8">
        <f t="shared" si="257"/>
        <v>-258927</v>
      </c>
      <c r="BE523" s="8">
        <f t="shared" si="285"/>
        <v>-76151</v>
      </c>
      <c r="BF523" s="8">
        <v>423714</v>
      </c>
      <c r="BG523" s="8">
        <f t="shared" si="286"/>
        <v>1829</v>
      </c>
      <c r="BH523" s="8">
        <v>937217</v>
      </c>
      <c r="BI523" s="8">
        <f t="shared" si="287"/>
        <v>70999</v>
      </c>
      <c r="BJ523" s="8">
        <f t="shared" si="258"/>
        <v>-513503</v>
      </c>
      <c r="BK523" s="8">
        <f t="shared" si="260"/>
        <v>-69170</v>
      </c>
    </row>
    <row r="524" spans="1:63">
      <c r="A524" s="5">
        <v>42535</v>
      </c>
      <c r="B524" s="8">
        <v>460812</v>
      </c>
      <c r="C524" s="8">
        <f t="shared" si="261"/>
        <v>-6611</v>
      </c>
      <c r="D524" s="8">
        <v>82550</v>
      </c>
      <c r="E524" s="8">
        <f t="shared" si="262"/>
        <v>4884</v>
      </c>
      <c r="F524" s="8">
        <v>29680</v>
      </c>
      <c r="G524" s="8">
        <f t="shared" si="263"/>
        <v>-7258</v>
      </c>
      <c r="H524" s="8">
        <v>52870</v>
      </c>
      <c r="I524" s="8">
        <f t="shared" si="264"/>
        <v>12142</v>
      </c>
      <c r="J524" s="8">
        <v>186231</v>
      </c>
      <c r="K524" s="8">
        <f t="shared" si="265"/>
        <v>-12373</v>
      </c>
      <c r="L524" s="8">
        <v>262058</v>
      </c>
      <c r="M524" s="8">
        <f t="shared" si="266"/>
        <v>10536</v>
      </c>
      <c r="N524" s="8">
        <v>-75827</v>
      </c>
      <c r="O524" s="8">
        <f t="shared" si="267"/>
        <v>-22909</v>
      </c>
      <c r="P524" s="8">
        <v>102204</v>
      </c>
      <c r="Q524" s="8">
        <f t="shared" si="268"/>
        <v>-11471</v>
      </c>
      <c r="R524" s="8">
        <v>248188</v>
      </c>
      <c r="S524" s="8">
        <f t="shared" si="269"/>
        <v>11612</v>
      </c>
      <c r="T524" s="8">
        <v>-145984</v>
      </c>
      <c r="U524" s="8">
        <f t="shared" si="270"/>
        <v>-23083</v>
      </c>
      <c r="W524" s="8">
        <v>502512</v>
      </c>
      <c r="X524" s="8">
        <f t="shared" si="271"/>
        <v>15521</v>
      </c>
      <c r="Y524" s="8">
        <v>77001</v>
      </c>
      <c r="Z524" s="8">
        <f t="shared" si="272"/>
        <v>-2511</v>
      </c>
      <c r="AA524" s="8">
        <v>7479</v>
      </c>
      <c r="AB524" s="8">
        <f t="shared" si="259"/>
        <v>1740</v>
      </c>
      <c r="AC524" s="8">
        <v>69522</v>
      </c>
      <c r="AD524" s="8">
        <f t="shared" si="259"/>
        <v>-4251</v>
      </c>
      <c r="AE524" s="8">
        <v>198722</v>
      </c>
      <c r="AF524" s="8">
        <f t="shared" si="273"/>
        <v>6720</v>
      </c>
      <c r="AG524" s="8">
        <v>311711</v>
      </c>
      <c r="AH524" s="8">
        <f t="shared" si="274"/>
        <v>4837</v>
      </c>
      <c r="AI524" s="8">
        <v>-112989</v>
      </c>
      <c r="AJ524" s="8">
        <f t="shared" si="275"/>
        <v>1883</v>
      </c>
      <c r="AK524" s="8">
        <v>113726</v>
      </c>
      <c r="AL524" s="8">
        <f t="shared" si="276"/>
        <v>4721</v>
      </c>
      <c r="AM524" s="8">
        <v>290353</v>
      </c>
      <c r="AN524" s="8">
        <f t="shared" si="277"/>
        <v>1214</v>
      </c>
      <c r="AO524" s="8">
        <v>-176627</v>
      </c>
      <c r="AP524" s="8">
        <f t="shared" si="278"/>
        <v>3507</v>
      </c>
      <c r="AR524" s="8">
        <v>2088225</v>
      </c>
      <c r="AS524" s="8">
        <f t="shared" si="279"/>
        <v>82142</v>
      </c>
      <c r="AT524" s="8">
        <v>327599</v>
      </c>
      <c r="AU524" s="8">
        <f t="shared" si="280"/>
        <v>29253</v>
      </c>
      <c r="AV524" s="8">
        <v>75304</v>
      </c>
      <c r="AW524" s="8">
        <f t="shared" si="281"/>
        <v>-15075</v>
      </c>
      <c r="AX524" s="8">
        <f t="shared" si="256"/>
        <v>252295</v>
      </c>
      <c r="AY524" s="8">
        <f t="shared" si="282"/>
        <v>44328</v>
      </c>
      <c r="AZ524" s="8">
        <v>766079</v>
      </c>
      <c r="BA524" s="8">
        <f t="shared" si="283"/>
        <v>-2934</v>
      </c>
      <c r="BB524" s="8">
        <v>1064951</v>
      </c>
      <c r="BC524" s="8">
        <f t="shared" si="284"/>
        <v>37011</v>
      </c>
      <c r="BD524" s="8">
        <f t="shared" si="257"/>
        <v>-298872</v>
      </c>
      <c r="BE524" s="8">
        <f t="shared" si="285"/>
        <v>-39945</v>
      </c>
      <c r="BF524" s="8">
        <v>413468</v>
      </c>
      <c r="BG524" s="8">
        <f t="shared" si="286"/>
        <v>-10246</v>
      </c>
      <c r="BH524" s="8">
        <v>969183</v>
      </c>
      <c r="BI524" s="8">
        <f t="shared" si="287"/>
        <v>31966</v>
      </c>
      <c r="BJ524" s="8">
        <f t="shared" si="258"/>
        <v>-555715</v>
      </c>
      <c r="BK524" s="8">
        <f t="shared" si="260"/>
        <v>-42212</v>
      </c>
    </row>
    <row r="525" spans="1:63">
      <c r="A525" s="5">
        <v>42542</v>
      </c>
      <c r="B525" s="8">
        <v>447890</v>
      </c>
      <c r="C525" s="8">
        <f t="shared" si="261"/>
        <v>-12922</v>
      </c>
      <c r="D525" s="8">
        <v>69508</v>
      </c>
      <c r="E525" s="8">
        <f t="shared" si="262"/>
        <v>-13042</v>
      </c>
      <c r="F525" s="8">
        <v>34668</v>
      </c>
      <c r="G525" s="8">
        <f t="shared" si="263"/>
        <v>4988</v>
      </c>
      <c r="H525" s="8">
        <v>34840</v>
      </c>
      <c r="I525" s="8">
        <f t="shared" si="264"/>
        <v>-18030</v>
      </c>
      <c r="J525" s="8">
        <v>198752</v>
      </c>
      <c r="K525" s="8">
        <f t="shared" si="265"/>
        <v>12521</v>
      </c>
      <c r="L525" s="8">
        <v>248409</v>
      </c>
      <c r="M525" s="8">
        <f t="shared" si="266"/>
        <v>-13649</v>
      </c>
      <c r="N525" s="8">
        <v>-49657</v>
      </c>
      <c r="O525" s="8">
        <f t="shared" si="267"/>
        <v>26170</v>
      </c>
      <c r="P525" s="8">
        <v>118460</v>
      </c>
      <c r="Q525" s="8">
        <f t="shared" si="268"/>
        <v>16256</v>
      </c>
      <c r="R525" s="8">
        <v>236545</v>
      </c>
      <c r="S525" s="8">
        <f t="shared" si="269"/>
        <v>-11643</v>
      </c>
      <c r="T525" s="8">
        <v>-118085</v>
      </c>
      <c r="U525" s="8">
        <f t="shared" si="270"/>
        <v>27899</v>
      </c>
      <c r="W525" s="8">
        <v>506374</v>
      </c>
      <c r="X525" s="8">
        <f t="shared" si="271"/>
        <v>3862</v>
      </c>
      <c r="Y525" s="8">
        <v>75287</v>
      </c>
      <c r="Z525" s="8">
        <f t="shared" si="272"/>
        <v>-1714</v>
      </c>
      <c r="AA525" s="8">
        <v>9417</v>
      </c>
      <c r="AB525" s="8">
        <f t="shared" si="259"/>
        <v>1938</v>
      </c>
      <c r="AC525" s="8">
        <v>65870</v>
      </c>
      <c r="AD525" s="8">
        <f t="shared" si="259"/>
        <v>-3652</v>
      </c>
      <c r="AE525" s="8">
        <v>204588</v>
      </c>
      <c r="AF525" s="8">
        <f t="shared" si="273"/>
        <v>5866</v>
      </c>
      <c r="AG525" s="8">
        <v>314414</v>
      </c>
      <c r="AH525" s="8">
        <f t="shared" si="274"/>
        <v>2703</v>
      </c>
      <c r="AI525" s="8">
        <v>-109826</v>
      </c>
      <c r="AJ525" s="8">
        <f t="shared" si="275"/>
        <v>3163</v>
      </c>
      <c r="AK525" s="8">
        <v>121496</v>
      </c>
      <c r="AL525" s="8">
        <f t="shared" si="276"/>
        <v>7770</v>
      </c>
      <c r="AM525" s="8">
        <v>293033</v>
      </c>
      <c r="AN525" s="8">
        <f t="shared" si="277"/>
        <v>2680</v>
      </c>
      <c r="AO525" s="8">
        <v>-171537</v>
      </c>
      <c r="AP525" s="8">
        <f t="shared" si="278"/>
        <v>5090</v>
      </c>
      <c r="AR525" s="8">
        <v>2045819</v>
      </c>
      <c r="AS525" s="8">
        <f t="shared" si="279"/>
        <v>-42406</v>
      </c>
      <c r="AT525" s="8">
        <v>328923</v>
      </c>
      <c r="AU525" s="8">
        <f t="shared" si="280"/>
        <v>1324</v>
      </c>
      <c r="AV525" s="8">
        <v>104096</v>
      </c>
      <c r="AW525" s="8">
        <f t="shared" si="281"/>
        <v>28792</v>
      </c>
      <c r="AX525" s="8">
        <f t="shared" si="256"/>
        <v>224827</v>
      </c>
      <c r="AY525" s="8">
        <f t="shared" si="282"/>
        <v>-27468</v>
      </c>
      <c r="AZ525" s="8">
        <v>798363</v>
      </c>
      <c r="BA525" s="8">
        <f t="shared" si="283"/>
        <v>32284</v>
      </c>
      <c r="BB525" s="8">
        <v>1040850</v>
      </c>
      <c r="BC525" s="8">
        <f t="shared" si="284"/>
        <v>-24101</v>
      </c>
      <c r="BD525" s="8">
        <f t="shared" si="257"/>
        <v>-242487</v>
      </c>
      <c r="BE525" s="8">
        <f t="shared" si="285"/>
        <v>56385</v>
      </c>
      <c r="BF525" s="8">
        <v>438762</v>
      </c>
      <c r="BG525" s="8">
        <f t="shared" si="286"/>
        <v>25294</v>
      </c>
      <c r="BH525" s="8">
        <v>941788</v>
      </c>
      <c r="BI525" s="8">
        <f t="shared" si="287"/>
        <v>-27395</v>
      </c>
      <c r="BJ525" s="8">
        <f t="shared" si="258"/>
        <v>-503026</v>
      </c>
      <c r="BK525" s="8">
        <f t="shared" si="260"/>
        <v>52689</v>
      </c>
    </row>
    <row r="526" spans="1:63">
      <c r="A526" s="5">
        <v>42549</v>
      </c>
      <c r="B526" s="8">
        <v>404603</v>
      </c>
      <c r="C526" s="8">
        <f t="shared" si="261"/>
        <v>-43287</v>
      </c>
      <c r="D526" s="8">
        <v>59145</v>
      </c>
      <c r="E526" s="8">
        <f t="shared" si="262"/>
        <v>-10363</v>
      </c>
      <c r="F526" s="8">
        <v>38947</v>
      </c>
      <c r="G526" s="8">
        <f t="shared" si="263"/>
        <v>4279</v>
      </c>
      <c r="H526" s="8">
        <v>20198</v>
      </c>
      <c r="I526" s="8">
        <f t="shared" si="264"/>
        <v>-14642</v>
      </c>
      <c r="J526" s="8">
        <v>191099</v>
      </c>
      <c r="K526" s="8">
        <f t="shared" si="265"/>
        <v>-7653</v>
      </c>
      <c r="L526" s="8">
        <v>223731</v>
      </c>
      <c r="M526" s="8">
        <f t="shared" si="266"/>
        <v>-24678</v>
      </c>
      <c r="N526" s="8">
        <v>-32632</v>
      </c>
      <c r="O526" s="8">
        <f t="shared" si="267"/>
        <v>17025</v>
      </c>
      <c r="P526" s="8">
        <v>112824</v>
      </c>
      <c r="Q526" s="8">
        <f t="shared" si="268"/>
        <v>-5636</v>
      </c>
      <c r="R526" s="8">
        <v>214727</v>
      </c>
      <c r="S526" s="8">
        <f t="shared" si="269"/>
        <v>-21818</v>
      </c>
      <c r="T526" s="8">
        <v>-101903</v>
      </c>
      <c r="U526" s="8">
        <f t="shared" si="270"/>
        <v>16182</v>
      </c>
      <c r="W526" s="8">
        <v>459444</v>
      </c>
      <c r="X526" s="8">
        <f t="shared" si="271"/>
        <v>-46930</v>
      </c>
      <c r="Y526" s="8">
        <v>71473</v>
      </c>
      <c r="Z526" s="8">
        <f t="shared" si="272"/>
        <v>-3814</v>
      </c>
      <c r="AA526" s="8">
        <v>9006</v>
      </c>
      <c r="AB526" s="8">
        <f t="shared" si="259"/>
        <v>-411</v>
      </c>
      <c r="AC526" s="8">
        <v>62467</v>
      </c>
      <c r="AD526" s="8">
        <f t="shared" si="259"/>
        <v>-3403</v>
      </c>
      <c r="AE526" s="8">
        <v>193969</v>
      </c>
      <c r="AF526" s="8">
        <f t="shared" si="273"/>
        <v>-10619</v>
      </c>
      <c r="AG526" s="8">
        <v>297300</v>
      </c>
      <c r="AH526" s="8">
        <f t="shared" si="274"/>
        <v>-17114</v>
      </c>
      <c r="AI526" s="8">
        <v>-103331</v>
      </c>
      <c r="AJ526" s="8">
        <f t="shared" si="275"/>
        <v>6495</v>
      </c>
      <c r="AK526" s="8">
        <v>113902</v>
      </c>
      <c r="AL526" s="8">
        <f t="shared" si="276"/>
        <v>-7594</v>
      </c>
      <c r="AM526" s="8">
        <v>278253</v>
      </c>
      <c r="AN526" s="8">
        <f t="shared" si="277"/>
        <v>-14780</v>
      </c>
      <c r="AO526" s="8">
        <v>-164351</v>
      </c>
      <c r="AP526" s="8">
        <f t="shared" si="278"/>
        <v>7186</v>
      </c>
      <c r="AR526" s="8">
        <v>1770114</v>
      </c>
      <c r="AS526" s="8">
        <f t="shared" si="279"/>
        <v>-275705</v>
      </c>
      <c r="AT526" s="8">
        <v>262634</v>
      </c>
      <c r="AU526" s="8">
        <f t="shared" si="280"/>
        <v>-66289</v>
      </c>
      <c r="AV526" s="8">
        <v>87908</v>
      </c>
      <c r="AW526" s="8">
        <f t="shared" si="281"/>
        <v>-16188</v>
      </c>
      <c r="AX526" s="8">
        <f t="shared" si="256"/>
        <v>174726</v>
      </c>
      <c r="AY526" s="8">
        <f t="shared" si="282"/>
        <v>-50101</v>
      </c>
      <c r="AZ526" s="8">
        <v>726926</v>
      </c>
      <c r="BA526" s="8">
        <f t="shared" si="283"/>
        <v>-71437</v>
      </c>
      <c r="BB526" s="8">
        <v>932367</v>
      </c>
      <c r="BC526" s="8">
        <f t="shared" si="284"/>
        <v>-108483</v>
      </c>
      <c r="BD526" s="8">
        <f t="shared" si="257"/>
        <v>-205441</v>
      </c>
      <c r="BE526" s="8">
        <f t="shared" si="285"/>
        <v>37046</v>
      </c>
      <c r="BF526" s="8">
        <v>393692</v>
      </c>
      <c r="BG526" s="8">
        <f t="shared" si="286"/>
        <v>-45070</v>
      </c>
      <c r="BH526" s="8">
        <v>860583</v>
      </c>
      <c r="BI526" s="8">
        <f t="shared" si="287"/>
        <v>-81205</v>
      </c>
      <c r="BJ526" s="8">
        <f t="shared" si="258"/>
        <v>-466891</v>
      </c>
      <c r="BK526" s="8">
        <f t="shared" si="260"/>
        <v>36135</v>
      </c>
    </row>
    <row r="527" spans="1:63">
      <c r="A527" s="5">
        <v>42556</v>
      </c>
      <c r="B527" s="8">
        <v>401688</v>
      </c>
      <c r="C527" s="8">
        <f t="shared" si="261"/>
        <v>-2915</v>
      </c>
      <c r="D527" s="8">
        <v>52630</v>
      </c>
      <c r="E527" s="8">
        <f t="shared" si="262"/>
        <v>-6515</v>
      </c>
      <c r="F527" s="8">
        <v>50746</v>
      </c>
      <c r="G527" s="8">
        <f t="shared" si="263"/>
        <v>11799</v>
      </c>
      <c r="H527" s="8">
        <v>1884</v>
      </c>
      <c r="I527" s="8">
        <f t="shared" si="264"/>
        <v>-18314</v>
      </c>
      <c r="J527" s="8">
        <v>197714</v>
      </c>
      <c r="K527" s="8">
        <f t="shared" si="265"/>
        <v>6615</v>
      </c>
      <c r="L527" s="8">
        <v>208872</v>
      </c>
      <c r="M527" s="8">
        <f t="shared" si="266"/>
        <v>-14859</v>
      </c>
      <c r="N527" s="8">
        <v>-11158</v>
      </c>
      <c r="O527" s="8">
        <f t="shared" si="267"/>
        <v>21474</v>
      </c>
      <c r="P527" s="8">
        <v>118515</v>
      </c>
      <c r="Q527" s="8">
        <f t="shared" si="268"/>
        <v>5691</v>
      </c>
      <c r="R527" s="8">
        <v>200152</v>
      </c>
      <c r="S527" s="8">
        <f t="shared" si="269"/>
        <v>-14575</v>
      </c>
      <c r="T527" s="8">
        <v>-81637</v>
      </c>
      <c r="U527" s="8">
        <f t="shared" si="270"/>
        <v>20266</v>
      </c>
      <c r="W527" s="8">
        <v>455064</v>
      </c>
      <c r="X527" s="8">
        <f t="shared" si="271"/>
        <v>-4380</v>
      </c>
      <c r="Y527" s="8">
        <v>72719</v>
      </c>
      <c r="Z527" s="8">
        <f t="shared" si="272"/>
        <v>1246</v>
      </c>
      <c r="AA527" s="8">
        <v>11314</v>
      </c>
      <c r="AB527" s="8">
        <f t="shared" si="259"/>
        <v>2308</v>
      </c>
      <c r="AC527" s="8">
        <v>61405</v>
      </c>
      <c r="AD527" s="8">
        <f t="shared" si="259"/>
        <v>-1062</v>
      </c>
      <c r="AE527" s="8">
        <v>195651</v>
      </c>
      <c r="AF527" s="8">
        <f t="shared" si="273"/>
        <v>1682</v>
      </c>
      <c r="AG527" s="8">
        <v>293682</v>
      </c>
      <c r="AH527" s="8">
        <f t="shared" si="274"/>
        <v>-3618</v>
      </c>
      <c r="AI527" s="8">
        <v>-98031</v>
      </c>
      <c r="AJ527" s="8">
        <f t="shared" si="275"/>
        <v>5300</v>
      </c>
      <c r="AK527" s="8">
        <v>109307</v>
      </c>
      <c r="AL527" s="8">
        <f t="shared" si="276"/>
        <v>-4595</v>
      </c>
      <c r="AM527" s="8">
        <v>275257</v>
      </c>
      <c r="AN527" s="8">
        <f t="shared" si="277"/>
        <v>-2996</v>
      </c>
      <c r="AO527" s="8">
        <v>-165950</v>
      </c>
      <c r="AP527" s="8">
        <f t="shared" si="278"/>
        <v>-1599</v>
      </c>
      <c r="AR527" s="8">
        <v>1788889</v>
      </c>
      <c r="AS527" s="8">
        <f t="shared" si="279"/>
        <v>18775</v>
      </c>
      <c r="AT527" s="8">
        <v>211963</v>
      </c>
      <c r="AU527" s="8">
        <f t="shared" si="280"/>
        <v>-50671</v>
      </c>
      <c r="AV527" s="8">
        <v>108860</v>
      </c>
      <c r="AW527" s="8">
        <f t="shared" si="281"/>
        <v>20952</v>
      </c>
      <c r="AX527" s="8">
        <f t="shared" si="256"/>
        <v>103103</v>
      </c>
      <c r="AY527" s="8">
        <f t="shared" si="282"/>
        <v>-71623</v>
      </c>
      <c r="AZ527" s="8">
        <v>749548</v>
      </c>
      <c r="BA527" s="8">
        <f t="shared" si="283"/>
        <v>22622</v>
      </c>
      <c r="BB527" s="8">
        <v>865313</v>
      </c>
      <c r="BC527" s="8">
        <f t="shared" si="284"/>
        <v>-67054</v>
      </c>
      <c r="BD527" s="8">
        <f t="shared" si="257"/>
        <v>-115765</v>
      </c>
      <c r="BE527" s="8">
        <f t="shared" si="285"/>
        <v>89676</v>
      </c>
      <c r="BF527" s="8">
        <v>427223</v>
      </c>
      <c r="BG527" s="8">
        <f t="shared" si="286"/>
        <v>33531</v>
      </c>
      <c r="BH527" s="8">
        <v>795104</v>
      </c>
      <c r="BI527" s="8">
        <f t="shared" si="287"/>
        <v>-65479</v>
      </c>
      <c r="BJ527" s="8">
        <f t="shared" si="258"/>
        <v>-367881</v>
      </c>
      <c r="BK527" s="8">
        <f t="shared" si="260"/>
        <v>99010</v>
      </c>
    </row>
    <row r="528" spans="1:63">
      <c r="A528" s="5">
        <v>42563</v>
      </c>
      <c r="B528" s="8">
        <v>397428</v>
      </c>
      <c r="C528" s="8">
        <f t="shared" si="261"/>
        <v>-4260</v>
      </c>
      <c r="D528" s="8">
        <v>50374</v>
      </c>
      <c r="E528" s="8">
        <f t="shared" si="262"/>
        <v>-2256</v>
      </c>
      <c r="F528" s="8">
        <v>49815</v>
      </c>
      <c r="G528" s="8">
        <f t="shared" si="263"/>
        <v>-931</v>
      </c>
      <c r="H528" s="8">
        <v>559</v>
      </c>
      <c r="I528" s="8">
        <f t="shared" si="264"/>
        <v>-1325</v>
      </c>
      <c r="J528" s="8">
        <v>203730</v>
      </c>
      <c r="K528" s="8">
        <f t="shared" si="265"/>
        <v>6016</v>
      </c>
      <c r="L528" s="8">
        <v>213736</v>
      </c>
      <c r="M528" s="8">
        <f t="shared" si="266"/>
        <v>4864</v>
      </c>
      <c r="N528" s="8">
        <v>-10006</v>
      </c>
      <c r="O528" s="8">
        <f t="shared" si="267"/>
        <v>1152</v>
      </c>
      <c r="P528" s="8">
        <v>126951</v>
      </c>
      <c r="Q528" s="8">
        <f t="shared" si="268"/>
        <v>8436</v>
      </c>
      <c r="R528" s="8">
        <v>205329</v>
      </c>
      <c r="S528" s="8">
        <f t="shared" si="269"/>
        <v>5177</v>
      </c>
      <c r="T528" s="8">
        <v>-78378</v>
      </c>
      <c r="U528" s="8">
        <f t="shared" si="270"/>
        <v>3259</v>
      </c>
      <c r="W528" s="8">
        <v>457297</v>
      </c>
      <c r="X528" s="8">
        <f t="shared" si="271"/>
        <v>2233</v>
      </c>
      <c r="Y528" s="8">
        <v>71207</v>
      </c>
      <c r="Z528" s="8">
        <f t="shared" si="272"/>
        <v>-1512</v>
      </c>
      <c r="AA528" s="8">
        <v>9272</v>
      </c>
      <c r="AB528" s="8">
        <f t="shared" si="259"/>
        <v>-2042</v>
      </c>
      <c r="AC528" s="8">
        <v>61935</v>
      </c>
      <c r="AD528" s="8">
        <f t="shared" si="259"/>
        <v>530</v>
      </c>
      <c r="AE528" s="8">
        <v>197126</v>
      </c>
      <c r="AF528" s="8">
        <f t="shared" si="273"/>
        <v>1475</v>
      </c>
      <c r="AG528" s="8">
        <v>298331</v>
      </c>
      <c r="AH528" s="8">
        <f t="shared" si="274"/>
        <v>4649</v>
      </c>
      <c r="AI528" s="8">
        <v>-101205</v>
      </c>
      <c r="AJ528" s="8">
        <f t="shared" si="275"/>
        <v>-3174</v>
      </c>
      <c r="AK528" s="8">
        <v>113197</v>
      </c>
      <c r="AL528" s="8">
        <f t="shared" si="276"/>
        <v>3890</v>
      </c>
      <c r="AM528" s="8">
        <v>280360</v>
      </c>
      <c r="AN528" s="8">
        <f t="shared" si="277"/>
        <v>5103</v>
      </c>
      <c r="AO528" s="8">
        <v>-167163</v>
      </c>
      <c r="AP528" s="8">
        <f t="shared" si="278"/>
        <v>-1213</v>
      </c>
      <c r="AR528" s="8">
        <v>1805645</v>
      </c>
      <c r="AS528" s="8">
        <f t="shared" si="279"/>
        <v>16756</v>
      </c>
      <c r="AT528" s="8">
        <v>170469</v>
      </c>
      <c r="AU528" s="8">
        <f t="shared" si="280"/>
        <v>-41494</v>
      </c>
      <c r="AV528" s="8">
        <v>161767</v>
      </c>
      <c r="AW528" s="8">
        <f t="shared" si="281"/>
        <v>52907</v>
      </c>
      <c r="AX528" s="8">
        <f t="shared" si="256"/>
        <v>8702</v>
      </c>
      <c r="AY528" s="8">
        <f t="shared" si="282"/>
        <v>-94401</v>
      </c>
      <c r="AZ528" s="8">
        <v>771482</v>
      </c>
      <c r="BA528" s="8">
        <f t="shared" si="283"/>
        <v>21934</v>
      </c>
      <c r="BB528" s="8">
        <v>816737</v>
      </c>
      <c r="BC528" s="8">
        <f t="shared" si="284"/>
        <v>-48576</v>
      </c>
      <c r="BD528" s="8">
        <f t="shared" si="257"/>
        <v>-45255</v>
      </c>
      <c r="BE528" s="8">
        <f t="shared" si="285"/>
        <v>70510</v>
      </c>
      <c r="BF528" s="8">
        <v>465021</v>
      </c>
      <c r="BG528" s="8">
        <f t="shared" si="286"/>
        <v>37798</v>
      </c>
      <c r="BH528" s="8">
        <v>749582</v>
      </c>
      <c r="BI528" s="8">
        <f t="shared" si="287"/>
        <v>-45522</v>
      </c>
      <c r="BJ528" s="8">
        <f t="shared" si="258"/>
        <v>-284561</v>
      </c>
      <c r="BK528" s="8">
        <f t="shared" si="260"/>
        <v>83320</v>
      </c>
    </row>
    <row r="529" spans="1:63">
      <c r="A529" s="5">
        <v>42570</v>
      </c>
      <c r="B529" s="8">
        <v>406016</v>
      </c>
      <c r="C529" s="8">
        <f t="shared" si="261"/>
        <v>8588</v>
      </c>
      <c r="D529" s="8">
        <v>49168</v>
      </c>
      <c r="E529" s="8">
        <f t="shared" si="262"/>
        <v>-1206</v>
      </c>
      <c r="F529" s="8">
        <v>53246</v>
      </c>
      <c r="G529" s="8">
        <f t="shared" si="263"/>
        <v>3431</v>
      </c>
      <c r="H529" s="8">
        <v>-4078</v>
      </c>
      <c r="I529" s="8">
        <f t="shared" si="264"/>
        <v>-4637</v>
      </c>
      <c r="J529" s="8">
        <v>206813</v>
      </c>
      <c r="K529" s="8">
        <f t="shared" si="265"/>
        <v>3083</v>
      </c>
      <c r="L529" s="8">
        <v>215838</v>
      </c>
      <c r="M529" s="8">
        <f t="shared" si="266"/>
        <v>2102</v>
      </c>
      <c r="N529" s="8">
        <v>-9025</v>
      </c>
      <c r="O529" s="8">
        <f t="shared" si="267"/>
        <v>981</v>
      </c>
      <c r="P529" s="8">
        <v>131005</v>
      </c>
      <c r="Q529" s="8">
        <f t="shared" si="268"/>
        <v>4054</v>
      </c>
      <c r="R529" s="8">
        <v>208171</v>
      </c>
      <c r="S529" s="8">
        <f t="shared" si="269"/>
        <v>2842</v>
      </c>
      <c r="T529" s="8">
        <v>-77166</v>
      </c>
      <c r="U529" s="8">
        <f t="shared" si="270"/>
        <v>1212</v>
      </c>
      <c r="W529" s="8">
        <v>455091</v>
      </c>
      <c r="X529" s="8">
        <f t="shared" si="271"/>
        <v>-2206</v>
      </c>
      <c r="Y529" s="8">
        <v>67519</v>
      </c>
      <c r="Z529" s="8">
        <f t="shared" si="272"/>
        <v>-3688</v>
      </c>
      <c r="AA529" s="8">
        <v>11028</v>
      </c>
      <c r="AB529" s="8">
        <f t="shared" si="259"/>
        <v>1756</v>
      </c>
      <c r="AC529" s="8">
        <v>56491</v>
      </c>
      <c r="AD529" s="8">
        <f t="shared" si="259"/>
        <v>-5444</v>
      </c>
      <c r="AE529" s="8">
        <v>201251</v>
      </c>
      <c r="AF529" s="8">
        <f t="shared" si="273"/>
        <v>4125</v>
      </c>
      <c r="AG529" s="8">
        <v>295656</v>
      </c>
      <c r="AH529" s="8">
        <f t="shared" si="274"/>
        <v>-2675</v>
      </c>
      <c r="AI529" s="8">
        <v>-94405</v>
      </c>
      <c r="AJ529" s="8">
        <f t="shared" si="275"/>
        <v>6800</v>
      </c>
      <c r="AK529" s="8">
        <v>115658</v>
      </c>
      <c r="AL529" s="8">
        <f t="shared" si="276"/>
        <v>2461</v>
      </c>
      <c r="AM529" s="8">
        <v>277583</v>
      </c>
      <c r="AN529" s="8">
        <f t="shared" si="277"/>
        <v>-2777</v>
      </c>
      <c r="AO529" s="8">
        <v>-161925</v>
      </c>
      <c r="AP529" s="8">
        <f t="shared" si="278"/>
        <v>5238</v>
      </c>
      <c r="AR529" s="8">
        <v>1826301</v>
      </c>
      <c r="AS529" s="8">
        <f t="shared" si="279"/>
        <v>20656</v>
      </c>
      <c r="AT529" s="8">
        <v>165322</v>
      </c>
      <c r="AU529" s="8">
        <f t="shared" si="280"/>
        <v>-5147</v>
      </c>
      <c r="AV529" s="8">
        <v>178684</v>
      </c>
      <c r="AW529" s="8">
        <f t="shared" si="281"/>
        <v>16917</v>
      </c>
      <c r="AX529" s="8">
        <f t="shared" si="256"/>
        <v>-13362</v>
      </c>
      <c r="AY529" s="8">
        <f t="shared" si="282"/>
        <v>-22064</v>
      </c>
      <c r="AZ529" s="8">
        <v>766168</v>
      </c>
      <c r="BA529" s="8">
        <f t="shared" si="283"/>
        <v>-5314</v>
      </c>
      <c r="BB529" s="8">
        <v>789853</v>
      </c>
      <c r="BC529" s="8">
        <f t="shared" si="284"/>
        <v>-26884</v>
      </c>
      <c r="BD529" s="8">
        <f t="shared" si="257"/>
        <v>-23685</v>
      </c>
      <c r="BE529" s="8">
        <f t="shared" si="285"/>
        <v>21570</v>
      </c>
      <c r="BF529" s="8">
        <v>465100</v>
      </c>
      <c r="BG529" s="8">
        <f t="shared" si="286"/>
        <v>79</v>
      </c>
      <c r="BH529" s="8">
        <v>719503</v>
      </c>
      <c r="BI529" s="8">
        <f t="shared" si="287"/>
        <v>-30079</v>
      </c>
      <c r="BJ529" s="8">
        <f t="shared" si="258"/>
        <v>-254403</v>
      </c>
      <c r="BK529" s="8">
        <f t="shared" si="260"/>
        <v>30158</v>
      </c>
    </row>
    <row r="530" spans="1:63">
      <c r="A530" s="5">
        <v>42577</v>
      </c>
      <c r="B530" s="8">
        <v>405977</v>
      </c>
      <c r="C530" s="8">
        <f t="shared" si="261"/>
        <v>-39</v>
      </c>
      <c r="D530" s="8">
        <v>47219</v>
      </c>
      <c r="E530" s="8">
        <f t="shared" si="262"/>
        <v>-1949</v>
      </c>
      <c r="F530" s="8">
        <v>64437</v>
      </c>
      <c r="G530" s="8">
        <f t="shared" si="263"/>
        <v>11191</v>
      </c>
      <c r="H530" s="8">
        <v>-17218</v>
      </c>
      <c r="I530" s="8">
        <f t="shared" si="264"/>
        <v>-13140</v>
      </c>
      <c r="J530" s="8">
        <v>204818</v>
      </c>
      <c r="K530" s="8">
        <f t="shared" si="265"/>
        <v>-1995</v>
      </c>
      <c r="L530" s="8">
        <v>208909</v>
      </c>
      <c r="M530" s="8">
        <f t="shared" si="266"/>
        <v>-6929</v>
      </c>
      <c r="N530" s="8">
        <v>-4091</v>
      </c>
      <c r="O530" s="8">
        <f t="shared" si="267"/>
        <v>4934</v>
      </c>
      <c r="P530" s="8">
        <v>129387</v>
      </c>
      <c r="Q530" s="8">
        <f t="shared" si="268"/>
        <v>-1618</v>
      </c>
      <c r="R530" s="8">
        <v>201825</v>
      </c>
      <c r="S530" s="8">
        <f t="shared" si="269"/>
        <v>-6346</v>
      </c>
      <c r="T530" s="8">
        <v>-72438</v>
      </c>
      <c r="U530" s="8">
        <f t="shared" si="270"/>
        <v>4728</v>
      </c>
      <c r="W530" s="8">
        <v>432075</v>
      </c>
      <c r="X530" s="8">
        <f t="shared" si="271"/>
        <v>-23016</v>
      </c>
      <c r="Y530" s="8">
        <v>68567</v>
      </c>
      <c r="Z530" s="8">
        <f t="shared" si="272"/>
        <v>1048</v>
      </c>
      <c r="AA530" s="8">
        <v>12131</v>
      </c>
      <c r="AB530" s="8">
        <f t="shared" si="259"/>
        <v>1103</v>
      </c>
      <c r="AC530" s="8">
        <v>56436</v>
      </c>
      <c r="AD530" s="8">
        <f t="shared" si="259"/>
        <v>-55</v>
      </c>
      <c r="AE530" s="8">
        <v>196729</v>
      </c>
      <c r="AF530" s="8">
        <f t="shared" si="273"/>
        <v>-4522</v>
      </c>
      <c r="AG530" s="8">
        <v>290924</v>
      </c>
      <c r="AH530" s="8">
        <f t="shared" si="274"/>
        <v>-4732</v>
      </c>
      <c r="AI530" s="8">
        <v>-94195</v>
      </c>
      <c r="AJ530" s="8">
        <f t="shared" si="275"/>
        <v>210</v>
      </c>
      <c r="AK530" s="8">
        <v>110413</v>
      </c>
      <c r="AL530" s="8">
        <f t="shared" si="276"/>
        <v>-5245</v>
      </c>
      <c r="AM530" s="8">
        <v>273273</v>
      </c>
      <c r="AN530" s="8">
        <f t="shared" si="277"/>
        <v>-4310</v>
      </c>
      <c r="AO530" s="8">
        <v>-162860</v>
      </c>
      <c r="AP530" s="8">
        <f t="shared" si="278"/>
        <v>-935</v>
      </c>
      <c r="AR530" s="8">
        <v>1759784</v>
      </c>
      <c r="AS530" s="8">
        <f t="shared" si="279"/>
        <v>-66517</v>
      </c>
      <c r="AT530" s="8">
        <v>151094</v>
      </c>
      <c r="AU530" s="8">
        <f t="shared" si="280"/>
        <v>-14228</v>
      </c>
      <c r="AV530" s="8">
        <v>216632</v>
      </c>
      <c r="AW530" s="8">
        <f t="shared" si="281"/>
        <v>37948</v>
      </c>
      <c r="AX530" s="8">
        <f t="shared" si="256"/>
        <v>-65538</v>
      </c>
      <c r="AY530" s="8">
        <f t="shared" si="282"/>
        <v>-52176</v>
      </c>
      <c r="AZ530" s="8">
        <v>752848</v>
      </c>
      <c r="BA530" s="8">
        <f t="shared" si="283"/>
        <v>-13320</v>
      </c>
      <c r="BB530" s="8">
        <v>735409</v>
      </c>
      <c r="BC530" s="8">
        <f t="shared" si="284"/>
        <v>-54444</v>
      </c>
      <c r="BD530" s="8">
        <f t="shared" si="257"/>
        <v>17439</v>
      </c>
      <c r="BE530" s="8">
        <f t="shared" si="285"/>
        <v>41124</v>
      </c>
      <c r="BF530" s="8">
        <v>448829</v>
      </c>
      <c r="BG530" s="8">
        <f t="shared" si="286"/>
        <v>-16271</v>
      </c>
      <c r="BH530" s="8">
        <v>673534</v>
      </c>
      <c r="BI530" s="8">
        <f t="shared" si="287"/>
        <v>-45969</v>
      </c>
      <c r="BJ530" s="8">
        <f t="shared" si="258"/>
        <v>-224705</v>
      </c>
      <c r="BK530" s="8">
        <f t="shared" si="260"/>
        <v>29698</v>
      </c>
    </row>
    <row r="531" spans="1:63">
      <c r="A531" s="5">
        <v>42584</v>
      </c>
      <c r="B531" s="8">
        <v>401307</v>
      </c>
      <c r="C531" s="8">
        <f t="shared" si="261"/>
        <v>-4670</v>
      </c>
      <c r="D531" s="8">
        <v>45354</v>
      </c>
      <c r="E531" s="8">
        <f t="shared" si="262"/>
        <v>-1865</v>
      </c>
      <c r="F531" s="8">
        <v>62184</v>
      </c>
      <c r="G531" s="8">
        <f t="shared" si="263"/>
        <v>-2253</v>
      </c>
      <c r="H531" s="8">
        <v>-16830</v>
      </c>
      <c r="I531" s="8">
        <f t="shared" si="264"/>
        <v>388</v>
      </c>
      <c r="J531" s="8">
        <v>196763</v>
      </c>
      <c r="K531" s="8">
        <f t="shared" si="265"/>
        <v>-8055</v>
      </c>
      <c r="L531" s="8">
        <v>203210</v>
      </c>
      <c r="M531" s="8">
        <f t="shared" si="266"/>
        <v>-5699</v>
      </c>
      <c r="N531" s="8">
        <v>-6447</v>
      </c>
      <c r="O531" s="8">
        <f t="shared" si="267"/>
        <v>-2356</v>
      </c>
      <c r="P531" s="8">
        <v>121441</v>
      </c>
      <c r="Q531" s="8">
        <f t="shared" si="268"/>
        <v>-7946</v>
      </c>
      <c r="R531" s="8">
        <v>196073</v>
      </c>
      <c r="S531" s="8">
        <f t="shared" si="269"/>
        <v>-5752</v>
      </c>
      <c r="T531" s="8">
        <v>-74632</v>
      </c>
      <c r="U531" s="8">
        <f t="shared" si="270"/>
        <v>-2194</v>
      </c>
      <c r="W531" s="8">
        <v>428672</v>
      </c>
      <c r="X531" s="8">
        <f t="shared" si="271"/>
        <v>-3403</v>
      </c>
      <c r="Y531" s="8">
        <v>66749</v>
      </c>
      <c r="Z531" s="8">
        <f t="shared" si="272"/>
        <v>-1818</v>
      </c>
      <c r="AA531" s="8">
        <v>9988</v>
      </c>
      <c r="AB531" s="8">
        <f t="shared" si="259"/>
        <v>-2143</v>
      </c>
      <c r="AC531" s="8">
        <v>56761</v>
      </c>
      <c r="AD531" s="8">
        <f t="shared" si="259"/>
        <v>325</v>
      </c>
      <c r="AE531" s="8">
        <v>200079</v>
      </c>
      <c r="AF531" s="8">
        <f t="shared" si="273"/>
        <v>3350</v>
      </c>
      <c r="AG531" s="8">
        <v>285404</v>
      </c>
      <c r="AH531" s="8">
        <f t="shared" si="274"/>
        <v>-5520</v>
      </c>
      <c r="AI531" s="8">
        <v>-85325</v>
      </c>
      <c r="AJ531" s="8">
        <f t="shared" si="275"/>
        <v>8870</v>
      </c>
      <c r="AK531" s="8">
        <v>110781</v>
      </c>
      <c r="AL531" s="8">
        <f t="shared" si="276"/>
        <v>368</v>
      </c>
      <c r="AM531" s="8">
        <v>268031</v>
      </c>
      <c r="AN531" s="8">
        <f t="shared" si="277"/>
        <v>-5242</v>
      </c>
      <c r="AO531" s="8">
        <v>-157250</v>
      </c>
      <c r="AP531" s="8">
        <f t="shared" si="278"/>
        <v>5610</v>
      </c>
      <c r="AR531" s="8">
        <v>1812322</v>
      </c>
      <c r="AS531" s="8">
        <f t="shared" si="279"/>
        <v>52538</v>
      </c>
      <c r="AT531" s="8">
        <v>151843</v>
      </c>
      <c r="AU531" s="8">
        <f t="shared" si="280"/>
        <v>749</v>
      </c>
      <c r="AV531" s="8">
        <v>256275</v>
      </c>
      <c r="AW531" s="8">
        <f t="shared" si="281"/>
        <v>39643</v>
      </c>
      <c r="AX531" s="8">
        <f t="shared" si="256"/>
        <v>-104432</v>
      </c>
      <c r="AY531" s="8">
        <f t="shared" si="282"/>
        <v>-38894</v>
      </c>
      <c r="AZ531" s="8">
        <v>768838</v>
      </c>
      <c r="BA531" s="8">
        <f t="shared" si="283"/>
        <v>15990</v>
      </c>
      <c r="BB531" s="8">
        <v>715611</v>
      </c>
      <c r="BC531" s="8">
        <f t="shared" si="284"/>
        <v>-19798</v>
      </c>
      <c r="BD531" s="8">
        <f t="shared" si="257"/>
        <v>53227</v>
      </c>
      <c r="BE531" s="8">
        <f t="shared" si="285"/>
        <v>35788</v>
      </c>
      <c r="BF531" s="8">
        <v>474317</v>
      </c>
      <c r="BG531" s="8">
        <f t="shared" si="286"/>
        <v>25488</v>
      </c>
      <c r="BH531" s="8">
        <v>655137</v>
      </c>
      <c r="BI531" s="8">
        <f t="shared" si="287"/>
        <v>-18397</v>
      </c>
      <c r="BJ531" s="8">
        <f t="shared" si="258"/>
        <v>-180820</v>
      </c>
      <c r="BK531" s="8">
        <f t="shared" si="260"/>
        <v>43885</v>
      </c>
    </row>
    <row r="532" spans="1:63">
      <c r="A532" s="5">
        <v>42591</v>
      </c>
      <c r="B532" s="8">
        <v>403604</v>
      </c>
      <c r="C532" s="8">
        <f t="shared" si="261"/>
        <v>2297</v>
      </c>
      <c r="D532" s="8">
        <v>54184</v>
      </c>
      <c r="E532" s="8">
        <f t="shared" si="262"/>
        <v>8830</v>
      </c>
      <c r="F532" s="8">
        <v>46983</v>
      </c>
      <c r="G532" s="8">
        <f t="shared" si="263"/>
        <v>-15201</v>
      </c>
      <c r="H532" s="8">
        <v>7201</v>
      </c>
      <c r="I532" s="8">
        <f t="shared" si="264"/>
        <v>24031</v>
      </c>
      <c r="J532" s="8">
        <v>186415</v>
      </c>
      <c r="K532" s="8">
        <f t="shared" si="265"/>
        <v>-10348</v>
      </c>
      <c r="L532" s="8">
        <v>218090</v>
      </c>
      <c r="M532" s="8">
        <f t="shared" si="266"/>
        <v>14880</v>
      </c>
      <c r="N532" s="8">
        <v>-31675</v>
      </c>
      <c r="O532" s="8">
        <f t="shared" si="267"/>
        <v>-25228</v>
      </c>
      <c r="P532" s="8">
        <v>110693</v>
      </c>
      <c r="Q532" s="8">
        <f t="shared" si="268"/>
        <v>-10748</v>
      </c>
      <c r="R532" s="8">
        <v>210294</v>
      </c>
      <c r="S532" s="8">
        <f t="shared" si="269"/>
        <v>14221</v>
      </c>
      <c r="T532" s="8">
        <v>-99601</v>
      </c>
      <c r="U532" s="8">
        <f t="shared" si="270"/>
        <v>-24969</v>
      </c>
      <c r="W532" s="8">
        <v>426012</v>
      </c>
      <c r="X532" s="8">
        <f t="shared" si="271"/>
        <v>-2660</v>
      </c>
      <c r="Y532" s="8">
        <v>61662</v>
      </c>
      <c r="Z532" s="8">
        <f t="shared" si="272"/>
        <v>-5087</v>
      </c>
      <c r="AA532" s="8">
        <v>9415</v>
      </c>
      <c r="AB532" s="8">
        <f t="shared" si="259"/>
        <v>-573</v>
      </c>
      <c r="AC532" s="8">
        <v>52247</v>
      </c>
      <c r="AD532" s="8">
        <f t="shared" si="259"/>
        <v>-4514</v>
      </c>
      <c r="AE532" s="8">
        <v>200059</v>
      </c>
      <c r="AF532" s="8">
        <f t="shared" si="273"/>
        <v>-20</v>
      </c>
      <c r="AG532" s="8">
        <v>285817</v>
      </c>
      <c r="AH532" s="8">
        <f t="shared" si="274"/>
        <v>413</v>
      </c>
      <c r="AI532" s="8">
        <v>-85758</v>
      </c>
      <c r="AJ532" s="8">
        <f t="shared" si="275"/>
        <v>-433</v>
      </c>
      <c r="AK532" s="8">
        <v>112209</v>
      </c>
      <c r="AL532" s="8">
        <f t="shared" si="276"/>
        <v>1428</v>
      </c>
      <c r="AM532" s="8">
        <v>268019</v>
      </c>
      <c r="AN532" s="8">
        <f t="shared" si="277"/>
        <v>-12</v>
      </c>
      <c r="AO532" s="8">
        <v>-155810</v>
      </c>
      <c r="AP532" s="8">
        <f t="shared" si="278"/>
        <v>1440</v>
      </c>
      <c r="AR532" s="8">
        <v>1846059</v>
      </c>
      <c r="AS532" s="8">
        <f t="shared" si="279"/>
        <v>33737</v>
      </c>
      <c r="AT532" s="8">
        <v>153737</v>
      </c>
      <c r="AU532" s="8">
        <f t="shared" si="280"/>
        <v>1894</v>
      </c>
      <c r="AV532" s="8">
        <v>290814</v>
      </c>
      <c r="AW532" s="8">
        <f t="shared" si="281"/>
        <v>34539</v>
      </c>
      <c r="AX532" s="8">
        <f t="shared" si="256"/>
        <v>-137077</v>
      </c>
      <c r="AY532" s="8">
        <f t="shared" si="282"/>
        <v>-32645</v>
      </c>
      <c r="AZ532" s="8">
        <v>789964</v>
      </c>
      <c r="BA532" s="8">
        <f t="shared" si="283"/>
        <v>21126</v>
      </c>
      <c r="BB532" s="8">
        <v>705741</v>
      </c>
      <c r="BC532" s="8">
        <f t="shared" si="284"/>
        <v>-9870</v>
      </c>
      <c r="BD532" s="8">
        <f t="shared" si="257"/>
        <v>84223</v>
      </c>
      <c r="BE532" s="8">
        <f t="shared" si="285"/>
        <v>30996</v>
      </c>
      <c r="BF532" s="8">
        <v>494728</v>
      </c>
      <c r="BG532" s="8">
        <f t="shared" si="286"/>
        <v>20411</v>
      </c>
      <c r="BH532" s="8">
        <v>644482</v>
      </c>
      <c r="BI532" s="8">
        <f t="shared" si="287"/>
        <v>-10655</v>
      </c>
      <c r="BJ532" s="8">
        <f t="shared" si="258"/>
        <v>-149754</v>
      </c>
      <c r="BK532" s="8">
        <f t="shared" si="260"/>
        <v>31066</v>
      </c>
    </row>
    <row r="533" spans="1:63">
      <c r="A533" s="5">
        <v>42598</v>
      </c>
      <c r="B533" s="8">
        <v>426357</v>
      </c>
      <c r="C533" s="8">
        <f t="shared" si="261"/>
        <v>22753</v>
      </c>
      <c r="D533" s="8">
        <v>65927</v>
      </c>
      <c r="E533" s="8">
        <f t="shared" si="262"/>
        <v>11743</v>
      </c>
      <c r="F533" s="8">
        <v>26872</v>
      </c>
      <c r="G533" s="8">
        <f t="shared" si="263"/>
        <v>-20111</v>
      </c>
      <c r="H533" s="8">
        <v>39055</v>
      </c>
      <c r="I533" s="8">
        <f t="shared" si="264"/>
        <v>31854</v>
      </c>
      <c r="J533" s="8">
        <v>179460</v>
      </c>
      <c r="K533" s="8">
        <f t="shared" si="265"/>
        <v>-6955</v>
      </c>
      <c r="L533" s="8">
        <v>244242</v>
      </c>
      <c r="M533" s="8">
        <f t="shared" si="266"/>
        <v>26152</v>
      </c>
      <c r="N533" s="8">
        <v>-64782</v>
      </c>
      <c r="O533" s="8">
        <f t="shared" si="267"/>
        <v>-33107</v>
      </c>
      <c r="P533" s="8">
        <v>105517</v>
      </c>
      <c r="Q533" s="8">
        <f t="shared" si="268"/>
        <v>-5176</v>
      </c>
      <c r="R533" s="8">
        <v>237696</v>
      </c>
      <c r="S533" s="8">
        <f t="shared" si="269"/>
        <v>27402</v>
      </c>
      <c r="T533" s="8">
        <v>-132179</v>
      </c>
      <c r="U533" s="8">
        <f t="shared" si="270"/>
        <v>-32578</v>
      </c>
      <c r="W533" s="8">
        <v>429533</v>
      </c>
      <c r="X533" s="8">
        <f t="shared" si="271"/>
        <v>3521</v>
      </c>
      <c r="Y533" s="8">
        <v>59841</v>
      </c>
      <c r="Z533" s="8">
        <f t="shared" si="272"/>
        <v>-1821</v>
      </c>
      <c r="AA533" s="8">
        <v>12337</v>
      </c>
      <c r="AB533" s="8">
        <f t="shared" si="259"/>
        <v>2922</v>
      </c>
      <c r="AC533" s="8">
        <v>47504</v>
      </c>
      <c r="AD533" s="8">
        <f t="shared" si="259"/>
        <v>-4743</v>
      </c>
      <c r="AE533" s="8">
        <v>199945</v>
      </c>
      <c r="AF533" s="8">
        <f t="shared" si="273"/>
        <v>-114</v>
      </c>
      <c r="AG533" s="8">
        <v>282846</v>
      </c>
      <c r="AH533" s="8">
        <f t="shared" si="274"/>
        <v>-2971</v>
      </c>
      <c r="AI533" s="8">
        <v>-82901</v>
      </c>
      <c r="AJ533" s="8">
        <f t="shared" si="275"/>
        <v>2857</v>
      </c>
      <c r="AK533" s="8">
        <v>111708</v>
      </c>
      <c r="AL533" s="8">
        <f t="shared" si="276"/>
        <v>-501</v>
      </c>
      <c r="AM533" s="8">
        <v>263705</v>
      </c>
      <c r="AN533" s="8">
        <f t="shared" si="277"/>
        <v>-4314</v>
      </c>
      <c r="AO533" s="8">
        <v>-151997</v>
      </c>
      <c r="AP533" s="8">
        <f t="shared" si="278"/>
        <v>3813</v>
      </c>
      <c r="AR533" s="8">
        <v>1885260</v>
      </c>
      <c r="AS533" s="8">
        <f t="shared" si="279"/>
        <v>39201</v>
      </c>
      <c r="AT533" s="8">
        <v>158267</v>
      </c>
      <c r="AU533" s="8">
        <f t="shared" si="280"/>
        <v>4530</v>
      </c>
      <c r="AV533" s="8">
        <v>319746</v>
      </c>
      <c r="AW533" s="8">
        <f t="shared" si="281"/>
        <v>28932</v>
      </c>
      <c r="AX533" s="8">
        <f t="shared" si="256"/>
        <v>-161479</v>
      </c>
      <c r="AY533" s="8">
        <f t="shared" si="282"/>
        <v>-24402</v>
      </c>
      <c r="AZ533" s="8">
        <v>798422</v>
      </c>
      <c r="BA533" s="8">
        <f t="shared" si="283"/>
        <v>8458</v>
      </c>
      <c r="BB533" s="8">
        <v>703718</v>
      </c>
      <c r="BC533" s="8">
        <f t="shared" si="284"/>
        <v>-2023</v>
      </c>
      <c r="BD533" s="8">
        <f t="shared" si="257"/>
        <v>94704</v>
      </c>
      <c r="BE533" s="8">
        <f t="shared" si="285"/>
        <v>10481</v>
      </c>
      <c r="BF533" s="8">
        <v>498711</v>
      </c>
      <c r="BG533" s="8">
        <f t="shared" si="286"/>
        <v>3983</v>
      </c>
      <c r="BH533" s="8">
        <v>638019</v>
      </c>
      <c r="BI533" s="8">
        <f t="shared" si="287"/>
        <v>-6463</v>
      </c>
      <c r="BJ533" s="8">
        <f t="shared" si="258"/>
        <v>-139308</v>
      </c>
      <c r="BK533" s="8">
        <f t="shared" si="260"/>
        <v>10446</v>
      </c>
    </row>
    <row r="534" spans="1:63">
      <c r="A534" s="5">
        <v>42605</v>
      </c>
      <c r="B534" s="8">
        <v>461766</v>
      </c>
      <c r="C534" s="8">
        <f t="shared" si="261"/>
        <v>35409</v>
      </c>
      <c r="D534" s="8">
        <v>93310</v>
      </c>
      <c r="E534" s="8">
        <f t="shared" si="262"/>
        <v>27383</v>
      </c>
      <c r="F534" s="8">
        <v>17312</v>
      </c>
      <c r="G534" s="8">
        <f t="shared" si="263"/>
        <v>-9560</v>
      </c>
      <c r="H534" s="8">
        <v>75998</v>
      </c>
      <c r="I534" s="8">
        <f t="shared" si="264"/>
        <v>36943</v>
      </c>
      <c r="J534" s="8">
        <v>170583</v>
      </c>
      <c r="K534" s="8">
        <f t="shared" si="265"/>
        <v>-8877</v>
      </c>
      <c r="L534" s="8">
        <v>280441</v>
      </c>
      <c r="M534" s="8">
        <f t="shared" si="266"/>
        <v>36199</v>
      </c>
      <c r="N534" s="8">
        <v>-109858</v>
      </c>
      <c r="O534" s="8">
        <f t="shared" si="267"/>
        <v>-45076</v>
      </c>
      <c r="P534" s="8">
        <v>90760</v>
      </c>
      <c r="Q534" s="8">
        <f t="shared" si="268"/>
        <v>-14757</v>
      </c>
      <c r="R534" s="8">
        <v>273866</v>
      </c>
      <c r="S534" s="8">
        <f t="shared" si="269"/>
        <v>36170</v>
      </c>
      <c r="T534" s="8">
        <v>-183106</v>
      </c>
      <c r="U534" s="8">
        <f t="shared" si="270"/>
        <v>-50927</v>
      </c>
      <c r="W534" s="8">
        <v>436911</v>
      </c>
      <c r="X534" s="8">
        <f t="shared" si="271"/>
        <v>7378</v>
      </c>
      <c r="Y534" s="8">
        <v>64081</v>
      </c>
      <c r="Z534" s="8">
        <f t="shared" si="272"/>
        <v>4240</v>
      </c>
      <c r="AA534" s="8">
        <v>14198</v>
      </c>
      <c r="AB534" s="8">
        <f t="shared" si="259"/>
        <v>1861</v>
      </c>
      <c r="AC534" s="8">
        <v>49883</v>
      </c>
      <c r="AD534" s="8">
        <f t="shared" si="259"/>
        <v>2379</v>
      </c>
      <c r="AE534" s="8">
        <v>199059</v>
      </c>
      <c r="AF534" s="8">
        <f t="shared" si="273"/>
        <v>-886</v>
      </c>
      <c r="AG534" s="8">
        <v>283702</v>
      </c>
      <c r="AH534" s="8">
        <f t="shared" si="274"/>
        <v>856</v>
      </c>
      <c r="AI534" s="8">
        <v>-84643</v>
      </c>
      <c r="AJ534" s="8">
        <f t="shared" si="275"/>
        <v>-1742</v>
      </c>
      <c r="AK534" s="8">
        <v>109909</v>
      </c>
      <c r="AL534" s="8">
        <f t="shared" si="276"/>
        <v>-1799</v>
      </c>
      <c r="AM534" s="8">
        <v>264978</v>
      </c>
      <c r="AN534" s="8">
        <f t="shared" si="277"/>
        <v>1273</v>
      </c>
      <c r="AO534" s="8">
        <v>-155069</v>
      </c>
      <c r="AP534" s="8">
        <f t="shared" si="278"/>
        <v>-3072</v>
      </c>
      <c r="AR534" s="8">
        <v>1889384</v>
      </c>
      <c r="AS534" s="8">
        <f t="shared" si="279"/>
        <v>4124</v>
      </c>
      <c r="AT534" s="8">
        <v>177950</v>
      </c>
      <c r="AU534" s="8">
        <f t="shared" si="280"/>
        <v>19683</v>
      </c>
      <c r="AV534" s="8">
        <v>331892</v>
      </c>
      <c r="AW534" s="8">
        <f t="shared" si="281"/>
        <v>12146</v>
      </c>
      <c r="AX534" s="8">
        <f t="shared" si="256"/>
        <v>-153942</v>
      </c>
      <c r="AY534" s="8">
        <f t="shared" si="282"/>
        <v>7537</v>
      </c>
      <c r="AZ534" s="8">
        <v>793686</v>
      </c>
      <c r="BA534" s="8">
        <f t="shared" si="283"/>
        <v>-4736</v>
      </c>
      <c r="BB534" s="8">
        <v>703583</v>
      </c>
      <c r="BC534" s="8">
        <f t="shared" si="284"/>
        <v>-135</v>
      </c>
      <c r="BD534" s="8">
        <f t="shared" si="257"/>
        <v>90103</v>
      </c>
      <c r="BE534" s="8">
        <f t="shared" si="285"/>
        <v>-4601</v>
      </c>
      <c r="BF534" s="8">
        <v>495765</v>
      </c>
      <c r="BG534" s="8">
        <f t="shared" si="286"/>
        <v>-2946</v>
      </c>
      <c r="BH534" s="8">
        <v>639537</v>
      </c>
      <c r="BI534" s="8">
        <f t="shared" si="287"/>
        <v>1518</v>
      </c>
      <c r="BJ534" s="8">
        <f t="shared" si="258"/>
        <v>-143772</v>
      </c>
      <c r="BK534" s="8">
        <f t="shared" si="260"/>
        <v>-4464</v>
      </c>
    </row>
    <row r="535" spans="1:63">
      <c r="A535" s="5">
        <v>42612</v>
      </c>
      <c r="B535" s="8">
        <v>438276</v>
      </c>
      <c r="C535" s="8">
        <f t="shared" si="261"/>
        <v>-23490</v>
      </c>
      <c r="D535" s="8">
        <v>104366</v>
      </c>
      <c r="E535" s="8">
        <f t="shared" si="262"/>
        <v>11056</v>
      </c>
      <c r="F535" s="8">
        <v>19063</v>
      </c>
      <c r="G535" s="8">
        <f t="shared" si="263"/>
        <v>1751</v>
      </c>
      <c r="H535" s="8">
        <v>85303</v>
      </c>
      <c r="I535" s="8">
        <f t="shared" si="264"/>
        <v>9305</v>
      </c>
      <c r="J535" s="8">
        <v>153122</v>
      </c>
      <c r="K535" s="8">
        <f t="shared" si="265"/>
        <v>-17461</v>
      </c>
      <c r="L535" s="8">
        <v>271461</v>
      </c>
      <c r="M535" s="8">
        <f t="shared" si="266"/>
        <v>-8980</v>
      </c>
      <c r="N535" s="8">
        <v>-118339</v>
      </c>
      <c r="O535" s="8">
        <f t="shared" si="267"/>
        <v>-8481</v>
      </c>
      <c r="P535" s="8">
        <v>75999</v>
      </c>
      <c r="Q535" s="8">
        <f t="shared" si="268"/>
        <v>-14761</v>
      </c>
      <c r="R535" s="8">
        <v>266336</v>
      </c>
      <c r="S535" s="8">
        <f t="shared" si="269"/>
        <v>-7530</v>
      </c>
      <c r="T535" s="8">
        <v>-190337</v>
      </c>
      <c r="U535" s="8">
        <f t="shared" si="270"/>
        <v>-7231</v>
      </c>
      <c r="W535" s="8">
        <v>403445</v>
      </c>
      <c r="X535" s="8">
        <f t="shared" si="271"/>
        <v>-33466</v>
      </c>
      <c r="Y535" s="8">
        <v>61751</v>
      </c>
      <c r="Z535" s="8">
        <f t="shared" si="272"/>
        <v>-2330</v>
      </c>
      <c r="AA535" s="8">
        <v>16312</v>
      </c>
      <c r="AB535" s="8">
        <f t="shared" si="259"/>
        <v>2114</v>
      </c>
      <c r="AC535" s="8">
        <v>45439</v>
      </c>
      <c r="AD535" s="8">
        <f t="shared" si="259"/>
        <v>-4444</v>
      </c>
      <c r="AE535" s="8">
        <v>190321</v>
      </c>
      <c r="AF535" s="8">
        <f t="shared" si="273"/>
        <v>-8738</v>
      </c>
      <c r="AG535" s="8">
        <v>263322</v>
      </c>
      <c r="AH535" s="8">
        <f t="shared" si="274"/>
        <v>-20380</v>
      </c>
      <c r="AI535" s="8">
        <v>-73001</v>
      </c>
      <c r="AJ535" s="8">
        <f t="shared" si="275"/>
        <v>11642</v>
      </c>
      <c r="AK535" s="8">
        <v>104314</v>
      </c>
      <c r="AL535" s="8">
        <f t="shared" si="276"/>
        <v>-5595</v>
      </c>
      <c r="AM535" s="8">
        <v>249653</v>
      </c>
      <c r="AN535" s="8">
        <f t="shared" si="277"/>
        <v>-15325</v>
      </c>
      <c r="AO535" s="8">
        <v>-145339</v>
      </c>
      <c r="AP535" s="8">
        <f t="shared" si="278"/>
        <v>9730</v>
      </c>
      <c r="AR535" s="8">
        <v>1708372</v>
      </c>
      <c r="AS535" s="8">
        <f t="shared" si="279"/>
        <v>-181012</v>
      </c>
      <c r="AT535" s="8">
        <v>176163</v>
      </c>
      <c r="AU535" s="8">
        <f t="shared" si="280"/>
        <v>-1787</v>
      </c>
      <c r="AV535" s="8">
        <v>338666</v>
      </c>
      <c r="AW535" s="8">
        <f t="shared" si="281"/>
        <v>6774</v>
      </c>
      <c r="AX535" s="8">
        <f t="shared" si="256"/>
        <v>-162503</v>
      </c>
      <c r="AY535" s="8">
        <f t="shared" si="282"/>
        <v>-8561</v>
      </c>
      <c r="AZ535" s="8">
        <v>732162</v>
      </c>
      <c r="BA535" s="8">
        <f t="shared" si="283"/>
        <v>-61524</v>
      </c>
      <c r="BB535" s="8">
        <v>615854</v>
      </c>
      <c r="BC535" s="8">
        <f t="shared" si="284"/>
        <v>-87729</v>
      </c>
      <c r="BD535" s="8">
        <f t="shared" si="257"/>
        <v>116308</v>
      </c>
      <c r="BE535" s="8">
        <f t="shared" si="285"/>
        <v>26205</v>
      </c>
      <c r="BF535" s="8">
        <v>457477</v>
      </c>
      <c r="BG535" s="8">
        <f t="shared" si="286"/>
        <v>-38288</v>
      </c>
      <c r="BH535" s="8">
        <v>566673</v>
      </c>
      <c r="BI535" s="8">
        <f t="shared" si="287"/>
        <v>-72864</v>
      </c>
      <c r="BJ535" s="8">
        <f t="shared" si="258"/>
        <v>-109196</v>
      </c>
      <c r="BK535" s="8">
        <f t="shared" si="260"/>
        <v>34576</v>
      </c>
    </row>
    <row r="536" spans="1:63">
      <c r="A536" s="5">
        <v>42619</v>
      </c>
      <c r="B536" s="8">
        <v>439954</v>
      </c>
      <c r="C536" s="8">
        <f t="shared" si="261"/>
        <v>1678</v>
      </c>
      <c r="D536" s="8">
        <v>101886</v>
      </c>
      <c r="E536" s="8">
        <f t="shared" si="262"/>
        <v>-2480</v>
      </c>
      <c r="F536" s="8">
        <v>19520</v>
      </c>
      <c r="G536" s="8">
        <f t="shared" si="263"/>
        <v>457</v>
      </c>
      <c r="H536" s="8">
        <v>82366</v>
      </c>
      <c r="I536" s="8">
        <f t="shared" si="264"/>
        <v>-2937</v>
      </c>
      <c r="J536" s="8">
        <v>152347</v>
      </c>
      <c r="K536" s="8">
        <f t="shared" si="265"/>
        <v>-775</v>
      </c>
      <c r="L536" s="8">
        <v>274148</v>
      </c>
      <c r="M536" s="8">
        <f t="shared" si="266"/>
        <v>2687</v>
      </c>
      <c r="N536" s="8">
        <v>-121801</v>
      </c>
      <c r="O536" s="8">
        <f t="shared" si="267"/>
        <v>-3462</v>
      </c>
      <c r="P536" s="8">
        <v>70053</v>
      </c>
      <c r="Q536" s="8">
        <f t="shared" si="268"/>
        <v>-5946</v>
      </c>
      <c r="R536" s="8">
        <v>265552</v>
      </c>
      <c r="S536" s="8">
        <f t="shared" si="269"/>
        <v>-784</v>
      </c>
      <c r="T536" s="8">
        <v>-195499</v>
      </c>
      <c r="U536" s="8">
        <f t="shared" si="270"/>
        <v>-5162</v>
      </c>
      <c r="W536" s="8">
        <v>413149</v>
      </c>
      <c r="X536" s="8">
        <f t="shared" si="271"/>
        <v>9704</v>
      </c>
      <c r="Y536" s="8">
        <v>56265</v>
      </c>
      <c r="Z536" s="8">
        <f t="shared" si="272"/>
        <v>-5486</v>
      </c>
      <c r="AA536" s="8">
        <v>21992</v>
      </c>
      <c r="AB536" s="8">
        <f t="shared" si="259"/>
        <v>5680</v>
      </c>
      <c r="AC536" s="8">
        <v>34273</v>
      </c>
      <c r="AD536" s="8">
        <f t="shared" si="259"/>
        <v>-11166</v>
      </c>
      <c r="AE536" s="8">
        <v>198785</v>
      </c>
      <c r="AF536" s="8">
        <f t="shared" si="273"/>
        <v>8464</v>
      </c>
      <c r="AG536" s="8">
        <v>261942</v>
      </c>
      <c r="AH536" s="8">
        <f t="shared" si="274"/>
        <v>-1380</v>
      </c>
      <c r="AI536" s="8">
        <v>-63157</v>
      </c>
      <c r="AJ536" s="8">
        <f t="shared" si="275"/>
        <v>9844</v>
      </c>
      <c r="AK536" s="8">
        <v>110201</v>
      </c>
      <c r="AL536" s="8">
        <f t="shared" si="276"/>
        <v>5887</v>
      </c>
      <c r="AM536" s="8">
        <v>246588</v>
      </c>
      <c r="AN536" s="8">
        <f t="shared" si="277"/>
        <v>-3065</v>
      </c>
      <c r="AO536" s="8">
        <v>-136387</v>
      </c>
      <c r="AP536" s="8">
        <f t="shared" si="278"/>
        <v>8952</v>
      </c>
      <c r="AR536" s="8">
        <v>1717881</v>
      </c>
      <c r="AS536" s="8">
        <f t="shared" si="279"/>
        <v>9509</v>
      </c>
      <c r="AT536" s="8">
        <v>173355</v>
      </c>
      <c r="AU536" s="8">
        <f t="shared" si="280"/>
        <v>-2808</v>
      </c>
      <c r="AV536" s="8">
        <v>354248</v>
      </c>
      <c r="AW536" s="8">
        <f t="shared" si="281"/>
        <v>15582</v>
      </c>
      <c r="AX536" s="8">
        <f t="shared" si="256"/>
        <v>-180893</v>
      </c>
      <c r="AY536" s="8">
        <f t="shared" si="282"/>
        <v>-18390</v>
      </c>
      <c r="AZ536" s="8">
        <v>747276</v>
      </c>
      <c r="BA536" s="8">
        <f t="shared" si="283"/>
        <v>15114</v>
      </c>
      <c r="BB536" s="8">
        <v>621698</v>
      </c>
      <c r="BC536" s="8">
        <f t="shared" si="284"/>
        <v>5844</v>
      </c>
      <c r="BD536" s="8">
        <f t="shared" si="257"/>
        <v>125578</v>
      </c>
      <c r="BE536" s="8">
        <f t="shared" si="285"/>
        <v>9270</v>
      </c>
      <c r="BF536" s="8">
        <v>468727</v>
      </c>
      <c r="BG536" s="8">
        <f t="shared" si="286"/>
        <v>11250</v>
      </c>
      <c r="BH536" s="8">
        <v>569747</v>
      </c>
      <c r="BI536" s="8">
        <f t="shared" si="287"/>
        <v>3074</v>
      </c>
      <c r="BJ536" s="8">
        <f t="shared" si="258"/>
        <v>-101020</v>
      </c>
      <c r="BK536" s="8">
        <f t="shared" si="260"/>
        <v>8176</v>
      </c>
    </row>
    <row r="537" spans="1:63">
      <c r="A537" s="5">
        <v>42626</v>
      </c>
      <c r="B537" s="8">
        <v>438014</v>
      </c>
      <c r="C537" s="8">
        <f t="shared" si="261"/>
        <v>-1940</v>
      </c>
      <c r="D537" s="8">
        <v>95964</v>
      </c>
      <c r="E537" s="8">
        <f t="shared" si="262"/>
        <v>-5922</v>
      </c>
      <c r="F537" s="8">
        <v>25736</v>
      </c>
      <c r="G537" s="8">
        <f t="shared" si="263"/>
        <v>6216</v>
      </c>
      <c r="H537" s="8">
        <v>70228</v>
      </c>
      <c r="I537" s="8">
        <f t="shared" si="264"/>
        <v>-12138</v>
      </c>
      <c r="J537" s="8">
        <v>156689</v>
      </c>
      <c r="K537" s="8">
        <f t="shared" si="265"/>
        <v>4342</v>
      </c>
      <c r="L537" s="8">
        <v>265583</v>
      </c>
      <c r="M537" s="8">
        <f t="shared" si="266"/>
        <v>-8565</v>
      </c>
      <c r="N537" s="8">
        <v>-108894</v>
      </c>
      <c r="O537" s="8">
        <f t="shared" si="267"/>
        <v>12907</v>
      </c>
      <c r="P537" s="8">
        <v>73115</v>
      </c>
      <c r="Q537" s="8">
        <f t="shared" si="268"/>
        <v>3062</v>
      </c>
      <c r="R537" s="8">
        <v>255299</v>
      </c>
      <c r="S537" s="8">
        <f t="shared" si="269"/>
        <v>-10253</v>
      </c>
      <c r="T537" s="8">
        <v>-182184</v>
      </c>
      <c r="U537" s="8">
        <f t="shared" si="270"/>
        <v>13315</v>
      </c>
      <c r="W537" s="8">
        <v>420612</v>
      </c>
      <c r="X537" s="8">
        <f t="shared" si="271"/>
        <v>7463</v>
      </c>
      <c r="Y537" s="8">
        <v>54578</v>
      </c>
      <c r="Z537" s="8">
        <f t="shared" si="272"/>
        <v>-1687</v>
      </c>
      <c r="AA537" s="8">
        <v>20391</v>
      </c>
      <c r="AB537" s="8">
        <f t="shared" si="259"/>
        <v>-1601</v>
      </c>
      <c r="AC537" s="8">
        <v>34187</v>
      </c>
      <c r="AD537" s="8">
        <f t="shared" si="259"/>
        <v>-86</v>
      </c>
      <c r="AE537" s="8">
        <v>203008</v>
      </c>
      <c r="AF537" s="8">
        <f t="shared" si="273"/>
        <v>4223</v>
      </c>
      <c r="AG537" s="8">
        <v>265922</v>
      </c>
      <c r="AH537" s="8">
        <f t="shared" si="274"/>
        <v>3980</v>
      </c>
      <c r="AI537" s="8">
        <v>-62914</v>
      </c>
      <c r="AJ537" s="8">
        <f t="shared" si="275"/>
        <v>243</v>
      </c>
      <c r="AK537" s="8">
        <v>111495</v>
      </c>
      <c r="AL537" s="8">
        <f t="shared" si="276"/>
        <v>1294</v>
      </c>
      <c r="AM537" s="8">
        <v>249978</v>
      </c>
      <c r="AN537" s="8">
        <f t="shared" si="277"/>
        <v>3390</v>
      </c>
      <c r="AO537" s="8">
        <v>-138483</v>
      </c>
      <c r="AP537" s="8">
        <f t="shared" si="278"/>
        <v>-2096</v>
      </c>
      <c r="AR537" s="8">
        <v>1698121</v>
      </c>
      <c r="AS537" s="8">
        <f t="shared" si="279"/>
        <v>-19760</v>
      </c>
      <c r="AT537" s="8">
        <v>175692</v>
      </c>
      <c r="AU537" s="8">
        <f t="shared" si="280"/>
        <v>2337</v>
      </c>
      <c r="AV537" s="8">
        <v>322632</v>
      </c>
      <c r="AW537" s="8">
        <f t="shared" si="281"/>
        <v>-31616</v>
      </c>
      <c r="AX537" s="8">
        <f t="shared" si="256"/>
        <v>-146940</v>
      </c>
      <c r="AY537" s="8">
        <f t="shared" si="282"/>
        <v>33953</v>
      </c>
      <c r="AZ537" s="8">
        <v>730813</v>
      </c>
      <c r="BA537" s="8">
        <f t="shared" si="283"/>
        <v>-16463</v>
      </c>
      <c r="BB537" s="8">
        <v>624433</v>
      </c>
      <c r="BC537" s="8">
        <f t="shared" si="284"/>
        <v>2735</v>
      </c>
      <c r="BD537" s="8">
        <f t="shared" si="257"/>
        <v>106380</v>
      </c>
      <c r="BE537" s="8">
        <f t="shared" si="285"/>
        <v>-19198</v>
      </c>
      <c r="BF537" s="8">
        <v>447007</v>
      </c>
      <c r="BG537" s="8">
        <f t="shared" si="286"/>
        <v>-21720</v>
      </c>
      <c r="BH537" s="8">
        <v>572242</v>
      </c>
      <c r="BI537" s="8">
        <f t="shared" si="287"/>
        <v>2495</v>
      </c>
      <c r="BJ537" s="8">
        <f t="shared" si="258"/>
        <v>-125235</v>
      </c>
      <c r="BK537" s="8">
        <f t="shared" si="260"/>
        <v>-24215</v>
      </c>
    </row>
    <row r="538" spans="1:63">
      <c r="A538" s="5">
        <v>42633</v>
      </c>
      <c r="B538" s="8">
        <v>436602</v>
      </c>
      <c r="C538" s="8">
        <f t="shared" si="261"/>
        <v>-1412</v>
      </c>
      <c r="D538" s="8">
        <v>98085</v>
      </c>
      <c r="E538" s="8">
        <f t="shared" si="262"/>
        <v>2121</v>
      </c>
      <c r="F538" s="8">
        <v>15844</v>
      </c>
      <c r="G538" s="8">
        <f t="shared" si="263"/>
        <v>-9892</v>
      </c>
      <c r="H538" s="8">
        <v>82241</v>
      </c>
      <c r="I538" s="8">
        <f t="shared" si="264"/>
        <v>12013</v>
      </c>
      <c r="J538" s="8">
        <v>150053</v>
      </c>
      <c r="K538" s="8">
        <f t="shared" si="265"/>
        <v>-6636</v>
      </c>
      <c r="L538" s="8">
        <v>278716</v>
      </c>
      <c r="M538" s="8">
        <f t="shared" si="266"/>
        <v>13133</v>
      </c>
      <c r="N538" s="8">
        <v>-128663</v>
      </c>
      <c r="O538" s="8">
        <f t="shared" si="267"/>
        <v>-19769</v>
      </c>
      <c r="P538" s="8">
        <v>63806</v>
      </c>
      <c r="Q538" s="8">
        <f t="shared" si="268"/>
        <v>-9309</v>
      </c>
      <c r="R538" s="8">
        <v>265542</v>
      </c>
      <c r="S538" s="8">
        <f t="shared" si="269"/>
        <v>10243</v>
      </c>
      <c r="T538" s="8">
        <v>-201736</v>
      </c>
      <c r="U538" s="8">
        <f t="shared" si="270"/>
        <v>-19552</v>
      </c>
      <c r="W538" s="8">
        <v>418845</v>
      </c>
      <c r="X538" s="8">
        <f t="shared" si="271"/>
        <v>-1767</v>
      </c>
      <c r="Y538" s="8">
        <v>52485</v>
      </c>
      <c r="Z538" s="8">
        <f t="shared" si="272"/>
        <v>-2093</v>
      </c>
      <c r="AA538" s="8">
        <v>21337</v>
      </c>
      <c r="AB538" s="8">
        <f t="shared" si="259"/>
        <v>946</v>
      </c>
      <c r="AC538" s="8">
        <v>31148</v>
      </c>
      <c r="AD538" s="8">
        <f t="shared" si="259"/>
        <v>-3039</v>
      </c>
      <c r="AE538" s="8">
        <v>198832</v>
      </c>
      <c r="AF538" s="8">
        <f t="shared" si="273"/>
        <v>-4176</v>
      </c>
      <c r="AG538" s="8">
        <v>263201</v>
      </c>
      <c r="AH538" s="8">
        <f t="shared" si="274"/>
        <v>-2721</v>
      </c>
      <c r="AI538" s="8">
        <v>-64369</v>
      </c>
      <c r="AJ538" s="8">
        <f t="shared" si="275"/>
        <v>-1455</v>
      </c>
      <c r="AK538" s="8">
        <v>106736</v>
      </c>
      <c r="AL538" s="8">
        <f t="shared" si="276"/>
        <v>-4759</v>
      </c>
      <c r="AM538" s="8">
        <v>245965</v>
      </c>
      <c r="AN538" s="8">
        <f t="shared" si="277"/>
        <v>-4013</v>
      </c>
      <c r="AO538" s="8">
        <v>-139229</v>
      </c>
      <c r="AP538" s="8">
        <f t="shared" si="278"/>
        <v>-746</v>
      </c>
      <c r="AR538" s="8">
        <v>1706158</v>
      </c>
      <c r="AS538" s="8">
        <f t="shared" si="279"/>
        <v>8037</v>
      </c>
      <c r="AT538" s="8">
        <v>177933</v>
      </c>
      <c r="AU538" s="8">
        <f t="shared" si="280"/>
        <v>2241</v>
      </c>
      <c r="AV538" s="8">
        <v>339525</v>
      </c>
      <c r="AW538" s="8">
        <f t="shared" si="281"/>
        <v>16893</v>
      </c>
      <c r="AX538" s="8">
        <f t="shared" si="256"/>
        <v>-161592</v>
      </c>
      <c r="AY538" s="8">
        <f t="shared" si="282"/>
        <v>-14652</v>
      </c>
      <c r="AZ538" s="8">
        <v>728511</v>
      </c>
      <c r="BA538" s="8">
        <f t="shared" si="283"/>
        <v>-2302</v>
      </c>
      <c r="BB538" s="8">
        <v>634636</v>
      </c>
      <c r="BC538" s="8">
        <f t="shared" si="284"/>
        <v>10203</v>
      </c>
      <c r="BD538" s="8">
        <f t="shared" si="257"/>
        <v>93875</v>
      </c>
      <c r="BE538" s="8">
        <f t="shared" si="285"/>
        <v>-12505</v>
      </c>
      <c r="BF538" s="8">
        <v>444060</v>
      </c>
      <c r="BG538" s="8">
        <f t="shared" si="286"/>
        <v>-2947</v>
      </c>
      <c r="BH538" s="8">
        <v>583118</v>
      </c>
      <c r="BI538" s="8">
        <f t="shared" si="287"/>
        <v>10876</v>
      </c>
      <c r="BJ538" s="8">
        <f t="shared" si="258"/>
        <v>-139058</v>
      </c>
      <c r="BK538" s="8">
        <f t="shared" si="260"/>
        <v>-13823</v>
      </c>
    </row>
    <row r="539" spans="1:63">
      <c r="A539" s="5">
        <v>42640</v>
      </c>
      <c r="B539" s="8">
        <v>453404</v>
      </c>
      <c r="C539" s="8">
        <f t="shared" si="261"/>
        <v>16802</v>
      </c>
      <c r="D539" s="8">
        <v>109826</v>
      </c>
      <c r="E539" s="8">
        <f t="shared" si="262"/>
        <v>11741</v>
      </c>
      <c r="F539" s="8">
        <v>15634</v>
      </c>
      <c r="G539" s="8">
        <f t="shared" si="263"/>
        <v>-210</v>
      </c>
      <c r="H539" s="8">
        <v>94192</v>
      </c>
      <c r="I539" s="8">
        <f t="shared" si="264"/>
        <v>11951</v>
      </c>
      <c r="J539" s="8">
        <v>148678</v>
      </c>
      <c r="K539" s="8">
        <f t="shared" si="265"/>
        <v>-1375</v>
      </c>
      <c r="L539" s="8">
        <v>291354</v>
      </c>
      <c r="M539" s="8">
        <f t="shared" si="266"/>
        <v>12638</v>
      </c>
      <c r="N539" s="8">
        <v>-142676</v>
      </c>
      <c r="O539" s="8">
        <f t="shared" si="267"/>
        <v>-14013</v>
      </c>
      <c r="P539" s="8">
        <v>61157</v>
      </c>
      <c r="Q539" s="8">
        <f t="shared" si="268"/>
        <v>-2649</v>
      </c>
      <c r="R539" s="8">
        <v>276791</v>
      </c>
      <c r="S539" s="8">
        <f t="shared" si="269"/>
        <v>11249</v>
      </c>
      <c r="T539" s="8">
        <v>-215634</v>
      </c>
      <c r="U539" s="8">
        <f t="shared" si="270"/>
        <v>-13898</v>
      </c>
      <c r="W539" s="8">
        <v>420246</v>
      </c>
      <c r="X539" s="8">
        <f t="shared" si="271"/>
        <v>1401</v>
      </c>
      <c r="Y539" s="8">
        <v>45365</v>
      </c>
      <c r="Z539" s="8">
        <f t="shared" si="272"/>
        <v>-7120</v>
      </c>
      <c r="AA539" s="8">
        <v>33665</v>
      </c>
      <c r="AB539" s="8">
        <f t="shared" si="259"/>
        <v>12328</v>
      </c>
      <c r="AC539" s="8">
        <v>11700</v>
      </c>
      <c r="AD539" s="8">
        <f t="shared" si="259"/>
        <v>-19448</v>
      </c>
      <c r="AE539" s="8">
        <v>205202</v>
      </c>
      <c r="AF539" s="8">
        <f t="shared" si="273"/>
        <v>6370</v>
      </c>
      <c r="AG539" s="8">
        <v>242554</v>
      </c>
      <c r="AH539" s="8">
        <f t="shared" si="274"/>
        <v>-20647</v>
      </c>
      <c r="AI539" s="8">
        <v>-37352</v>
      </c>
      <c r="AJ539" s="8">
        <f t="shared" si="275"/>
        <v>27017</v>
      </c>
      <c r="AK539" s="8">
        <v>112400</v>
      </c>
      <c r="AL539" s="8">
        <f t="shared" si="276"/>
        <v>5664</v>
      </c>
      <c r="AM539" s="8">
        <v>226625</v>
      </c>
      <c r="AN539" s="8">
        <f t="shared" si="277"/>
        <v>-19340</v>
      </c>
      <c r="AO539" s="8">
        <v>-114225</v>
      </c>
      <c r="AP539" s="8">
        <f t="shared" si="278"/>
        <v>25004</v>
      </c>
      <c r="AR539" s="8">
        <v>1707593</v>
      </c>
      <c r="AS539" s="8">
        <f t="shared" si="279"/>
        <v>1435</v>
      </c>
      <c r="AT539" s="8">
        <v>170340</v>
      </c>
      <c r="AU539" s="8">
        <f t="shared" si="280"/>
        <v>-7593</v>
      </c>
      <c r="AV539" s="8">
        <v>347184</v>
      </c>
      <c r="AW539" s="8">
        <f t="shared" si="281"/>
        <v>7659</v>
      </c>
      <c r="AX539" s="8">
        <f t="shared" si="256"/>
        <v>-176844</v>
      </c>
      <c r="AY539" s="8">
        <f t="shared" si="282"/>
        <v>-15252</v>
      </c>
      <c r="AZ539" s="8">
        <v>744074</v>
      </c>
      <c r="BA539" s="8">
        <f t="shared" si="283"/>
        <v>15563</v>
      </c>
      <c r="BB539" s="8">
        <v>618420</v>
      </c>
      <c r="BC539" s="8">
        <f t="shared" si="284"/>
        <v>-16216</v>
      </c>
      <c r="BD539" s="8">
        <f t="shared" si="257"/>
        <v>125654</v>
      </c>
      <c r="BE539" s="8">
        <f t="shared" si="285"/>
        <v>31779</v>
      </c>
      <c r="BF539" s="8">
        <v>455140</v>
      </c>
      <c r="BG539" s="8">
        <f t="shared" si="286"/>
        <v>11080</v>
      </c>
      <c r="BH539" s="8">
        <v>566290</v>
      </c>
      <c r="BI539" s="8">
        <f t="shared" si="287"/>
        <v>-16828</v>
      </c>
      <c r="BJ539" s="8">
        <f t="shared" si="258"/>
        <v>-111150</v>
      </c>
      <c r="BK539" s="8">
        <f t="shared" si="260"/>
        <v>27908</v>
      </c>
    </row>
    <row r="540" spans="1:63">
      <c r="A540" s="5">
        <v>42647</v>
      </c>
      <c r="B540" s="8">
        <v>453671</v>
      </c>
      <c r="C540" s="8">
        <f t="shared" si="261"/>
        <v>267</v>
      </c>
      <c r="D540" s="8">
        <v>108678</v>
      </c>
      <c r="E540" s="8">
        <f t="shared" si="262"/>
        <v>-1148</v>
      </c>
      <c r="F540" s="8">
        <v>15936</v>
      </c>
      <c r="G540" s="8">
        <f t="shared" si="263"/>
        <v>302</v>
      </c>
      <c r="H540" s="8">
        <v>92742</v>
      </c>
      <c r="I540" s="8">
        <f t="shared" si="264"/>
        <v>-1450</v>
      </c>
      <c r="J540" s="8">
        <v>146871</v>
      </c>
      <c r="K540" s="8">
        <f t="shared" si="265"/>
        <v>-1807</v>
      </c>
      <c r="L540" s="8">
        <v>286309</v>
      </c>
      <c r="M540" s="8">
        <f t="shared" si="266"/>
        <v>-5045</v>
      </c>
      <c r="N540" s="8">
        <v>-139438</v>
      </c>
      <c r="O540" s="8">
        <f t="shared" si="267"/>
        <v>3238</v>
      </c>
      <c r="P540" s="8">
        <v>56851</v>
      </c>
      <c r="Q540" s="8">
        <f t="shared" si="268"/>
        <v>-4306</v>
      </c>
      <c r="R540" s="8">
        <v>268457</v>
      </c>
      <c r="S540" s="8">
        <f t="shared" si="269"/>
        <v>-8334</v>
      </c>
      <c r="T540" s="8">
        <v>-211606</v>
      </c>
      <c r="U540" s="8">
        <f t="shared" si="270"/>
        <v>4028</v>
      </c>
      <c r="W540" s="8">
        <v>415688</v>
      </c>
      <c r="X540" s="8">
        <f t="shared" si="271"/>
        <v>-4558</v>
      </c>
      <c r="Y540" s="8">
        <v>47045</v>
      </c>
      <c r="Z540" s="8">
        <f t="shared" si="272"/>
        <v>1680</v>
      </c>
      <c r="AA540" s="8">
        <v>32215</v>
      </c>
      <c r="AB540" s="8">
        <f t="shared" si="259"/>
        <v>-1450</v>
      </c>
      <c r="AC540" s="8">
        <v>14830</v>
      </c>
      <c r="AD540" s="8">
        <f t="shared" si="259"/>
        <v>3130</v>
      </c>
      <c r="AE540" s="8">
        <v>195972</v>
      </c>
      <c r="AF540" s="8">
        <f t="shared" si="273"/>
        <v>-9230</v>
      </c>
      <c r="AG540" s="8">
        <v>240194</v>
      </c>
      <c r="AH540" s="8">
        <f t="shared" si="274"/>
        <v>-2360</v>
      </c>
      <c r="AI540" s="8">
        <v>-44222</v>
      </c>
      <c r="AJ540" s="8">
        <f t="shared" si="275"/>
        <v>-6870</v>
      </c>
      <c r="AK540" s="8">
        <v>102136</v>
      </c>
      <c r="AL540" s="8">
        <f t="shared" si="276"/>
        <v>-10264</v>
      </c>
      <c r="AM540" s="8">
        <v>220843</v>
      </c>
      <c r="AN540" s="8">
        <f t="shared" si="277"/>
        <v>-5782</v>
      </c>
      <c r="AO540" s="8">
        <v>-118707</v>
      </c>
      <c r="AP540" s="8">
        <f t="shared" si="278"/>
        <v>-4482</v>
      </c>
      <c r="AR540" s="8">
        <v>1707470</v>
      </c>
      <c r="AS540" s="8">
        <f t="shared" si="279"/>
        <v>-123</v>
      </c>
      <c r="AT540" s="8">
        <v>180643</v>
      </c>
      <c r="AU540" s="8">
        <f t="shared" si="280"/>
        <v>10303</v>
      </c>
      <c r="AV540" s="8">
        <v>343501</v>
      </c>
      <c r="AW540" s="8">
        <f t="shared" si="281"/>
        <v>-3683</v>
      </c>
      <c r="AX540" s="8">
        <f t="shared" si="256"/>
        <v>-162858</v>
      </c>
      <c r="AY540" s="8">
        <f t="shared" si="282"/>
        <v>13986</v>
      </c>
      <c r="AZ540" s="8">
        <v>723277</v>
      </c>
      <c r="BA540" s="8">
        <f t="shared" si="283"/>
        <v>-20797</v>
      </c>
      <c r="BB540" s="8">
        <v>642507</v>
      </c>
      <c r="BC540" s="8">
        <f t="shared" si="284"/>
        <v>24087</v>
      </c>
      <c r="BD540" s="8">
        <f t="shared" si="257"/>
        <v>80770</v>
      </c>
      <c r="BE540" s="8">
        <f t="shared" si="285"/>
        <v>-44884</v>
      </c>
      <c r="BF540" s="8">
        <v>423421</v>
      </c>
      <c r="BG540" s="8">
        <f t="shared" si="286"/>
        <v>-31719</v>
      </c>
      <c r="BH540" s="8">
        <v>589568</v>
      </c>
      <c r="BI540" s="8">
        <f t="shared" si="287"/>
        <v>23278</v>
      </c>
      <c r="BJ540" s="8">
        <f t="shared" si="258"/>
        <v>-166147</v>
      </c>
      <c r="BK540" s="8">
        <f t="shared" si="260"/>
        <v>-54997</v>
      </c>
    </row>
    <row r="541" spans="1:63">
      <c r="A541" s="5">
        <v>42654</v>
      </c>
      <c r="B541" s="8">
        <v>472433</v>
      </c>
      <c r="C541" s="8">
        <f t="shared" si="261"/>
        <v>18762</v>
      </c>
      <c r="D541" s="8">
        <v>102465</v>
      </c>
      <c r="E541" s="8">
        <f t="shared" si="262"/>
        <v>-6213</v>
      </c>
      <c r="F541" s="8">
        <v>20656</v>
      </c>
      <c r="G541" s="8">
        <f t="shared" si="263"/>
        <v>4720</v>
      </c>
      <c r="H541" s="8">
        <v>81809</v>
      </c>
      <c r="I541" s="8">
        <f t="shared" si="264"/>
        <v>-10933</v>
      </c>
      <c r="J541" s="8">
        <v>157784</v>
      </c>
      <c r="K541" s="8">
        <f t="shared" si="265"/>
        <v>10913</v>
      </c>
      <c r="L541" s="8">
        <v>287225</v>
      </c>
      <c r="M541" s="8">
        <f t="shared" si="266"/>
        <v>916</v>
      </c>
      <c r="N541" s="8">
        <v>-129441</v>
      </c>
      <c r="O541" s="8">
        <f t="shared" si="267"/>
        <v>9997</v>
      </c>
      <c r="P541" s="8">
        <v>58457</v>
      </c>
      <c r="Q541" s="8">
        <f t="shared" si="268"/>
        <v>1606</v>
      </c>
      <c r="R541" s="8">
        <v>269142</v>
      </c>
      <c r="S541" s="8">
        <f t="shared" si="269"/>
        <v>685</v>
      </c>
      <c r="T541" s="8">
        <v>-210685</v>
      </c>
      <c r="U541" s="8">
        <f t="shared" si="270"/>
        <v>921</v>
      </c>
      <c r="W541" s="8">
        <v>423786</v>
      </c>
      <c r="X541" s="8">
        <f t="shared" si="271"/>
        <v>8098</v>
      </c>
      <c r="Y541" s="8">
        <v>44360</v>
      </c>
      <c r="Z541" s="8">
        <f t="shared" si="272"/>
        <v>-2685</v>
      </c>
      <c r="AA541" s="8">
        <v>31842</v>
      </c>
      <c r="AB541" s="8">
        <f t="shared" si="259"/>
        <v>-373</v>
      </c>
      <c r="AC541" s="8">
        <v>12518</v>
      </c>
      <c r="AD541" s="8">
        <f t="shared" si="259"/>
        <v>-2312</v>
      </c>
      <c r="AE541" s="8">
        <v>200431</v>
      </c>
      <c r="AF541" s="8">
        <f t="shared" si="273"/>
        <v>4459</v>
      </c>
      <c r="AG541" s="8">
        <v>233479</v>
      </c>
      <c r="AH541" s="8">
        <f t="shared" si="274"/>
        <v>-6715</v>
      </c>
      <c r="AI541" s="8">
        <v>-33048</v>
      </c>
      <c r="AJ541" s="8">
        <f t="shared" si="275"/>
        <v>11174</v>
      </c>
      <c r="AK541" s="8">
        <v>104939</v>
      </c>
      <c r="AL541" s="8">
        <f t="shared" si="276"/>
        <v>2803</v>
      </c>
      <c r="AM541" s="8">
        <v>209441</v>
      </c>
      <c r="AN541" s="8">
        <f t="shared" si="277"/>
        <v>-11402</v>
      </c>
      <c r="AO541" s="8">
        <v>-104502</v>
      </c>
      <c r="AP541" s="8">
        <f t="shared" si="278"/>
        <v>14205</v>
      </c>
      <c r="AR541" s="8">
        <v>1705598</v>
      </c>
      <c r="AS541" s="8">
        <f t="shared" si="279"/>
        <v>-1872</v>
      </c>
      <c r="AT541" s="8">
        <v>175974</v>
      </c>
      <c r="AU541" s="8">
        <f t="shared" si="280"/>
        <v>-4669</v>
      </c>
      <c r="AV541" s="8">
        <v>306947</v>
      </c>
      <c r="AW541" s="8">
        <f t="shared" si="281"/>
        <v>-36554</v>
      </c>
      <c r="AX541" s="8">
        <f t="shared" si="256"/>
        <v>-130973</v>
      </c>
      <c r="AY541" s="8">
        <f t="shared" si="282"/>
        <v>31885</v>
      </c>
      <c r="AZ541" s="8">
        <v>712929</v>
      </c>
      <c r="BA541" s="8">
        <f t="shared" si="283"/>
        <v>-10348</v>
      </c>
      <c r="BB541" s="8">
        <v>655988</v>
      </c>
      <c r="BC541" s="8">
        <f t="shared" si="284"/>
        <v>13481</v>
      </c>
      <c r="BD541" s="8">
        <f t="shared" si="257"/>
        <v>56941</v>
      </c>
      <c r="BE541" s="8">
        <f t="shared" si="285"/>
        <v>-23829</v>
      </c>
      <c r="BF541" s="8">
        <v>416110</v>
      </c>
      <c r="BG541" s="8">
        <f t="shared" si="286"/>
        <v>-7311</v>
      </c>
      <c r="BH541" s="8">
        <v>603420</v>
      </c>
      <c r="BI541" s="8">
        <f t="shared" si="287"/>
        <v>13852</v>
      </c>
      <c r="BJ541" s="8">
        <f t="shared" si="258"/>
        <v>-187310</v>
      </c>
      <c r="BK541" s="8">
        <f t="shared" si="260"/>
        <v>-21163</v>
      </c>
    </row>
    <row r="542" spans="1:63">
      <c r="A542" s="5">
        <v>42661</v>
      </c>
      <c r="B542" s="8">
        <v>492761</v>
      </c>
      <c r="C542" s="8">
        <f t="shared" si="261"/>
        <v>20328</v>
      </c>
      <c r="D542" s="8">
        <v>116267</v>
      </c>
      <c r="E542" s="8">
        <f t="shared" si="262"/>
        <v>13802</v>
      </c>
      <c r="F542" s="8">
        <v>15006</v>
      </c>
      <c r="G542" s="8">
        <f t="shared" si="263"/>
        <v>-5650</v>
      </c>
      <c r="H542" s="8">
        <v>101261</v>
      </c>
      <c r="I542" s="8">
        <f t="shared" si="264"/>
        <v>19452</v>
      </c>
      <c r="J542" s="8">
        <v>154705</v>
      </c>
      <c r="K542" s="8">
        <f t="shared" si="265"/>
        <v>-3079</v>
      </c>
      <c r="L542" s="8">
        <v>302561</v>
      </c>
      <c r="M542" s="8">
        <f t="shared" si="266"/>
        <v>15336</v>
      </c>
      <c r="N542" s="8">
        <v>-147856</v>
      </c>
      <c r="O542" s="8">
        <f t="shared" si="267"/>
        <v>-18415</v>
      </c>
      <c r="P542" s="8">
        <v>54886</v>
      </c>
      <c r="Q542" s="8">
        <f t="shared" si="268"/>
        <v>-3571</v>
      </c>
      <c r="R542" s="8">
        <v>285621</v>
      </c>
      <c r="S542" s="8">
        <f t="shared" si="269"/>
        <v>16479</v>
      </c>
      <c r="T542" s="8">
        <v>-230735</v>
      </c>
      <c r="U542" s="8">
        <f t="shared" si="270"/>
        <v>-20050</v>
      </c>
      <c r="W542" s="8">
        <v>432765</v>
      </c>
      <c r="X542" s="8">
        <f t="shared" si="271"/>
        <v>8979</v>
      </c>
      <c r="Y542" s="8">
        <v>47000</v>
      </c>
      <c r="Z542" s="8">
        <f t="shared" si="272"/>
        <v>2640</v>
      </c>
      <c r="AA542" s="8">
        <v>33288</v>
      </c>
      <c r="AB542" s="8">
        <f t="shared" si="259"/>
        <v>1446</v>
      </c>
      <c r="AC542" s="8">
        <v>13712</v>
      </c>
      <c r="AD542" s="8">
        <f t="shared" si="259"/>
        <v>1194</v>
      </c>
      <c r="AE542" s="8">
        <v>205483</v>
      </c>
      <c r="AF542" s="8">
        <f t="shared" si="273"/>
        <v>5052</v>
      </c>
      <c r="AG542" s="8">
        <v>237257</v>
      </c>
      <c r="AH542" s="8">
        <f t="shared" si="274"/>
        <v>3778</v>
      </c>
      <c r="AI542" s="8">
        <v>-31774</v>
      </c>
      <c r="AJ542" s="8">
        <f t="shared" si="275"/>
        <v>1274</v>
      </c>
      <c r="AK542" s="8">
        <v>108119</v>
      </c>
      <c r="AL542" s="8">
        <f t="shared" si="276"/>
        <v>3180</v>
      </c>
      <c r="AM542" s="8">
        <v>209160</v>
      </c>
      <c r="AN542" s="8">
        <f t="shared" si="277"/>
        <v>-281</v>
      </c>
      <c r="AO542" s="8">
        <v>-101041</v>
      </c>
      <c r="AP542" s="8">
        <f t="shared" si="278"/>
        <v>3461</v>
      </c>
      <c r="AR542" s="8">
        <v>1730859</v>
      </c>
      <c r="AS542" s="8">
        <f t="shared" si="279"/>
        <v>25261</v>
      </c>
      <c r="AT542" s="8">
        <v>194901</v>
      </c>
      <c r="AU542" s="8">
        <f t="shared" si="280"/>
        <v>18927</v>
      </c>
      <c r="AV542" s="8">
        <v>264879</v>
      </c>
      <c r="AW542" s="8">
        <f t="shared" si="281"/>
        <v>-42068</v>
      </c>
      <c r="AX542" s="8">
        <f t="shared" si="256"/>
        <v>-69978</v>
      </c>
      <c r="AY542" s="8">
        <f t="shared" si="282"/>
        <v>60995</v>
      </c>
      <c r="AZ542" s="8">
        <v>699857</v>
      </c>
      <c r="BA542" s="8">
        <f t="shared" si="283"/>
        <v>-13072</v>
      </c>
      <c r="BB542" s="8">
        <v>704699</v>
      </c>
      <c r="BC542" s="8">
        <f t="shared" si="284"/>
        <v>48711</v>
      </c>
      <c r="BD542" s="8">
        <f t="shared" si="257"/>
        <v>-4842</v>
      </c>
      <c r="BE542" s="8">
        <f t="shared" si="285"/>
        <v>-61783</v>
      </c>
      <c r="BF542" s="8">
        <v>404531</v>
      </c>
      <c r="BG542" s="8">
        <f t="shared" si="286"/>
        <v>-11579</v>
      </c>
      <c r="BH542" s="8">
        <v>651190</v>
      </c>
      <c r="BI542" s="8">
        <f t="shared" si="287"/>
        <v>47770</v>
      </c>
      <c r="BJ542" s="8">
        <f t="shared" si="258"/>
        <v>-246659</v>
      </c>
      <c r="BK542" s="8">
        <f t="shared" si="260"/>
        <v>-59349</v>
      </c>
    </row>
    <row r="543" spans="1:63">
      <c r="A543" s="5">
        <v>42668</v>
      </c>
      <c r="B543" s="8">
        <v>507534</v>
      </c>
      <c r="C543" s="8">
        <f t="shared" si="261"/>
        <v>14773</v>
      </c>
      <c r="D543" s="8">
        <v>125981</v>
      </c>
      <c r="E543" s="8">
        <f t="shared" si="262"/>
        <v>9714</v>
      </c>
      <c r="F543" s="8">
        <v>10827</v>
      </c>
      <c r="G543" s="8">
        <f t="shared" si="263"/>
        <v>-4179</v>
      </c>
      <c r="H543" s="8">
        <v>115154</v>
      </c>
      <c r="I543" s="8">
        <f t="shared" si="264"/>
        <v>13893</v>
      </c>
      <c r="J543" s="8">
        <v>155447</v>
      </c>
      <c r="K543" s="8">
        <f t="shared" si="265"/>
        <v>742</v>
      </c>
      <c r="L543" s="8">
        <v>322504</v>
      </c>
      <c r="M543" s="8">
        <f t="shared" si="266"/>
        <v>19943</v>
      </c>
      <c r="N543" s="8">
        <v>-167057</v>
      </c>
      <c r="O543" s="8">
        <f t="shared" si="267"/>
        <v>-19201</v>
      </c>
      <c r="P543" s="8">
        <v>52985</v>
      </c>
      <c r="Q543" s="8">
        <f t="shared" si="268"/>
        <v>-1901</v>
      </c>
      <c r="R543" s="8">
        <v>304343</v>
      </c>
      <c r="S543" s="8">
        <f t="shared" si="269"/>
        <v>18722</v>
      </c>
      <c r="T543" s="8">
        <v>-251358</v>
      </c>
      <c r="U543" s="8">
        <f t="shared" si="270"/>
        <v>-20623</v>
      </c>
      <c r="W543" s="8">
        <v>431782</v>
      </c>
      <c r="X543" s="8">
        <f t="shared" si="271"/>
        <v>-983</v>
      </c>
      <c r="Y543" s="8">
        <v>47484</v>
      </c>
      <c r="Z543" s="8">
        <f t="shared" si="272"/>
        <v>484</v>
      </c>
      <c r="AA543" s="8">
        <v>32996</v>
      </c>
      <c r="AB543" s="8">
        <f t="shared" si="259"/>
        <v>-292</v>
      </c>
      <c r="AC543" s="8">
        <v>14488</v>
      </c>
      <c r="AD543" s="8">
        <f t="shared" si="259"/>
        <v>776</v>
      </c>
      <c r="AE543" s="8">
        <v>205170</v>
      </c>
      <c r="AF543" s="8">
        <f t="shared" si="273"/>
        <v>-313</v>
      </c>
      <c r="AG543" s="8">
        <v>243390</v>
      </c>
      <c r="AH543" s="8">
        <f t="shared" si="274"/>
        <v>6133</v>
      </c>
      <c r="AI543" s="8">
        <v>-38220</v>
      </c>
      <c r="AJ543" s="8">
        <f t="shared" si="275"/>
        <v>-6446</v>
      </c>
      <c r="AK543" s="8">
        <v>108709</v>
      </c>
      <c r="AL543" s="8">
        <f t="shared" si="276"/>
        <v>590</v>
      </c>
      <c r="AM543" s="8">
        <v>215031</v>
      </c>
      <c r="AN543" s="8">
        <f t="shared" si="277"/>
        <v>5871</v>
      </c>
      <c r="AO543" s="8">
        <v>-106322</v>
      </c>
      <c r="AP543" s="8">
        <f t="shared" si="278"/>
        <v>-5281</v>
      </c>
      <c r="AR543" s="8">
        <v>1724477</v>
      </c>
      <c r="AS543" s="8">
        <f t="shared" si="279"/>
        <v>-6382</v>
      </c>
      <c r="AT543" s="8">
        <v>197392</v>
      </c>
      <c r="AU543" s="8">
        <f t="shared" si="280"/>
        <v>2491</v>
      </c>
      <c r="AV543" s="8">
        <v>266354</v>
      </c>
      <c r="AW543" s="8">
        <f t="shared" si="281"/>
        <v>1475</v>
      </c>
      <c r="AX543" s="8">
        <f t="shared" si="256"/>
        <v>-68962</v>
      </c>
      <c r="AY543" s="8">
        <f t="shared" si="282"/>
        <v>1016</v>
      </c>
      <c r="AZ543" s="8">
        <v>700225</v>
      </c>
      <c r="BA543" s="8">
        <f t="shared" si="283"/>
        <v>368</v>
      </c>
      <c r="BB543" s="8">
        <v>702588</v>
      </c>
      <c r="BC543" s="8">
        <f t="shared" si="284"/>
        <v>-2111</v>
      </c>
      <c r="BD543" s="8">
        <f t="shared" si="257"/>
        <v>-2363</v>
      </c>
      <c r="BE543" s="8">
        <f t="shared" si="285"/>
        <v>2479</v>
      </c>
      <c r="BF543" s="8">
        <v>400855</v>
      </c>
      <c r="BG543" s="8">
        <f t="shared" si="286"/>
        <v>-3676</v>
      </c>
      <c r="BH543" s="8">
        <v>647951</v>
      </c>
      <c r="BI543" s="8">
        <f t="shared" si="287"/>
        <v>-3239</v>
      </c>
      <c r="BJ543" s="8">
        <f t="shared" si="258"/>
        <v>-247096</v>
      </c>
      <c r="BK543" s="8">
        <f t="shared" si="260"/>
        <v>-437</v>
      </c>
    </row>
    <row r="544" spans="1:63">
      <c r="A544" s="5">
        <v>42675</v>
      </c>
      <c r="B544" s="8">
        <v>517984</v>
      </c>
      <c r="C544" s="8">
        <f t="shared" si="261"/>
        <v>10450</v>
      </c>
      <c r="D544" s="8">
        <v>136973</v>
      </c>
      <c r="E544" s="8">
        <f t="shared" si="262"/>
        <v>10992</v>
      </c>
      <c r="F544" s="8">
        <v>10430</v>
      </c>
      <c r="G544" s="8">
        <f t="shared" si="263"/>
        <v>-397</v>
      </c>
      <c r="H544" s="8">
        <v>126543</v>
      </c>
      <c r="I544" s="8">
        <f t="shared" si="264"/>
        <v>11389</v>
      </c>
      <c r="J544" s="8">
        <v>167188</v>
      </c>
      <c r="K544" s="8">
        <f t="shared" si="265"/>
        <v>11741</v>
      </c>
      <c r="L544" s="8">
        <v>345677</v>
      </c>
      <c r="M544" s="8">
        <f t="shared" si="266"/>
        <v>23173</v>
      </c>
      <c r="N544" s="8">
        <v>-178489</v>
      </c>
      <c r="O544" s="8">
        <f t="shared" si="267"/>
        <v>-11432</v>
      </c>
      <c r="P544" s="8">
        <v>55789</v>
      </c>
      <c r="Q544" s="8">
        <f t="shared" si="268"/>
        <v>2804</v>
      </c>
      <c r="R544" s="8">
        <v>319645</v>
      </c>
      <c r="S544" s="8">
        <f t="shared" si="269"/>
        <v>15302</v>
      </c>
      <c r="T544" s="8">
        <v>-263856</v>
      </c>
      <c r="U544" s="8">
        <f t="shared" si="270"/>
        <v>-12498</v>
      </c>
      <c r="W544" s="8">
        <v>419025</v>
      </c>
      <c r="X544" s="8">
        <f t="shared" si="271"/>
        <v>-12757</v>
      </c>
      <c r="Y544" s="8">
        <v>49144</v>
      </c>
      <c r="Z544" s="8">
        <f t="shared" si="272"/>
        <v>1660</v>
      </c>
      <c r="AA544" s="8">
        <v>28123</v>
      </c>
      <c r="AB544" s="8">
        <f t="shared" si="259"/>
        <v>-4873</v>
      </c>
      <c r="AC544" s="8">
        <v>21021</v>
      </c>
      <c r="AD544" s="8">
        <f t="shared" si="259"/>
        <v>6533</v>
      </c>
      <c r="AE544" s="8">
        <v>206492</v>
      </c>
      <c r="AF544" s="8">
        <f t="shared" si="273"/>
        <v>1322</v>
      </c>
      <c r="AG544" s="8">
        <v>252564</v>
      </c>
      <c r="AH544" s="8">
        <f t="shared" si="274"/>
        <v>9174</v>
      </c>
      <c r="AI544" s="8">
        <v>-46072</v>
      </c>
      <c r="AJ544" s="8">
        <f t="shared" si="275"/>
        <v>-7852</v>
      </c>
      <c r="AK544" s="8">
        <v>108355</v>
      </c>
      <c r="AL544" s="8">
        <f t="shared" si="276"/>
        <v>-354</v>
      </c>
      <c r="AM544" s="8">
        <v>227744</v>
      </c>
      <c r="AN544" s="8">
        <f t="shared" si="277"/>
        <v>12713</v>
      </c>
      <c r="AO544" s="8">
        <v>-119389</v>
      </c>
      <c r="AP544" s="8">
        <f t="shared" si="278"/>
        <v>-13067</v>
      </c>
      <c r="AR544" s="8">
        <v>1761458</v>
      </c>
      <c r="AS544" s="8">
        <f t="shared" si="279"/>
        <v>36981</v>
      </c>
      <c r="AT544" s="8">
        <v>203659</v>
      </c>
      <c r="AU544" s="8">
        <f t="shared" si="280"/>
        <v>6267</v>
      </c>
      <c r="AV544" s="8">
        <v>268667</v>
      </c>
      <c r="AW544" s="8">
        <f t="shared" si="281"/>
        <v>2313</v>
      </c>
      <c r="AX544" s="8">
        <f t="shared" si="256"/>
        <v>-65008</v>
      </c>
      <c r="AY544" s="8">
        <f t="shared" si="282"/>
        <v>3954</v>
      </c>
      <c r="AZ544" s="8">
        <v>720661</v>
      </c>
      <c r="BA544" s="8">
        <f t="shared" si="283"/>
        <v>20436</v>
      </c>
      <c r="BB544" s="8">
        <v>731878</v>
      </c>
      <c r="BC544" s="8">
        <f t="shared" si="284"/>
        <v>29290</v>
      </c>
      <c r="BD544" s="8">
        <f t="shared" si="257"/>
        <v>-11217</v>
      </c>
      <c r="BE544" s="8">
        <f t="shared" si="285"/>
        <v>-8854</v>
      </c>
      <c r="BF544" s="8">
        <v>409165</v>
      </c>
      <c r="BG544" s="8">
        <f t="shared" si="286"/>
        <v>8310</v>
      </c>
      <c r="BH544" s="8">
        <v>676505</v>
      </c>
      <c r="BI544" s="8">
        <f t="shared" si="287"/>
        <v>28554</v>
      </c>
      <c r="BJ544" s="8">
        <f t="shared" si="258"/>
        <v>-267340</v>
      </c>
      <c r="BK544" s="8">
        <f t="shared" si="260"/>
        <v>-20244</v>
      </c>
    </row>
    <row r="545" spans="1:63">
      <c r="A545" s="5">
        <v>42682</v>
      </c>
      <c r="B545" s="8">
        <v>515135</v>
      </c>
      <c r="C545" s="8">
        <f t="shared" si="261"/>
        <v>-2849</v>
      </c>
      <c r="D545" s="8">
        <v>133472</v>
      </c>
      <c r="E545" s="8">
        <f t="shared" si="262"/>
        <v>-3501</v>
      </c>
      <c r="F545" s="8">
        <v>14718</v>
      </c>
      <c r="G545" s="8">
        <f t="shared" si="263"/>
        <v>4288</v>
      </c>
      <c r="H545" s="8">
        <v>118754</v>
      </c>
      <c r="I545" s="8">
        <f t="shared" si="264"/>
        <v>-7789</v>
      </c>
      <c r="J545" s="8">
        <v>164823</v>
      </c>
      <c r="K545" s="8">
        <f t="shared" si="265"/>
        <v>-2365</v>
      </c>
      <c r="L545" s="8">
        <v>335759</v>
      </c>
      <c r="M545" s="8">
        <f t="shared" si="266"/>
        <v>-9918</v>
      </c>
      <c r="N545" s="8">
        <v>-170936</v>
      </c>
      <c r="O545" s="8">
        <f t="shared" si="267"/>
        <v>7553</v>
      </c>
      <c r="P545" s="8">
        <v>54684</v>
      </c>
      <c r="Q545" s="8">
        <f t="shared" si="268"/>
        <v>-1105</v>
      </c>
      <c r="R545" s="8">
        <v>313586</v>
      </c>
      <c r="S545" s="8">
        <f t="shared" si="269"/>
        <v>-6059</v>
      </c>
      <c r="T545" s="8">
        <v>-258902</v>
      </c>
      <c r="U545" s="8">
        <f t="shared" si="270"/>
        <v>4954</v>
      </c>
      <c r="W545" s="8">
        <v>423426</v>
      </c>
      <c r="X545" s="8">
        <f t="shared" si="271"/>
        <v>4401</v>
      </c>
      <c r="Y545" s="8">
        <v>49266</v>
      </c>
      <c r="Z545" s="8">
        <f t="shared" si="272"/>
        <v>122</v>
      </c>
      <c r="AA545" s="8">
        <v>33034</v>
      </c>
      <c r="AB545" s="8">
        <f t="shared" si="259"/>
        <v>4911</v>
      </c>
      <c r="AC545" s="8">
        <v>16232</v>
      </c>
      <c r="AD545" s="8">
        <f t="shared" si="259"/>
        <v>-4789</v>
      </c>
      <c r="AE545" s="8">
        <v>203824</v>
      </c>
      <c r="AF545" s="8">
        <f t="shared" si="273"/>
        <v>-2668</v>
      </c>
      <c r="AG545" s="8">
        <v>247257</v>
      </c>
      <c r="AH545" s="8">
        <f t="shared" si="274"/>
        <v>-5307</v>
      </c>
      <c r="AI545" s="8">
        <v>-43433</v>
      </c>
      <c r="AJ545" s="8">
        <f t="shared" si="275"/>
        <v>2639</v>
      </c>
      <c r="AK545" s="8">
        <v>110916</v>
      </c>
      <c r="AL545" s="8">
        <f t="shared" si="276"/>
        <v>2561</v>
      </c>
      <c r="AM545" s="8">
        <v>227541</v>
      </c>
      <c r="AN545" s="8">
        <f t="shared" si="277"/>
        <v>-203</v>
      </c>
      <c r="AO545" s="8">
        <v>-116625</v>
      </c>
      <c r="AP545" s="8">
        <f t="shared" si="278"/>
        <v>2764</v>
      </c>
      <c r="AR545" s="8">
        <v>1751431</v>
      </c>
      <c r="AS545" s="8">
        <f t="shared" si="279"/>
        <v>-10027</v>
      </c>
      <c r="AT545" s="8">
        <v>213658</v>
      </c>
      <c r="AU545" s="8">
        <f t="shared" si="280"/>
        <v>9999</v>
      </c>
      <c r="AV545" s="8">
        <v>241712</v>
      </c>
      <c r="AW545" s="8">
        <f t="shared" si="281"/>
        <v>-26955</v>
      </c>
      <c r="AX545" s="8">
        <f t="shared" si="256"/>
        <v>-28054</v>
      </c>
      <c r="AY545" s="8">
        <f t="shared" si="282"/>
        <v>36954</v>
      </c>
      <c r="AZ545" s="8">
        <v>715198</v>
      </c>
      <c r="BA545" s="8">
        <f t="shared" si="283"/>
        <v>-5463</v>
      </c>
      <c r="BB545" s="8">
        <v>772500</v>
      </c>
      <c r="BC545" s="8">
        <f t="shared" si="284"/>
        <v>40622</v>
      </c>
      <c r="BD545" s="8">
        <f t="shared" si="257"/>
        <v>-57302</v>
      </c>
      <c r="BE545" s="8">
        <f t="shared" si="285"/>
        <v>-46085</v>
      </c>
      <c r="BF545" s="8">
        <v>398171</v>
      </c>
      <c r="BG545" s="8">
        <f t="shared" si="286"/>
        <v>-10994</v>
      </c>
      <c r="BH545" s="8">
        <v>715627</v>
      </c>
      <c r="BI545" s="8">
        <f t="shared" si="287"/>
        <v>39122</v>
      </c>
      <c r="BJ545" s="8">
        <f t="shared" si="258"/>
        <v>-317456</v>
      </c>
      <c r="BK545" s="8">
        <f t="shared" si="260"/>
        <v>-50116</v>
      </c>
    </row>
    <row r="546" spans="1:63">
      <c r="A546" s="5">
        <v>42689</v>
      </c>
      <c r="B546" s="8">
        <v>475835</v>
      </c>
      <c r="C546" s="8">
        <f t="shared" si="261"/>
        <v>-39300</v>
      </c>
      <c r="D546" s="8">
        <v>110731</v>
      </c>
      <c r="E546" s="8">
        <f t="shared" si="262"/>
        <v>-22741</v>
      </c>
      <c r="F546" s="8">
        <v>13090</v>
      </c>
      <c r="G546" s="8">
        <f t="shared" si="263"/>
        <v>-1628</v>
      </c>
      <c r="H546" s="8">
        <v>97641</v>
      </c>
      <c r="I546" s="8">
        <f t="shared" si="264"/>
        <v>-21113</v>
      </c>
      <c r="J546" s="8">
        <v>167763</v>
      </c>
      <c r="K546" s="8">
        <f t="shared" si="265"/>
        <v>2940</v>
      </c>
      <c r="L546" s="8">
        <v>310810</v>
      </c>
      <c r="M546" s="8">
        <f t="shared" si="266"/>
        <v>-24949</v>
      </c>
      <c r="N546" s="8">
        <v>-143047</v>
      </c>
      <c r="O546" s="8">
        <f t="shared" si="267"/>
        <v>27889</v>
      </c>
      <c r="P546" s="8">
        <v>57047</v>
      </c>
      <c r="Q546" s="8">
        <f t="shared" si="268"/>
        <v>2363</v>
      </c>
      <c r="R546" s="8">
        <v>287986</v>
      </c>
      <c r="S546" s="8">
        <f t="shared" si="269"/>
        <v>-25600</v>
      </c>
      <c r="T546" s="8">
        <v>-230939</v>
      </c>
      <c r="U546" s="8">
        <f t="shared" si="270"/>
        <v>27963</v>
      </c>
      <c r="W546" s="8">
        <v>432977</v>
      </c>
      <c r="X546" s="8">
        <f t="shared" si="271"/>
        <v>9551</v>
      </c>
      <c r="Y546" s="8">
        <v>49100</v>
      </c>
      <c r="Z546" s="8">
        <f t="shared" si="272"/>
        <v>-166</v>
      </c>
      <c r="AA546" s="8">
        <v>35096</v>
      </c>
      <c r="AB546" s="8">
        <f t="shared" si="259"/>
        <v>2062</v>
      </c>
      <c r="AC546" s="8">
        <v>14004</v>
      </c>
      <c r="AD546" s="8">
        <f t="shared" si="259"/>
        <v>-2228</v>
      </c>
      <c r="AE546" s="8">
        <v>211807</v>
      </c>
      <c r="AF546" s="8">
        <f t="shared" si="273"/>
        <v>7983</v>
      </c>
      <c r="AG546" s="8">
        <v>246608</v>
      </c>
      <c r="AH546" s="8">
        <f t="shared" si="274"/>
        <v>-649</v>
      </c>
      <c r="AI546" s="8">
        <v>-34801</v>
      </c>
      <c r="AJ546" s="8">
        <f t="shared" si="275"/>
        <v>8632</v>
      </c>
      <c r="AK546" s="8">
        <v>114688</v>
      </c>
      <c r="AL546" s="8">
        <f t="shared" si="276"/>
        <v>3772</v>
      </c>
      <c r="AM546" s="8">
        <v>227798</v>
      </c>
      <c r="AN546" s="8">
        <f t="shared" si="277"/>
        <v>257</v>
      </c>
      <c r="AO546" s="8">
        <v>-113110</v>
      </c>
      <c r="AP546" s="8">
        <f t="shared" si="278"/>
        <v>3515</v>
      </c>
      <c r="AR546" s="8">
        <v>1811606</v>
      </c>
      <c r="AS546" s="8">
        <f t="shared" si="279"/>
        <v>60175</v>
      </c>
      <c r="AT546" s="8">
        <v>180501</v>
      </c>
      <c r="AU546" s="8">
        <f t="shared" si="280"/>
        <v>-33157</v>
      </c>
      <c r="AV546" s="8">
        <v>265657</v>
      </c>
      <c r="AW546" s="8">
        <f t="shared" si="281"/>
        <v>23945</v>
      </c>
      <c r="AX546" s="8">
        <f t="shared" si="256"/>
        <v>-85156</v>
      </c>
      <c r="AY546" s="8">
        <f t="shared" si="282"/>
        <v>-57102</v>
      </c>
      <c r="AZ546" s="8">
        <v>792585</v>
      </c>
      <c r="BA546" s="8">
        <f t="shared" si="283"/>
        <v>77387</v>
      </c>
      <c r="BB546" s="8">
        <v>775320</v>
      </c>
      <c r="BC546" s="8">
        <f t="shared" si="284"/>
        <v>2820</v>
      </c>
      <c r="BD546" s="8">
        <f t="shared" si="257"/>
        <v>17265</v>
      </c>
      <c r="BE546" s="8">
        <f t="shared" si="285"/>
        <v>74567</v>
      </c>
      <c r="BF546" s="8">
        <v>459542</v>
      </c>
      <c r="BG546" s="8">
        <f t="shared" si="286"/>
        <v>61371</v>
      </c>
      <c r="BH546" s="8">
        <v>706517</v>
      </c>
      <c r="BI546" s="8">
        <f t="shared" si="287"/>
        <v>-9110</v>
      </c>
      <c r="BJ546" s="8">
        <f t="shared" si="258"/>
        <v>-246975</v>
      </c>
      <c r="BK546" s="8">
        <f t="shared" si="260"/>
        <v>70481</v>
      </c>
    </row>
    <row r="547" spans="1:63">
      <c r="A547" s="5">
        <v>42696</v>
      </c>
      <c r="B547" s="8">
        <v>472333</v>
      </c>
      <c r="C547" s="8">
        <f t="shared" si="261"/>
        <v>-3502</v>
      </c>
      <c r="D547" s="8">
        <v>108628</v>
      </c>
      <c r="E547" s="8">
        <f t="shared" si="262"/>
        <v>-2103</v>
      </c>
      <c r="F547" s="8">
        <v>13095</v>
      </c>
      <c r="G547" s="8">
        <f t="shared" si="263"/>
        <v>5</v>
      </c>
      <c r="H547" s="8">
        <v>95533</v>
      </c>
      <c r="I547" s="8">
        <f t="shared" si="264"/>
        <v>-2108</v>
      </c>
      <c r="J547" s="8">
        <v>157222</v>
      </c>
      <c r="K547" s="8">
        <f t="shared" si="265"/>
        <v>-10541</v>
      </c>
      <c r="L547" s="8">
        <v>303295</v>
      </c>
      <c r="M547" s="8">
        <f t="shared" si="266"/>
        <v>-7515</v>
      </c>
      <c r="N547" s="8">
        <v>-146073</v>
      </c>
      <c r="O547" s="8">
        <f t="shared" si="267"/>
        <v>-3026</v>
      </c>
      <c r="P547" s="8">
        <v>56582</v>
      </c>
      <c r="Q547" s="8">
        <f t="shared" si="268"/>
        <v>-465</v>
      </c>
      <c r="R547" s="8">
        <v>286205</v>
      </c>
      <c r="S547" s="8">
        <f t="shared" si="269"/>
        <v>-1781</v>
      </c>
      <c r="T547" s="8">
        <v>-229623</v>
      </c>
      <c r="U547" s="8">
        <f t="shared" si="270"/>
        <v>1316</v>
      </c>
      <c r="W547" s="8">
        <v>433800</v>
      </c>
      <c r="X547" s="8">
        <f t="shared" si="271"/>
        <v>823</v>
      </c>
      <c r="Y547" s="8">
        <v>53866</v>
      </c>
      <c r="Z547" s="8">
        <f t="shared" si="272"/>
        <v>4766</v>
      </c>
      <c r="AA547" s="8">
        <v>34489</v>
      </c>
      <c r="AB547" s="8">
        <f t="shared" si="259"/>
        <v>-607</v>
      </c>
      <c r="AC547" s="8">
        <v>19377</v>
      </c>
      <c r="AD547" s="8">
        <f t="shared" si="259"/>
        <v>5373</v>
      </c>
      <c r="AE547" s="8">
        <v>207220</v>
      </c>
      <c r="AF547" s="8">
        <f t="shared" si="273"/>
        <v>-4587</v>
      </c>
      <c r="AG547" s="8">
        <v>253808</v>
      </c>
      <c r="AH547" s="8">
        <f t="shared" si="274"/>
        <v>7200</v>
      </c>
      <c r="AI547" s="8">
        <v>-46588</v>
      </c>
      <c r="AJ547" s="8">
        <f t="shared" si="275"/>
        <v>-11787</v>
      </c>
      <c r="AK547" s="8">
        <v>112893</v>
      </c>
      <c r="AL547" s="8">
        <f t="shared" si="276"/>
        <v>-1795</v>
      </c>
      <c r="AM547" s="8">
        <v>237792</v>
      </c>
      <c r="AN547" s="8">
        <f t="shared" si="277"/>
        <v>9994</v>
      </c>
      <c r="AO547" s="8">
        <v>-124899</v>
      </c>
      <c r="AP547" s="8">
        <f t="shared" si="278"/>
        <v>-11789</v>
      </c>
      <c r="AR547" s="8">
        <v>1757622</v>
      </c>
      <c r="AS547" s="8">
        <f t="shared" si="279"/>
        <v>-53984</v>
      </c>
      <c r="AT547" s="8">
        <v>184624</v>
      </c>
      <c r="AU547" s="8">
        <f t="shared" si="280"/>
        <v>4123</v>
      </c>
      <c r="AV547" s="8">
        <v>245018</v>
      </c>
      <c r="AW547" s="8">
        <f t="shared" si="281"/>
        <v>-20639</v>
      </c>
      <c r="AX547" s="8">
        <f t="shared" si="256"/>
        <v>-60394</v>
      </c>
      <c r="AY547" s="8">
        <f t="shared" si="282"/>
        <v>24762</v>
      </c>
      <c r="AZ547" s="8">
        <v>749909</v>
      </c>
      <c r="BA547" s="8">
        <f t="shared" si="283"/>
        <v>-42676</v>
      </c>
      <c r="BB547" s="8">
        <v>766155</v>
      </c>
      <c r="BC547" s="8">
        <f t="shared" si="284"/>
        <v>-9165</v>
      </c>
      <c r="BD547" s="8">
        <f t="shared" si="257"/>
        <v>-16246</v>
      </c>
      <c r="BE547" s="8">
        <f t="shared" si="285"/>
        <v>-33511</v>
      </c>
      <c r="BF547" s="8">
        <v>423375</v>
      </c>
      <c r="BG547" s="8">
        <f t="shared" si="286"/>
        <v>-36167</v>
      </c>
      <c r="BH547" s="8">
        <v>706784</v>
      </c>
      <c r="BI547" s="8">
        <f t="shared" si="287"/>
        <v>267</v>
      </c>
      <c r="BJ547" s="8">
        <f t="shared" si="258"/>
        <v>-283409</v>
      </c>
      <c r="BK547" s="8">
        <f t="shared" si="260"/>
        <v>-36434</v>
      </c>
    </row>
    <row r="548" spans="1:63">
      <c r="A548" s="5">
        <v>42703</v>
      </c>
      <c r="B548" s="8">
        <v>452674</v>
      </c>
      <c r="C548" s="8">
        <f t="shared" si="261"/>
        <v>-19659</v>
      </c>
      <c r="D548" s="8">
        <v>117774</v>
      </c>
      <c r="E548" s="8">
        <f t="shared" si="262"/>
        <v>9146</v>
      </c>
      <c r="F548" s="8">
        <v>5823</v>
      </c>
      <c r="G548" s="8">
        <f t="shared" si="263"/>
        <v>-7272</v>
      </c>
      <c r="H548" s="8">
        <v>111951</v>
      </c>
      <c r="I548" s="8">
        <f t="shared" si="264"/>
        <v>16418</v>
      </c>
      <c r="J548" s="8">
        <v>150957</v>
      </c>
      <c r="K548" s="8">
        <f t="shared" si="265"/>
        <v>-6265</v>
      </c>
      <c r="L548" s="8">
        <v>312382</v>
      </c>
      <c r="M548" s="8">
        <f t="shared" si="266"/>
        <v>9087</v>
      </c>
      <c r="N548" s="8">
        <v>-161425</v>
      </c>
      <c r="O548" s="8">
        <f t="shared" si="267"/>
        <v>-15352</v>
      </c>
      <c r="P548" s="8">
        <v>54320</v>
      </c>
      <c r="Q548" s="8">
        <f t="shared" si="268"/>
        <v>-2262</v>
      </c>
      <c r="R548" s="8">
        <v>296243</v>
      </c>
      <c r="S548" s="8">
        <f t="shared" si="269"/>
        <v>10038</v>
      </c>
      <c r="T548" s="8">
        <v>-241923</v>
      </c>
      <c r="U548" s="8">
        <f t="shared" si="270"/>
        <v>-12300</v>
      </c>
      <c r="W548" s="8">
        <v>398503</v>
      </c>
      <c r="X548" s="8">
        <f t="shared" si="271"/>
        <v>-35297</v>
      </c>
      <c r="Y548" s="8">
        <v>54415</v>
      </c>
      <c r="Z548" s="8">
        <f t="shared" si="272"/>
        <v>549</v>
      </c>
      <c r="AA548" s="8">
        <v>35056</v>
      </c>
      <c r="AB548" s="8">
        <f t="shared" si="259"/>
        <v>567</v>
      </c>
      <c r="AC548" s="8">
        <v>19359</v>
      </c>
      <c r="AD548" s="8">
        <f t="shared" si="259"/>
        <v>-18</v>
      </c>
      <c r="AE548" s="8">
        <v>191612</v>
      </c>
      <c r="AF548" s="8">
        <f t="shared" si="273"/>
        <v>-15608</v>
      </c>
      <c r="AG548" s="8">
        <v>245599</v>
      </c>
      <c r="AH548" s="8">
        <f t="shared" si="274"/>
        <v>-8209</v>
      </c>
      <c r="AI548" s="8">
        <v>-53987</v>
      </c>
      <c r="AJ548" s="8">
        <f t="shared" si="275"/>
        <v>-7399</v>
      </c>
      <c r="AK548" s="8">
        <v>97542</v>
      </c>
      <c r="AL548" s="8">
        <f t="shared" si="276"/>
        <v>-15351</v>
      </c>
      <c r="AM548" s="8">
        <v>230043</v>
      </c>
      <c r="AN548" s="8">
        <f t="shared" si="277"/>
        <v>-7749</v>
      </c>
      <c r="AO548" s="8">
        <v>-132501</v>
      </c>
      <c r="AP548" s="8">
        <f t="shared" si="278"/>
        <v>-7602</v>
      </c>
      <c r="AR548" s="8">
        <v>1479941</v>
      </c>
      <c r="AS548" s="8">
        <f t="shared" si="279"/>
        <v>-277681</v>
      </c>
      <c r="AT548" s="8">
        <v>183863</v>
      </c>
      <c r="AU548" s="8">
        <f t="shared" si="280"/>
        <v>-761</v>
      </c>
      <c r="AV548" s="8">
        <v>253124</v>
      </c>
      <c r="AW548" s="8">
        <f t="shared" si="281"/>
        <v>8106</v>
      </c>
      <c r="AX548" s="8">
        <f t="shared" si="256"/>
        <v>-69261</v>
      </c>
      <c r="AY548" s="8">
        <f t="shared" si="282"/>
        <v>-8867</v>
      </c>
      <c r="AZ548" s="8">
        <v>656235</v>
      </c>
      <c r="BA548" s="8">
        <f t="shared" si="283"/>
        <v>-93674</v>
      </c>
      <c r="BB548" s="8">
        <v>671508</v>
      </c>
      <c r="BC548" s="8">
        <f t="shared" si="284"/>
        <v>-94647</v>
      </c>
      <c r="BD548" s="8">
        <f t="shared" si="257"/>
        <v>-15273</v>
      </c>
      <c r="BE548" s="8">
        <f t="shared" si="285"/>
        <v>973</v>
      </c>
      <c r="BF548" s="8">
        <v>348689</v>
      </c>
      <c r="BG548" s="8">
        <f t="shared" si="286"/>
        <v>-74686</v>
      </c>
      <c r="BH548" s="8">
        <v>642982</v>
      </c>
      <c r="BI548" s="8">
        <f t="shared" si="287"/>
        <v>-63802</v>
      </c>
      <c r="BJ548" s="8">
        <f t="shared" si="258"/>
        <v>-294293</v>
      </c>
      <c r="BK548" s="8">
        <f t="shared" si="260"/>
        <v>-10884</v>
      </c>
    </row>
    <row r="549" spans="1:63">
      <c r="A549" s="5">
        <v>42710</v>
      </c>
      <c r="B549" s="8">
        <v>467320</v>
      </c>
      <c r="C549" s="8">
        <f t="shared" si="261"/>
        <v>14646</v>
      </c>
      <c r="D549" s="8">
        <v>117369</v>
      </c>
      <c r="E549" s="8">
        <f t="shared" si="262"/>
        <v>-405</v>
      </c>
      <c r="F549" s="8">
        <v>7509</v>
      </c>
      <c r="G549" s="8">
        <f t="shared" si="263"/>
        <v>1686</v>
      </c>
      <c r="H549" s="8">
        <v>109860</v>
      </c>
      <c r="I549" s="8">
        <f t="shared" si="264"/>
        <v>-2091</v>
      </c>
      <c r="J549" s="8">
        <v>150913</v>
      </c>
      <c r="K549" s="8">
        <f t="shared" si="265"/>
        <v>-44</v>
      </c>
      <c r="L549" s="8">
        <v>317247</v>
      </c>
      <c r="M549" s="8">
        <f t="shared" si="266"/>
        <v>4865</v>
      </c>
      <c r="N549" s="8">
        <v>-166334</v>
      </c>
      <c r="O549" s="8">
        <f t="shared" si="267"/>
        <v>-4909</v>
      </c>
      <c r="P549" s="8">
        <v>53023</v>
      </c>
      <c r="Q549" s="8">
        <f t="shared" si="268"/>
        <v>-1297</v>
      </c>
      <c r="R549" s="8">
        <v>294964</v>
      </c>
      <c r="S549" s="8">
        <f t="shared" si="269"/>
        <v>-1279</v>
      </c>
      <c r="T549" s="8">
        <v>-241941</v>
      </c>
      <c r="U549" s="8">
        <f t="shared" si="270"/>
        <v>-18</v>
      </c>
      <c r="W549" s="8">
        <v>393308</v>
      </c>
      <c r="X549" s="8">
        <f t="shared" si="271"/>
        <v>-5195</v>
      </c>
      <c r="Y549" s="8">
        <v>54134</v>
      </c>
      <c r="Z549" s="8">
        <f t="shared" si="272"/>
        <v>-281</v>
      </c>
      <c r="AA549" s="8">
        <v>30867</v>
      </c>
      <c r="AB549" s="8">
        <f t="shared" si="259"/>
        <v>-4189</v>
      </c>
      <c r="AC549" s="8">
        <v>23267</v>
      </c>
      <c r="AD549" s="8">
        <f t="shared" si="259"/>
        <v>3908</v>
      </c>
      <c r="AE549" s="8">
        <v>188257</v>
      </c>
      <c r="AF549" s="8">
        <f t="shared" si="273"/>
        <v>-3355</v>
      </c>
      <c r="AG549" s="8">
        <v>249413</v>
      </c>
      <c r="AH549" s="8">
        <f t="shared" si="274"/>
        <v>3814</v>
      </c>
      <c r="AI549" s="8">
        <v>-61156</v>
      </c>
      <c r="AJ549" s="8">
        <f t="shared" si="275"/>
        <v>-7169</v>
      </c>
      <c r="AK549" s="8">
        <v>96184</v>
      </c>
      <c r="AL549" s="8">
        <f t="shared" si="276"/>
        <v>-1358</v>
      </c>
      <c r="AM549" s="8">
        <v>231211</v>
      </c>
      <c r="AN549" s="8">
        <f t="shared" si="277"/>
        <v>1168</v>
      </c>
      <c r="AO549" s="8">
        <v>-135027</v>
      </c>
      <c r="AP549" s="8">
        <f t="shared" si="278"/>
        <v>-2526</v>
      </c>
      <c r="AR549" s="8">
        <v>1482575</v>
      </c>
      <c r="AS549" s="8">
        <f t="shared" si="279"/>
        <v>2634</v>
      </c>
      <c r="AT549" s="8">
        <v>169279</v>
      </c>
      <c r="AU549" s="8">
        <f t="shared" si="280"/>
        <v>-14584</v>
      </c>
      <c r="AV549" s="8">
        <v>241871</v>
      </c>
      <c r="AW549" s="8">
        <f t="shared" si="281"/>
        <v>-11253</v>
      </c>
      <c r="AX549" s="8">
        <f t="shared" si="256"/>
        <v>-72592</v>
      </c>
      <c r="AY549" s="8">
        <f t="shared" si="282"/>
        <v>-3331</v>
      </c>
      <c r="AZ549" s="8">
        <v>640175</v>
      </c>
      <c r="BA549" s="8">
        <f t="shared" si="283"/>
        <v>-16060</v>
      </c>
      <c r="BB549" s="8">
        <v>662632</v>
      </c>
      <c r="BC549" s="8">
        <f t="shared" si="284"/>
        <v>-8876</v>
      </c>
      <c r="BD549" s="8">
        <f t="shared" si="257"/>
        <v>-22457</v>
      </c>
      <c r="BE549" s="8">
        <f t="shared" si="285"/>
        <v>-7184</v>
      </c>
      <c r="BF549" s="8">
        <v>335674</v>
      </c>
      <c r="BG549" s="8">
        <f t="shared" si="286"/>
        <v>-13015</v>
      </c>
      <c r="BH549" s="8">
        <v>629951</v>
      </c>
      <c r="BI549" s="8">
        <f t="shared" si="287"/>
        <v>-13031</v>
      </c>
      <c r="BJ549" s="8">
        <f t="shared" si="258"/>
        <v>-294277</v>
      </c>
      <c r="BK549" s="8">
        <f t="shared" si="260"/>
        <v>16</v>
      </c>
    </row>
    <row r="550" spans="1:63">
      <c r="A550" s="5">
        <v>42717</v>
      </c>
      <c r="B550" s="8">
        <v>437906</v>
      </c>
      <c r="C550" s="8">
        <f t="shared" si="261"/>
        <v>-29414</v>
      </c>
      <c r="D550" s="8">
        <v>114375</v>
      </c>
      <c r="E550" s="8">
        <f t="shared" si="262"/>
        <v>-2994</v>
      </c>
      <c r="F550" s="8">
        <v>13008</v>
      </c>
      <c r="G550" s="8">
        <f t="shared" si="263"/>
        <v>5499</v>
      </c>
      <c r="H550" s="8">
        <v>101367</v>
      </c>
      <c r="I550" s="8">
        <f t="shared" si="264"/>
        <v>-8493</v>
      </c>
      <c r="J550" s="8">
        <v>145462</v>
      </c>
      <c r="K550" s="8">
        <f t="shared" si="265"/>
        <v>-5451</v>
      </c>
      <c r="L550" s="8">
        <v>295492</v>
      </c>
      <c r="M550" s="8">
        <f t="shared" si="266"/>
        <v>-21755</v>
      </c>
      <c r="N550" s="8">
        <v>-150030</v>
      </c>
      <c r="O550" s="8">
        <f t="shared" si="267"/>
        <v>16304</v>
      </c>
      <c r="P550" s="8">
        <v>56099</v>
      </c>
      <c r="Q550" s="8">
        <f t="shared" si="268"/>
        <v>3076</v>
      </c>
      <c r="R550" s="8">
        <v>281835</v>
      </c>
      <c r="S550" s="8">
        <f t="shared" si="269"/>
        <v>-13129</v>
      </c>
      <c r="T550" s="8">
        <v>-225736</v>
      </c>
      <c r="U550" s="8">
        <f t="shared" si="270"/>
        <v>16205</v>
      </c>
      <c r="W550" s="8">
        <v>393368</v>
      </c>
      <c r="X550" s="8">
        <f t="shared" si="271"/>
        <v>60</v>
      </c>
      <c r="Y550" s="8">
        <v>51532</v>
      </c>
      <c r="Z550" s="8">
        <f t="shared" si="272"/>
        <v>-2602</v>
      </c>
      <c r="AA550" s="8">
        <v>32967</v>
      </c>
      <c r="AB550" s="8">
        <f t="shared" si="259"/>
        <v>2100</v>
      </c>
      <c r="AC550" s="8">
        <v>18565</v>
      </c>
      <c r="AD550" s="8">
        <f t="shared" si="259"/>
        <v>-4702</v>
      </c>
      <c r="AE550" s="8">
        <v>185065</v>
      </c>
      <c r="AF550" s="8">
        <f t="shared" si="273"/>
        <v>-3192</v>
      </c>
      <c r="AG550" s="8">
        <v>237728</v>
      </c>
      <c r="AH550" s="8">
        <f t="shared" si="274"/>
        <v>-11685</v>
      </c>
      <c r="AI550" s="8">
        <v>-52663</v>
      </c>
      <c r="AJ550" s="8">
        <f t="shared" si="275"/>
        <v>8493</v>
      </c>
      <c r="AK550" s="8">
        <v>94839</v>
      </c>
      <c r="AL550" s="8">
        <f t="shared" si="276"/>
        <v>-1345</v>
      </c>
      <c r="AM550" s="8">
        <v>223666</v>
      </c>
      <c r="AN550" s="8">
        <f t="shared" si="277"/>
        <v>-7545</v>
      </c>
      <c r="AO550" s="8">
        <v>-128827</v>
      </c>
      <c r="AP550" s="8">
        <f t="shared" si="278"/>
        <v>6200</v>
      </c>
      <c r="AR550" s="8">
        <v>1483182</v>
      </c>
      <c r="AS550" s="8">
        <f t="shared" si="279"/>
        <v>607</v>
      </c>
      <c r="AT550" s="8">
        <v>167617</v>
      </c>
      <c r="AU550" s="8">
        <f t="shared" si="280"/>
        <v>-1662</v>
      </c>
      <c r="AV550" s="8">
        <v>241624</v>
      </c>
      <c r="AW550" s="8">
        <f t="shared" si="281"/>
        <v>-247</v>
      </c>
      <c r="AX550" s="8">
        <f t="shared" si="256"/>
        <v>-74007</v>
      </c>
      <c r="AY550" s="8">
        <f t="shared" si="282"/>
        <v>-1415</v>
      </c>
      <c r="AZ550" s="8">
        <v>640558</v>
      </c>
      <c r="BA550" s="8">
        <f t="shared" si="283"/>
        <v>383</v>
      </c>
      <c r="BB550" s="8">
        <v>661734</v>
      </c>
      <c r="BC550" s="8">
        <f t="shared" si="284"/>
        <v>-898</v>
      </c>
      <c r="BD550" s="8">
        <f t="shared" si="257"/>
        <v>-21176</v>
      </c>
      <c r="BE550" s="8">
        <f t="shared" si="285"/>
        <v>1281</v>
      </c>
      <c r="BF550" s="8">
        <v>333692</v>
      </c>
      <c r="BG550" s="8">
        <f t="shared" si="286"/>
        <v>-1982</v>
      </c>
      <c r="BH550" s="8">
        <v>628384</v>
      </c>
      <c r="BI550" s="8">
        <f t="shared" si="287"/>
        <v>-1567</v>
      </c>
      <c r="BJ550" s="8">
        <f t="shared" si="258"/>
        <v>-294692</v>
      </c>
      <c r="BK550" s="8">
        <f t="shared" si="260"/>
        <v>-415</v>
      </c>
    </row>
    <row r="551" spans="1:63">
      <c r="A551" s="5">
        <v>42724</v>
      </c>
      <c r="B551" s="8">
        <v>438278</v>
      </c>
      <c r="C551" s="8">
        <f t="shared" si="261"/>
        <v>372</v>
      </c>
      <c r="D551" s="8">
        <v>114361</v>
      </c>
      <c r="E551" s="8">
        <f t="shared" si="262"/>
        <v>-14</v>
      </c>
      <c r="F551" s="8">
        <v>16474</v>
      </c>
      <c r="G551" s="8">
        <f t="shared" si="263"/>
        <v>3466</v>
      </c>
      <c r="H551" s="8">
        <v>97887</v>
      </c>
      <c r="I551" s="8">
        <f t="shared" si="264"/>
        <v>-3480</v>
      </c>
      <c r="J551" s="8">
        <v>140470</v>
      </c>
      <c r="K551" s="8">
        <f t="shared" si="265"/>
        <v>-4992</v>
      </c>
      <c r="L551" s="8">
        <v>285152</v>
      </c>
      <c r="M551" s="8">
        <f t="shared" si="266"/>
        <v>-10340</v>
      </c>
      <c r="N551" s="8">
        <v>-144682</v>
      </c>
      <c r="O551" s="8">
        <f t="shared" si="267"/>
        <v>5348</v>
      </c>
      <c r="P551" s="8">
        <v>52726</v>
      </c>
      <c r="Q551" s="8">
        <f t="shared" si="268"/>
        <v>-3373</v>
      </c>
      <c r="R551" s="8">
        <v>272154</v>
      </c>
      <c r="S551" s="8">
        <f t="shared" si="269"/>
        <v>-9681</v>
      </c>
      <c r="T551" s="8">
        <v>-219428</v>
      </c>
      <c r="U551" s="8">
        <f t="shared" si="270"/>
        <v>6308</v>
      </c>
      <c r="W551" s="8">
        <v>391720</v>
      </c>
      <c r="X551" s="8">
        <f t="shared" si="271"/>
        <v>-1648</v>
      </c>
      <c r="Y551" s="8">
        <v>49565</v>
      </c>
      <c r="Z551" s="8">
        <f t="shared" si="272"/>
        <v>-1967</v>
      </c>
      <c r="AA551" s="8">
        <v>33583</v>
      </c>
      <c r="AB551" s="8">
        <f t="shared" si="259"/>
        <v>616</v>
      </c>
      <c r="AC551" s="8">
        <v>15982</v>
      </c>
      <c r="AD551" s="8">
        <f t="shared" si="259"/>
        <v>-2583</v>
      </c>
      <c r="AE551" s="8">
        <v>188177</v>
      </c>
      <c r="AF551" s="8">
        <f t="shared" si="273"/>
        <v>3112</v>
      </c>
      <c r="AG551" s="8">
        <v>232906</v>
      </c>
      <c r="AH551" s="8">
        <f t="shared" si="274"/>
        <v>-4822</v>
      </c>
      <c r="AI551" s="8">
        <v>-44729</v>
      </c>
      <c r="AJ551" s="8">
        <f t="shared" si="275"/>
        <v>7934</v>
      </c>
      <c r="AK551" s="8">
        <v>96568</v>
      </c>
      <c r="AL551" s="8">
        <f t="shared" si="276"/>
        <v>1729</v>
      </c>
      <c r="AM551" s="8">
        <v>219331</v>
      </c>
      <c r="AN551" s="8">
        <f t="shared" si="277"/>
        <v>-4335</v>
      </c>
      <c r="AO551" s="8">
        <v>-122763</v>
      </c>
      <c r="AP551" s="8">
        <f t="shared" si="278"/>
        <v>6064</v>
      </c>
      <c r="AR551" s="8">
        <v>1494211</v>
      </c>
      <c r="AS551" s="8">
        <f t="shared" si="279"/>
        <v>11029</v>
      </c>
      <c r="AT551" s="8">
        <v>164525</v>
      </c>
      <c r="AU551" s="8">
        <f t="shared" si="280"/>
        <v>-3092</v>
      </c>
      <c r="AV551" s="8">
        <v>261611</v>
      </c>
      <c r="AW551" s="8">
        <f t="shared" si="281"/>
        <v>19987</v>
      </c>
      <c r="AX551" s="8">
        <f t="shared" si="256"/>
        <v>-97086</v>
      </c>
      <c r="AY551" s="8">
        <f t="shared" si="282"/>
        <v>-23079</v>
      </c>
      <c r="AZ551" s="8">
        <v>654166</v>
      </c>
      <c r="BA551" s="8">
        <f t="shared" si="283"/>
        <v>13608</v>
      </c>
      <c r="BB551" s="8">
        <v>639460</v>
      </c>
      <c r="BC551" s="8">
        <f t="shared" si="284"/>
        <v>-22274</v>
      </c>
      <c r="BD551" s="8">
        <f t="shared" si="257"/>
        <v>14706</v>
      </c>
      <c r="BE551" s="8">
        <f t="shared" si="285"/>
        <v>35882</v>
      </c>
      <c r="BF551" s="8">
        <v>350947</v>
      </c>
      <c r="BG551" s="8">
        <f t="shared" si="286"/>
        <v>17255</v>
      </c>
      <c r="BH551" s="8">
        <v>606895</v>
      </c>
      <c r="BI551" s="8">
        <f t="shared" si="287"/>
        <v>-21489</v>
      </c>
      <c r="BJ551" s="8">
        <f t="shared" si="258"/>
        <v>-255948</v>
      </c>
      <c r="BK551" s="8">
        <f t="shared" si="260"/>
        <v>38744</v>
      </c>
    </row>
    <row r="552" spans="1:63">
      <c r="A552" s="5">
        <v>42731</v>
      </c>
      <c r="B552" s="8">
        <v>406645</v>
      </c>
      <c r="C552" s="8">
        <f t="shared" si="261"/>
        <v>-31633</v>
      </c>
      <c r="D552" s="8">
        <v>102895</v>
      </c>
      <c r="E552" s="8">
        <f t="shared" si="262"/>
        <v>-11466</v>
      </c>
      <c r="F552" s="8">
        <v>17373</v>
      </c>
      <c r="G552" s="8">
        <f t="shared" si="263"/>
        <v>899</v>
      </c>
      <c r="H552" s="8">
        <v>85522</v>
      </c>
      <c r="I552" s="8">
        <f t="shared" si="264"/>
        <v>-12365</v>
      </c>
      <c r="J552" s="8">
        <v>144336</v>
      </c>
      <c r="K552" s="8">
        <f t="shared" si="265"/>
        <v>3866</v>
      </c>
      <c r="L552" s="8">
        <v>267624</v>
      </c>
      <c r="M552" s="8">
        <f t="shared" si="266"/>
        <v>-17528</v>
      </c>
      <c r="N552" s="8">
        <v>-123288</v>
      </c>
      <c r="O552" s="8">
        <f t="shared" si="267"/>
        <v>21394</v>
      </c>
      <c r="P552" s="8">
        <v>59157</v>
      </c>
      <c r="Q552" s="8">
        <f t="shared" si="268"/>
        <v>6431</v>
      </c>
      <c r="R552" s="8">
        <v>255803</v>
      </c>
      <c r="S552" s="8">
        <f t="shared" si="269"/>
        <v>-16351</v>
      </c>
      <c r="T552" s="8">
        <v>-196646</v>
      </c>
      <c r="U552" s="8">
        <f t="shared" si="270"/>
        <v>22782</v>
      </c>
      <c r="W552" s="8">
        <v>369594</v>
      </c>
      <c r="X552" s="8">
        <f t="shared" si="271"/>
        <v>-22126</v>
      </c>
      <c r="Y552" s="8">
        <v>51896</v>
      </c>
      <c r="Z552" s="8">
        <f t="shared" si="272"/>
        <v>2331</v>
      </c>
      <c r="AA552" s="8">
        <v>32359</v>
      </c>
      <c r="AB552" s="8">
        <f t="shared" si="259"/>
        <v>-1224</v>
      </c>
      <c r="AC552" s="8">
        <v>19537</v>
      </c>
      <c r="AD552" s="8">
        <f t="shared" si="259"/>
        <v>3555</v>
      </c>
      <c r="AE552" s="8">
        <v>178274</v>
      </c>
      <c r="AF552" s="8">
        <f t="shared" si="273"/>
        <v>-9903</v>
      </c>
      <c r="AG552" s="8">
        <v>227552</v>
      </c>
      <c r="AH552" s="8">
        <f t="shared" si="274"/>
        <v>-5354</v>
      </c>
      <c r="AI552" s="8">
        <v>-49278</v>
      </c>
      <c r="AJ552" s="8">
        <f t="shared" si="275"/>
        <v>-4549</v>
      </c>
      <c r="AK552" s="8">
        <v>90358</v>
      </c>
      <c r="AL552" s="8">
        <f t="shared" si="276"/>
        <v>-6210</v>
      </c>
      <c r="AM552" s="8">
        <v>213364</v>
      </c>
      <c r="AN552" s="8">
        <f t="shared" si="277"/>
        <v>-5967</v>
      </c>
      <c r="AO552" s="8">
        <v>-123006</v>
      </c>
      <c r="AP552" s="8">
        <f t="shared" si="278"/>
        <v>-243</v>
      </c>
      <c r="AR552" s="8">
        <v>1497392</v>
      </c>
      <c r="AS552" s="8">
        <f t="shared" si="279"/>
        <v>3181</v>
      </c>
      <c r="AT552" s="8">
        <v>163211</v>
      </c>
      <c r="AU552" s="8">
        <f t="shared" si="280"/>
        <v>-1314</v>
      </c>
      <c r="AV552" s="8">
        <v>276859</v>
      </c>
      <c r="AW552" s="8">
        <f t="shared" si="281"/>
        <v>15248</v>
      </c>
      <c r="AX552" s="8">
        <f t="shared" si="256"/>
        <v>-113648</v>
      </c>
      <c r="AY552" s="8">
        <f t="shared" si="282"/>
        <v>-16562</v>
      </c>
      <c r="AZ552" s="8">
        <v>657885</v>
      </c>
      <c r="BA552" s="8">
        <f t="shared" si="283"/>
        <v>3719</v>
      </c>
      <c r="BB552" s="8">
        <v>634917</v>
      </c>
      <c r="BC552" s="8">
        <f t="shared" si="284"/>
        <v>-4543</v>
      </c>
      <c r="BD552" s="8">
        <f t="shared" si="257"/>
        <v>22968</v>
      </c>
      <c r="BE552" s="8">
        <f t="shared" si="285"/>
        <v>8262</v>
      </c>
      <c r="BF552" s="8">
        <v>363618</v>
      </c>
      <c r="BG552" s="8">
        <f t="shared" si="286"/>
        <v>12671</v>
      </c>
      <c r="BH552" s="8">
        <v>602453</v>
      </c>
      <c r="BI552" s="8">
        <f t="shared" si="287"/>
        <v>-4442</v>
      </c>
      <c r="BJ552" s="8">
        <f t="shared" si="258"/>
        <v>-238835</v>
      </c>
      <c r="BK552" s="8">
        <f t="shared" si="260"/>
        <v>17113</v>
      </c>
    </row>
    <row r="553" spans="1:63">
      <c r="A553" s="5">
        <v>42738</v>
      </c>
      <c r="B553" s="8">
        <v>400483</v>
      </c>
      <c r="C553" s="8">
        <f t="shared" si="261"/>
        <v>-6162</v>
      </c>
      <c r="D553" s="8">
        <v>91135</v>
      </c>
      <c r="E553" s="8">
        <f t="shared" si="262"/>
        <v>-11760</v>
      </c>
      <c r="F553" s="8">
        <v>20001</v>
      </c>
      <c r="G553" s="8">
        <f t="shared" si="263"/>
        <v>2628</v>
      </c>
      <c r="H553" s="8">
        <v>71134</v>
      </c>
      <c r="I553" s="8">
        <f t="shared" si="264"/>
        <v>-14388</v>
      </c>
      <c r="J553" s="8">
        <v>148636</v>
      </c>
      <c r="K553" s="8">
        <f t="shared" si="265"/>
        <v>4300</v>
      </c>
      <c r="L553" s="8">
        <v>253003</v>
      </c>
      <c r="M553" s="8">
        <f t="shared" si="266"/>
        <v>-14621</v>
      </c>
      <c r="N553" s="8">
        <v>-104367</v>
      </c>
      <c r="O553" s="8">
        <f t="shared" si="267"/>
        <v>18921</v>
      </c>
      <c r="P553" s="8">
        <v>62307</v>
      </c>
      <c r="Q553" s="8">
        <f t="shared" si="268"/>
        <v>3150</v>
      </c>
      <c r="R553" s="8">
        <v>239783</v>
      </c>
      <c r="S553" s="8">
        <f t="shared" si="269"/>
        <v>-16020</v>
      </c>
      <c r="T553" s="8">
        <v>-177476</v>
      </c>
      <c r="U553" s="8">
        <f t="shared" si="270"/>
        <v>19170</v>
      </c>
      <c r="W553" s="8">
        <v>358540</v>
      </c>
      <c r="X553" s="8">
        <f t="shared" si="271"/>
        <v>-11054</v>
      </c>
      <c r="Y553" s="8">
        <v>52490</v>
      </c>
      <c r="Z553" s="8">
        <f t="shared" si="272"/>
        <v>594</v>
      </c>
      <c r="AA553" s="8">
        <v>33633</v>
      </c>
      <c r="AB553" s="8">
        <f t="shared" si="259"/>
        <v>1274</v>
      </c>
      <c r="AC553" s="8">
        <v>18857</v>
      </c>
      <c r="AD553" s="8">
        <f t="shared" si="259"/>
        <v>-680</v>
      </c>
      <c r="AE553" s="8">
        <v>169081</v>
      </c>
      <c r="AF553" s="8">
        <f t="shared" si="273"/>
        <v>-9193</v>
      </c>
      <c r="AG553" s="8">
        <v>215086</v>
      </c>
      <c r="AH553" s="8">
        <f t="shared" si="274"/>
        <v>-12466</v>
      </c>
      <c r="AI553" s="8">
        <v>-46005</v>
      </c>
      <c r="AJ553" s="8">
        <f t="shared" si="275"/>
        <v>3273</v>
      </c>
      <c r="AK553" s="8">
        <v>81694</v>
      </c>
      <c r="AL553" s="8">
        <f t="shared" si="276"/>
        <v>-8664</v>
      </c>
      <c r="AM553" s="8">
        <v>204147</v>
      </c>
      <c r="AN553" s="8">
        <f t="shared" si="277"/>
        <v>-9217</v>
      </c>
      <c r="AO553" s="8">
        <v>-122453</v>
      </c>
      <c r="AP553" s="8">
        <f t="shared" si="278"/>
        <v>553</v>
      </c>
      <c r="AR553" s="8">
        <v>1525508</v>
      </c>
      <c r="AS553" s="8">
        <f t="shared" si="279"/>
        <v>28116</v>
      </c>
      <c r="AT553" s="8">
        <v>176652</v>
      </c>
      <c r="AU553" s="8">
        <f t="shared" si="280"/>
        <v>13441</v>
      </c>
      <c r="AV553" s="8">
        <v>273021</v>
      </c>
      <c r="AW553" s="8">
        <f t="shared" si="281"/>
        <v>-3838</v>
      </c>
      <c r="AX553" s="8">
        <f t="shared" si="256"/>
        <v>-96369</v>
      </c>
      <c r="AY553" s="8">
        <f t="shared" si="282"/>
        <v>17279</v>
      </c>
      <c r="AZ553" s="8">
        <v>651259</v>
      </c>
      <c r="BA553" s="8">
        <f t="shared" si="283"/>
        <v>-6626</v>
      </c>
      <c r="BB553" s="8">
        <v>652820</v>
      </c>
      <c r="BC553" s="8">
        <f t="shared" si="284"/>
        <v>17903</v>
      </c>
      <c r="BD553" s="8">
        <f t="shared" si="257"/>
        <v>-1561</v>
      </c>
      <c r="BE553" s="8">
        <f t="shared" si="285"/>
        <v>-24529</v>
      </c>
      <c r="BF553" s="8">
        <v>374594</v>
      </c>
      <c r="BG553" s="8">
        <f t="shared" si="286"/>
        <v>10976</v>
      </c>
      <c r="BH553" s="8">
        <v>617623</v>
      </c>
      <c r="BI553" s="8">
        <f t="shared" si="287"/>
        <v>15170</v>
      </c>
      <c r="BJ553" s="8">
        <f t="shared" si="258"/>
        <v>-243029</v>
      </c>
      <c r="BK553" s="8">
        <f t="shared" si="260"/>
        <v>-4194</v>
      </c>
    </row>
    <row r="554" spans="1:63">
      <c r="A554" s="5">
        <v>42745</v>
      </c>
      <c r="B554" s="8">
        <v>408014</v>
      </c>
      <c r="C554" s="8">
        <f t="shared" si="261"/>
        <v>7531</v>
      </c>
      <c r="D554" s="8">
        <v>93697</v>
      </c>
      <c r="E554" s="8">
        <f t="shared" si="262"/>
        <v>2562</v>
      </c>
      <c r="F554" s="8">
        <v>15072</v>
      </c>
      <c r="G554" s="8">
        <f t="shared" si="263"/>
        <v>-4929</v>
      </c>
      <c r="H554" s="8">
        <v>78625</v>
      </c>
      <c r="I554" s="8">
        <f t="shared" si="264"/>
        <v>7491</v>
      </c>
      <c r="J554" s="8">
        <v>150233</v>
      </c>
      <c r="K554" s="8">
        <f t="shared" si="265"/>
        <v>1597</v>
      </c>
      <c r="L554" s="8">
        <v>266595</v>
      </c>
      <c r="M554" s="8">
        <f t="shared" si="266"/>
        <v>13592</v>
      </c>
      <c r="N554" s="8">
        <v>-116362</v>
      </c>
      <c r="O554" s="8">
        <f t="shared" si="267"/>
        <v>-11995</v>
      </c>
      <c r="P554" s="8">
        <v>61922</v>
      </c>
      <c r="Q554" s="8">
        <f t="shared" si="268"/>
        <v>-385</v>
      </c>
      <c r="R554" s="8">
        <v>250894</v>
      </c>
      <c r="S554" s="8">
        <f t="shared" si="269"/>
        <v>11111</v>
      </c>
      <c r="T554" s="8">
        <v>-188972</v>
      </c>
      <c r="U554" s="8">
        <f t="shared" si="270"/>
        <v>-11496</v>
      </c>
      <c r="W554" s="8">
        <v>369716</v>
      </c>
      <c r="X554" s="8">
        <f t="shared" si="271"/>
        <v>11176</v>
      </c>
      <c r="Y554" s="8">
        <v>55162</v>
      </c>
      <c r="Z554" s="8">
        <f t="shared" si="272"/>
        <v>2672</v>
      </c>
      <c r="AA554" s="8">
        <v>32152</v>
      </c>
      <c r="AB554" s="8">
        <f t="shared" si="259"/>
        <v>-1481</v>
      </c>
      <c r="AC554" s="8">
        <v>23010</v>
      </c>
      <c r="AD554" s="8">
        <f t="shared" si="259"/>
        <v>4153</v>
      </c>
      <c r="AE554" s="8">
        <v>176266</v>
      </c>
      <c r="AF554" s="8">
        <f t="shared" si="273"/>
        <v>7185</v>
      </c>
      <c r="AG554" s="8">
        <v>229066</v>
      </c>
      <c r="AH554" s="8">
        <f t="shared" si="274"/>
        <v>13980</v>
      </c>
      <c r="AI554" s="8">
        <v>-52800</v>
      </c>
      <c r="AJ554" s="8">
        <f t="shared" si="275"/>
        <v>-6795</v>
      </c>
      <c r="AK554" s="8">
        <v>83065</v>
      </c>
      <c r="AL554" s="8">
        <f t="shared" si="276"/>
        <v>1371</v>
      </c>
      <c r="AM554" s="8">
        <v>216415</v>
      </c>
      <c r="AN554" s="8">
        <f t="shared" si="277"/>
        <v>12268</v>
      </c>
      <c r="AO554" s="8">
        <v>-133350</v>
      </c>
      <c r="AP554" s="8">
        <f t="shared" si="278"/>
        <v>-10897</v>
      </c>
      <c r="AR554" s="8">
        <v>1547164</v>
      </c>
      <c r="AS554" s="8">
        <f t="shared" si="279"/>
        <v>21656</v>
      </c>
      <c r="AT554" s="8">
        <v>186130</v>
      </c>
      <c r="AU554" s="8">
        <f t="shared" si="280"/>
        <v>9478</v>
      </c>
      <c r="AV554" s="8">
        <v>262694</v>
      </c>
      <c r="AW554" s="8">
        <f t="shared" si="281"/>
        <v>-10327</v>
      </c>
      <c r="AX554" s="8">
        <f t="shared" si="256"/>
        <v>-76564</v>
      </c>
      <c r="AY554" s="8">
        <f t="shared" si="282"/>
        <v>19805</v>
      </c>
      <c r="AZ554" s="8">
        <v>649413</v>
      </c>
      <c r="BA554" s="8">
        <f t="shared" si="283"/>
        <v>-1846</v>
      </c>
      <c r="BB554" s="8">
        <v>660049</v>
      </c>
      <c r="BC554" s="8">
        <f t="shared" si="284"/>
        <v>7229</v>
      </c>
      <c r="BD554" s="8">
        <f t="shared" si="257"/>
        <v>-10636</v>
      </c>
      <c r="BE554" s="8">
        <f t="shared" si="285"/>
        <v>-9075</v>
      </c>
      <c r="BF554" s="8">
        <v>357222</v>
      </c>
      <c r="BG554" s="8">
        <f t="shared" si="286"/>
        <v>-17372</v>
      </c>
      <c r="BH554" s="8">
        <v>617082</v>
      </c>
      <c r="BI554" s="8">
        <f t="shared" si="287"/>
        <v>-541</v>
      </c>
      <c r="BJ554" s="8">
        <f t="shared" si="258"/>
        <v>-259860</v>
      </c>
      <c r="BK554" s="8">
        <f t="shared" si="260"/>
        <v>-16831</v>
      </c>
    </row>
    <row r="555" spans="1:63">
      <c r="A555" s="5">
        <v>42752</v>
      </c>
      <c r="B555" s="8">
        <v>426740</v>
      </c>
      <c r="C555" s="8">
        <f t="shared" si="261"/>
        <v>18726</v>
      </c>
      <c r="D555" s="8">
        <v>100528</v>
      </c>
      <c r="E555" s="8">
        <f t="shared" si="262"/>
        <v>6831</v>
      </c>
      <c r="F555" s="8">
        <v>15245</v>
      </c>
      <c r="G555" s="8">
        <f t="shared" si="263"/>
        <v>173</v>
      </c>
      <c r="H555" s="8">
        <v>85283</v>
      </c>
      <c r="I555" s="8">
        <f t="shared" si="264"/>
        <v>6658</v>
      </c>
      <c r="J555" s="8">
        <v>157271</v>
      </c>
      <c r="K555" s="8">
        <f t="shared" si="265"/>
        <v>7038</v>
      </c>
      <c r="L555" s="8">
        <v>285903</v>
      </c>
      <c r="M555" s="8">
        <f t="shared" si="266"/>
        <v>19308</v>
      </c>
      <c r="N555" s="8">
        <v>-128632</v>
      </c>
      <c r="O555" s="8">
        <f t="shared" si="267"/>
        <v>-12270</v>
      </c>
      <c r="P555" s="8">
        <v>66157</v>
      </c>
      <c r="Q555" s="8">
        <f t="shared" si="268"/>
        <v>4235</v>
      </c>
      <c r="R555" s="8">
        <v>269763</v>
      </c>
      <c r="S555" s="8">
        <f t="shared" si="269"/>
        <v>18869</v>
      </c>
      <c r="T555" s="8">
        <v>-203606</v>
      </c>
      <c r="U555" s="8">
        <f t="shared" si="270"/>
        <v>-14634</v>
      </c>
      <c r="W555" s="8">
        <v>393045</v>
      </c>
      <c r="X555" s="8">
        <f t="shared" si="271"/>
        <v>23329</v>
      </c>
      <c r="Y555" s="8">
        <v>69176</v>
      </c>
      <c r="Z555" s="8">
        <f t="shared" si="272"/>
        <v>14014</v>
      </c>
      <c r="AA555" s="8">
        <v>19680</v>
      </c>
      <c r="AB555" s="8">
        <f t="shared" si="259"/>
        <v>-12472</v>
      </c>
      <c r="AC555" s="8">
        <v>49496</v>
      </c>
      <c r="AD555" s="8">
        <f t="shared" si="259"/>
        <v>26486</v>
      </c>
      <c r="AE555" s="8">
        <v>170208</v>
      </c>
      <c r="AF555" s="8">
        <f t="shared" si="273"/>
        <v>-6058</v>
      </c>
      <c r="AG555" s="8">
        <v>266275</v>
      </c>
      <c r="AH555" s="8">
        <f t="shared" si="274"/>
        <v>37209</v>
      </c>
      <c r="AI555" s="8">
        <v>-96067</v>
      </c>
      <c r="AJ555" s="8">
        <f t="shared" si="275"/>
        <v>-43267</v>
      </c>
      <c r="AK555" s="8">
        <v>76532</v>
      </c>
      <c r="AL555" s="8">
        <f t="shared" si="276"/>
        <v>-6533</v>
      </c>
      <c r="AM555" s="8">
        <v>251208</v>
      </c>
      <c r="AN555" s="8">
        <f t="shared" si="277"/>
        <v>34793</v>
      </c>
      <c r="AO555" s="8">
        <v>-174676</v>
      </c>
      <c r="AP555" s="8">
        <f t="shared" si="278"/>
        <v>-41326</v>
      </c>
      <c r="AR555" s="8">
        <v>1649271</v>
      </c>
      <c r="AS555" s="8">
        <f t="shared" si="279"/>
        <v>102107</v>
      </c>
      <c r="AT555" s="8">
        <v>199428</v>
      </c>
      <c r="AU555" s="8">
        <f t="shared" si="280"/>
        <v>13298</v>
      </c>
      <c r="AV555" s="8">
        <v>250813</v>
      </c>
      <c r="AW555" s="8">
        <f t="shared" si="281"/>
        <v>-11881</v>
      </c>
      <c r="AX555" s="8">
        <f t="shared" si="256"/>
        <v>-51385</v>
      </c>
      <c r="AY555" s="8">
        <f t="shared" si="282"/>
        <v>25179</v>
      </c>
      <c r="AZ555" s="8">
        <v>686320</v>
      </c>
      <c r="BA555" s="8">
        <f t="shared" si="283"/>
        <v>36907</v>
      </c>
      <c r="BB555" s="8">
        <v>733037</v>
      </c>
      <c r="BC555" s="8">
        <f t="shared" si="284"/>
        <v>72988</v>
      </c>
      <c r="BD555" s="8">
        <f t="shared" si="257"/>
        <v>-46717</v>
      </c>
      <c r="BE555" s="8">
        <f t="shared" si="285"/>
        <v>-36081</v>
      </c>
      <c r="BF555" s="8">
        <v>373320</v>
      </c>
      <c r="BG555" s="8">
        <f t="shared" si="286"/>
        <v>16098</v>
      </c>
      <c r="BH555" s="8">
        <v>677472</v>
      </c>
      <c r="BI555" s="8">
        <f t="shared" si="287"/>
        <v>60390</v>
      </c>
      <c r="BJ555" s="8">
        <f t="shared" si="258"/>
        <v>-304152</v>
      </c>
      <c r="BK555" s="8">
        <f t="shared" si="260"/>
        <v>-44292</v>
      </c>
    </row>
    <row r="556" spans="1:63">
      <c r="A556" s="5">
        <v>42759</v>
      </c>
      <c r="B556" s="8">
        <v>441762</v>
      </c>
      <c r="C556" s="8">
        <f t="shared" si="261"/>
        <v>15022</v>
      </c>
      <c r="D556" s="8">
        <v>109403</v>
      </c>
      <c r="E556" s="8">
        <f t="shared" si="262"/>
        <v>8875</v>
      </c>
      <c r="F556" s="8">
        <v>13498</v>
      </c>
      <c r="G556" s="8">
        <f t="shared" si="263"/>
        <v>-1747</v>
      </c>
      <c r="H556" s="8">
        <v>95905</v>
      </c>
      <c r="I556" s="8">
        <f t="shared" si="264"/>
        <v>10622</v>
      </c>
      <c r="J556" s="8">
        <v>159066</v>
      </c>
      <c r="K556" s="8">
        <f t="shared" si="265"/>
        <v>1795</v>
      </c>
      <c r="L556" s="8">
        <v>293513</v>
      </c>
      <c r="M556" s="8">
        <f t="shared" si="266"/>
        <v>7610</v>
      </c>
      <c r="N556" s="8">
        <v>-134447</v>
      </c>
      <c r="O556" s="8">
        <f t="shared" si="267"/>
        <v>-5815</v>
      </c>
      <c r="P556" s="8">
        <v>63612</v>
      </c>
      <c r="Q556" s="8">
        <f t="shared" si="268"/>
        <v>-2545</v>
      </c>
      <c r="R556" s="8">
        <v>270873</v>
      </c>
      <c r="S556" s="8">
        <f t="shared" si="269"/>
        <v>1110</v>
      </c>
      <c r="T556" s="8">
        <v>-207261</v>
      </c>
      <c r="U556" s="8">
        <f t="shared" si="270"/>
        <v>-3655</v>
      </c>
      <c r="W556" s="8">
        <v>419352</v>
      </c>
      <c r="X556" s="8">
        <f t="shared" si="271"/>
        <v>26307</v>
      </c>
      <c r="Y556" s="8">
        <v>84169</v>
      </c>
      <c r="Z556" s="8">
        <f t="shared" si="272"/>
        <v>14993</v>
      </c>
      <c r="AA556" s="8">
        <v>15784</v>
      </c>
      <c r="AB556" s="8">
        <f t="shared" si="259"/>
        <v>-3896</v>
      </c>
      <c r="AC556" s="8">
        <v>68385</v>
      </c>
      <c r="AD556" s="8">
        <f t="shared" si="259"/>
        <v>18889</v>
      </c>
      <c r="AE556" s="8">
        <v>171420</v>
      </c>
      <c r="AF556" s="8">
        <f t="shared" si="273"/>
        <v>1212</v>
      </c>
      <c r="AG556" s="8">
        <v>287466</v>
      </c>
      <c r="AH556" s="8">
        <f t="shared" si="274"/>
        <v>21191</v>
      </c>
      <c r="AI556" s="8">
        <v>-116046</v>
      </c>
      <c r="AJ556" s="8">
        <f t="shared" si="275"/>
        <v>-19979</v>
      </c>
      <c r="AK556" s="8">
        <v>75937</v>
      </c>
      <c r="AL556" s="8">
        <f t="shared" si="276"/>
        <v>-595</v>
      </c>
      <c r="AM556" s="8">
        <v>271503</v>
      </c>
      <c r="AN556" s="8">
        <f t="shared" si="277"/>
        <v>20295</v>
      </c>
      <c r="AO556" s="8">
        <v>-195566</v>
      </c>
      <c r="AP556" s="8">
        <f t="shared" si="278"/>
        <v>-20890</v>
      </c>
      <c r="AR556" s="8">
        <v>1682765</v>
      </c>
      <c r="AS556" s="8">
        <f t="shared" si="279"/>
        <v>33494</v>
      </c>
      <c r="AT556" s="8">
        <v>242526</v>
      </c>
      <c r="AU556" s="8">
        <f t="shared" si="280"/>
        <v>43098</v>
      </c>
      <c r="AV556" s="8">
        <v>221628</v>
      </c>
      <c r="AW556" s="8">
        <f t="shared" si="281"/>
        <v>-29185</v>
      </c>
      <c r="AX556" s="8">
        <f t="shared" si="256"/>
        <v>20898</v>
      </c>
      <c r="AY556" s="8">
        <f t="shared" si="282"/>
        <v>72283</v>
      </c>
      <c r="AZ556" s="8">
        <v>681138</v>
      </c>
      <c r="BA556" s="8">
        <f t="shared" si="283"/>
        <v>-5182</v>
      </c>
      <c r="BB556" s="8">
        <v>768332</v>
      </c>
      <c r="BC556" s="8">
        <f t="shared" si="284"/>
        <v>35295</v>
      </c>
      <c r="BD556" s="8">
        <f t="shared" si="257"/>
        <v>-87194</v>
      </c>
      <c r="BE556" s="8">
        <f t="shared" si="285"/>
        <v>-40477</v>
      </c>
      <c r="BF556" s="8">
        <v>355291</v>
      </c>
      <c r="BG556" s="8">
        <f t="shared" si="286"/>
        <v>-18029</v>
      </c>
      <c r="BH556" s="8">
        <v>702978</v>
      </c>
      <c r="BI556" s="8">
        <f t="shared" si="287"/>
        <v>25506</v>
      </c>
      <c r="BJ556" s="8">
        <f t="shared" si="258"/>
        <v>-347687</v>
      </c>
      <c r="BK556" s="8">
        <f t="shared" si="260"/>
        <v>-43535</v>
      </c>
    </row>
    <row r="557" spans="1:63">
      <c r="A557" s="5">
        <v>42766</v>
      </c>
      <c r="B557" s="8">
        <v>444890</v>
      </c>
      <c r="C557" s="8">
        <f t="shared" si="261"/>
        <v>3128</v>
      </c>
      <c r="D557" s="8">
        <v>93271</v>
      </c>
      <c r="E557" s="8">
        <f t="shared" si="262"/>
        <v>-16132</v>
      </c>
      <c r="F557" s="8">
        <v>26296</v>
      </c>
      <c r="G557" s="8">
        <f t="shared" si="263"/>
        <v>12798</v>
      </c>
      <c r="H557" s="8">
        <v>66975</v>
      </c>
      <c r="I557" s="8">
        <f t="shared" si="264"/>
        <v>-28930</v>
      </c>
      <c r="J557" s="8">
        <v>175695</v>
      </c>
      <c r="K557" s="8">
        <f t="shared" si="265"/>
        <v>16629</v>
      </c>
      <c r="L557" s="8">
        <v>267076</v>
      </c>
      <c r="M557" s="8">
        <f t="shared" si="266"/>
        <v>-26437</v>
      </c>
      <c r="N557" s="8">
        <v>-91381</v>
      </c>
      <c r="O557" s="8">
        <f t="shared" si="267"/>
        <v>43066</v>
      </c>
      <c r="P557" s="8">
        <v>81341</v>
      </c>
      <c r="Q557" s="8">
        <f t="shared" si="268"/>
        <v>17729</v>
      </c>
      <c r="R557" s="8">
        <v>246252</v>
      </c>
      <c r="S557" s="8">
        <f t="shared" si="269"/>
        <v>-24621</v>
      </c>
      <c r="T557" s="8">
        <v>-164911</v>
      </c>
      <c r="U557" s="8">
        <f t="shared" si="270"/>
        <v>42350</v>
      </c>
      <c r="W557" s="8">
        <v>417232</v>
      </c>
      <c r="X557" s="8">
        <f t="shared" si="271"/>
        <v>-2120</v>
      </c>
      <c r="Y557" s="8">
        <v>85907</v>
      </c>
      <c r="Z557" s="8">
        <f t="shared" si="272"/>
        <v>1738</v>
      </c>
      <c r="AA557" s="8">
        <v>19893</v>
      </c>
      <c r="AB557" s="8">
        <f t="shared" si="259"/>
        <v>4109</v>
      </c>
      <c r="AC557" s="8">
        <v>66014</v>
      </c>
      <c r="AD557" s="8">
        <f t="shared" si="259"/>
        <v>-2371</v>
      </c>
      <c r="AE557" s="8">
        <v>170078</v>
      </c>
      <c r="AF557" s="8">
        <f t="shared" si="273"/>
        <v>-1342</v>
      </c>
      <c r="AG557" s="8">
        <v>281607</v>
      </c>
      <c r="AH557" s="8">
        <f t="shared" si="274"/>
        <v>-5859</v>
      </c>
      <c r="AI557" s="8">
        <v>-111529</v>
      </c>
      <c r="AJ557" s="8">
        <f t="shared" si="275"/>
        <v>4517</v>
      </c>
      <c r="AK557" s="8">
        <v>71269</v>
      </c>
      <c r="AL557" s="8">
        <f t="shared" si="276"/>
        <v>-4668</v>
      </c>
      <c r="AM557" s="8">
        <v>263135</v>
      </c>
      <c r="AN557" s="8">
        <f t="shared" si="277"/>
        <v>-8368</v>
      </c>
      <c r="AO557" s="8">
        <v>-191866</v>
      </c>
      <c r="AP557" s="8">
        <f t="shared" si="278"/>
        <v>3700</v>
      </c>
      <c r="AR557" s="8">
        <v>1650586</v>
      </c>
      <c r="AS557" s="8">
        <f t="shared" si="279"/>
        <v>-32179</v>
      </c>
      <c r="AT557" s="8">
        <v>229116</v>
      </c>
      <c r="AU557" s="8">
        <f t="shared" si="280"/>
        <v>-13410</v>
      </c>
      <c r="AV557" s="8">
        <v>225655</v>
      </c>
      <c r="AW557" s="8">
        <f t="shared" si="281"/>
        <v>4027</v>
      </c>
      <c r="AX557" s="8">
        <f t="shared" si="256"/>
        <v>3461</v>
      </c>
      <c r="AY557" s="8">
        <f t="shared" si="282"/>
        <v>-17437</v>
      </c>
      <c r="AZ557" s="8">
        <v>702383</v>
      </c>
      <c r="BA557" s="8">
        <f t="shared" si="283"/>
        <v>21245</v>
      </c>
      <c r="BB557" s="8">
        <v>770418</v>
      </c>
      <c r="BC557" s="8">
        <f t="shared" si="284"/>
        <v>2086</v>
      </c>
      <c r="BD557" s="8">
        <f t="shared" si="257"/>
        <v>-68035</v>
      </c>
      <c r="BE557" s="8">
        <f t="shared" si="285"/>
        <v>19159</v>
      </c>
      <c r="BF557" s="8">
        <v>365564</v>
      </c>
      <c r="BG557" s="8">
        <f t="shared" si="286"/>
        <v>10273</v>
      </c>
      <c r="BH557" s="8">
        <v>698303</v>
      </c>
      <c r="BI557" s="8">
        <f t="shared" si="287"/>
        <v>-4675</v>
      </c>
      <c r="BJ557" s="8">
        <f t="shared" si="258"/>
        <v>-332739</v>
      </c>
      <c r="BK557" s="8">
        <f t="shared" si="260"/>
        <v>14948</v>
      </c>
    </row>
    <row r="558" spans="1:63">
      <c r="A558" s="5">
        <v>42773</v>
      </c>
      <c r="B558" s="8">
        <v>436421</v>
      </c>
      <c r="C558" s="8">
        <f t="shared" si="261"/>
        <v>-8469</v>
      </c>
      <c r="D558" s="8">
        <v>82450</v>
      </c>
      <c r="E558" s="8">
        <f t="shared" si="262"/>
        <v>-10821</v>
      </c>
      <c r="F558" s="8">
        <v>19598</v>
      </c>
      <c r="G558" s="8">
        <f t="shared" si="263"/>
        <v>-6698</v>
      </c>
      <c r="H558" s="8">
        <v>62852</v>
      </c>
      <c r="I558" s="8">
        <f t="shared" si="264"/>
        <v>-4123</v>
      </c>
      <c r="J558" s="8">
        <v>177181</v>
      </c>
      <c r="K558" s="8">
        <f t="shared" si="265"/>
        <v>1486</v>
      </c>
      <c r="L558" s="8">
        <v>262186</v>
      </c>
      <c r="M558" s="8">
        <f t="shared" si="266"/>
        <v>-4890</v>
      </c>
      <c r="N558" s="8">
        <v>-85005</v>
      </c>
      <c r="O558" s="8">
        <f t="shared" si="267"/>
        <v>6376</v>
      </c>
      <c r="P558" s="8">
        <v>82165</v>
      </c>
      <c r="Q558" s="8">
        <f t="shared" si="268"/>
        <v>824</v>
      </c>
      <c r="R558" s="8">
        <v>241572</v>
      </c>
      <c r="S558" s="8">
        <f t="shared" si="269"/>
        <v>-4680</v>
      </c>
      <c r="T558" s="8">
        <v>-159407</v>
      </c>
      <c r="U558" s="8">
        <f t="shared" si="270"/>
        <v>5504</v>
      </c>
      <c r="W558" s="8">
        <v>419089</v>
      </c>
      <c r="X558" s="8">
        <f t="shared" si="271"/>
        <v>1857</v>
      </c>
      <c r="Y558" s="8">
        <v>84645</v>
      </c>
      <c r="Z558" s="8">
        <f t="shared" si="272"/>
        <v>-1262</v>
      </c>
      <c r="AA558" s="8">
        <v>23820</v>
      </c>
      <c r="AB558" s="8">
        <f t="shared" si="259"/>
        <v>3927</v>
      </c>
      <c r="AC558" s="8">
        <v>60825</v>
      </c>
      <c r="AD558" s="8">
        <f t="shared" si="259"/>
        <v>-5189</v>
      </c>
      <c r="AE558" s="8">
        <v>172504</v>
      </c>
      <c r="AF558" s="8">
        <f t="shared" si="273"/>
        <v>2426</v>
      </c>
      <c r="AG558" s="8">
        <v>279914</v>
      </c>
      <c r="AH558" s="8">
        <f t="shared" si="274"/>
        <v>-1693</v>
      </c>
      <c r="AI558" s="8">
        <v>-107410</v>
      </c>
      <c r="AJ558" s="8">
        <f t="shared" si="275"/>
        <v>4119</v>
      </c>
      <c r="AK558" s="8">
        <v>69875</v>
      </c>
      <c r="AL558" s="8">
        <f t="shared" si="276"/>
        <v>-1394</v>
      </c>
      <c r="AM558" s="8">
        <v>260786</v>
      </c>
      <c r="AN558" s="8">
        <f t="shared" si="277"/>
        <v>-2349</v>
      </c>
      <c r="AO558" s="8">
        <v>-190911</v>
      </c>
      <c r="AP558" s="8">
        <f t="shared" si="278"/>
        <v>955</v>
      </c>
      <c r="AR558" s="8">
        <v>1729810</v>
      </c>
      <c r="AS558" s="8">
        <f t="shared" si="279"/>
        <v>79224</v>
      </c>
      <c r="AT558" s="8">
        <v>247967</v>
      </c>
      <c r="AU558" s="8">
        <f t="shared" si="280"/>
        <v>18851</v>
      </c>
      <c r="AV558" s="8">
        <v>219134</v>
      </c>
      <c r="AW558" s="8">
        <f t="shared" si="281"/>
        <v>-6521</v>
      </c>
      <c r="AX558" s="8">
        <f t="shared" si="256"/>
        <v>28833</v>
      </c>
      <c r="AY558" s="8">
        <f t="shared" si="282"/>
        <v>25372</v>
      </c>
      <c r="AZ558" s="8">
        <v>706771</v>
      </c>
      <c r="BA558" s="8">
        <f t="shared" si="283"/>
        <v>4388</v>
      </c>
      <c r="BB558" s="8">
        <v>805812</v>
      </c>
      <c r="BC558" s="8">
        <f t="shared" si="284"/>
        <v>35394</v>
      </c>
      <c r="BD558" s="8">
        <f t="shared" si="257"/>
        <v>-99041</v>
      </c>
      <c r="BE558" s="8">
        <f t="shared" si="285"/>
        <v>-31006</v>
      </c>
      <c r="BF558" s="8">
        <v>354946</v>
      </c>
      <c r="BG558" s="8">
        <f t="shared" si="286"/>
        <v>-10618</v>
      </c>
      <c r="BH558" s="8">
        <v>720551</v>
      </c>
      <c r="BI558" s="8">
        <f t="shared" si="287"/>
        <v>22248</v>
      </c>
      <c r="BJ558" s="8">
        <f t="shared" si="258"/>
        <v>-365605</v>
      </c>
      <c r="BK558" s="8">
        <f t="shared" si="260"/>
        <v>-32866</v>
      </c>
    </row>
    <row r="559" spans="1:63">
      <c r="A559" s="5">
        <v>42780</v>
      </c>
      <c r="B559" s="8">
        <v>416903</v>
      </c>
      <c r="C559" s="8">
        <f t="shared" si="261"/>
        <v>-19518</v>
      </c>
      <c r="D559" s="8">
        <v>83621</v>
      </c>
      <c r="E559" s="8">
        <f t="shared" si="262"/>
        <v>1171</v>
      </c>
      <c r="F559" s="8">
        <v>15003</v>
      </c>
      <c r="G559" s="8">
        <f t="shared" si="263"/>
        <v>-4595</v>
      </c>
      <c r="H559" s="8">
        <v>68618</v>
      </c>
      <c r="I559" s="8">
        <f t="shared" si="264"/>
        <v>5766</v>
      </c>
      <c r="J559" s="8">
        <v>173974</v>
      </c>
      <c r="K559" s="8">
        <f t="shared" si="265"/>
        <v>-3207</v>
      </c>
      <c r="L559" s="8">
        <v>260811</v>
      </c>
      <c r="M559" s="8">
        <f t="shared" si="266"/>
        <v>-1375</v>
      </c>
      <c r="N559" s="8">
        <v>-86837</v>
      </c>
      <c r="O559" s="8">
        <f t="shared" si="267"/>
        <v>-1832</v>
      </c>
      <c r="P559" s="8">
        <v>79660</v>
      </c>
      <c r="Q559" s="8">
        <f t="shared" si="268"/>
        <v>-2505</v>
      </c>
      <c r="R559" s="8">
        <v>240906</v>
      </c>
      <c r="S559" s="8">
        <f t="shared" si="269"/>
        <v>-666</v>
      </c>
      <c r="T559" s="8">
        <v>-161246</v>
      </c>
      <c r="U559" s="8">
        <f t="shared" si="270"/>
        <v>-1839</v>
      </c>
      <c r="W559" s="8">
        <v>429046</v>
      </c>
      <c r="X559" s="8">
        <f t="shared" si="271"/>
        <v>9957</v>
      </c>
      <c r="Y559" s="8">
        <v>87379</v>
      </c>
      <c r="Z559" s="8">
        <f t="shared" si="272"/>
        <v>2734</v>
      </c>
      <c r="AA559" s="8">
        <v>20792</v>
      </c>
      <c r="AB559" s="8">
        <f t="shared" si="259"/>
        <v>-3028</v>
      </c>
      <c r="AC559" s="8">
        <v>66587</v>
      </c>
      <c r="AD559" s="8">
        <f t="shared" si="259"/>
        <v>5762</v>
      </c>
      <c r="AE559" s="8">
        <v>174842</v>
      </c>
      <c r="AF559" s="8">
        <f t="shared" si="273"/>
        <v>2338</v>
      </c>
      <c r="AG559" s="8">
        <v>286138</v>
      </c>
      <c r="AH559" s="8">
        <f t="shared" si="274"/>
        <v>6224</v>
      </c>
      <c r="AI559" s="8">
        <v>-111296</v>
      </c>
      <c r="AJ559" s="8">
        <f t="shared" si="275"/>
        <v>-3886</v>
      </c>
      <c r="AK559" s="8">
        <v>73124</v>
      </c>
      <c r="AL559" s="8">
        <f t="shared" si="276"/>
        <v>3249</v>
      </c>
      <c r="AM559" s="8">
        <v>266969</v>
      </c>
      <c r="AN559" s="8">
        <f t="shared" si="277"/>
        <v>6183</v>
      </c>
      <c r="AO559" s="8">
        <v>-193845</v>
      </c>
      <c r="AP559" s="8">
        <f t="shared" si="278"/>
        <v>-2934</v>
      </c>
      <c r="AR559" s="8">
        <v>1856434</v>
      </c>
      <c r="AS559" s="8">
        <f t="shared" si="279"/>
        <v>126624</v>
      </c>
      <c r="AT559" s="8">
        <v>281234</v>
      </c>
      <c r="AU559" s="8">
        <f t="shared" si="280"/>
        <v>33267</v>
      </c>
      <c r="AV559" s="8">
        <v>195874</v>
      </c>
      <c r="AW559" s="8">
        <f t="shared" si="281"/>
        <v>-23260</v>
      </c>
      <c r="AX559" s="8">
        <f t="shared" si="256"/>
        <v>85360</v>
      </c>
      <c r="AY559" s="8">
        <f t="shared" si="282"/>
        <v>56527</v>
      </c>
      <c r="AZ559" s="8">
        <v>739166</v>
      </c>
      <c r="BA559" s="8">
        <f t="shared" si="283"/>
        <v>32395</v>
      </c>
      <c r="BB559" s="8">
        <v>892481</v>
      </c>
      <c r="BC559" s="8">
        <f t="shared" si="284"/>
        <v>86669</v>
      </c>
      <c r="BD559" s="8">
        <f t="shared" si="257"/>
        <v>-153315</v>
      </c>
      <c r="BE559" s="8">
        <f t="shared" si="285"/>
        <v>-54274</v>
      </c>
      <c r="BF559" s="8">
        <v>366894</v>
      </c>
      <c r="BG559" s="8">
        <f t="shared" si="286"/>
        <v>11948</v>
      </c>
      <c r="BH559" s="8">
        <v>789596</v>
      </c>
      <c r="BI559" s="8">
        <f t="shared" si="287"/>
        <v>69045</v>
      </c>
      <c r="BJ559" s="8">
        <f t="shared" si="258"/>
        <v>-422702</v>
      </c>
      <c r="BK559" s="8">
        <f t="shared" si="260"/>
        <v>-57097</v>
      </c>
    </row>
    <row r="560" spans="1:63">
      <c r="A560" s="5">
        <v>42787</v>
      </c>
      <c r="B560" s="8">
        <v>435295</v>
      </c>
      <c r="C560" s="8">
        <f t="shared" si="261"/>
        <v>18392</v>
      </c>
      <c r="D560" s="8">
        <v>76976</v>
      </c>
      <c r="E560" s="8">
        <f t="shared" si="262"/>
        <v>-6645</v>
      </c>
      <c r="F560" s="8">
        <v>32078</v>
      </c>
      <c r="G560" s="8">
        <f t="shared" si="263"/>
        <v>17075</v>
      </c>
      <c r="H560" s="8">
        <v>44898</v>
      </c>
      <c r="I560" s="8">
        <f t="shared" si="264"/>
        <v>-23720</v>
      </c>
      <c r="J560" s="8">
        <v>191341</v>
      </c>
      <c r="K560" s="8">
        <f t="shared" si="265"/>
        <v>17367</v>
      </c>
      <c r="L560" s="8">
        <v>251962</v>
      </c>
      <c r="M560" s="8">
        <f t="shared" si="266"/>
        <v>-8849</v>
      </c>
      <c r="N560" s="8">
        <v>-60621</v>
      </c>
      <c r="O560" s="8">
        <f t="shared" si="267"/>
        <v>26216</v>
      </c>
      <c r="P560" s="8">
        <v>96342</v>
      </c>
      <c r="Q560" s="8">
        <f t="shared" si="268"/>
        <v>16682</v>
      </c>
      <c r="R560" s="8">
        <v>229482</v>
      </c>
      <c r="S560" s="8">
        <f t="shared" si="269"/>
        <v>-11424</v>
      </c>
      <c r="T560" s="8">
        <v>-133140</v>
      </c>
      <c r="U560" s="8">
        <f t="shared" si="270"/>
        <v>28106</v>
      </c>
      <c r="W560" s="8">
        <v>431632</v>
      </c>
      <c r="X560" s="8">
        <f t="shared" si="271"/>
        <v>2586</v>
      </c>
      <c r="Y560" s="8">
        <v>90953</v>
      </c>
      <c r="Z560" s="8">
        <f t="shared" si="272"/>
        <v>3574</v>
      </c>
      <c r="AA560" s="8">
        <v>17488</v>
      </c>
      <c r="AB560" s="8">
        <f t="shared" si="259"/>
        <v>-3304</v>
      </c>
      <c r="AC560" s="8">
        <v>73465</v>
      </c>
      <c r="AD560" s="8">
        <f t="shared" si="259"/>
        <v>6878</v>
      </c>
      <c r="AE560" s="8">
        <v>176022</v>
      </c>
      <c r="AF560" s="8">
        <f t="shared" si="273"/>
        <v>1180</v>
      </c>
      <c r="AG560" s="8">
        <v>292143</v>
      </c>
      <c r="AH560" s="8">
        <f t="shared" si="274"/>
        <v>6005</v>
      </c>
      <c r="AI560" s="8">
        <v>-116121</v>
      </c>
      <c r="AJ560" s="8">
        <f t="shared" si="275"/>
        <v>-4825</v>
      </c>
      <c r="AK560" s="8">
        <v>72076</v>
      </c>
      <c r="AL560" s="8">
        <f t="shared" si="276"/>
        <v>-1048</v>
      </c>
      <c r="AM560" s="8">
        <v>272858</v>
      </c>
      <c r="AN560" s="8">
        <f t="shared" si="277"/>
        <v>5889</v>
      </c>
      <c r="AO560" s="8">
        <v>-200782</v>
      </c>
      <c r="AP560" s="8">
        <f t="shared" si="278"/>
        <v>-6937</v>
      </c>
      <c r="AR560" s="8">
        <v>1909551</v>
      </c>
      <c r="AS560" s="8">
        <f t="shared" si="279"/>
        <v>53117</v>
      </c>
      <c r="AT560" s="8">
        <v>280922</v>
      </c>
      <c r="AU560" s="8">
        <f t="shared" si="280"/>
        <v>-312</v>
      </c>
      <c r="AV560" s="8">
        <v>188706</v>
      </c>
      <c r="AW560" s="8">
        <f t="shared" si="281"/>
        <v>-7168</v>
      </c>
      <c r="AX560" s="8">
        <f t="shared" si="256"/>
        <v>92216</v>
      </c>
      <c r="AY560" s="8">
        <f t="shared" si="282"/>
        <v>6856</v>
      </c>
      <c r="AZ560" s="8">
        <v>773525</v>
      </c>
      <c r="BA560" s="8">
        <f t="shared" si="283"/>
        <v>34359</v>
      </c>
      <c r="BB560" s="8">
        <v>930521</v>
      </c>
      <c r="BC560" s="8">
        <f t="shared" si="284"/>
        <v>38040</v>
      </c>
      <c r="BD560" s="8">
        <f t="shared" si="257"/>
        <v>-156996</v>
      </c>
      <c r="BE560" s="8">
        <f t="shared" si="285"/>
        <v>-3681</v>
      </c>
      <c r="BF560" s="8">
        <v>405385</v>
      </c>
      <c r="BG560" s="8">
        <f t="shared" si="286"/>
        <v>38491</v>
      </c>
      <c r="BH560" s="8">
        <v>843126</v>
      </c>
      <c r="BI560" s="8">
        <f t="shared" si="287"/>
        <v>53530</v>
      </c>
      <c r="BJ560" s="8">
        <f t="shared" si="258"/>
        <v>-437741</v>
      </c>
      <c r="BK560" s="8">
        <f t="shared" si="260"/>
        <v>-15039</v>
      </c>
    </row>
    <row r="561" spans="1:63">
      <c r="A561" s="5">
        <v>42794</v>
      </c>
      <c r="B561" s="8">
        <v>395607</v>
      </c>
      <c r="C561" s="8">
        <f t="shared" si="261"/>
        <v>-39688</v>
      </c>
      <c r="D561" s="8">
        <v>66455</v>
      </c>
      <c r="E561" s="8">
        <f t="shared" si="262"/>
        <v>-10521</v>
      </c>
      <c r="F561" s="8">
        <v>39409</v>
      </c>
      <c r="G561" s="8">
        <f t="shared" si="263"/>
        <v>7331</v>
      </c>
      <c r="H561" s="8">
        <v>27046</v>
      </c>
      <c r="I561" s="8">
        <f t="shared" si="264"/>
        <v>-17852</v>
      </c>
      <c r="J561" s="8">
        <v>183845</v>
      </c>
      <c r="K561" s="8">
        <f t="shared" si="265"/>
        <v>-7496</v>
      </c>
      <c r="L561" s="8">
        <v>232376</v>
      </c>
      <c r="M561" s="8">
        <f t="shared" si="266"/>
        <v>-19586</v>
      </c>
      <c r="N561" s="8">
        <v>-48531</v>
      </c>
      <c r="O561" s="8">
        <f t="shared" si="267"/>
        <v>12090</v>
      </c>
      <c r="P561" s="8">
        <v>93977</v>
      </c>
      <c r="Q561" s="8">
        <f t="shared" si="268"/>
        <v>-2365</v>
      </c>
      <c r="R561" s="8">
        <v>211897</v>
      </c>
      <c r="S561" s="8">
        <f t="shared" si="269"/>
        <v>-17585</v>
      </c>
      <c r="T561" s="8">
        <v>-117920</v>
      </c>
      <c r="U561" s="8">
        <f t="shared" si="270"/>
        <v>15220</v>
      </c>
      <c r="W561" s="8">
        <v>405369</v>
      </c>
      <c r="X561" s="8">
        <f t="shared" si="271"/>
        <v>-26263</v>
      </c>
      <c r="Y561" s="8">
        <v>89105</v>
      </c>
      <c r="Z561" s="8">
        <f t="shared" si="272"/>
        <v>-1848</v>
      </c>
      <c r="AA561" s="8">
        <v>18623</v>
      </c>
      <c r="AB561" s="8">
        <f t="shared" si="259"/>
        <v>1135</v>
      </c>
      <c r="AC561" s="8">
        <v>70482</v>
      </c>
      <c r="AD561" s="8">
        <f t="shared" si="259"/>
        <v>-2983</v>
      </c>
      <c r="AE561" s="8">
        <v>170765</v>
      </c>
      <c r="AF561" s="8">
        <f t="shared" si="273"/>
        <v>-5257</v>
      </c>
      <c r="AG561" s="8">
        <v>279243</v>
      </c>
      <c r="AH561" s="8">
        <f t="shared" si="274"/>
        <v>-12900</v>
      </c>
      <c r="AI561" s="8">
        <v>-108478</v>
      </c>
      <c r="AJ561" s="8">
        <f t="shared" si="275"/>
        <v>7643</v>
      </c>
      <c r="AK561" s="8">
        <v>66183</v>
      </c>
      <c r="AL561" s="8">
        <f t="shared" si="276"/>
        <v>-5893</v>
      </c>
      <c r="AM561" s="8">
        <v>258784</v>
      </c>
      <c r="AN561" s="8">
        <f t="shared" si="277"/>
        <v>-14074</v>
      </c>
      <c r="AO561" s="8">
        <v>-192601</v>
      </c>
      <c r="AP561" s="8">
        <f t="shared" si="278"/>
        <v>8181</v>
      </c>
      <c r="AR561" s="8">
        <v>1685712</v>
      </c>
      <c r="AS561" s="8">
        <f t="shared" si="279"/>
        <v>-223839</v>
      </c>
      <c r="AT561" s="8">
        <v>268066</v>
      </c>
      <c r="AU561" s="8">
        <f t="shared" si="280"/>
        <v>-12856</v>
      </c>
      <c r="AV561" s="8">
        <v>185931</v>
      </c>
      <c r="AW561" s="8">
        <f t="shared" si="281"/>
        <v>-2775</v>
      </c>
      <c r="AX561" s="8">
        <f t="shared" si="256"/>
        <v>82135</v>
      </c>
      <c r="AY561" s="8">
        <f t="shared" si="282"/>
        <v>-10081</v>
      </c>
      <c r="AZ561" s="8">
        <v>680518</v>
      </c>
      <c r="BA561" s="8">
        <f t="shared" si="283"/>
        <v>-93007</v>
      </c>
      <c r="BB561" s="8">
        <v>845758</v>
      </c>
      <c r="BC561" s="8">
        <f t="shared" si="284"/>
        <v>-84763</v>
      </c>
      <c r="BD561" s="8">
        <f t="shared" si="257"/>
        <v>-165240</v>
      </c>
      <c r="BE561" s="8">
        <f t="shared" si="285"/>
        <v>-8244</v>
      </c>
      <c r="BF561" s="8">
        <v>351253</v>
      </c>
      <c r="BG561" s="8">
        <f t="shared" si="286"/>
        <v>-54132</v>
      </c>
      <c r="BH561" s="8">
        <v>792788</v>
      </c>
      <c r="BI561" s="8">
        <f t="shared" si="287"/>
        <v>-50338</v>
      </c>
      <c r="BJ561" s="8">
        <f t="shared" si="258"/>
        <v>-441535</v>
      </c>
      <c r="BK561" s="8">
        <f t="shared" si="260"/>
        <v>-3794</v>
      </c>
    </row>
    <row r="562" spans="1:63">
      <c r="A562" s="5">
        <v>42801</v>
      </c>
      <c r="B562" s="8">
        <v>400102</v>
      </c>
      <c r="C562" s="8">
        <f t="shared" si="261"/>
        <v>4495</v>
      </c>
      <c r="D562" s="8">
        <v>67134</v>
      </c>
      <c r="E562" s="8">
        <f t="shared" si="262"/>
        <v>679</v>
      </c>
      <c r="F562" s="8">
        <v>40770</v>
      </c>
      <c r="G562" s="8">
        <f t="shared" si="263"/>
        <v>1361</v>
      </c>
      <c r="H562" s="8">
        <v>26364</v>
      </c>
      <c r="I562" s="8">
        <f t="shared" si="264"/>
        <v>-682</v>
      </c>
      <c r="J562" s="8">
        <v>181764</v>
      </c>
      <c r="K562" s="8">
        <f t="shared" si="265"/>
        <v>-2081</v>
      </c>
      <c r="L562" s="8">
        <v>228008</v>
      </c>
      <c r="M562" s="8">
        <f t="shared" si="266"/>
        <v>-4368</v>
      </c>
      <c r="N562" s="8">
        <v>-46244</v>
      </c>
      <c r="O562" s="8">
        <f t="shared" si="267"/>
        <v>2287</v>
      </c>
      <c r="P562" s="8">
        <v>93775</v>
      </c>
      <c r="Q562" s="8">
        <f t="shared" si="268"/>
        <v>-202</v>
      </c>
      <c r="R562" s="8">
        <v>204206</v>
      </c>
      <c r="S562" s="8">
        <f t="shared" si="269"/>
        <v>-7691</v>
      </c>
      <c r="T562" s="8">
        <v>-110431</v>
      </c>
      <c r="U562" s="8">
        <f t="shared" si="270"/>
        <v>7489</v>
      </c>
      <c r="W562" s="8">
        <v>399907</v>
      </c>
      <c r="X562" s="8">
        <f t="shared" si="271"/>
        <v>-5462</v>
      </c>
      <c r="Y562" s="8">
        <v>82928</v>
      </c>
      <c r="Z562" s="8">
        <f t="shared" si="272"/>
        <v>-6177</v>
      </c>
      <c r="AA562" s="8">
        <v>21395</v>
      </c>
      <c r="AB562" s="8">
        <f t="shared" si="259"/>
        <v>2772</v>
      </c>
      <c r="AC562" s="8">
        <v>61533</v>
      </c>
      <c r="AD562" s="8">
        <f t="shared" si="259"/>
        <v>-8949</v>
      </c>
      <c r="AE562" s="8">
        <v>169553</v>
      </c>
      <c r="AF562" s="8">
        <f t="shared" si="273"/>
        <v>-1212</v>
      </c>
      <c r="AG562" s="8">
        <v>270731</v>
      </c>
      <c r="AH562" s="8">
        <f t="shared" si="274"/>
        <v>-8512</v>
      </c>
      <c r="AI562" s="8">
        <v>-101178</v>
      </c>
      <c r="AJ562" s="8">
        <f t="shared" si="275"/>
        <v>7300</v>
      </c>
      <c r="AK562" s="8">
        <v>65719</v>
      </c>
      <c r="AL562" s="8">
        <f t="shared" si="276"/>
        <v>-464</v>
      </c>
      <c r="AM562" s="8">
        <v>250063</v>
      </c>
      <c r="AN562" s="8">
        <f t="shared" si="277"/>
        <v>-8721</v>
      </c>
      <c r="AO562" s="8">
        <v>-184344</v>
      </c>
      <c r="AP562" s="8">
        <f t="shared" si="278"/>
        <v>8257</v>
      </c>
      <c r="AR562" s="8">
        <v>1707744</v>
      </c>
      <c r="AS562" s="8">
        <f t="shared" si="279"/>
        <v>22032</v>
      </c>
      <c r="AT562" s="8">
        <v>274859</v>
      </c>
      <c r="AU562" s="8">
        <f t="shared" si="280"/>
        <v>6793</v>
      </c>
      <c r="AV562" s="8">
        <v>194778</v>
      </c>
      <c r="AW562" s="8">
        <f t="shared" si="281"/>
        <v>8847</v>
      </c>
      <c r="AX562" s="8">
        <f t="shared" si="256"/>
        <v>80081</v>
      </c>
      <c r="AY562" s="8">
        <f t="shared" si="282"/>
        <v>-2054</v>
      </c>
      <c r="AZ562" s="8">
        <v>688883</v>
      </c>
      <c r="BA562" s="8">
        <f t="shared" si="283"/>
        <v>8365</v>
      </c>
      <c r="BB562" s="8">
        <v>849808</v>
      </c>
      <c r="BC562" s="8">
        <f t="shared" si="284"/>
        <v>4050</v>
      </c>
      <c r="BD562" s="8">
        <f t="shared" si="257"/>
        <v>-160925</v>
      </c>
      <c r="BE562" s="8">
        <f t="shared" si="285"/>
        <v>4315</v>
      </c>
      <c r="BF562" s="8">
        <v>351366</v>
      </c>
      <c r="BG562" s="8">
        <f t="shared" si="286"/>
        <v>113</v>
      </c>
      <c r="BH562" s="8">
        <v>778294</v>
      </c>
      <c r="BI562" s="8">
        <f t="shared" si="287"/>
        <v>-14494</v>
      </c>
      <c r="BJ562" s="8">
        <f t="shared" si="258"/>
        <v>-426928</v>
      </c>
      <c r="BK562" s="8">
        <f t="shared" si="260"/>
        <v>14607</v>
      </c>
    </row>
    <row r="563" spans="1:63">
      <c r="A563" s="5">
        <v>42808</v>
      </c>
      <c r="B563" s="8">
        <v>418133</v>
      </c>
      <c r="C563" s="8">
        <f t="shared" si="261"/>
        <v>18031</v>
      </c>
      <c r="D563" s="8">
        <v>62690</v>
      </c>
      <c r="E563" s="8">
        <f t="shared" si="262"/>
        <v>-4444</v>
      </c>
      <c r="F563" s="8">
        <v>61906</v>
      </c>
      <c r="G563" s="8">
        <f t="shared" si="263"/>
        <v>21136</v>
      </c>
      <c r="H563" s="8">
        <v>784</v>
      </c>
      <c r="I563" s="8">
        <f t="shared" si="264"/>
        <v>-25580</v>
      </c>
      <c r="J563" s="8">
        <v>199285</v>
      </c>
      <c r="K563" s="8">
        <f t="shared" si="265"/>
        <v>17521</v>
      </c>
      <c r="L563" s="8">
        <v>214789</v>
      </c>
      <c r="M563" s="8">
        <f t="shared" si="266"/>
        <v>-13219</v>
      </c>
      <c r="N563" s="8">
        <v>-15504</v>
      </c>
      <c r="O563" s="8">
        <f t="shared" si="267"/>
        <v>30740</v>
      </c>
      <c r="P563" s="8">
        <v>113215</v>
      </c>
      <c r="Q563" s="8">
        <f t="shared" si="268"/>
        <v>19440</v>
      </c>
      <c r="R563" s="8">
        <v>189080</v>
      </c>
      <c r="S563" s="8">
        <f t="shared" si="269"/>
        <v>-15126</v>
      </c>
      <c r="T563" s="8">
        <v>-75865</v>
      </c>
      <c r="U563" s="8">
        <f t="shared" si="270"/>
        <v>34566</v>
      </c>
      <c r="W563" s="8">
        <v>394206</v>
      </c>
      <c r="X563" s="8">
        <f t="shared" si="271"/>
        <v>-5701</v>
      </c>
      <c r="Y563" s="8">
        <v>81343</v>
      </c>
      <c r="Z563" s="8">
        <f t="shared" si="272"/>
        <v>-1585</v>
      </c>
      <c r="AA563" s="8">
        <v>21399</v>
      </c>
      <c r="AB563" s="8">
        <f t="shared" si="259"/>
        <v>4</v>
      </c>
      <c r="AC563" s="8">
        <v>59944</v>
      </c>
      <c r="AD563" s="8">
        <f t="shared" si="259"/>
        <v>-1589</v>
      </c>
      <c r="AE563" s="8">
        <v>170667</v>
      </c>
      <c r="AF563" s="8">
        <f t="shared" si="273"/>
        <v>1114</v>
      </c>
      <c r="AG563" s="8">
        <v>268088</v>
      </c>
      <c r="AH563" s="8">
        <f t="shared" si="274"/>
        <v>-2643</v>
      </c>
      <c r="AI563" s="8">
        <v>-97421</v>
      </c>
      <c r="AJ563" s="8">
        <f t="shared" si="275"/>
        <v>3757</v>
      </c>
      <c r="AK563" s="8">
        <v>66767</v>
      </c>
      <c r="AL563" s="8">
        <f t="shared" si="276"/>
        <v>1048</v>
      </c>
      <c r="AM563" s="8">
        <v>246379</v>
      </c>
      <c r="AN563" s="8">
        <f t="shared" si="277"/>
        <v>-3684</v>
      </c>
      <c r="AO563" s="8">
        <v>-179612</v>
      </c>
      <c r="AP563" s="8">
        <f t="shared" si="278"/>
        <v>4732</v>
      </c>
      <c r="AR563" s="8">
        <v>1755380</v>
      </c>
      <c r="AS563" s="8">
        <f t="shared" si="279"/>
        <v>47636</v>
      </c>
      <c r="AT563" s="8">
        <v>210705</v>
      </c>
      <c r="AU563" s="8">
        <f t="shared" si="280"/>
        <v>-64154</v>
      </c>
      <c r="AV563" s="8">
        <v>234307</v>
      </c>
      <c r="AW563" s="8">
        <f t="shared" si="281"/>
        <v>39529</v>
      </c>
      <c r="AX563" s="8">
        <f t="shared" si="256"/>
        <v>-23602</v>
      </c>
      <c r="AY563" s="8">
        <f t="shared" si="282"/>
        <v>-103683</v>
      </c>
      <c r="AZ563" s="8">
        <v>744714</v>
      </c>
      <c r="BA563" s="8">
        <f t="shared" si="283"/>
        <v>55831</v>
      </c>
      <c r="BB563" s="8">
        <v>815257</v>
      </c>
      <c r="BC563" s="8">
        <f t="shared" si="284"/>
        <v>-34551</v>
      </c>
      <c r="BD563" s="8">
        <f t="shared" si="257"/>
        <v>-70543</v>
      </c>
      <c r="BE563" s="8">
        <f t="shared" si="285"/>
        <v>90382</v>
      </c>
      <c r="BF563" s="8">
        <v>412781</v>
      </c>
      <c r="BG563" s="8">
        <f t="shared" si="286"/>
        <v>61415</v>
      </c>
      <c r="BH563" s="8">
        <v>733306</v>
      </c>
      <c r="BI563" s="8">
        <f t="shared" si="287"/>
        <v>-44988</v>
      </c>
      <c r="BJ563" s="8">
        <f t="shared" si="258"/>
        <v>-320525</v>
      </c>
      <c r="BK563" s="8">
        <f t="shared" si="260"/>
        <v>106403</v>
      </c>
    </row>
    <row r="564" spans="1:63">
      <c r="A564" s="5">
        <v>42815</v>
      </c>
      <c r="B564" s="8">
        <v>442204</v>
      </c>
      <c r="C564" s="8">
        <f t="shared" si="261"/>
        <v>24071</v>
      </c>
      <c r="D564" s="8">
        <v>60532</v>
      </c>
      <c r="E564" s="8">
        <f t="shared" si="262"/>
        <v>-2158</v>
      </c>
      <c r="F564" s="8">
        <v>85697</v>
      </c>
      <c r="G564" s="8">
        <f t="shared" si="263"/>
        <v>23791</v>
      </c>
      <c r="H564" s="8">
        <v>-25165</v>
      </c>
      <c r="I564" s="8">
        <f t="shared" si="264"/>
        <v>-25949</v>
      </c>
      <c r="J564" s="8">
        <v>221959</v>
      </c>
      <c r="K564" s="8">
        <f t="shared" si="265"/>
        <v>22674</v>
      </c>
      <c r="L564" s="8">
        <v>208141</v>
      </c>
      <c r="M564" s="8">
        <f t="shared" si="266"/>
        <v>-6648</v>
      </c>
      <c r="N564" s="8">
        <v>13818</v>
      </c>
      <c r="O564" s="8">
        <f t="shared" si="267"/>
        <v>29322</v>
      </c>
      <c r="P564" s="8">
        <v>128831</v>
      </c>
      <c r="Q564" s="8">
        <f t="shared" si="268"/>
        <v>15616</v>
      </c>
      <c r="R564" s="8">
        <v>177615</v>
      </c>
      <c r="S564" s="8">
        <f t="shared" si="269"/>
        <v>-11465</v>
      </c>
      <c r="T564" s="8">
        <v>-48784</v>
      </c>
      <c r="U564" s="8">
        <f t="shared" si="270"/>
        <v>27081</v>
      </c>
      <c r="W564" s="8">
        <v>406913</v>
      </c>
      <c r="X564" s="8">
        <f t="shared" si="271"/>
        <v>12707</v>
      </c>
      <c r="Y564" s="8">
        <v>82874</v>
      </c>
      <c r="Z564" s="8">
        <f t="shared" si="272"/>
        <v>1531</v>
      </c>
      <c r="AA564" s="8">
        <v>23540</v>
      </c>
      <c r="AB564" s="8">
        <f t="shared" si="259"/>
        <v>2141</v>
      </c>
      <c r="AC564" s="8">
        <v>59334</v>
      </c>
      <c r="AD564" s="8">
        <f t="shared" si="259"/>
        <v>-610</v>
      </c>
      <c r="AE564" s="8">
        <v>173734</v>
      </c>
      <c r="AF564" s="8">
        <f t="shared" si="273"/>
        <v>3067</v>
      </c>
      <c r="AG564" s="8">
        <v>268119</v>
      </c>
      <c r="AH564" s="8">
        <f t="shared" si="274"/>
        <v>31</v>
      </c>
      <c r="AI564" s="8">
        <v>-94385</v>
      </c>
      <c r="AJ564" s="8">
        <f t="shared" si="275"/>
        <v>3036</v>
      </c>
      <c r="AK564" s="8">
        <v>68614</v>
      </c>
      <c r="AL564" s="8">
        <f t="shared" si="276"/>
        <v>1847</v>
      </c>
      <c r="AM564" s="8">
        <v>248175</v>
      </c>
      <c r="AN564" s="8">
        <f t="shared" si="277"/>
        <v>1796</v>
      </c>
      <c r="AO564" s="8">
        <v>-179561</v>
      </c>
      <c r="AP564" s="8">
        <f t="shared" si="278"/>
        <v>51</v>
      </c>
      <c r="AR564" s="8">
        <v>1818223</v>
      </c>
      <c r="AS564" s="8">
        <f t="shared" si="279"/>
        <v>62843</v>
      </c>
      <c r="AT564" s="8">
        <v>206815</v>
      </c>
      <c r="AU564" s="8">
        <f t="shared" si="280"/>
        <v>-3890</v>
      </c>
      <c r="AV564" s="8">
        <v>288506</v>
      </c>
      <c r="AW564" s="8">
        <f t="shared" si="281"/>
        <v>54199</v>
      </c>
      <c r="AX564" s="8">
        <f t="shared" si="256"/>
        <v>-81691</v>
      </c>
      <c r="AY564" s="8">
        <f t="shared" si="282"/>
        <v>-58089</v>
      </c>
      <c r="AZ564" s="8">
        <v>765840</v>
      </c>
      <c r="BA564" s="8">
        <f t="shared" si="283"/>
        <v>21126</v>
      </c>
      <c r="BB564" s="8">
        <v>778949</v>
      </c>
      <c r="BC564" s="8">
        <f t="shared" si="284"/>
        <v>-36308</v>
      </c>
      <c r="BD564" s="8">
        <f t="shared" si="257"/>
        <v>-13109</v>
      </c>
      <c r="BE564" s="8">
        <f t="shared" si="285"/>
        <v>57434</v>
      </c>
      <c r="BF564" s="8">
        <v>429264</v>
      </c>
      <c r="BG564" s="8">
        <f t="shared" si="286"/>
        <v>16483</v>
      </c>
      <c r="BH564" s="8">
        <v>698833</v>
      </c>
      <c r="BI564" s="8">
        <f t="shared" si="287"/>
        <v>-34473</v>
      </c>
      <c r="BJ564" s="8">
        <f t="shared" si="258"/>
        <v>-269569</v>
      </c>
      <c r="BK564" s="8">
        <f t="shared" si="260"/>
        <v>50956</v>
      </c>
    </row>
    <row r="565" spans="1:63">
      <c r="A565" s="5">
        <v>42822</v>
      </c>
      <c r="B565" s="8">
        <v>441972</v>
      </c>
      <c r="C565" s="8">
        <f t="shared" si="261"/>
        <v>-232</v>
      </c>
      <c r="D565" s="8">
        <v>63343</v>
      </c>
      <c r="E565" s="8">
        <f t="shared" si="262"/>
        <v>2811</v>
      </c>
      <c r="F565" s="8">
        <v>83091</v>
      </c>
      <c r="G565" s="8">
        <f t="shared" si="263"/>
        <v>-2606</v>
      </c>
      <c r="H565" s="8">
        <v>-19748</v>
      </c>
      <c r="I565" s="8">
        <f t="shared" si="264"/>
        <v>5417</v>
      </c>
      <c r="J565" s="8">
        <v>214012</v>
      </c>
      <c r="K565" s="8">
        <f t="shared" si="265"/>
        <v>-7947</v>
      </c>
      <c r="L565" s="8">
        <v>202406</v>
      </c>
      <c r="M565" s="8">
        <f t="shared" si="266"/>
        <v>-5735</v>
      </c>
      <c r="N565" s="8">
        <v>11606</v>
      </c>
      <c r="O565" s="8">
        <f t="shared" si="267"/>
        <v>-2212</v>
      </c>
      <c r="P565" s="8">
        <v>121054</v>
      </c>
      <c r="Q565" s="8">
        <f t="shared" si="268"/>
        <v>-7777</v>
      </c>
      <c r="R565" s="8">
        <v>172030</v>
      </c>
      <c r="S565" s="8">
        <f t="shared" si="269"/>
        <v>-5585</v>
      </c>
      <c r="T565" s="8">
        <v>-50976</v>
      </c>
      <c r="U565" s="8">
        <f t="shared" si="270"/>
        <v>-2192</v>
      </c>
      <c r="W565" s="8">
        <v>407274</v>
      </c>
      <c r="X565" s="8">
        <f t="shared" si="271"/>
        <v>361</v>
      </c>
      <c r="Y565" s="8">
        <v>64146</v>
      </c>
      <c r="Z565" s="8">
        <f t="shared" si="272"/>
        <v>-18728</v>
      </c>
      <c r="AA565" s="8">
        <v>34613</v>
      </c>
      <c r="AB565" s="8">
        <f t="shared" si="259"/>
        <v>11073</v>
      </c>
      <c r="AC565" s="8">
        <v>29533</v>
      </c>
      <c r="AD565" s="8">
        <f t="shared" si="259"/>
        <v>-29801</v>
      </c>
      <c r="AE565" s="8">
        <v>185942</v>
      </c>
      <c r="AF565" s="8">
        <f t="shared" si="273"/>
        <v>12208</v>
      </c>
      <c r="AG565" s="8">
        <v>245345</v>
      </c>
      <c r="AH565" s="8">
        <f t="shared" si="274"/>
        <v>-22774</v>
      </c>
      <c r="AI565" s="8">
        <v>-59403</v>
      </c>
      <c r="AJ565" s="8">
        <f t="shared" si="275"/>
        <v>34982</v>
      </c>
      <c r="AK565" s="8">
        <v>79403</v>
      </c>
      <c r="AL565" s="8">
        <f t="shared" si="276"/>
        <v>10789</v>
      </c>
      <c r="AM565" s="8">
        <v>225667</v>
      </c>
      <c r="AN565" s="8">
        <f t="shared" si="277"/>
        <v>-22508</v>
      </c>
      <c r="AO565" s="8">
        <v>-146264</v>
      </c>
      <c r="AP565" s="8">
        <f t="shared" si="278"/>
        <v>33297</v>
      </c>
      <c r="AR565" s="8">
        <v>1814115</v>
      </c>
      <c r="AS565" s="8">
        <f t="shared" si="279"/>
        <v>-4108</v>
      </c>
      <c r="AT565" s="8">
        <v>193780</v>
      </c>
      <c r="AU565" s="8">
        <f t="shared" si="280"/>
        <v>-13035</v>
      </c>
      <c r="AV565" s="8">
        <v>349292</v>
      </c>
      <c r="AW565" s="8">
        <f t="shared" si="281"/>
        <v>60786</v>
      </c>
      <c r="AX565" s="8">
        <f t="shared" si="256"/>
        <v>-155512</v>
      </c>
      <c r="AY565" s="8">
        <f t="shared" si="282"/>
        <v>-73821</v>
      </c>
      <c r="AZ565" s="8">
        <v>788319</v>
      </c>
      <c r="BA565" s="8">
        <f t="shared" si="283"/>
        <v>22479</v>
      </c>
      <c r="BB565" s="8">
        <v>730051</v>
      </c>
      <c r="BC565" s="8">
        <f t="shared" si="284"/>
        <v>-48898</v>
      </c>
      <c r="BD565" s="8">
        <f t="shared" si="257"/>
        <v>58268</v>
      </c>
      <c r="BE565" s="8">
        <f t="shared" si="285"/>
        <v>71377</v>
      </c>
      <c r="BF565" s="8">
        <v>453337</v>
      </c>
      <c r="BG565" s="8">
        <f t="shared" si="286"/>
        <v>24073</v>
      </c>
      <c r="BH565" s="8">
        <v>619456</v>
      </c>
      <c r="BI565" s="8">
        <f t="shared" si="287"/>
        <v>-79377</v>
      </c>
      <c r="BJ565" s="8">
        <f t="shared" si="258"/>
        <v>-166119</v>
      </c>
      <c r="BK565" s="8">
        <f t="shared" si="260"/>
        <v>103450</v>
      </c>
    </row>
    <row r="566" spans="1:63">
      <c r="A566" s="5">
        <v>42829</v>
      </c>
      <c r="B566" s="8">
        <v>470552</v>
      </c>
      <c r="C566" s="8">
        <f t="shared" si="261"/>
        <v>28580</v>
      </c>
      <c r="D566" s="8">
        <v>58378</v>
      </c>
      <c r="E566" s="8">
        <f t="shared" si="262"/>
        <v>-4965</v>
      </c>
      <c r="F566" s="8">
        <v>97174</v>
      </c>
      <c r="G566" s="8">
        <f t="shared" si="263"/>
        <v>14083</v>
      </c>
      <c r="H566" s="8">
        <v>-38796</v>
      </c>
      <c r="I566" s="8">
        <f t="shared" si="264"/>
        <v>-19048</v>
      </c>
      <c r="J566" s="8">
        <v>235062</v>
      </c>
      <c r="K566" s="8">
        <f t="shared" si="265"/>
        <v>21050</v>
      </c>
      <c r="L566" s="8">
        <v>207160</v>
      </c>
      <c r="M566" s="8">
        <f t="shared" si="266"/>
        <v>4754</v>
      </c>
      <c r="N566" s="8">
        <v>27902</v>
      </c>
      <c r="O566" s="8">
        <f t="shared" si="267"/>
        <v>16296</v>
      </c>
      <c r="P566" s="8">
        <v>139098</v>
      </c>
      <c r="Q566" s="8">
        <f t="shared" si="268"/>
        <v>18044</v>
      </c>
      <c r="R566" s="8">
        <v>176068</v>
      </c>
      <c r="S566" s="8">
        <f t="shared" si="269"/>
        <v>4038</v>
      </c>
      <c r="T566" s="8">
        <v>-36970</v>
      </c>
      <c r="U566" s="8">
        <f t="shared" si="270"/>
        <v>14006</v>
      </c>
      <c r="W566" s="8">
        <v>420501</v>
      </c>
      <c r="X566" s="8">
        <f t="shared" si="271"/>
        <v>13227</v>
      </c>
      <c r="Y566" s="8">
        <v>62060</v>
      </c>
      <c r="Z566" s="8">
        <f t="shared" si="272"/>
        <v>-2086</v>
      </c>
      <c r="AA566" s="8">
        <v>48118</v>
      </c>
      <c r="AB566" s="8">
        <f t="shared" si="259"/>
        <v>13505</v>
      </c>
      <c r="AC566" s="8">
        <v>13942</v>
      </c>
      <c r="AD566" s="8">
        <f t="shared" si="259"/>
        <v>-15591</v>
      </c>
      <c r="AE566" s="8">
        <v>193957</v>
      </c>
      <c r="AF566" s="8">
        <f t="shared" si="273"/>
        <v>8015</v>
      </c>
      <c r="AG566" s="8">
        <v>241040</v>
      </c>
      <c r="AH566" s="8">
        <f t="shared" si="274"/>
        <v>-4305</v>
      </c>
      <c r="AI566" s="8">
        <v>-47083</v>
      </c>
      <c r="AJ566" s="8">
        <f t="shared" si="275"/>
        <v>12320</v>
      </c>
      <c r="AK566" s="8">
        <v>88075</v>
      </c>
      <c r="AL566" s="8">
        <f t="shared" si="276"/>
        <v>8672</v>
      </c>
      <c r="AM566" s="8">
        <v>223025</v>
      </c>
      <c r="AN566" s="8">
        <f t="shared" si="277"/>
        <v>-2642</v>
      </c>
      <c r="AO566" s="8">
        <v>-134950</v>
      </c>
      <c r="AP566" s="8">
        <f t="shared" si="278"/>
        <v>11314</v>
      </c>
      <c r="AR566" s="8">
        <v>1854437</v>
      </c>
      <c r="AS566" s="8">
        <f t="shared" si="279"/>
        <v>40322</v>
      </c>
      <c r="AT566" s="8">
        <v>186797</v>
      </c>
      <c r="AU566" s="8">
        <f t="shared" si="280"/>
        <v>-6983</v>
      </c>
      <c r="AV566" s="8">
        <v>337084</v>
      </c>
      <c r="AW566" s="8">
        <f t="shared" si="281"/>
        <v>-12208</v>
      </c>
      <c r="AX566" s="8">
        <f t="shared" si="256"/>
        <v>-150287</v>
      </c>
      <c r="AY566" s="8">
        <f t="shared" si="282"/>
        <v>5225</v>
      </c>
      <c r="AZ566" s="8">
        <v>810966</v>
      </c>
      <c r="BA566" s="8">
        <f t="shared" si="283"/>
        <v>22647</v>
      </c>
      <c r="BB566" s="8">
        <v>776767</v>
      </c>
      <c r="BC566" s="8">
        <f t="shared" si="284"/>
        <v>46716</v>
      </c>
      <c r="BD566" s="8">
        <f t="shared" si="257"/>
        <v>34199</v>
      </c>
      <c r="BE566" s="8">
        <f t="shared" si="285"/>
        <v>-24069</v>
      </c>
      <c r="BF566" s="8">
        <v>475338</v>
      </c>
      <c r="BG566" s="8">
        <f t="shared" si="286"/>
        <v>22001</v>
      </c>
      <c r="BH566" s="8">
        <v>654195</v>
      </c>
      <c r="BI566" s="8">
        <f t="shared" si="287"/>
        <v>34739</v>
      </c>
      <c r="BJ566" s="8">
        <f t="shared" si="258"/>
        <v>-178857</v>
      </c>
      <c r="BK566" s="8">
        <f t="shared" si="260"/>
        <v>-12738</v>
      </c>
    </row>
    <row r="567" spans="1:63">
      <c r="A567" s="5">
        <v>42836</v>
      </c>
      <c r="B567" s="8">
        <v>475103</v>
      </c>
      <c r="C567" s="8">
        <f t="shared" si="261"/>
        <v>4551</v>
      </c>
      <c r="D567" s="8">
        <v>56413</v>
      </c>
      <c r="E567" s="8">
        <f t="shared" si="262"/>
        <v>-1965</v>
      </c>
      <c r="F567" s="8">
        <v>107119</v>
      </c>
      <c r="G567" s="8">
        <f t="shared" si="263"/>
        <v>9945</v>
      </c>
      <c r="H567" s="8">
        <v>-50706</v>
      </c>
      <c r="I567" s="8">
        <f t="shared" si="264"/>
        <v>-11910</v>
      </c>
      <c r="J567" s="8">
        <v>240088</v>
      </c>
      <c r="K567" s="8">
        <f t="shared" si="265"/>
        <v>5026</v>
      </c>
      <c r="L567" s="8">
        <v>203128</v>
      </c>
      <c r="M567" s="8">
        <f t="shared" si="266"/>
        <v>-4032</v>
      </c>
      <c r="N567" s="8">
        <v>36960</v>
      </c>
      <c r="O567" s="8">
        <f t="shared" si="267"/>
        <v>9058</v>
      </c>
      <c r="P567" s="8">
        <v>148179</v>
      </c>
      <c r="Q567" s="8">
        <f t="shared" si="268"/>
        <v>9081</v>
      </c>
      <c r="R567" s="8">
        <v>174017</v>
      </c>
      <c r="S567" s="8">
        <f t="shared" si="269"/>
        <v>-2051</v>
      </c>
      <c r="T567" s="8">
        <v>-25838</v>
      </c>
      <c r="U567" s="8">
        <f t="shared" si="270"/>
        <v>11132</v>
      </c>
      <c r="W567" s="8">
        <v>430439</v>
      </c>
      <c r="X567" s="8">
        <f t="shared" si="271"/>
        <v>9938</v>
      </c>
      <c r="Y567" s="8">
        <v>64586</v>
      </c>
      <c r="Z567" s="8">
        <f t="shared" si="272"/>
        <v>2526</v>
      </c>
      <c r="AA567" s="8">
        <v>57050</v>
      </c>
      <c r="AB567" s="8">
        <f t="shared" si="259"/>
        <v>8932</v>
      </c>
      <c r="AC567" s="8">
        <v>7536</v>
      </c>
      <c r="AD567" s="8">
        <f t="shared" si="259"/>
        <v>-6406</v>
      </c>
      <c r="AE567" s="8">
        <v>200685</v>
      </c>
      <c r="AF567" s="8">
        <f t="shared" si="273"/>
        <v>6728</v>
      </c>
      <c r="AG567" s="8">
        <v>239538</v>
      </c>
      <c r="AH567" s="8">
        <f t="shared" si="274"/>
        <v>-1502</v>
      </c>
      <c r="AI567" s="8">
        <v>-38853</v>
      </c>
      <c r="AJ567" s="8">
        <f t="shared" si="275"/>
        <v>8230</v>
      </c>
      <c r="AK567" s="8">
        <v>97382</v>
      </c>
      <c r="AL567" s="8">
        <f t="shared" si="276"/>
        <v>9307</v>
      </c>
      <c r="AM567" s="8">
        <v>219236</v>
      </c>
      <c r="AN567" s="8">
        <f t="shared" si="277"/>
        <v>-3789</v>
      </c>
      <c r="AO567" s="8">
        <v>-121854</v>
      </c>
      <c r="AP567" s="8">
        <f t="shared" si="278"/>
        <v>13096</v>
      </c>
      <c r="AR567" s="8">
        <v>1885245</v>
      </c>
      <c r="AS567" s="8">
        <f t="shared" si="279"/>
        <v>30808</v>
      </c>
      <c r="AT567" s="8">
        <v>194807</v>
      </c>
      <c r="AU567" s="8">
        <f t="shared" si="280"/>
        <v>8010</v>
      </c>
      <c r="AV567" s="8">
        <v>353224</v>
      </c>
      <c r="AW567" s="8">
        <f t="shared" si="281"/>
        <v>16140</v>
      </c>
      <c r="AX567" s="8">
        <f t="shared" si="256"/>
        <v>-158417</v>
      </c>
      <c r="AY567" s="8">
        <f t="shared" si="282"/>
        <v>-8130</v>
      </c>
      <c r="AZ567" s="8">
        <v>826343</v>
      </c>
      <c r="BA567" s="8">
        <f t="shared" si="283"/>
        <v>15377</v>
      </c>
      <c r="BB567" s="8">
        <v>788245</v>
      </c>
      <c r="BC567" s="8">
        <f t="shared" si="284"/>
        <v>11478</v>
      </c>
      <c r="BD567" s="8">
        <f t="shared" si="257"/>
        <v>38098</v>
      </c>
      <c r="BE567" s="8">
        <f t="shared" si="285"/>
        <v>3899</v>
      </c>
      <c r="BF567" s="8">
        <v>495172</v>
      </c>
      <c r="BG567" s="8">
        <f t="shared" si="286"/>
        <v>19834</v>
      </c>
      <c r="BH567" s="8">
        <v>680394</v>
      </c>
      <c r="BI567" s="8">
        <f t="shared" si="287"/>
        <v>26199</v>
      </c>
      <c r="BJ567" s="8">
        <f t="shared" si="258"/>
        <v>-185222</v>
      </c>
      <c r="BK567" s="8">
        <f t="shared" si="260"/>
        <v>-6365</v>
      </c>
    </row>
    <row r="568" spans="1:63">
      <c r="A568" s="5">
        <v>42843</v>
      </c>
      <c r="B568" s="8">
        <v>482545</v>
      </c>
      <c r="C568" s="8">
        <f t="shared" si="261"/>
        <v>7442</v>
      </c>
      <c r="D568" s="8">
        <v>59246</v>
      </c>
      <c r="E568" s="8">
        <f t="shared" si="262"/>
        <v>2833</v>
      </c>
      <c r="F568" s="8">
        <v>106542</v>
      </c>
      <c r="G568" s="8">
        <f t="shared" si="263"/>
        <v>-577</v>
      </c>
      <c r="H568" s="8">
        <v>-47296</v>
      </c>
      <c r="I568" s="8">
        <f t="shared" si="264"/>
        <v>3410</v>
      </c>
      <c r="J568" s="8">
        <v>239932</v>
      </c>
      <c r="K568" s="8">
        <f t="shared" si="265"/>
        <v>-156</v>
      </c>
      <c r="L568" s="8">
        <v>202289</v>
      </c>
      <c r="M568" s="8">
        <f t="shared" si="266"/>
        <v>-839</v>
      </c>
      <c r="N568" s="8">
        <v>37643</v>
      </c>
      <c r="O568" s="8">
        <f t="shared" si="267"/>
        <v>683</v>
      </c>
      <c r="P568" s="8">
        <v>148289</v>
      </c>
      <c r="Q568" s="8">
        <f t="shared" si="268"/>
        <v>110</v>
      </c>
      <c r="R568" s="8">
        <v>174915</v>
      </c>
      <c r="S568" s="8">
        <f t="shared" si="269"/>
        <v>898</v>
      </c>
      <c r="T568" s="8">
        <v>-26626</v>
      </c>
      <c r="U568" s="8">
        <f t="shared" si="270"/>
        <v>-788</v>
      </c>
      <c r="W568" s="8">
        <v>419844</v>
      </c>
      <c r="X568" s="8">
        <f t="shared" si="271"/>
        <v>-10595</v>
      </c>
      <c r="Y568" s="8">
        <v>62448</v>
      </c>
      <c r="Z568" s="8">
        <f t="shared" si="272"/>
        <v>-2138</v>
      </c>
      <c r="AA568" s="8">
        <v>59809</v>
      </c>
      <c r="AB568" s="8">
        <f t="shared" si="259"/>
        <v>2759</v>
      </c>
      <c r="AC568" s="8">
        <v>2639</v>
      </c>
      <c r="AD568" s="8">
        <f t="shared" si="259"/>
        <v>-4897</v>
      </c>
      <c r="AE568" s="8">
        <v>197681</v>
      </c>
      <c r="AF568" s="8">
        <f t="shared" si="273"/>
        <v>-3004</v>
      </c>
      <c r="AG568" s="8">
        <v>231493</v>
      </c>
      <c r="AH568" s="8">
        <f t="shared" si="274"/>
        <v>-8045</v>
      </c>
      <c r="AI568" s="8">
        <v>-33812</v>
      </c>
      <c r="AJ568" s="8">
        <f t="shared" si="275"/>
        <v>5041</v>
      </c>
      <c r="AK568" s="8">
        <v>94184</v>
      </c>
      <c r="AL568" s="8">
        <f t="shared" si="276"/>
        <v>-3198</v>
      </c>
      <c r="AM568" s="8">
        <v>211999</v>
      </c>
      <c r="AN568" s="8">
        <f t="shared" si="277"/>
        <v>-7237</v>
      </c>
      <c r="AO568" s="8">
        <v>-117815</v>
      </c>
      <c r="AP568" s="8">
        <f t="shared" si="278"/>
        <v>4039</v>
      </c>
      <c r="AR568" s="8">
        <v>1902704</v>
      </c>
      <c r="AS568" s="8">
        <f t="shared" si="279"/>
        <v>17459</v>
      </c>
      <c r="AT568" s="8">
        <v>182590</v>
      </c>
      <c r="AU568" s="8">
        <f t="shared" si="280"/>
        <v>-12217</v>
      </c>
      <c r="AV568" s="8">
        <v>354399</v>
      </c>
      <c r="AW568" s="8">
        <f t="shared" si="281"/>
        <v>1175</v>
      </c>
      <c r="AX568" s="8">
        <f t="shared" si="256"/>
        <v>-171809</v>
      </c>
      <c r="AY568" s="8">
        <f t="shared" si="282"/>
        <v>-13392</v>
      </c>
      <c r="AZ568" s="8">
        <v>839429</v>
      </c>
      <c r="BA568" s="8">
        <f t="shared" si="283"/>
        <v>13086</v>
      </c>
      <c r="BB568" s="8">
        <v>777969</v>
      </c>
      <c r="BC568" s="8">
        <f t="shared" si="284"/>
        <v>-10276</v>
      </c>
      <c r="BD568" s="8">
        <f t="shared" si="257"/>
        <v>61460</v>
      </c>
      <c r="BE568" s="8">
        <f t="shared" si="285"/>
        <v>23362</v>
      </c>
      <c r="BF568" s="8">
        <v>510013</v>
      </c>
      <c r="BG568" s="8">
        <f t="shared" si="286"/>
        <v>14841</v>
      </c>
      <c r="BH568" s="8">
        <v>667712</v>
      </c>
      <c r="BI568" s="8">
        <f t="shared" si="287"/>
        <v>-12682</v>
      </c>
      <c r="BJ568" s="8">
        <f t="shared" si="258"/>
        <v>-157699</v>
      </c>
      <c r="BK568" s="8">
        <f t="shared" si="260"/>
        <v>27523</v>
      </c>
    </row>
    <row r="569" spans="1:63">
      <c r="A569" s="5">
        <v>42850</v>
      </c>
      <c r="B569" s="8">
        <v>452008</v>
      </c>
      <c r="C569" s="8">
        <f t="shared" si="261"/>
        <v>-30537</v>
      </c>
      <c r="D569" s="8">
        <v>68788</v>
      </c>
      <c r="E569" s="8">
        <f t="shared" si="262"/>
        <v>9542</v>
      </c>
      <c r="F569" s="8">
        <v>105802</v>
      </c>
      <c r="G569" s="8">
        <f t="shared" si="263"/>
        <v>-740</v>
      </c>
      <c r="H569" s="8">
        <v>-37014</v>
      </c>
      <c r="I569" s="8">
        <f t="shared" si="264"/>
        <v>10282</v>
      </c>
      <c r="J569" s="8">
        <v>223040</v>
      </c>
      <c r="K569" s="8">
        <f t="shared" si="265"/>
        <v>-16892</v>
      </c>
      <c r="L569" s="8">
        <v>195333</v>
      </c>
      <c r="M569" s="8">
        <f t="shared" si="266"/>
        <v>-6956</v>
      </c>
      <c r="N569" s="8">
        <v>27707</v>
      </c>
      <c r="O569" s="8">
        <f t="shared" si="267"/>
        <v>-9936</v>
      </c>
      <c r="P569" s="8">
        <v>135669</v>
      </c>
      <c r="Q569" s="8">
        <f t="shared" si="268"/>
        <v>-12620</v>
      </c>
      <c r="R569" s="8">
        <v>167917</v>
      </c>
      <c r="S569" s="8">
        <f t="shared" si="269"/>
        <v>-6998</v>
      </c>
      <c r="T569" s="8">
        <v>-32248</v>
      </c>
      <c r="U569" s="8">
        <f t="shared" si="270"/>
        <v>-5622</v>
      </c>
      <c r="W569" s="8">
        <v>394527</v>
      </c>
      <c r="X569" s="8">
        <f t="shared" si="271"/>
        <v>-25317</v>
      </c>
      <c r="Y569" s="8">
        <v>58268</v>
      </c>
      <c r="Z569" s="8">
        <f t="shared" si="272"/>
        <v>-4180</v>
      </c>
      <c r="AA569" s="8">
        <v>60074</v>
      </c>
      <c r="AB569" s="8">
        <f t="shared" si="259"/>
        <v>265</v>
      </c>
      <c r="AC569" s="8">
        <v>-1806</v>
      </c>
      <c r="AD569" s="8">
        <f t="shared" si="259"/>
        <v>-4445</v>
      </c>
      <c r="AE569" s="8">
        <v>187328</v>
      </c>
      <c r="AF569" s="8">
        <f t="shared" si="273"/>
        <v>-10353</v>
      </c>
      <c r="AG569" s="8">
        <v>219055</v>
      </c>
      <c r="AH569" s="8">
        <f t="shared" si="274"/>
        <v>-12438</v>
      </c>
      <c r="AI569" s="8">
        <v>-31727</v>
      </c>
      <c r="AJ569" s="8">
        <f t="shared" si="275"/>
        <v>2085</v>
      </c>
      <c r="AK569" s="8">
        <v>91990</v>
      </c>
      <c r="AL569" s="8">
        <f t="shared" si="276"/>
        <v>-2194</v>
      </c>
      <c r="AM569" s="8">
        <v>201478</v>
      </c>
      <c r="AN569" s="8">
        <f t="shared" si="277"/>
        <v>-10521</v>
      </c>
      <c r="AO569" s="8">
        <v>-109488</v>
      </c>
      <c r="AP569" s="8">
        <f t="shared" si="278"/>
        <v>8327</v>
      </c>
      <c r="AR569" s="8">
        <v>1839080</v>
      </c>
      <c r="AS569" s="8">
        <f t="shared" si="279"/>
        <v>-63624</v>
      </c>
      <c r="AT569" s="8">
        <v>190753</v>
      </c>
      <c r="AU569" s="8">
        <f t="shared" si="280"/>
        <v>8163</v>
      </c>
      <c r="AV569" s="8">
        <v>387010</v>
      </c>
      <c r="AW569" s="8">
        <f t="shared" si="281"/>
        <v>32611</v>
      </c>
      <c r="AX569" s="8">
        <f t="shared" si="256"/>
        <v>-196257</v>
      </c>
      <c r="AY569" s="8">
        <f t="shared" si="282"/>
        <v>-24448</v>
      </c>
      <c r="AZ569" s="8">
        <v>814337</v>
      </c>
      <c r="BA569" s="8">
        <f t="shared" si="283"/>
        <v>-25092</v>
      </c>
      <c r="BB569" s="8">
        <v>722068</v>
      </c>
      <c r="BC569" s="8">
        <f t="shared" si="284"/>
        <v>-55901</v>
      </c>
      <c r="BD569" s="8">
        <f t="shared" si="257"/>
        <v>92269</v>
      </c>
      <c r="BE569" s="8">
        <f t="shared" si="285"/>
        <v>30809</v>
      </c>
      <c r="BF569" s="8">
        <v>493561</v>
      </c>
      <c r="BG569" s="8">
        <f t="shared" si="286"/>
        <v>-16452</v>
      </c>
      <c r="BH569" s="8">
        <v>615318</v>
      </c>
      <c r="BI569" s="8">
        <f t="shared" si="287"/>
        <v>-52394</v>
      </c>
      <c r="BJ569" s="8">
        <f t="shared" si="258"/>
        <v>-121757</v>
      </c>
      <c r="BK569" s="8">
        <f t="shared" si="260"/>
        <v>35942</v>
      </c>
    </row>
    <row r="570" spans="1:63">
      <c r="A570" s="5">
        <v>42857</v>
      </c>
      <c r="B570" s="8">
        <v>460786</v>
      </c>
      <c r="C570" s="8">
        <f t="shared" si="261"/>
        <v>8778</v>
      </c>
      <c r="D570" s="8">
        <v>72146</v>
      </c>
      <c r="E570" s="8">
        <f t="shared" si="262"/>
        <v>3358</v>
      </c>
      <c r="F570" s="8">
        <v>101534</v>
      </c>
      <c r="G570" s="8">
        <f t="shared" si="263"/>
        <v>-4268</v>
      </c>
      <c r="H570" s="8">
        <v>-29388</v>
      </c>
      <c r="I570" s="8">
        <f t="shared" si="264"/>
        <v>7626</v>
      </c>
      <c r="J570" s="8">
        <v>214397</v>
      </c>
      <c r="K570" s="8">
        <f t="shared" si="265"/>
        <v>-8643</v>
      </c>
      <c r="L570" s="8">
        <v>201649</v>
      </c>
      <c r="M570" s="8">
        <f t="shared" si="266"/>
        <v>6316</v>
      </c>
      <c r="N570" s="8">
        <v>12748</v>
      </c>
      <c r="O570" s="8">
        <f t="shared" si="267"/>
        <v>-14959</v>
      </c>
      <c r="P570" s="8">
        <v>130680</v>
      </c>
      <c r="Q570" s="8">
        <f t="shared" si="268"/>
        <v>-4989</v>
      </c>
      <c r="R570" s="8">
        <v>173598</v>
      </c>
      <c r="S570" s="8">
        <f t="shared" si="269"/>
        <v>5681</v>
      </c>
      <c r="T570" s="8">
        <v>-42918</v>
      </c>
      <c r="U570" s="8">
        <f t="shared" si="270"/>
        <v>-10670</v>
      </c>
      <c r="W570" s="8">
        <v>401680</v>
      </c>
      <c r="X570" s="8">
        <f t="shared" si="271"/>
        <v>7153</v>
      </c>
      <c r="Y570" s="8">
        <v>56180</v>
      </c>
      <c r="Z570" s="8">
        <f t="shared" si="272"/>
        <v>-2088</v>
      </c>
      <c r="AA570" s="8">
        <v>61123</v>
      </c>
      <c r="AB570" s="8">
        <f t="shared" si="259"/>
        <v>1049</v>
      </c>
      <c r="AC570" s="8">
        <v>-4943</v>
      </c>
      <c r="AD570" s="8">
        <f t="shared" si="259"/>
        <v>-3137</v>
      </c>
      <c r="AE570" s="8">
        <v>194789</v>
      </c>
      <c r="AF570" s="8">
        <f t="shared" si="273"/>
        <v>7461</v>
      </c>
      <c r="AG570" s="8">
        <v>216308</v>
      </c>
      <c r="AH570" s="8">
        <f t="shared" si="274"/>
        <v>-2747</v>
      </c>
      <c r="AI570" s="8">
        <v>-21519</v>
      </c>
      <c r="AJ570" s="8">
        <f t="shared" si="275"/>
        <v>10208</v>
      </c>
      <c r="AK570" s="8">
        <v>98478</v>
      </c>
      <c r="AL570" s="8">
        <f t="shared" si="276"/>
        <v>6488</v>
      </c>
      <c r="AM570" s="8">
        <v>199448</v>
      </c>
      <c r="AN570" s="8">
        <f t="shared" si="277"/>
        <v>-2030</v>
      </c>
      <c r="AO570" s="8">
        <v>-100970</v>
      </c>
      <c r="AP570" s="8">
        <f t="shared" si="278"/>
        <v>8518</v>
      </c>
      <c r="AR570" s="8">
        <v>1756829</v>
      </c>
      <c r="AS570" s="8">
        <f t="shared" si="279"/>
        <v>-82251</v>
      </c>
      <c r="AT570" s="8">
        <v>185081</v>
      </c>
      <c r="AU570" s="8">
        <f t="shared" si="280"/>
        <v>-5672</v>
      </c>
      <c r="AV570" s="8">
        <v>369711</v>
      </c>
      <c r="AW570" s="8">
        <f t="shared" si="281"/>
        <v>-17299</v>
      </c>
      <c r="AX570" s="8">
        <f t="shared" si="256"/>
        <v>-184630</v>
      </c>
      <c r="AY570" s="8">
        <f t="shared" si="282"/>
        <v>11627</v>
      </c>
      <c r="AZ570" s="8">
        <v>766130</v>
      </c>
      <c r="BA570" s="8">
        <f t="shared" si="283"/>
        <v>-48207</v>
      </c>
      <c r="BB570" s="8">
        <v>683255</v>
      </c>
      <c r="BC570" s="8">
        <f t="shared" si="284"/>
        <v>-38813</v>
      </c>
      <c r="BD570" s="8">
        <f t="shared" si="257"/>
        <v>82875</v>
      </c>
      <c r="BE570" s="8">
        <f t="shared" si="285"/>
        <v>-9394</v>
      </c>
      <c r="BF570" s="8">
        <v>443571</v>
      </c>
      <c r="BG570" s="8">
        <f t="shared" si="286"/>
        <v>-49990</v>
      </c>
      <c r="BH570" s="8">
        <v>572306</v>
      </c>
      <c r="BI570" s="8">
        <f t="shared" si="287"/>
        <v>-43012</v>
      </c>
      <c r="BJ570" s="8">
        <f t="shared" si="258"/>
        <v>-128735</v>
      </c>
      <c r="BK570" s="8">
        <f t="shared" si="260"/>
        <v>-6978</v>
      </c>
    </row>
    <row r="571" spans="1:63">
      <c r="A571" s="5">
        <v>42864</v>
      </c>
      <c r="B571" s="8">
        <v>449668</v>
      </c>
      <c r="C571" s="8">
        <f t="shared" si="261"/>
        <v>-11118</v>
      </c>
      <c r="D571" s="8">
        <v>77807</v>
      </c>
      <c r="E571" s="8">
        <f t="shared" si="262"/>
        <v>5661</v>
      </c>
      <c r="F571" s="8">
        <v>90658</v>
      </c>
      <c r="G571" s="8">
        <f t="shared" si="263"/>
        <v>-10876</v>
      </c>
      <c r="H571" s="8">
        <v>-12851</v>
      </c>
      <c r="I571" s="8">
        <f t="shared" si="264"/>
        <v>16537</v>
      </c>
      <c r="J571" s="8">
        <v>202918</v>
      </c>
      <c r="K571" s="8">
        <f t="shared" si="265"/>
        <v>-11479</v>
      </c>
      <c r="L571" s="8">
        <v>207166</v>
      </c>
      <c r="M571" s="8">
        <f t="shared" si="266"/>
        <v>5517</v>
      </c>
      <c r="N571" s="8">
        <v>-4248</v>
      </c>
      <c r="O571" s="8">
        <f t="shared" si="267"/>
        <v>-16996</v>
      </c>
      <c r="P571" s="8">
        <v>120597</v>
      </c>
      <c r="Q571" s="8">
        <f t="shared" si="268"/>
        <v>-10083</v>
      </c>
      <c r="R571" s="8">
        <v>185795</v>
      </c>
      <c r="S571" s="8">
        <f t="shared" si="269"/>
        <v>12197</v>
      </c>
      <c r="T571" s="8">
        <v>-65198</v>
      </c>
      <c r="U571" s="8">
        <f t="shared" si="270"/>
        <v>-22280</v>
      </c>
      <c r="W571" s="8">
        <v>401778</v>
      </c>
      <c r="X571" s="8">
        <f t="shared" si="271"/>
        <v>98</v>
      </c>
      <c r="Y571" s="8">
        <v>58619</v>
      </c>
      <c r="Z571" s="8">
        <f t="shared" si="272"/>
        <v>2439</v>
      </c>
      <c r="AA571" s="8">
        <v>58656</v>
      </c>
      <c r="AB571" s="8">
        <f t="shared" si="259"/>
        <v>-2467</v>
      </c>
      <c r="AC571" s="8">
        <v>-37</v>
      </c>
      <c r="AD571" s="8">
        <f t="shared" si="259"/>
        <v>4906</v>
      </c>
      <c r="AE571" s="8">
        <v>192021</v>
      </c>
      <c r="AF571" s="8">
        <f t="shared" si="273"/>
        <v>-2768</v>
      </c>
      <c r="AG571" s="8">
        <v>221421</v>
      </c>
      <c r="AH571" s="8">
        <f t="shared" si="274"/>
        <v>5113</v>
      </c>
      <c r="AI571" s="8">
        <v>-29400</v>
      </c>
      <c r="AJ571" s="8">
        <f t="shared" si="275"/>
        <v>-7881</v>
      </c>
      <c r="AK571" s="8">
        <v>96467</v>
      </c>
      <c r="AL571" s="8">
        <f t="shared" si="276"/>
        <v>-2011</v>
      </c>
      <c r="AM571" s="8">
        <v>203858</v>
      </c>
      <c r="AN571" s="8">
        <f t="shared" si="277"/>
        <v>4410</v>
      </c>
      <c r="AO571" s="8">
        <v>-107391</v>
      </c>
      <c r="AP571" s="8">
        <f t="shared" si="278"/>
        <v>-6421</v>
      </c>
      <c r="AR571" s="8">
        <v>1797779</v>
      </c>
      <c r="AS571" s="8">
        <f t="shared" si="279"/>
        <v>40950</v>
      </c>
      <c r="AT571" s="8">
        <v>183102</v>
      </c>
      <c r="AU571" s="8">
        <f t="shared" si="280"/>
        <v>-1979</v>
      </c>
      <c r="AV571" s="8">
        <v>391744</v>
      </c>
      <c r="AW571" s="8">
        <f t="shared" si="281"/>
        <v>22033</v>
      </c>
      <c r="AX571" s="8">
        <f t="shared" si="256"/>
        <v>-208642</v>
      </c>
      <c r="AY571" s="8">
        <f t="shared" si="282"/>
        <v>-24012</v>
      </c>
      <c r="AZ571" s="8">
        <v>782746</v>
      </c>
      <c r="BA571" s="8">
        <f t="shared" si="283"/>
        <v>16616</v>
      </c>
      <c r="BB571" s="8">
        <v>670314</v>
      </c>
      <c r="BC571" s="8">
        <f t="shared" si="284"/>
        <v>-12941</v>
      </c>
      <c r="BD571" s="8">
        <f t="shared" si="257"/>
        <v>112432</v>
      </c>
      <c r="BE571" s="8">
        <f t="shared" si="285"/>
        <v>29557</v>
      </c>
      <c r="BF571" s="8">
        <v>464232</v>
      </c>
      <c r="BG571" s="8">
        <f t="shared" si="286"/>
        <v>20661</v>
      </c>
      <c r="BH571" s="8">
        <v>564251</v>
      </c>
      <c r="BI571" s="8">
        <f t="shared" si="287"/>
        <v>-8055</v>
      </c>
      <c r="BJ571" s="8">
        <f t="shared" si="258"/>
        <v>-100019</v>
      </c>
      <c r="BK571" s="8">
        <f t="shared" si="260"/>
        <v>28716</v>
      </c>
    </row>
    <row r="572" spans="1:63">
      <c r="A572" s="5">
        <v>42871</v>
      </c>
      <c r="B572" s="8">
        <v>449112</v>
      </c>
      <c r="C572" s="8">
        <f t="shared" si="261"/>
        <v>-556</v>
      </c>
      <c r="D572" s="8">
        <v>78607</v>
      </c>
      <c r="E572" s="8">
        <f t="shared" si="262"/>
        <v>800</v>
      </c>
      <c r="F572" s="8">
        <v>84615</v>
      </c>
      <c r="G572" s="8">
        <f t="shared" si="263"/>
        <v>-6043</v>
      </c>
      <c r="H572" s="8">
        <v>-6008</v>
      </c>
      <c r="I572" s="8">
        <f t="shared" si="264"/>
        <v>6843</v>
      </c>
      <c r="J572" s="8">
        <v>198138</v>
      </c>
      <c r="K572" s="8">
        <f t="shared" si="265"/>
        <v>-4780</v>
      </c>
      <c r="L572" s="8">
        <v>208199</v>
      </c>
      <c r="M572" s="8">
        <f t="shared" si="266"/>
        <v>1033</v>
      </c>
      <c r="N572" s="8">
        <v>-10061</v>
      </c>
      <c r="O572" s="8">
        <f t="shared" si="267"/>
        <v>-5813</v>
      </c>
      <c r="P572" s="8">
        <v>111396</v>
      </c>
      <c r="Q572" s="8">
        <f t="shared" si="268"/>
        <v>-9201</v>
      </c>
      <c r="R572" s="8">
        <v>186030</v>
      </c>
      <c r="S572" s="8">
        <f t="shared" si="269"/>
        <v>235</v>
      </c>
      <c r="T572" s="8">
        <v>-74634</v>
      </c>
      <c r="U572" s="8">
        <f t="shared" si="270"/>
        <v>-9436</v>
      </c>
      <c r="W572" s="8">
        <v>407460</v>
      </c>
      <c r="X572" s="8">
        <f t="shared" si="271"/>
        <v>5682</v>
      </c>
      <c r="Y572" s="8">
        <v>56568</v>
      </c>
      <c r="Z572" s="8">
        <f t="shared" si="272"/>
        <v>-2051</v>
      </c>
      <c r="AA572" s="8">
        <v>68256</v>
      </c>
      <c r="AB572" s="8">
        <f t="shared" si="259"/>
        <v>9600</v>
      </c>
      <c r="AC572" s="8">
        <v>-11688</v>
      </c>
      <c r="AD572" s="8">
        <f t="shared" si="259"/>
        <v>-11651</v>
      </c>
      <c r="AE572" s="8">
        <v>192933</v>
      </c>
      <c r="AF572" s="8">
        <f t="shared" si="273"/>
        <v>912</v>
      </c>
      <c r="AG572" s="8">
        <v>211596</v>
      </c>
      <c r="AH572" s="8">
        <f t="shared" si="274"/>
        <v>-9825</v>
      </c>
      <c r="AI572" s="8">
        <v>-18663</v>
      </c>
      <c r="AJ572" s="8">
        <f t="shared" si="275"/>
        <v>10737</v>
      </c>
      <c r="AK572" s="8">
        <v>97609</v>
      </c>
      <c r="AL572" s="8">
        <f t="shared" si="276"/>
        <v>1142</v>
      </c>
      <c r="AM572" s="8">
        <v>192203</v>
      </c>
      <c r="AN572" s="8">
        <f t="shared" si="277"/>
        <v>-11655</v>
      </c>
      <c r="AO572" s="8">
        <v>-94594</v>
      </c>
      <c r="AP572" s="8">
        <f t="shared" si="278"/>
        <v>12797</v>
      </c>
      <c r="AR572" s="8">
        <v>1809949</v>
      </c>
      <c r="AS572" s="8">
        <f t="shared" si="279"/>
        <v>12170</v>
      </c>
      <c r="AT572" s="8">
        <v>204196</v>
      </c>
      <c r="AU572" s="8">
        <f t="shared" si="280"/>
        <v>21094</v>
      </c>
      <c r="AV572" s="8">
        <v>408105</v>
      </c>
      <c r="AW572" s="8">
        <f t="shared" si="281"/>
        <v>16361</v>
      </c>
      <c r="AX572" s="8">
        <f t="shared" si="256"/>
        <v>-203909</v>
      </c>
      <c r="AY572" s="8">
        <f t="shared" si="282"/>
        <v>4733</v>
      </c>
      <c r="AZ572" s="8">
        <v>769152</v>
      </c>
      <c r="BA572" s="8">
        <f t="shared" si="283"/>
        <v>-13594</v>
      </c>
      <c r="BB572" s="8">
        <v>663984</v>
      </c>
      <c r="BC572" s="8">
        <f t="shared" si="284"/>
        <v>-6330</v>
      </c>
      <c r="BD572" s="8">
        <f t="shared" si="257"/>
        <v>105168</v>
      </c>
      <c r="BE572" s="8">
        <f t="shared" si="285"/>
        <v>-7264</v>
      </c>
      <c r="BF572" s="8">
        <v>455418</v>
      </c>
      <c r="BG572" s="8">
        <f t="shared" si="286"/>
        <v>-8814</v>
      </c>
      <c r="BH572" s="8">
        <v>560218</v>
      </c>
      <c r="BI572" s="8">
        <f t="shared" si="287"/>
        <v>-4033</v>
      </c>
      <c r="BJ572" s="8">
        <f t="shared" si="258"/>
        <v>-104800</v>
      </c>
      <c r="BK572" s="8">
        <f t="shared" si="260"/>
        <v>-4781</v>
      </c>
    </row>
    <row r="573" spans="1:63">
      <c r="A573" s="5">
        <v>42878</v>
      </c>
      <c r="B573" s="8">
        <v>458168</v>
      </c>
      <c r="C573" s="8">
        <f t="shared" si="261"/>
        <v>9056</v>
      </c>
      <c r="D573" s="8">
        <v>77252</v>
      </c>
      <c r="E573" s="8">
        <f t="shared" si="262"/>
        <v>-1355</v>
      </c>
      <c r="F573" s="8">
        <v>85873</v>
      </c>
      <c r="G573" s="8">
        <f t="shared" si="263"/>
        <v>1258</v>
      </c>
      <c r="H573" s="8">
        <v>-8621</v>
      </c>
      <c r="I573" s="8">
        <f t="shared" si="264"/>
        <v>-2613</v>
      </c>
      <c r="J573" s="8">
        <v>205366</v>
      </c>
      <c r="K573" s="8">
        <f t="shared" si="265"/>
        <v>7228</v>
      </c>
      <c r="L573" s="8">
        <v>210401</v>
      </c>
      <c r="M573" s="8">
        <f t="shared" si="266"/>
        <v>2202</v>
      </c>
      <c r="N573" s="8">
        <v>-5035</v>
      </c>
      <c r="O573" s="8">
        <f t="shared" si="267"/>
        <v>5026</v>
      </c>
      <c r="P573" s="8">
        <v>114776</v>
      </c>
      <c r="Q573" s="8">
        <f t="shared" si="268"/>
        <v>3380</v>
      </c>
      <c r="R573" s="8">
        <v>186887</v>
      </c>
      <c r="S573" s="8">
        <f t="shared" si="269"/>
        <v>857</v>
      </c>
      <c r="T573" s="8">
        <v>-72111</v>
      </c>
      <c r="U573" s="8">
        <f t="shared" si="270"/>
        <v>2523</v>
      </c>
      <c r="W573" s="8">
        <v>435533</v>
      </c>
      <c r="X573" s="8">
        <f t="shared" si="271"/>
        <v>28073</v>
      </c>
      <c r="Y573" s="8">
        <v>49420</v>
      </c>
      <c r="Z573" s="8">
        <f t="shared" si="272"/>
        <v>-7148</v>
      </c>
      <c r="AA573" s="8">
        <v>84881</v>
      </c>
      <c r="AB573" s="8">
        <f t="shared" si="259"/>
        <v>16625</v>
      </c>
      <c r="AC573" s="8">
        <v>-35461</v>
      </c>
      <c r="AD573" s="8">
        <f t="shared" si="259"/>
        <v>-23773</v>
      </c>
      <c r="AE573" s="8">
        <v>210942</v>
      </c>
      <c r="AF573" s="8">
        <f t="shared" si="273"/>
        <v>18009</v>
      </c>
      <c r="AG573" s="8">
        <v>203261</v>
      </c>
      <c r="AH573" s="8">
        <f t="shared" si="274"/>
        <v>-8335</v>
      </c>
      <c r="AI573" s="8">
        <v>7681</v>
      </c>
      <c r="AJ573" s="8">
        <f t="shared" si="275"/>
        <v>26344</v>
      </c>
      <c r="AK573" s="8">
        <v>116103</v>
      </c>
      <c r="AL573" s="8">
        <f t="shared" si="276"/>
        <v>18494</v>
      </c>
      <c r="AM573" s="8">
        <v>180879</v>
      </c>
      <c r="AN573" s="8">
        <f t="shared" si="277"/>
        <v>-11324</v>
      </c>
      <c r="AO573" s="8">
        <v>-64776</v>
      </c>
      <c r="AP573" s="8">
        <f t="shared" si="278"/>
        <v>29818</v>
      </c>
      <c r="AR573" s="8">
        <v>1834218</v>
      </c>
      <c r="AS573" s="8">
        <f t="shared" si="279"/>
        <v>24269</v>
      </c>
      <c r="AT573" s="8">
        <v>209291</v>
      </c>
      <c r="AU573" s="8">
        <f t="shared" si="280"/>
        <v>5095</v>
      </c>
      <c r="AV573" s="8">
        <v>385794</v>
      </c>
      <c r="AW573" s="8">
        <f t="shared" si="281"/>
        <v>-22311</v>
      </c>
      <c r="AX573" s="8">
        <f t="shared" si="256"/>
        <v>-176503</v>
      </c>
      <c r="AY573" s="8">
        <f t="shared" si="282"/>
        <v>27406</v>
      </c>
      <c r="AZ573" s="8">
        <v>774182</v>
      </c>
      <c r="BA573" s="8">
        <f t="shared" si="283"/>
        <v>5030</v>
      </c>
      <c r="BB573" s="8">
        <v>695489</v>
      </c>
      <c r="BC573" s="8">
        <f t="shared" si="284"/>
        <v>31505</v>
      </c>
      <c r="BD573" s="8">
        <f t="shared" si="257"/>
        <v>78693</v>
      </c>
      <c r="BE573" s="8">
        <f t="shared" si="285"/>
        <v>-26475</v>
      </c>
      <c r="BF573" s="8">
        <v>456140</v>
      </c>
      <c r="BG573" s="8">
        <f t="shared" si="286"/>
        <v>722</v>
      </c>
      <c r="BH573" s="8">
        <v>585004</v>
      </c>
      <c r="BI573" s="8">
        <f t="shared" si="287"/>
        <v>24786</v>
      </c>
      <c r="BJ573" s="8">
        <f t="shared" si="258"/>
        <v>-128864</v>
      </c>
      <c r="BK573" s="8">
        <f t="shared" si="260"/>
        <v>-24064</v>
      </c>
    </row>
    <row r="574" spans="1:63">
      <c r="A574" s="5">
        <v>42885</v>
      </c>
      <c r="B574" s="8">
        <v>474362</v>
      </c>
      <c r="C574" s="8">
        <f t="shared" si="261"/>
        <v>16194</v>
      </c>
      <c r="D574" s="8">
        <v>74632</v>
      </c>
      <c r="E574" s="8">
        <f t="shared" si="262"/>
        <v>-2620</v>
      </c>
      <c r="F574" s="8">
        <v>96945</v>
      </c>
      <c r="G574" s="8">
        <f t="shared" si="263"/>
        <v>11072</v>
      </c>
      <c r="H574" s="8">
        <v>-22313</v>
      </c>
      <c r="I574" s="8">
        <f t="shared" si="264"/>
        <v>-13692</v>
      </c>
      <c r="J574" s="8">
        <v>213826</v>
      </c>
      <c r="K574" s="8">
        <f t="shared" si="265"/>
        <v>8460</v>
      </c>
      <c r="L574" s="8">
        <v>203219</v>
      </c>
      <c r="M574" s="8">
        <f t="shared" si="266"/>
        <v>-7182</v>
      </c>
      <c r="N574" s="8">
        <v>10607</v>
      </c>
      <c r="O574" s="8">
        <f t="shared" si="267"/>
        <v>15642</v>
      </c>
      <c r="P574" s="8">
        <v>125721</v>
      </c>
      <c r="Q574" s="8">
        <f t="shared" si="268"/>
        <v>10945</v>
      </c>
      <c r="R574" s="8">
        <v>181729</v>
      </c>
      <c r="S574" s="8">
        <f t="shared" si="269"/>
        <v>-5158</v>
      </c>
      <c r="T574" s="8">
        <v>-56008</v>
      </c>
      <c r="U574" s="8">
        <f t="shared" si="270"/>
        <v>16103</v>
      </c>
      <c r="W574" s="8">
        <v>449312</v>
      </c>
      <c r="X574" s="8">
        <f t="shared" si="271"/>
        <v>13779</v>
      </c>
      <c r="Y574" s="8">
        <v>47277</v>
      </c>
      <c r="Z574" s="8">
        <f t="shared" si="272"/>
        <v>-2143</v>
      </c>
      <c r="AA574" s="8">
        <v>91777</v>
      </c>
      <c r="AB574" s="8">
        <f t="shared" si="259"/>
        <v>6896</v>
      </c>
      <c r="AC574" s="8">
        <v>-44500</v>
      </c>
      <c r="AD574" s="8">
        <f t="shared" si="259"/>
        <v>-9039</v>
      </c>
      <c r="AE574" s="8">
        <v>226271</v>
      </c>
      <c r="AF574" s="8">
        <f t="shared" si="273"/>
        <v>15329</v>
      </c>
      <c r="AG574" s="8">
        <v>204865</v>
      </c>
      <c r="AH574" s="8">
        <f t="shared" si="274"/>
        <v>1604</v>
      </c>
      <c r="AI574" s="8">
        <v>21406</v>
      </c>
      <c r="AJ574" s="8">
        <f t="shared" si="275"/>
        <v>13725</v>
      </c>
      <c r="AK574" s="8">
        <v>129612</v>
      </c>
      <c r="AL574" s="8">
        <f t="shared" si="276"/>
        <v>13509</v>
      </c>
      <c r="AM574" s="8">
        <v>179063</v>
      </c>
      <c r="AN574" s="8">
        <f t="shared" si="277"/>
        <v>-1816</v>
      </c>
      <c r="AO574" s="8">
        <v>-49451</v>
      </c>
      <c r="AP574" s="8">
        <f t="shared" si="278"/>
        <v>15325</v>
      </c>
      <c r="AR574" s="8">
        <v>1797132</v>
      </c>
      <c r="AS574" s="8">
        <f t="shared" si="279"/>
        <v>-37086</v>
      </c>
      <c r="AT574" s="8">
        <v>209318</v>
      </c>
      <c r="AU574" s="8">
        <f t="shared" si="280"/>
        <v>27</v>
      </c>
      <c r="AV574" s="8">
        <v>410299</v>
      </c>
      <c r="AW574" s="8">
        <f t="shared" si="281"/>
        <v>24505</v>
      </c>
      <c r="AX574" s="8">
        <f t="shared" si="256"/>
        <v>-200981</v>
      </c>
      <c r="AY574" s="8">
        <f t="shared" si="282"/>
        <v>-24478</v>
      </c>
      <c r="AZ574" s="8">
        <v>771950</v>
      </c>
      <c r="BA574" s="8">
        <f t="shared" si="283"/>
        <v>-2232</v>
      </c>
      <c r="BB574" s="8">
        <v>668255</v>
      </c>
      <c r="BC574" s="8">
        <f t="shared" si="284"/>
        <v>-27234</v>
      </c>
      <c r="BD574" s="8">
        <f t="shared" si="257"/>
        <v>103695</v>
      </c>
      <c r="BE574" s="8">
        <f t="shared" si="285"/>
        <v>25002</v>
      </c>
      <c r="BF574" s="8">
        <v>446533</v>
      </c>
      <c r="BG574" s="8">
        <f t="shared" si="286"/>
        <v>-9607</v>
      </c>
      <c r="BH574" s="8">
        <v>551646</v>
      </c>
      <c r="BI574" s="8">
        <f t="shared" si="287"/>
        <v>-33358</v>
      </c>
      <c r="BJ574" s="8">
        <f t="shared" si="258"/>
        <v>-105113</v>
      </c>
      <c r="BK574" s="8">
        <f t="shared" si="260"/>
        <v>23751</v>
      </c>
    </row>
    <row r="575" spans="1:63">
      <c r="A575" s="5">
        <v>42892</v>
      </c>
      <c r="B575" s="8">
        <v>501335</v>
      </c>
      <c r="C575" s="8">
        <f t="shared" si="261"/>
        <v>26973</v>
      </c>
      <c r="D575" s="8">
        <v>75910</v>
      </c>
      <c r="E575" s="8">
        <f t="shared" si="262"/>
        <v>1278</v>
      </c>
      <c r="F575" s="8">
        <v>110211</v>
      </c>
      <c r="G575" s="8">
        <f t="shared" si="263"/>
        <v>13266</v>
      </c>
      <c r="H575" s="8">
        <v>-34301</v>
      </c>
      <c r="I575" s="8">
        <f t="shared" si="264"/>
        <v>-11988</v>
      </c>
      <c r="J575" s="8">
        <v>226557</v>
      </c>
      <c r="K575" s="8">
        <f t="shared" si="265"/>
        <v>12731</v>
      </c>
      <c r="L575" s="8">
        <v>204117</v>
      </c>
      <c r="M575" s="8">
        <f t="shared" si="266"/>
        <v>898</v>
      </c>
      <c r="N575" s="8">
        <v>22440</v>
      </c>
      <c r="O575" s="8">
        <f t="shared" si="267"/>
        <v>11833</v>
      </c>
      <c r="P575" s="8">
        <v>136444</v>
      </c>
      <c r="Q575" s="8">
        <f t="shared" si="268"/>
        <v>10723</v>
      </c>
      <c r="R575" s="8">
        <v>180383</v>
      </c>
      <c r="S575" s="8">
        <f t="shared" si="269"/>
        <v>-1346</v>
      </c>
      <c r="T575" s="8">
        <v>-43939</v>
      </c>
      <c r="U575" s="8">
        <f t="shared" si="270"/>
        <v>12069</v>
      </c>
      <c r="W575" s="8">
        <v>456565</v>
      </c>
      <c r="X575" s="8">
        <f t="shared" si="271"/>
        <v>7253</v>
      </c>
      <c r="Y575" s="8">
        <v>45080</v>
      </c>
      <c r="Z575" s="8">
        <f t="shared" si="272"/>
        <v>-2197</v>
      </c>
      <c r="AA575" s="8">
        <v>96021</v>
      </c>
      <c r="AB575" s="8">
        <f t="shared" si="259"/>
        <v>4244</v>
      </c>
      <c r="AC575" s="8">
        <v>-50941</v>
      </c>
      <c r="AD575" s="8">
        <f t="shared" si="259"/>
        <v>-6441</v>
      </c>
      <c r="AE575" s="8">
        <v>223052</v>
      </c>
      <c r="AF575" s="8">
        <f t="shared" si="273"/>
        <v>-3219</v>
      </c>
      <c r="AG575" s="8">
        <v>204353</v>
      </c>
      <c r="AH575" s="8">
        <f t="shared" si="274"/>
        <v>-512</v>
      </c>
      <c r="AI575" s="8">
        <v>18699</v>
      </c>
      <c r="AJ575" s="8">
        <f t="shared" si="275"/>
        <v>-2707</v>
      </c>
      <c r="AK575" s="8">
        <v>129327</v>
      </c>
      <c r="AL575" s="8">
        <f t="shared" si="276"/>
        <v>-285</v>
      </c>
      <c r="AM575" s="8">
        <v>176569</v>
      </c>
      <c r="AN575" s="8">
        <f t="shared" si="277"/>
        <v>-2494</v>
      </c>
      <c r="AO575" s="8">
        <v>-47242</v>
      </c>
      <c r="AP575" s="8">
        <f t="shared" si="278"/>
        <v>2209</v>
      </c>
      <c r="AR575" s="8">
        <v>1863218</v>
      </c>
      <c r="AS575" s="8">
        <f t="shared" si="279"/>
        <v>66086</v>
      </c>
      <c r="AT575" s="8">
        <v>242880</v>
      </c>
      <c r="AU575" s="8">
        <f t="shared" si="280"/>
        <v>33562</v>
      </c>
      <c r="AV575" s="8">
        <v>381638</v>
      </c>
      <c r="AW575" s="8">
        <f t="shared" si="281"/>
        <v>-28661</v>
      </c>
      <c r="AX575" s="8">
        <f t="shared" si="256"/>
        <v>-138758</v>
      </c>
      <c r="AY575" s="8">
        <f t="shared" si="282"/>
        <v>62223</v>
      </c>
      <c r="AZ575" s="8">
        <v>766804</v>
      </c>
      <c r="BA575" s="8">
        <f t="shared" si="283"/>
        <v>-5146</v>
      </c>
      <c r="BB575" s="8">
        <v>726974</v>
      </c>
      <c r="BC575" s="8">
        <f t="shared" si="284"/>
        <v>58719</v>
      </c>
      <c r="BD575" s="8">
        <f t="shared" si="257"/>
        <v>39830</v>
      </c>
      <c r="BE575" s="8">
        <f t="shared" si="285"/>
        <v>-63865</v>
      </c>
      <c r="BF575" s="8">
        <v>441411</v>
      </c>
      <c r="BG575" s="8">
        <f t="shared" si="286"/>
        <v>-5122</v>
      </c>
      <c r="BH575" s="8">
        <v>603310</v>
      </c>
      <c r="BI575" s="8">
        <f t="shared" si="287"/>
        <v>51664</v>
      </c>
      <c r="BJ575" s="8">
        <f t="shared" si="258"/>
        <v>-161899</v>
      </c>
      <c r="BK575" s="8">
        <f t="shared" si="260"/>
        <v>-56786</v>
      </c>
    </row>
    <row r="576" spans="1:63">
      <c r="A576" s="5">
        <v>42899</v>
      </c>
      <c r="B576" s="8">
        <v>463085</v>
      </c>
      <c r="C576" s="8">
        <f t="shared" si="261"/>
        <v>-38250</v>
      </c>
      <c r="D576" s="8">
        <v>77656</v>
      </c>
      <c r="E576" s="8">
        <f t="shared" si="262"/>
        <v>1746</v>
      </c>
      <c r="F576" s="8">
        <v>94496</v>
      </c>
      <c r="G576" s="8">
        <f t="shared" si="263"/>
        <v>-15715</v>
      </c>
      <c r="H576" s="8">
        <v>-16840</v>
      </c>
      <c r="I576" s="8">
        <f t="shared" si="264"/>
        <v>17461</v>
      </c>
      <c r="J576" s="8">
        <v>206956</v>
      </c>
      <c r="K576" s="8">
        <f t="shared" si="265"/>
        <v>-19601</v>
      </c>
      <c r="L576" s="8">
        <v>200720</v>
      </c>
      <c r="M576" s="8">
        <f t="shared" si="266"/>
        <v>-3397</v>
      </c>
      <c r="N576" s="8">
        <v>6236</v>
      </c>
      <c r="O576" s="8">
        <f t="shared" si="267"/>
        <v>-16204</v>
      </c>
      <c r="P576" s="8">
        <v>118940</v>
      </c>
      <c r="Q576" s="8">
        <f t="shared" si="268"/>
        <v>-17504</v>
      </c>
      <c r="R576" s="8">
        <v>181131</v>
      </c>
      <c r="S576" s="8">
        <f t="shared" si="269"/>
        <v>748</v>
      </c>
      <c r="T576" s="8">
        <v>-62191</v>
      </c>
      <c r="U576" s="8">
        <f t="shared" si="270"/>
        <v>-18252</v>
      </c>
      <c r="W576" s="8">
        <v>454939</v>
      </c>
      <c r="X576" s="8">
        <f t="shared" si="271"/>
        <v>-1626</v>
      </c>
      <c r="Y576" s="8">
        <v>47674</v>
      </c>
      <c r="Z576" s="8">
        <f t="shared" si="272"/>
        <v>2594</v>
      </c>
      <c r="AA576" s="8">
        <v>92420</v>
      </c>
      <c r="AB576" s="8">
        <f t="shared" si="259"/>
        <v>-3601</v>
      </c>
      <c r="AC576" s="8">
        <v>-44746</v>
      </c>
      <c r="AD576" s="8">
        <f t="shared" si="259"/>
        <v>6195</v>
      </c>
      <c r="AE576" s="8">
        <v>217732</v>
      </c>
      <c r="AF576" s="8">
        <f t="shared" si="273"/>
        <v>-5320</v>
      </c>
      <c r="AG576" s="8">
        <v>204428</v>
      </c>
      <c r="AH576" s="8">
        <f t="shared" si="274"/>
        <v>75</v>
      </c>
      <c r="AI576" s="8">
        <v>13304</v>
      </c>
      <c r="AJ576" s="8">
        <f t="shared" si="275"/>
        <v>-5395</v>
      </c>
      <c r="AK576" s="8">
        <v>128124</v>
      </c>
      <c r="AL576" s="8">
        <f t="shared" si="276"/>
        <v>-1203</v>
      </c>
      <c r="AM576" s="8">
        <v>177613</v>
      </c>
      <c r="AN576" s="8">
        <f t="shared" si="277"/>
        <v>1044</v>
      </c>
      <c r="AO576" s="8">
        <v>-49489</v>
      </c>
      <c r="AP576" s="8">
        <f t="shared" si="278"/>
        <v>-2247</v>
      </c>
      <c r="AR576" s="8">
        <v>1923781</v>
      </c>
      <c r="AS576" s="8">
        <f t="shared" si="279"/>
        <v>60563</v>
      </c>
      <c r="AT576" s="8">
        <v>254414</v>
      </c>
      <c r="AU576" s="8">
        <f t="shared" si="280"/>
        <v>11534</v>
      </c>
      <c r="AV576" s="8">
        <v>272343</v>
      </c>
      <c r="AW576" s="8">
        <f t="shared" si="281"/>
        <v>-109295</v>
      </c>
      <c r="AX576" s="8">
        <f t="shared" si="256"/>
        <v>-17929</v>
      </c>
      <c r="AY576" s="8">
        <f t="shared" si="282"/>
        <v>120829</v>
      </c>
      <c r="AZ576" s="8">
        <v>740681</v>
      </c>
      <c r="BA576" s="8">
        <f t="shared" si="283"/>
        <v>-26123</v>
      </c>
      <c r="BB576" s="8">
        <v>806692</v>
      </c>
      <c r="BC576" s="8">
        <f t="shared" si="284"/>
        <v>79718</v>
      </c>
      <c r="BD576" s="8">
        <f t="shared" si="257"/>
        <v>-66011</v>
      </c>
      <c r="BE576" s="8">
        <f t="shared" si="285"/>
        <v>-105841</v>
      </c>
      <c r="BF576" s="8">
        <v>408060</v>
      </c>
      <c r="BG576" s="8">
        <f t="shared" si="286"/>
        <v>-33351</v>
      </c>
      <c r="BH576" s="8">
        <v>671420</v>
      </c>
      <c r="BI576" s="8">
        <f t="shared" si="287"/>
        <v>68110</v>
      </c>
      <c r="BJ576" s="8">
        <f t="shared" si="258"/>
        <v>-263360</v>
      </c>
      <c r="BK576" s="8">
        <f t="shared" si="260"/>
        <v>-101461</v>
      </c>
    </row>
    <row r="577" spans="1:63">
      <c r="A577" s="5">
        <v>42906</v>
      </c>
      <c r="B577" s="8">
        <v>450697</v>
      </c>
      <c r="C577" s="8">
        <f t="shared" si="261"/>
        <v>-12388</v>
      </c>
      <c r="D577" s="8">
        <v>78200</v>
      </c>
      <c r="E577" s="8">
        <f t="shared" si="262"/>
        <v>544</v>
      </c>
      <c r="F577" s="8">
        <v>73431</v>
      </c>
      <c r="G577" s="8">
        <f t="shared" si="263"/>
        <v>-21065</v>
      </c>
      <c r="H577" s="8">
        <v>4769</v>
      </c>
      <c r="I577" s="8">
        <f t="shared" si="264"/>
        <v>21609</v>
      </c>
      <c r="J577" s="8">
        <v>191160</v>
      </c>
      <c r="K577" s="8">
        <f t="shared" si="265"/>
        <v>-15796</v>
      </c>
      <c r="L577" s="8">
        <v>207115</v>
      </c>
      <c r="M577" s="8">
        <f t="shared" si="266"/>
        <v>6395</v>
      </c>
      <c r="N577" s="8">
        <v>-15955</v>
      </c>
      <c r="O577" s="8">
        <f t="shared" si="267"/>
        <v>-22191</v>
      </c>
      <c r="P577" s="8">
        <v>105573</v>
      </c>
      <c r="Q577" s="8">
        <f t="shared" si="268"/>
        <v>-13367</v>
      </c>
      <c r="R577" s="8">
        <v>191166</v>
      </c>
      <c r="S577" s="8">
        <f t="shared" si="269"/>
        <v>10035</v>
      </c>
      <c r="T577" s="8">
        <v>-85593</v>
      </c>
      <c r="U577" s="8">
        <f t="shared" si="270"/>
        <v>-23402</v>
      </c>
      <c r="W577" s="8">
        <v>445273</v>
      </c>
      <c r="X577" s="8">
        <f t="shared" si="271"/>
        <v>-9666</v>
      </c>
      <c r="Y577" s="8">
        <v>46573</v>
      </c>
      <c r="Z577" s="8">
        <f t="shared" si="272"/>
        <v>-1101</v>
      </c>
      <c r="AA577" s="8">
        <v>91683</v>
      </c>
      <c r="AB577" s="8">
        <f t="shared" si="259"/>
        <v>-737</v>
      </c>
      <c r="AC577" s="8">
        <v>-45110</v>
      </c>
      <c r="AD577" s="8">
        <f t="shared" si="259"/>
        <v>-364</v>
      </c>
      <c r="AE577" s="8">
        <v>216188</v>
      </c>
      <c r="AF577" s="8">
        <f t="shared" si="273"/>
        <v>-1544</v>
      </c>
      <c r="AG577" s="8">
        <v>204221</v>
      </c>
      <c r="AH577" s="8">
        <f t="shared" si="274"/>
        <v>-207</v>
      </c>
      <c r="AI577" s="8">
        <v>11967</v>
      </c>
      <c r="AJ577" s="8">
        <f t="shared" si="275"/>
        <v>-1337</v>
      </c>
      <c r="AK577" s="8">
        <v>130313</v>
      </c>
      <c r="AL577" s="8">
        <f t="shared" si="276"/>
        <v>2189</v>
      </c>
      <c r="AM577" s="8">
        <v>177290</v>
      </c>
      <c r="AN577" s="8">
        <f t="shared" si="277"/>
        <v>-323</v>
      </c>
      <c r="AO577" s="8">
        <v>-46977</v>
      </c>
      <c r="AP577" s="8">
        <f t="shared" si="278"/>
        <v>2512</v>
      </c>
      <c r="AR577" s="8">
        <v>1866228</v>
      </c>
      <c r="AS577" s="8">
        <f t="shared" si="279"/>
        <v>-57553</v>
      </c>
      <c r="AT577" s="8">
        <v>244502</v>
      </c>
      <c r="AU577" s="8">
        <f t="shared" si="280"/>
        <v>-9912</v>
      </c>
      <c r="AV577" s="8">
        <v>298327</v>
      </c>
      <c r="AW577" s="8">
        <f t="shared" si="281"/>
        <v>25984</v>
      </c>
      <c r="AX577" s="8">
        <f t="shared" si="256"/>
        <v>-53825</v>
      </c>
      <c r="AY577" s="8">
        <f t="shared" si="282"/>
        <v>-35896</v>
      </c>
      <c r="AZ577" s="8">
        <v>745358</v>
      </c>
      <c r="BA577" s="8">
        <f t="shared" si="283"/>
        <v>4677</v>
      </c>
      <c r="BB577" s="8">
        <v>769027</v>
      </c>
      <c r="BC577" s="8">
        <f t="shared" si="284"/>
        <v>-37665</v>
      </c>
      <c r="BD577" s="8">
        <f t="shared" si="257"/>
        <v>-23669</v>
      </c>
      <c r="BE577" s="8">
        <f t="shared" si="285"/>
        <v>42342</v>
      </c>
      <c r="BF577" s="8">
        <v>420078</v>
      </c>
      <c r="BG577" s="8">
        <f t="shared" si="286"/>
        <v>12018</v>
      </c>
      <c r="BH577" s="8">
        <v>643982</v>
      </c>
      <c r="BI577" s="8">
        <f t="shared" si="287"/>
        <v>-27438</v>
      </c>
      <c r="BJ577" s="8">
        <f t="shared" si="258"/>
        <v>-223904</v>
      </c>
      <c r="BK577" s="8">
        <f t="shared" si="260"/>
        <v>39456</v>
      </c>
    </row>
    <row r="578" spans="1:63">
      <c r="A578" s="5">
        <v>42913</v>
      </c>
      <c r="B578" s="8">
        <v>407615</v>
      </c>
      <c r="C578" s="8">
        <f t="shared" si="261"/>
        <v>-43082</v>
      </c>
      <c r="D578" s="8">
        <v>73624</v>
      </c>
      <c r="E578" s="8">
        <f t="shared" si="262"/>
        <v>-4576</v>
      </c>
      <c r="F578" s="8">
        <v>63113</v>
      </c>
      <c r="G578" s="8">
        <f t="shared" si="263"/>
        <v>-10318</v>
      </c>
      <c r="H578" s="8">
        <v>10511</v>
      </c>
      <c r="I578" s="8">
        <f t="shared" si="264"/>
        <v>5742</v>
      </c>
      <c r="J578" s="8">
        <v>181047</v>
      </c>
      <c r="K578" s="8">
        <f t="shared" si="265"/>
        <v>-10113</v>
      </c>
      <c r="L578" s="8">
        <v>203696</v>
      </c>
      <c r="M578" s="8">
        <f t="shared" si="266"/>
        <v>-3419</v>
      </c>
      <c r="N578" s="8">
        <v>-22649</v>
      </c>
      <c r="O578" s="8">
        <f t="shared" si="267"/>
        <v>-6694</v>
      </c>
      <c r="P578" s="8">
        <v>98498</v>
      </c>
      <c r="Q578" s="8">
        <f t="shared" si="268"/>
        <v>-7075</v>
      </c>
      <c r="R578" s="8">
        <v>189040</v>
      </c>
      <c r="S578" s="8">
        <f t="shared" si="269"/>
        <v>-2126</v>
      </c>
      <c r="T578" s="8">
        <v>-90542</v>
      </c>
      <c r="U578" s="8">
        <f t="shared" si="270"/>
        <v>-4949</v>
      </c>
      <c r="W578" s="8">
        <v>417171</v>
      </c>
      <c r="X578" s="8">
        <f t="shared" si="271"/>
        <v>-28102</v>
      </c>
      <c r="Y578" s="8">
        <v>45292</v>
      </c>
      <c r="Z578" s="8">
        <f t="shared" si="272"/>
        <v>-1281</v>
      </c>
      <c r="AA578" s="8">
        <v>99722</v>
      </c>
      <c r="AB578" s="8">
        <f t="shared" si="259"/>
        <v>8039</v>
      </c>
      <c r="AC578" s="8">
        <v>-54430</v>
      </c>
      <c r="AD578" s="8">
        <f t="shared" si="259"/>
        <v>-9320</v>
      </c>
      <c r="AE578" s="8">
        <v>207600</v>
      </c>
      <c r="AF578" s="8">
        <f t="shared" si="273"/>
        <v>-8588</v>
      </c>
      <c r="AG578" s="8">
        <v>172506</v>
      </c>
      <c r="AH578" s="8">
        <f t="shared" si="274"/>
        <v>-31715</v>
      </c>
      <c r="AI578" s="8">
        <v>35094</v>
      </c>
      <c r="AJ578" s="8">
        <f t="shared" si="275"/>
        <v>23127</v>
      </c>
      <c r="AK578" s="8">
        <v>121962</v>
      </c>
      <c r="AL578" s="8">
        <f t="shared" si="276"/>
        <v>-8351</v>
      </c>
      <c r="AM578" s="8">
        <v>154759</v>
      </c>
      <c r="AN578" s="8">
        <f t="shared" si="277"/>
        <v>-22531</v>
      </c>
      <c r="AO578" s="8">
        <v>-32797</v>
      </c>
      <c r="AP578" s="8">
        <f t="shared" si="278"/>
        <v>14180</v>
      </c>
      <c r="AR578" s="8">
        <v>1729295</v>
      </c>
      <c r="AS578" s="8">
        <f t="shared" si="279"/>
        <v>-136933</v>
      </c>
      <c r="AT578" s="8">
        <v>218697</v>
      </c>
      <c r="AU578" s="8">
        <f t="shared" si="280"/>
        <v>-25805</v>
      </c>
      <c r="AV578" s="8">
        <v>324816</v>
      </c>
      <c r="AW578" s="8">
        <f t="shared" si="281"/>
        <v>26489</v>
      </c>
      <c r="AX578" s="8">
        <f t="shared" si="256"/>
        <v>-106119</v>
      </c>
      <c r="AY578" s="8">
        <f t="shared" si="282"/>
        <v>-52294</v>
      </c>
      <c r="AZ578" s="8">
        <v>740340</v>
      </c>
      <c r="BA578" s="8">
        <f t="shared" si="283"/>
        <v>-5018</v>
      </c>
      <c r="BB578" s="8">
        <v>704065</v>
      </c>
      <c r="BC578" s="8">
        <f t="shared" si="284"/>
        <v>-64962</v>
      </c>
      <c r="BD578" s="8">
        <f t="shared" si="257"/>
        <v>36275</v>
      </c>
      <c r="BE578" s="8">
        <f t="shared" si="285"/>
        <v>59944</v>
      </c>
      <c r="BF578" s="8">
        <v>438624</v>
      </c>
      <c r="BG578" s="8">
        <f t="shared" si="286"/>
        <v>18546</v>
      </c>
      <c r="BH578" s="8">
        <v>598237</v>
      </c>
      <c r="BI578" s="8">
        <f t="shared" si="287"/>
        <v>-45745</v>
      </c>
      <c r="BJ578" s="8">
        <f t="shared" si="258"/>
        <v>-159613</v>
      </c>
      <c r="BK578" s="8">
        <f t="shared" si="260"/>
        <v>64291</v>
      </c>
    </row>
    <row r="579" spans="1:63">
      <c r="A579" s="5">
        <v>42920</v>
      </c>
      <c r="B579" s="8">
        <v>404306</v>
      </c>
      <c r="C579" s="8">
        <f t="shared" si="261"/>
        <v>-3309</v>
      </c>
      <c r="D579" s="8">
        <v>71175</v>
      </c>
      <c r="E579" s="8">
        <f t="shared" si="262"/>
        <v>-2449</v>
      </c>
      <c r="F579" s="8">
        <v>51457</v>
      </c>
      <c r="G579" s="8">
        <f t="shared" si="263"/>
        <v>-11656</v>
      </c>
      <c r="H579" s="8">
        <v>19718</v>
      </c>
      <c r="I579" s="8">
        <f t="shared" si="264"/>
        <v>9207</v>
      </c>
      <c r="J579" s="8">
        <v>178334</v>
      </c>
      <c r="K579" s="8">
        <f t="shared" si="265"/>
        <v>-2713</v>
      </c>
      <c r="L579" s="8">
        <v>219238</v>
      </c>
      <c r="M579" s="8">
        <f t="shared" si="266"/>
        <v>15542</v>
      </c>
      <c r="N579" s="8">
        <v>-40904</v>
      </c>
      <c r="O579" s="8">
        <f t="shared" si="267"/>
        <v>-18255</v>
      </c>
      <c r="P579" s="8">
        <v>88644</v>
      </c>
      <c r="Q579" s="8">
        <f t="shared" si="268"/>
        <v>-9854</v>
      </c>
      <c r="R579" s="8">
        <v>202814</v>
      </c>
      <c r="S579" s="8">
        <f t="shared" si="269"/>
        <v>13774</v>
      </c>
      <c r="T579" s="8">
        <v>-114170</v>
      </c>
      <c r="U579" s="8">
        <f t="shared" si="270"/>
        <v>-23628</v>
      </c>
      <c r="W579" s="8">
        <v>404873</v>
      </c>
      <c r="X579" s="8">
        <f t="shared" si="271"/>
        <v>-12298</v>
      </c>
      <c r="Y579" s="8">
        <v>43235</v>
      </c>
      <c r="Z579" s="8">
        <f t="shared" si="272"/>
        <v>-2057</v>
      </c>
      <c r="AA579" s="8">
        <v>86202</v>
      </c>
      <c r="AB579" s="8">
        <f t="shared" si="259"/>
        <v>-13520</v>
      </c>
      <c r="AC579" s="8">
        <v>-42967</v>
      </c>
      <c r="AD579" s="8">
        <f t="shared" si="259"/>
        <v>11463</v>
      </c>
      <c r="AE579" s="8">
        <v>198221</v>
      </c>
      <c r="AF579" s="8">
        <f t="shared" si="273"/>
        <v>-9379</v>
      </c>
      <c r="AG579" s="8">
        <v>175450</v>
      </c>
      <c r="AH579" s="8">
        <f t="shared" si="274"/>
        <v>2944</v>
      </c>
      <c r="AI579" s="8">
        <v>22771</v>
      </c>
      <c r="AJ579" s="8">
        <f t="shared" si="275"/>
        <v>-12323</v>
      </c>
      <c r="AK579" s="8">
        <v>112939</v>
      </c>
      <c r="AL579" s="8">
        <f t="shared" si="276"/>
        <v>-9023</v>
      </c>
      <c r="AM579" s="8">
        <v>156826</v>
      </c>
      <c r="AN579" s="8">
        <f t="shared" si="277"/>
        <v>2067</v>
      </c>
      <c r="AO579" s="8">
        <v>-43887</v>
      </c>
      <c r="AP579" s="8">
        <f t="shared" si="278"/>
        <v>-11090</v>
      </c>
      <c r="AR579" s="8">
        <v>1753868</v>
      </c>
      <c r="AS579" s="8">
        <f t="shared" si="279"/>
        <v>24573</v>
      </c>
      <c r="AT579" s="8">
        <v>222056</v>
      </c>
      <c r="AU579" s="8">
        <f t="shared" si="280"/>
        <v>3359</v>
      </c>
      <c r="AV579" s="8">
        <v>268771</v>
      </c>
      <c r="AW579" s="8">
        <f t="shared" si="281"/>
        <v>-56045</v>
      </c>
      <c r="AX579" s="8">
        <f t="shared" si="256"/>
        <v>-46715</v>
      </c>
      <c r="AY579" s="8">
        <f t="shared" si="282"/>
        <v>59404</v>
      </c>
      <c r="AZ579" s="8">
        <v>740750</v>
      </c>
      <c r="BA579" s="8">
        <f t="shared" si="283"/>
        <v>410</v>
      </c>
      <c r="BB579" s="8">
        <v>783617</v>
      </c>
      <c r="BC579" s="8">
        <f t="shared" si="284"/>
        <v>79552</v>
      </c>
      <c r="BD579" s="8">
        <f t="shared" si="257"/>
        <v>-42867</v>
      </c>
      <c r="BE579" s="8">
        <f t="shared" si="285"/>
        <v>-79142</v>
      </c>
      <c r="BF579" s="8">
        <v>432865</v>
      </c>
      <c r="BG579" s="8">
        <f t="shared" si="286"/>
        <v>-5759</v>
      </c>
      <c r="BH579" s="8">
        <v>673031</v>
      </c>
      <c r="BI579" s="8">
        <f t="shared" si="287"/>
        <v>74794</v>
      </c>
      <c r="BJ579" s="8">
        <f t="shared" si="258"/>
        <v>-240166</v>
      </c>
      <c r="BK579" s="8">
        <f t="shared" si="260"/>
        <v>-80553</v>
      </c>
    </row>
    <row r="580" spans="1:63">
      <c r="A580" s="5">
        <v>42927</v>
      </c>
      <c r="B580" s="8">
        <v>432122</v>
      </c>
      <c r="C580" s="8">
        <f t="shared" si="261"/>
        <v>27816</v>
      </c>
      <c r="D580" s="8">
        <v>78743</v>
      </c>
      <c r="E580" s="8">
        <f t="shared" si="262"/>
        <v>7568</v>
      </c>
      <c r="F580" s="8">
        <v>35747</v>
      </c>
      <c r="G580" s="8">
        <f t="shared" si="263"/>
        <v>-15710</v>
      </c>
      <c r="H580" s="8">
        <v>42996</v>
      </c>
      <c r="I580" s="8">
        <f t="shared" si="264"/>
        <v>23278</v>
      </c>
      <c r="J580" s="8">
        <v>188249</v>
      </c>
      <c r="K580" s="8">
        <f t="shared" si="265"/>
        <v>9915</v>
      </c>
      <c r="L580" s="8">
        <v>248373</v>
      </c>
      <c r="M580" s="8">
        <f t="shared" si="266"/>
        <v>29135</v>
      </c>
      <c r="N580" s="8">
        <v>-60124</v>
      </c>
      <c r="O580" s="8">
        <f t="shared" si="267"/>
        <v>-19220</v>
      </c>
      <c r="P580" s="8">
        <v>82565</v>
      </c>
      <c r="Q580" s="8">
        <f t="shared" si="268"/>
        <v>-6079</v>
      </c>
      <c r="R580" s="8">
        <v>230931</v>
      </c>
      <c r="S580" s="8">
        <f t="shared" si="269"/>
        <v>28117</v>
      </c>
      <c r="T580" s="8">
        <v>-148366</v>
      </c>
      <c r="U580" s="8">
        <f t="shared" si="270"/>
        <v>-34196</v>
      </c>
      <c r="W580" s="8">
        <v>400066</v>
      </c>
      <c r="X580" s="8">
        <f t="shared" si="271"/>
        <v>-4807</v>
      </c>
      <c r="Y580" s="8">
        <v>52262</v>
      </c>
      <c r="Z580" s="8">
        <f t="shared" si="272"/>
        <v>9027</v>
      </c>
      <c r="AA580" s="8">
        <v>59472</v>
      </c>
      <c r="AB580" s="8">
        <f t="shared" si="259"/>
        <v>-26730</v>
      </c>
      <c r="AC580" s="8">
        <v>-7210</v>
      </c>
      <c r="AD580" s="8">
        <f t="shared" si="259"/>
        <v>35757</v>
      </c>
      <c r="AE580" s="8">
        <v>190944</v>
      </c>
      <c r="AF580" s="8">
        <f t="shared" si="273"/>
        <v>-7277</v>
      </c>
      <c r="AG580" s="8">
        <v>209025</v>
      </c>
      <c r="AH580" s="8">
        <f t="shared" si="274"/>
        <v>33575</v>
      </c>
      <c r="AI580" s="8">
        <v>-18081</v>
      </c>
      <c r="AJ580" s="8">
        <f t="shared" si="275"/>
        <v>-40852</v>
      </c>
      <c r="AK580" s="8">
        <v>100211</v>
      </c>
      <c r="AL580" s="8">
        <f t="shared" si="276"/>
        <v>-12728</v>
      </c>
      <c r="AM580" s="8">
        <v>190252</v>
      </c>
      <c r="AN580" s="8">
        <f t="shared" si="277"/>
        <v>33426</v>
      </c>
      <c r="AO580" s="8">
        <v>-90041</v>
      </c>
      <c r="AP580" s="8">
        <f t="shared" si="278"/>
        <v>-46154</v>
      </c>
      <c r="AR580" s="8">
        <v>1840817</v>
      </c>
      <c r="AS580" s="8">
        <f t="shared" si="279"/>
        <v>86949</v>
      </c>
      <c r="AT580" s="8">
        <v>260080</v>
      </c>
      <c r="AU580" s="8">
        <f t="shared" si="280"/>
        <v>38024</v>
      </c>
      <c r="AV580" s="8">
        <v>159116</v>
      </c>
      <c r="AW580" s="8">
        <f t="shared" si="281"/>
        <v>-109655</v>
      </c>
      <c r="AX580" s="8">
        <f t="shared" ref="AX580:AX643" si="288">AT580-AV580</f>
        <v>100964</v>
      </c>
      <c r="AY580" s="8">
        <f t="shared" si="282"/>
        <v>147679</v>
      </c>
      <c r="AZ580" s="8">
        <v>748728</v>
      </c>
      <c r="BA580" s="8">
        <f t="shared" si="283"/>
        <v>7978</v>
      </c>
      <c r="BB580" s="8">
        <v>925640</v>
      </c>
      <c r="BC580" s="8">
        <f t="shared" si="284"/>
        <v>142023</v>
      </c>
      <c r="BD580" s="8">
        <f t="shared" ref="BD580:BD643" si="289">AZ580-BB580</f>
        <v>-176912</v>
      </c>
      <c r="BE580" s="8">
        <f t="shared" si="285"/>
        <v>-134045</v>
      </c>
      <c r="BF580" s="8">
        <v>432896</v>
      </c>
      <c r="BG580" s="8">
        <f t="shared" si="286"/>
        <v>31</v>
      </c>
      <c r="BH580" s="8">
        <v>818639</v>
      </c>
      <c r="BI580" s="8">
        <f t="shared" si="287"/>
        <v>145608</v>
      </c>
      <c r="BJ580" s="8">
        <f t="shared" ref="BJ580:BJ643" si="290">BF580-BH580</f>
        <v>-385743</v>
      </c>
      <c r="BK580" s="8">
        <f t="shared" si="260"/>
        <v>-145577</v>
      </c>
    </row>
    <row r="581" spans="1:63">
      <c r="A581" s="5">
        <v>42934</v>
      </c>
      <c r="B581" s="8">
        <v>432337</v>
      </c>
      <c r="C581" s="8">
        <f t="shared" si="261"/>
        <v>215</v>
      </c>
      <c r="D581" s="8">
        <v>82243</v>
      </c>
      <c r="E581" s="8">
        <f t="shared" si="262"/>
        <v>3500</v>
      </c>
      <c r="F581" s="8">
        <v>33295</v>
      </c>
      <c r="G581" s="8">
        <f t="shared" si="263"/>
        <v>-2452</v>
      </c>
      <c r="H581" s="8">
        <v>48948</v>
      </c>
      <c r="I581" s="8">
        <f t="shared" si="264"/>
        <v>5952</v>
      </c>
      <c r="J581" s="8">
        <v>182636</v>
      </c>
      <c r="K581" s="8">
        <f t="shared" si="265"/>
        <v>-5613</v>
      </c>
      <c r="L581" s="8">
        <v>247030</v>
      </c>
      <c r="M581" s="8">
        <f t="shared" si="266"/>
        <v>-1343</v>
      </c>
      <c r="N581" s="8">
        <v>-64394</v>
      </c>
      <c r="O581" s="8">
        <f t="shared" si="267"/>
        <v>-4270</v>
      </c>
      <c r="P581" s="8">
        <v>77583</v>
      </c>
      <c r="Q581" s="8">
        <f t="shared" si="268"/>
        <v>-4982</v>
      </c>
      <c r="R581" s="8">
        <v>231111</v>
      </c>
      <c r="S581" s="8">
        <f t="shared" si="269"/>
        <v>180</v>
      </c>
      <c r="T581" s="8">
        <v>-153528</v>
      </c>
      <c r="U581" s="8">
        <f t="shared" si="270"/>
        <v>-5162</v>
      </c>
      <c r="W581" s="8">
        <v>398978</v>
      </c>
      <c r="X581" s="8">
        <f t="shared" si="271"/>
        <v>-1088</v>
      </c>
      <c r="Y581" s="8">
        <v>50204</v>
      </c>
      <c r="Z581" s="8">
        <f t="shared" si="272"/>
        <v>-2058</v>
      </c>
      <c r="AA581" s="8">
        <v>50840</v>
      </c>
      <c r="AB581" s="8">
        <f t="shared" ref="AB581:AD615" si="291">AA581-AA580</f>
        <v>-8632</v>
      </c>
      <c r="AC581" s="8">
        <v>-636</v>
      </c>
      <c r="AD581" s="8">
        <f t="shared" si="291"/>
        <v>6574</v>
      </c>
      <c r="AE581" s="8">
        <v>190693</v>
      </c>
      <c r="AF581" s="8">
        <f t="shared" si="273"/>
        <v>-251</v>
      </c>
      <c r="AG581" s="8">
        <v>215450</v>
      </c>
      <c r="AH581" s="8">
        <f t="shared" si="274"/>
        <v>6425</v>
      </c>
      <c r="AI581" s="8">
        <v>-24757</v>
      </c>
      <c r="AJ581" s="8">
        <f t="shared" si="275"/>
        <v>-6676</v>
      </c>
      <c r="AK581" s="8">
        <v>101006</v>
      </c>
      <c r="AL581" s="8">
        <f t="shared" si="276"/>
        <v>795</v>
      </c>
      <c r="AM581" s="8">
        <v>195372</v>
      </c>
      <c r="AN581" s="8">
        <f t="shared" si="277"/>
        <v>5120</v>
      </c>
      <c r="AO581" s="8">
        <v>-94366</v>
      </c>
      <c r="AP581" s="8">
        <f t="shared" si="278"/>
        <v>-4325</v>
      </c>
      <c r="AR581" s="8">
        <v>1807610</v>
      </c>
      <c r="AS581" s="8">
        <f t="shared" si="279"/>
        <v>-33207</v>
      </c>
      <c r="AT581" s="8">
        <v>253267</v>
      </c>
      <c r="AU581" s="8">
        <f t="shared" si="280"/>
        <v>-6813</v>
      </c>
      <c r="AV581" s="8">
        <v>148597</v>
      </c>
      <c r="AW581" s="8">
        <f t="shared" si="281"/>
        <v>-10519</v>
      </c>
      <c r="AX581" s="8">
        <f t="shared" si="288"/>
        <v>104670</v>
      </c>
      <c r="AY581" s="8">
        <f t="shared" si="282"/>
        <v>3706</v>
      </c>
      <c r="AZ581" s="8">
        <v>750242</v>
      </c>
      <c r="BA581" s="8">
        <f t="shared" si="283"/>
        <v>1514</v>
      </c>
      <c r="BB581" s="8">
        <v>910429</v>
      </c>
      <c r="BC581" s="8">
        <f t="shared" si="284"/>
        <v>-15211</v>
      </c>
      <c r="BD581" s="8">
        <f t="shared" si="289"/>
        <v>-160187</v>
      </c>
      <c r="BE581" s="8">
        <f t="shared" si="285"/>
        <v>16725</v>
      </c>
      <c r="BF581" s="8">
        <v>443156</v>
      </c>
      <c r="BG581" s="8">
        <f t="shared" si="286"/>
        <v>10260</v>
      </c>
      <c r="BH581" s="8">
        <v>815485</v>
      </c>
      <c r="BI581" s="8">
        <f t="shared" si="287"/>
        <v>-3154</v>
      </c>
      <c r="BJ581" s="8">
        <f t="shared" si="290"/>
        <v>-372329</v>
      </c>
      <c r="BK581" s="8">
        <f t="shared" ref="BK581:BK644" si="292">BJ581-BJ580</f>
        <v>13414</v>
      </c>
    </row>
    <row r="582" spans="1:63">
      <c r="A582" s="5">
        <v>42941</v>
      </c>
      <c r="B582" s="8">
        <v>426819</v>
      </c>
      <c r="C582" s="8">
        <f t="shared" si="261"/>
        <v>-5518</v>
      </c>
      <c r="D582" s="8">
        <v>91200</v>
      </c>
      <c r="E582" s="8">
        <f t="shared" si="262"/>
        <v>8957</v>
      </c>
      <c r="F582" s="8">
        <v>28572</v>
      </c>
      <c r="G582" s="8">
        <f t="shared" si="263"/>
        <v>-4723</v>
      </c>
      <c r="H582" s="8">
        <v>62628</v>
      </c>
      <c r="I582" s="8">
        <f t="shared" si="264"/>
        <v>13680</v>
      </c>
      <c r="J582" s="8">
        <v>179800</v>
      </c>
      <c r="K582" s="8">
        <f t="shared" si="265"/>
        <v>-2836</v>
      </c>
      <c r="L582" s="8">
        <v>257857</v>
      </c>
      <c r="M582" s="8">
        <f t="shared" si="266"/>
        <v>10827</v>
      </c>
      <c r="N582" s="8">
        <v>-78057</v>
      </c>
      <c r="O582" s="8">
        <f t="shared" si="267"/>
        <v>-13663</v>
      </c>
      <c r="P582" s="8">
        <v>76965</v>
      </c>
      <c r="Q582" s="8">
        <f t="shared" si="268"/>
        <v>-618</v>
      </c>
      <c r="R582" s="8">
        <v>240828</v>
      </c>
      <c r="S582" s="8">
        <f t="shared" si="269"/>
        <v>9717</v>
      </c>
      <c r="T582" s="8">
        <v>-163863</v>
      </c>
      <c r="U582" s="8">
        <f t="shared" si="270"/>
        <v>-10335</v>
      </c>
      <c r="W582" s="8">
        <v>382672</v>
      </c>
      <c r="X582" s="8">
        <f t="shared" si="271"/>
        <v>-16306</v>
      </c>
      <c r="Y582" s="8">
        <v>46802</v>
      </c>
      <c r="Z582" s="8">
        <f t="shared" si="272"/>
        <v>-3402</v>
      </c>
      <c r="AA582" s="8">
        <v>51183</v>
      </c>
      <c r="AB582" s="8">
        <f t="shared" si="291"/>
        <v>343</v>
      </c>
      <c r="AC582" s="8">
        <v>-4381</v>
      </c>
      <c r="AD582" s="8">
        <f t="shared" si="291"/>
        <v>-3745</v>
      </c>
      <c r="AE582" s="8">
        <v>189774</v>
      </c>
      <c r="AF582" s="8">
        <f t="shared" si="273"/>
        <v>-919</v>
      </c>
      <c r="AG582" s="8">
        <v>213736</v>
      </c>
      <c r="AH582" s="8">
        <f t="shared" si="274"/>
        <v>-1714</v>
      </c>
      <c r="AI582" s="8">
        <v>-23962</v>
      </c>
      <c r="AJ582" s="8">
        <f t="shared" si="275"/>
        <v>795</v>
      </c>
      <c r="AK582" s="8">
        <v>101297</v>
      </c>
      <c r="AL582" s="8">
        <f t="shared" si="276"/>
        <v>291</v>
      </c>
      <c r="AM582" s="8">
        <v>193565</v>
      </c>
      <c r="AN582" s="8">
        <f t="shared" si="277"/>
        <v>-1807</v>
      </c>
      <c r="AO582" s="8">
        <v>-92268</v>
      </c>
      <c r="AP582" s="8">
        <f t="shared" si="278"/>
        <v>2098</v>
      </c>
      <c r="AR582" s="8">
        <v>1758611</v>
      </c>
      <c r="AS582" s="8">
        <f t="shared" si="279"/>
        <v>-48999</v>
      </c>
      <c r="AT582" s="8">
        <v>245691</v>
      </c>
      <c r="AU582" s="8">
        <f t="shared" si="280"/>
        <v>-7576</v>
      </c>
      <c r="AV582" s="8">
        <v>138876</v>
      </c>
      <c r="AW582" s="8">
        <f t="shared" si="281"/>
        <v>-9721</v>
      </c>
      <c r="AX582" s="8">
        <f t="shared" si="288"/>
        <v>106815</v>
      </c>
      <c r="AY582" s="8">
        <f t="shared" si="282"/>
        <v>2145</v>
      </c>
      <c r="AZ582" s="8">
        <v>728231</v>
      </c>
      <c r="BA582" s="8">
        <f t="shared" si="283"/>
        <v>-22011</v>
      </c>
      <c r="BB582" s="8">
        <v>874062</v>
      </c>
      <c r="BC582" s="8">
        <f t="shared" si="284"/>
        <v>-36367</v>
      </c>
      <c r="BD582" s="8">
        <f t="shared" si="289"/>
        <v>-145831</v>
      </c>
      <c r="BE582" s="8">
        <f t="shared" si="285"/>
        <v>14356</v>
      </c>
      <c r="BF582" s="8">
        <v>418393</v>
      </c>
      <c r="BG582" s="8">
        <f t="shared" si="286"/>
        <v>-24763</v>
      </c>
      <c r="BH582" s="8">
        <v>782346</v>
      </c>
      <c r="BI582" s="8">
        <f t="shared" si="287"/>
        <v>-33139</v>
      </c>
      <c r="BJ582" s="8">
        <f t="shared" si="290"/>
        <v>-363953</v>
      </c>
      <c r="BK582" s="8">
        <f t="shared" si="292"/>
        <v>8376</v>
      </c>
    </row>
    <row r="583" spans="1:63">
      <c r="A583" s="5">
        <v>42948</v>
      </c>
      <c r="B583" s="8">
        <v>438149</v>
      </c>
      <c r="C583" s="8">
        <f t="shared" si="261"/>
        <v>11330</v>
      </c>
      <c r="D583" s="8">
        <v>96373</v>
      </c>
      <c r="E583" s="8">
        <f t="shared" si="262"/>
        <v>5173</v>
      </c>
      <c r="F583" s="8">
        <v>28460</v>
      </c>
      <c r="G583" s="8">
        <f t="shared" si="263"/>
        <v>-112</v>
      </c>
      <c r="H583" s="8">
        <v>67913</v>
      </c>
      <c r="I583" s="8">
        <f t="shared" si="264"/>
        <v>5285</v>
      </c>
      <c r="J583" s="8">
        <v>180184</v>
      </c>
      <c r="K583" s="8">
        <f t="shared" si="265"/>
        <v>384</v>
      </c>
      <c r="L583" s="8">
        <v>267746</v>
      </c>
      <c r="M583" s="8">
        <f t="shared" si="266"/>
        <v>9889</v>
      </c>
      <c r="N583" s="8">
        <v>-87562</v>
      </c>
      <c r="O583" s="8">
        <f t="shared" si="267"/>
        <v>-9505</v>
      </c>
      <c r="P583" s="8">
        <v>76659</v>
      </c>
      <c r="Q583" s="8">
        <f t="shared" si="268"/>
        <v>-306</v>
      </c>
      <c r="R583" s="8">
        <v>250419</v>
      </c>
      <c r="S583" s="8">
        <f t="shared" si="269"/>
        <v>9591</v>
      </c>
      <c r="T583" s="8">
        <v>-173760</v>
      </c>
      <c r="U583" s="8">
        <f t="shared" si="270"/>
        <v>-9897</v>
      </c>
      <c r="W583" s="8">
        <v>379853</v>
      </c>
      <c r="X583" s="8">
        <f t="shared" si="271"/>
        <v>-2819</v>
      </c>
      <c r="Y583" s="8">
        <v>42619</v>
      </c>
      <c r="Z583" s="8">
        <f t="shared" si="272"/>
        <v>-4183</v>
      </c>
      <c r="AA583" s="8">
        <v>50033</v>
      </c>
      <c r="AB583" s="8">
        <f t="shared" si="291"/>
        <v>-1150</v>
      </c>
      <c r="AC583" s="8">
        <v>-7414</v>
      </c>
      <c r="AD583" s="8">
        <f t="shared" si="291"/>
        <v>-3033</v>
      </c>
      <c r="AE583" s="8">
        <v>191365</v>
      </c>
      <c r="AF583" s="8">
        <f t="shared" si="273"/>
        <v>1591</v>
      </c>
      <c r="AG583" s="8">
        <v>208498</v>
      </c>
      <c r="AH583" s="8">
        <f t="shared" si="274"/>
        <v>-5238</v>
      </c>
      <c r="AI583" s="8">
        <v>-17133</v>
      </c>
      <c r="AJ583" s="8">
        <f t="shared" si="275"/>
        <v>6829</v>
      </c>
      <c r="AK583" s="8">
        <v>101765</v>
      </c>
      <c r="AL583" s="8">
        <f t="shared" si="276"/>
        <v>468</v>
      </c>
      <c r="AM583" s="8">
        <v>186650</v>
      </c>
      <c r="AN583" s="8">
        <f t="shared" si="277"/>
        <v>-6915</v>
      </c>
      <c r="AO583" s="8">
        <v>-84885</v>
      </c>
      <c r="AP583" s="8">
        <f t="shared" si="278"/>
        <v>7383</v>
      </c>
      <c r="AR583" s="8">
        <v>1800411</v>
      </c>
      <c r="AS583" s="8">
        <f t="shared" si="279"/>
        <v>41800</v>
      </c>
      <c r="AT583" s="8">
        <v>247450</v>
      </c>
      <c r="AU583" s="8">
        <f t="shared" si="280"/>
        <v>1759</v>
      </c>
      <c r="AV583" s="8">
        <v>162806</v>
      </c>
      <c r="AW583" s="8">
        <f t="shared" si="281"/>
        <v>23930</v>
      </c>
      <c r="AX583" s="8">
        <f t="shared" si="288"/>
        <v>84644</v>
      </c>
      <c r="AY583" s="8">
        <f t="shared" si="282"/>
        <v>-22171</v>
      </c>
      <c r="AZ583" s="8">
        <v>765041</v>
      </c>
      <c r="BA583" s="8">
        <f t="shared" si="283"/>
        <v>36810</v>
      </c>
      <c r="BB583" s="8">
        <v>880622</v>
      </c>
      <c r="BC583" s="8">
        <f t="shared" si="284"/>
        <v>6560</v>
      </c>
      <c r="BD583" s="8">
        <f t="shared" si="289"/>
        <v>-115581</v>
      </c>
      <c r="BE583" s="8">
        <f t="shared" si="285"/>
        <v>30250</v>
      </c>
      <c r="BF583" s="8">
        <v>436658</v>
      </c>
      <c r="BG583" s="8">
        <f t="shared" si="286"/>
        <v>18265</v>
      </c>
      <c r="BH583" s="8">
        <v>767842</v>
      </c>
      <c r="BI583" s="8">
        <f t="shared" si="287"/>
        <v>-14504</v>
      </c>
      <c r="BJ583" s="8">
        <f t="shared" si="290"/>
        <v>-331184</v>
      </c>
      <c r="BK583" s="8">
        <f t="shared" si="292"/>
        <v>32769</v>
      </c>
    </row>
    <row r="584" spans="1:63">
      <c r="A584" s="5">
        <v>42955</v>
      </c>
      <c r="B584" s="8">
        <v>443731</v>
      </c>
      <c r="C584" s="8">
        <f t="shared" ref="C584:C647" si="293">B584-B583</f>
        <v>5582</v>
      </c>
      <c r="D584" s="8">
        <v>96959</v>
      </c>
      <c r="E584" s="8">
        <f t="shared" ref="E584:E647" si="294">D584-D583</f>
        <v>586</v>
      </c>
      <c r="F584" s="8">
        <v>31944</v>
      </c>
      <c r="G584" s="8">
        <f t="shared" ref="G584:G647" si="295">F584-F583</f>
        <v>3484</v>
      </c>
      <c r="H584" s="8">
        <v>65015</v>
      </c>
      <c r="I584" s="8">
        <f t="shared" ref="I584:I647" si="296">H584-H583</f>
        <v>-2898</v>
      </c>
      <c r="J584" s="8">
        <v>183501</v>
      </c>
      <c r="K584" s="8">
        <f t="shared" ref="K584:K647" si="297">J584-J583</f>
        <v>3317</v>
      </c>
      <c r="L584" s="8">
        <v>266212</v>
      </c>
      <c r="M584" s="8">
        <f t="shared" ref="M584:M647" si="298">L584-L583</f>
        <v>-1534</v>
      </c>
      <c r="N584" s="8">
        <v>-82711</v>
      </c>
      <c r="O584" s="8">
        <f t="shared" ref="O584:O647" si="299">N584-N583</f>
        <v>4851</v>
      </c>
      <c r="P584" s="8">
        <v>74179</v>
      </c>
      <c r="Q584" s="8">
        <f t="shared" ref="Q584:Q647" si="300">P584-P583</f>
        <v>-2480</v>
      </c>
      <c r="R584" s="8">
        <v>245626</v>
      </c>
      <c r="S584" s="8">
        <f t="shared" ref="S584:S647" si="301">R584-R583</f>
        <v>-4793</v>
      </c>
      <c r="T584" s="8">
        <v>-171447</v>
      </c>
      <c r="U584" s="8">
        <f t="shared" ref="U584:U647" si="302">T584-T583</f>
        <v>2313</v>
      </c>
      <c r="W584" s="8">
        <v>387970</v>
      </c>
      <c r="X584" s="8">
        <f t="shared" ref="X584:X647" si="303">W584-W583</f>
        <v>8117</v>
      </c>
      <c r="Y584" s="8">
        <v>39017</v>
      </c>
      <c r="Z584" s="8">
        <f t="shared" ref="Z584:Z647" si="304">Y584-Y583</f>
        <v>-3602</v>
      </c>
      <c r="AA584" s="8">
        <v>53374</v>
      </c>
      <c r="AB584" s="8">
        <f t="shared" si="291"/>
        <v>3341</v>
      </c>
      <c r="AC584" s="8">
        <v>-14357</v>
      </c>
      <c r="AD584" s="8">
        <f t="shared" si="291"/>
        <v>-6943</v>
      </c>
      <c r="AE584" s="8">
        <v>208159</v>
      </c>
      <c r="AF584" s="8">
        <f t="shared" ref="AF584:AF647" si="305">AE584-AE583</f>
        <v>16794</v>
      </c>
      <c r="AG584" s="8">
        <v>219925</v>
      </c>
      <c r="AH584" s="8">
        <f t="shared" ref="AH584:AH647" si="306">AG584-AG583</f>
        <v>11427</v>
      </c>
      <c r="AI584" s="8">
        <v>-11766</v>
      </c>
      <c r="AJ584" s="8">
        <f t="shared" ref="AJ584:AJ647" si="307">AI584-AI583</f>
        <v>5367</v>
      </c>
      <c r="AK584" s="8">
        <v>114445</v>
      </c>
      <c r="AL584" s="8">
        <f t="shared" ref="AL584:AL647" si="308">AK584-AK583</f>
        <v>12680</v>
      </c>
      <c r="AM584" s="8">
        <v>195654</v>
      </c>
      <c r="AN584" s="8">
        <f t="shared" ref="AN584:AN647" si="309">AM584-AM583</f>
        <v>9004</v>
      </c>
      <c r="AO584" s="8">
        <v>-81209</v>
      </c>
      <c r="AP584" s="8">
        <f t="shared" ref="AP584:AP647" si="310">AO584-AO583</f>
        <v>3676</v>
      </c>
      <c r="AR584" s="8">
        <v>1767900</v>
      </c>
      <c r="AS584" s="8">
        <f t="shared" ref="AS584:AS647" si="311">AR584-AR583</f>
        <v>-32511</v>
      </c>
      <c r="AT584" s="8">
        <v>232044</v>
      </c>
      <c r="AU584" s="8">
        <f t="shared" ref="AU584:AU647" si="312">AT584-AT583</f>
        <v>-15406</v>
      </c>
      <c r="AV584" s="8">
        <v>164971</v>
      </c>
      <c r="AW584" s="8">
        <f t="shared" ref="AW584:AW647" si="313">AV584-AV583</f>
        <v>2165</v>
      </c>
      <c r="AX584" s="8">
        <f t="shared" si="288"/>
        <v>67073</v>
      </c>
      <c r="AY584" s="8">
        <f t="shared" ref="AY584:AY647" si="314">AX584-AX583</f>
        <v>-17571</v>
      </c>
      <c r="AZ584" s="8">
        <v>742783</v>
      </c>
      <c r="BA584" s="8">
        <f t="shared" ref="BA584:BA647" si="315">AZ584-AZ583</f>
        <v>-22258</v>
      </c>
      <c r="BB584" s="8">
        <v>854013</v>
      </c>
      <c r="BC584" s="8">
        <f t="shared" ref="BC584:BC647" si="316">BB584-BB583</f>
        <v>-26609</v>
      </c>
      <c r="BD584" s="8">
        <f t="shared" si="289"/>
        <v>-111230</v>
      </c>
      <c r="BE584" s="8">
        <f t="shared" ref="BE584:BE647" si="317">BD584-BD583</f>
        <v>4351</v>
      </c>
      <c r="BF584" s="8">
        <v>430634</v>
      </c>
      <c r="BG584" s="8">
        <f t="shared" ref="BG584:BG647" si="318">BF584-BF583</f>
        <v>-6024</v>
      </c>
      <c r="BH584" s="8">
        <v>762307</v>
      </c>
      <c r="BI584" s="8">
        <f t="shared" ref="BI584:BI647" si="319">BH584-BH583</f>
        <v>-5535</v>
      </c>
      <c r="BJ584" s="8">
        <f t="shared" si="290"/>
        <v>-331673</v>
      </c>
      <c r="BK584" s="8">
        <f t="shared" si="292"/>
        <v>-489</v>
      </c>
    </row>
    <row r="585" spans="1:63">
      <c r="A585" s="5">
        <v>42962</v>
      </c>
      <c r="B585" s="8">
        <v>449596</v>
      </c>
      <c r="C585" s="8">
        <f t="shared" si="293"/>
        <v>5865</v>
      </c>
      <c r="D585" s="8">
        <v>86667</v>
      </c>
      <c r="E585" s="8">
        <f t="shared" si="294"/>
        <v>-10292</v>
      </c>
      <c r="F585" s="8">
        <v>40637</v>
      </c>
      <c r="G585" s="8">
        <f t="shared" si="295"/>
        <v>8693</v>
      </c>
      <c r="H585" s="8">
        <v>46030</v>
      </c>
      <c r="I585" s="8">
        <f t="shared" si="296"/>
        <v>-18985</v>
      </c>
      <c r="J585" s="8">
        <v>189411</v>
      </c>
      <c r="K585" s="8">
        <f t="shared" si="297"/>
        <v>5910</v>
      </c>
      <c r="L585" s="8">
        <v>251973</v>
      </c>
      <c r="M585" s="8">
        <f t="shared" si="298"/>
        <v>-14239</v>
      </c>
      <c r="N585" s="8">
        <v>-62562</v>
      </c>
      <c r="O585" s="8">
        <f t="shared" si="299"/>
        <v>20149</v>
      </c>
      <c r="P585" s="8">
        <v>76812</v>
      </c>
      <c r="Q585" s="8">
        <f t="shared" si="300"/>
        <v>2633</v>
      </c>
      <c r="R585" s="8">
        <v>232155</v>
      </c>
      <c r="S585" s="8">
        <f t="shared" si="301"/>
        <v>-13471</v>
      </c>
      <c r="T585" s="8">
        <v>-155343</v>
      </c>
      <c r="U585" s="8">
        <f t="shared" si="302"/>
        <v>16104</v>
      </c>
      <c r="W585" s="8">
        <v>406823</v>
      </c>
      <c r="X585" s="8">
        <f t="shared" si="303"/>
        <v>18853</v>
      </c>
      <c r="Y585" s="8">
        <v>39389</v>
      </c>
      <c r="Z585" s="8">
        <f t="shared" si="304"/>
        <v>372</v>
      </c>
      <c r="AA585" s="8">
        <v>64964</v>
      </c>
      <c r="AB585" s="8">
        <f t="shared" si="291"/>
        <v>11590</v>
      </c>
      <c r="AC585" s="8">
        <v>-25575</v>
      </c>
      <c r="AD585" s="8">
        <f t="shared" si="291"/>
        <v>-11218</v>
      </c>
      <c r="AE585" s="8">
        <v>218416</v>
      </c>
      <c r="AF585" s="8">
        <f t="shared" si="305"/>
        <v>10257</v>
      </c>
      <c r="AG585" s="8">
        <v>219143</v>
      </c>
      <c r="AH585" s="8">
        <f t="shared" si="306"/>
        <v>-782</v>
      </c>
      <c r="AI585" s="8">
        <v>-727</v>
      </c>
      <c r="AJ585" s="8">
        <f t="shared" si="307"/>
        <v>11039</v>
      </c>
      <c r="AK585" s="8">
        <v>120485</v>
      </c>
      <c r="AL585" s="8">
        <f t="shared" si="308"/>
        <v>6040</v>
      </c>
      <c r="AM585" s="8">
        <v>191847</v>
      </c>
      <c r="AN585" s="8">
        <f t="shared" si="309"/>
        <v>-3807</v>
      </c>
      <c r="AO585" s="8">
        <v>-71362</v>
      </c>
      <c r="AP585" s="8">
        <f t="shared" si="310"/>
        <v>9847</v>
      </c>
      <c r="AR585" s="8">
        <v>1792103</v>
      </c>
      <c r="AS585" s="8">
        <f t="shared" si="311"/>
        <v>24203</v>
      </c>
      <c r="AT585" s="8">
        <v>228705</v>
      </c>
      <c r="AU585" s="8">
        <f t="shared" si="312"/>
        <v>-3339</v>
      </c>
      <c r="AV585" s="8">
        <v>188903</v>
      </c>
      <c r="AW585" s="8">
        <f t="shared" si="313"/>
        <v>23932</v>
      </c>
      <c r="AX585" s="8">
        <f t="shared" si="288"/>
        <v>39802</v>
      </c>
      <c r="AY585" s="8">
        <f t="shared" si="314"/>
        <v>-27271</v>
      </c>
      <c r="AZ585" s="8">
        <v>743349</v>
      </c>
      <c r="BA585" s="8">
        <f t="shared" si="315"/>
        <v>566</v>
      </c>
      <c r="BB585" s="8">
        <v>811448</v>
      </c>
      <c r="BC585" s="8">
        <f t="shared" si="316"/>
        <v>-42565</v>
      </c>
      <c r="BD585" s="8">
        <f t="shared" si="289"/>
        <v>-68099</v>
      </c>
      <c r="BE585" s="8">
        <f t="shared" si="317"/>
        <v>43131</v>
      </c>
      <c r="BF585" s="8">
        <v>450551</v>
      </c>
      <c r="BG585" s="8">
        <f t="shared" si="318"/>
        <v>19917</v>
      </c>
      <c r="BH585" s="8">
        <v>744386</v>
      </c>
      <c r="BI585" s="8">
        <f t="shared" si="319"/>
        <v>-17921</v>
      </c>
      <c r="BJ585" s="8">
        <f t="shared" si="290"/>
        <v>-293835</v>
      </c>
      <c r="BK585" s="8">
        <f t="shared" si="292"/>
        <v>37838</v>
      </c>
    </row>
    <row r="586" spans="1:63">
      <c r="A586" s="5">
        <v>42969</v>
      </c>
      <c r="B586" s="8">
        <v>454813</v>
      </c>
      <c r="C586" s="8">
        <f t="shared" si="293"/>
        <v>5217</v>
      </c>
      <c r="D586" s="8">
        <v>80487</v>
      </c>
      <c r="E586" s="8">
        <f t="shared" si="294"/>
        <v>-6180</v>
      </c>
      <c r="F586" s="8">
        <v>35883</v>
      </c>
      <c r="G586" s="8">
        <f t="shared" si="295"/>
        <v>-4754</v>
      </c>
      <c r="H586" s="8">
        <v>44604</v>
      </c>
      <c r="I586" s="8">
        <f t="shared" si="296"/>
        <v>-1426</v>
      </c>
      <c r="J586" s="8">
        <v>189981</v>
      </c>
      <c r="K586" s="8">
        <f t="shared" si="297"/>
        <v>570</v>
      </c>
      <c r="L586" s="8">
        <v>253294</v>
      </c>
      <c r="M586" s="8">
        <f t="shared" si="298"/>
        <v>1321</v>
      </c>
      <c r="N586" s="8">
        <v>-63313</v>
      </c>
      <c r="O586" s="8">
        <f t="shared" si="299"/>
        <v>-751</v>
      </c>
      <c r="P586" s="8">
        <v>78945</v>
      </c>
      <c r="Q586" s="8">
        <f t="shared" si="300"/>
        <v>2133</v>
      </c>
      <c r="R586" s="8">
        <v>235611</v>
      </c>
      <c r="S586" s="8">
        <f t="shared" si="301"/>
        <v>3456</v>
      </c>
      <c r="T586" s="8">
        <v>-156666</v>
      </c>
      <c r="U586" s="8">
        <f t="shared" si="302"/>
        <v>-1323</v>
      </c>
      <c r="W586" s="8">
        <v>427563</v>
      </c>
      <c r="X586" s="8">
        <f t="shared" si="303"/>
        <v>20740</v>
      </c>
      <c r="Y586" s="8">
        <v>39754</v>
      </c>
      <c r="Z586" s="8">
        <f t="shared" si="304"/>
        <v>365</v>
      </c>
      <c r="AA586" s="8">
        <v>74309</v>
      </c>
      <c r="AB586" s="8">
        <f t="shared" si="291"/>
        <v>9345</v>
      </c>
      <c r="AC586" s="8">
        <v>-34555</v>
      </c>
      <c r="AD586" s="8">
        <f t="shared" si="291"/>
        <v>-8980</v>
      </c>
      <c r="AE586" s="8">
        <v>221858</v>
      </c>
      <c r="AF586" s="8">
        <f t="shared" si="305"/>
        <v>3442</v>
      </c>
      <c r="AG586" s="8">
        <v>213577</v>
      </c>
      <c r="AH586" s="8">
        <f t="shared" si="306"/>
        <v>-5566</v>
      </c>
      <c r="AI586" s="8">
        <v>8281</v>
      </c>
      <c r="AJ586" s="8">
        <f t="shared" si="307"/>
        <v>9008</v>
      </c>
      <c r="AK586" s="8">
        <v>126220</v>
      </c>
      <c r="AL586" s="8">
        <f t="shared" si="308"/>
        <v>5735</v>
      </c>
      <c r="AM586" s="8">
        <v>187129</v>
      </c>
      <c r="AN586" s="8">
        <f t="shared" si="309"/>
        <v>-4718</v>
      </c>
      <c r="AO586" s="8">
        <v>-60909</v>
      </c>
      <c r="AP586" s="8">
        <f t="shared" si="310"/>
        <v>10453</v>
      </c>
      <c r="AR586" s="8">
        <v>1874724</v>
      </c>
      <c r="AS586" s="8">
        <f t="shared" si="311"/>
        <v>82621</v>
      </c>
      <c r="AT586" s="8">
        <v>221765</v>
      </c>
      <c r="AU586" s="8">
        <f t="shared" si="312"/>
        <v>-6940</v>
      </c>
      <c r="AV586" s="8">
        <v>238838</v>
      </c>
      <c r="AW586" s="8">
        <f t="shared" si="313"/>
        <v>49935</v>
      </c>
      <c r="AX586" s="8">
        <f t="shared" si="288"/>
        <v>-17073</v>
      </c>
      <c r="AY586" s="8">
        <f t="shared" si="314"/>
        <v>-56875</v>
      </c>
      <c r="AZ586" s="8">
        <v>783016</v>
      </c>
      <c r="BA586" s="8">
        <f t="shared" si="315"/>
        <v>39667</v>
      </c>
      <c r="BB586" s="8">
        <v>813196</v>
      </c>
      <c r="BC586" s="8">
        <f t="shared" si="316"/>
        <v>1748</v>
      </c>
      <c r="BD586" s="8">
        <f t="shared" si="289"/>
        <v>-30180</v>
      </c>
      <c r="BE586" s="8">
        <f t="shared" si="317"/>
        <v>37919</v>
      </c>
      <c r="BF586" s="8">
        <v>486193</v>
      </c>
      <c r="BG586" s="8">
        <f t="shared" si="318"/>
        <v>35642</v>
      </c>
      <c r="BH586" s="8">
        <v>743473</v>
      </c>
      <c r="BI586" s="8">
        <f t="shared" si="319"/>
        <v>-913</v>
      </c>
      <c r="BJ586" s="8">
        <f t="shared" si="290"/>
        <v>-257280</v>
      </c>
      <c r="BK586" s="8">
        <f t="shared" si="292"/>
        <v>36555</v>
      </c>
    </row>
    <row r="587" spans="1:63">
      <c r="A587" s="5">
        <v>42976</v>
      </c>
      <c r="B587" s="8">
        <v>441516</v>
      </c>
      <c r="C587" s="8">
        <f t="shared" si="293"/>
        <v>-13297</v>
      </c>
      <c r="D587" s="8">
        <v>82924</v>
      </c>
      <c r="E587" s="8">
        <f t="shared" si="294"/>
        <v>2437</v>
      </c>
      <c r="F587" s="8">
        <v>16053</v>
      </c>
      <c r="G587" s="8">
        <f t="shared" si="295"/>
        <v>-19830</v>
      </c>
      <c r="H587" s="8">
        <v>66871</v>
      </c>
      <c r="I587" s="8">
        <f t="shared" si="296"/>
        <v>22267</v>
      </c>
      <c r="J587" s="8">
        <v>189386</v>
      </c>
      <c r="K587" s="8">
        <f t="shared" si="297"/>
        <v>-595</v>
      </c>
      <c r="L587" s="8">
        <v>276199</v>
      </c>
      <c r="M587" s="8">
        <f t="shared" si="298"/>
        <v>22905</v>
      </c>
      <c r="N587" s="8">
        <v>-86813</v>
      </c>
      <c r="O587" s="8">
        <f t="shared" si="299"/>
        <v>-23500</v>
      </c>
      <c r="P587" s="8">
        <v>77427</v>
      </c>
      <c r="Q587" s="8">
        <f t="shared" si="300"/>
        <v>-1518</v>
      </c>
      <c r="R587" s="8">
        <v>262717</v>
      </c>
      <c r="S587" s="8">
        <f t="shared" si="301"/>
        <v>27106</v>
      </c>
      <c r="T587" s="8">
        <v>-185290</v>
      </c>
      <c r="U587" s="8">
        <f t="shared" si="302"/>
        <v>-28624</v>
      </c>
      <c r="W587" s="8">
        <v>420490</v>
      </c>
      <c r="X587" s="8">
        <f t="shared" si="303"/>
        <v>-7073</v>
      </c>
      <c r="Y587" s="8">
        <v>37794</v>
      </c>
      <c r="Z587" s="8">
        <f t="shared" si="304"/>
        <v>-1960</v>
      </c>
      <c r="AA587" s="8">
        <v>73946</v>
      </c>
      <c r="AB587" s="8">
        <f t="shared" si="291"/>
        <v>-363</v>
      </c>
      <c r="AC587" s="8">
        <v>-36152</v>
      </c>
      <c r="AD587" s="8">
        <f t="shared" si="291"/>
        <v>-1597</v>
      </c>
      <c r="AE587" s="8">
        <v>218267</v>
      </c>
      <c r="AF587" s="8">
        <f t="shared" si="305"/>
        <v>-3591</v>
      </c>
      <c r="AG587" s="8">
        <v>209685</v>
      </c>
      <c r="AH587" s="8">
        <f t="shared" si="306"/>
        <v>-3892</v>
      </c>
      <c r="AI587" s="8">
        <v>8582</v>
      </c>
      <c r="AJ587" s="8">
        <f t="shared" si="307"/>
        <v>301</v>
      </c>
      <c r="AK587" s="8">
        <v>126422</v>
      </c>
      <c r="AL587" s="8">
        <f t="shared" si="308"/>
        <v>202</v>
      </c>
      <c r="AM587" s="8">
        <v>184481</v>
      </c>
      <c r="AN587" s="8">
        <f t="shared" si="309"/>
        <v>-2648</v>
      </c>
      <c r="AO587" s="8">
        <v>-58059</v>
      </c>
      <c r="AP587" s="8">
        <f t="shared" si="310"/>
        <v>2850</v>
      </c>
      <c r="AR587" s="8">
        <v>1707700</v>
      </c>
      <c r="AS587" s="8">
        <f t="shared" si="311"/>
        <v>-167024</v>
      </c>
      <c r="AT587" s="8">
        <v>213692</v>
      </c>
      <c r="AU587" s="8">
        <f t="shared" si="312"/>
        <v>-8073</v>
      </c>
      <c r="AV587" s="8">
        <v>278637</v>
      </c>
      <c r="AW587" s="8">
        <f t="shared" si="313"/>
        <v>39799</v>
      </c>
      <c r="AX587" s="8">
        <f t="shared" si="288"/>
        <v>-64945</v>
      </c>
      <c r="AY587" s="8">
        <f t="shared" si="314"/>
        <v>-47872</v>
      </c>
      <c r="AZ587" s="8">
        <v>720959</v>
      </c>
      <c r="BA587" s="8">
        <f t="shared" si="315"/>
        <v>-62057</v>
      </c>
      <c r="BB587" s="8">
        <v>718095</v>
      </c>
      <c r="BC587" s="8">
        <f t="shared" si="316"/>
        <v>-95101</v>
      </c>
      <c r="BD587" s="8">
        <f t="shared" si="289"/>
        <v>2864</v>
      </c>
      <c r="BE587" s="8">
        <f t="shared" si="317"/>
        <v>33044</v>
      </c>
      <c r="BF587" s="8">
        <v>427232</v>
      </c>
      <c r="BG587" s="8">
        <f t="shared" si="318"/>
        <v>-58961</v>
      </c>
      <c r="BH587" s="8">
        <v>659115</v>
      </c>
      <c r="BI587" s="8">
        <f t="shared" si="319"/>
        <v>-84358</v>
      </c>
      <c r="BJ587" s="8">
        <f t="shared" si="290"/>
        <v>-231883</v>
      </c>
      <c r="BK587" s="8">
        <f t="shared" si="292"/>
        <v>25397</v>
      </c>
    </row>
    <row r="588" spans="1:63">
      <c r="A588" s="5">
        <v>42983</v>
      </c>
      <c r="B588" s="8">
        <v>458084</v>
      </c>
      <c r="C588" s="8">
        <f t="shared" si="293"/>
        <v>16568</v>
      </c>
      <c r="D588" s="8">
        <v>101072</v>
      </c>
      <c r="E588" s="8">
        <f t="shared" si="294"/>
        <v>18148</v>
      </c>
      <c r="F588" s="8">
        <v>12438</v>
      </c>
      <c r="G588" s="8">
        <f t="shared" si="295"/>
        <v>-3615</v>
      </c>
      <c r="H588" s="8">
        <v>88634</v>
      </c>
      <c r="I588" s="8">
        <f t="shared" si="296"/>
        <v>21763</v>
      </c>
      <c r="J588" s="8">
        <v>180321</v>
      </c>
      <c r="K588" s="8">
        <f t="shared" si="297"/>
        <v>-9065</v>
      </c>
      <c r="L588" s="8">
        <v>295336</v>
      </c>
      <c r="M588" s="8">
        <f t="shared" si="298"/>
        <v>19137</v>
      </c>
      <c r="N588" s="8">
        <v>-115015</v>
      </c>
      <c r="O588" s="8">
        <f t="shared" si="299"/>
        <v>-28202</v>
      </c>
      <c r="P588" s="8">
        <v>70353</v>
      </c>
      <c r="Q588" s="8">
        <f t="shared" si="300"/>
        <v>-7074</v>
      </c>
      <c r="R588" s="8">
        <v>281190</v>
      </c>
      <c r="S588" s="8">
        <f t="shared" si="301"/>
        <v>18473</v>
      </c>
      <c r="T588" s="8">
        <v>-210837</v>
      </c>
      <c r="U588" s="8">
        <f t="shared" si="302"/>
        <v>-25547</v>
      </c>
      <c r="W588" s="8">
        <v>422614</v>
      </c>
      <c r="X588" s="8">
        <f t="shared" si="303"/>
        <v>2124</v>
      </c>
      <c r="Y588" s="8">
        <v>37700</v>
      </c>
      <c r="Z588" s="8">
        <f t="shared" si="304"/>
        <v>-94</v>
      </c>
      <c r="AA588" s="8">
        <v>74044</v>
      </c>
      <c r="AB588" s="8">
        <f t="shared" si="291"/>
        <v>98</v>
      </c>
      <c r="AC588" s="8">
        <v>-36344</v>
      </c>
      <c r="AD588" s="8">
        <f t="shared" si="291"/>
        <v>-192</v>
      </c>
      <c r="AE588" s="8">
        <v>217395</v>
      </c>
      <c r="AF588" s="8">
        <f t="shared" si="305"/>
        <v>-872</v>
      </c>
      <c r="AG588" s="8">
        <v>213920</v>
      </c>
      <c r="AH588" s="8">
        <f t="shared" si="306"/>
        <v>4235</v>
      </c>
      <c r="AI588" s="8">
        <v>3475</v>
      </c>
      <c r="AJ588" s="8">
        <f t="shared" si="307"/>
        <v>-5107</v>
      </c>
      <c r="AK588" s="8">
        <v>124446</v>
      </c>
      <c r="AL588" s="8">
        <f t="shared" si="308"/>
        <v>-1976</v>
      </c>
      <c r="AM588" s="8">
        <v>187926</v>
      </c>
      <c r="AN588" s="8">
        <f t="shared" si="309"/>
        <v>3445</v>
      </c>
      <c r="AO588" s="8">
        <v>-63480</v>
      </c>
      <c r="AP588" s="8">
        <f t="shared" si="310"/>
        <v>-5421</v>
      </c>
      <c r="AR588" s="8">
        <v>1675001</v>
      </c>
      <c r="AS588" s="8">
        <f t="shared" si="311"/>
        <v>-32699</v>
      </c>
      <c r="AT588" s="8">
        <v>210368</v>
      </c>
      <c r="AU588" s="8">
        <f t="shared" si="312"/>
        <v>-3324</v>
      </c>
      <c r="AV588" s="8">
        <v>320091</v>
      </c>
      <c r="AW588" s="8">
        <f t="shared" si="313"/>
        <v>41454</v>
      </c>
      <c r="AX588" s="8">
        <f t="shared" si="288"/>
        <v>-109723</v>
      </c>
      <c r="AY588" s="8">
        <f t="shared" si="314"/>
        <v>-44778</v>
      </c>
      <c r="AZ588" s="8">
        <v>702132</v>
      </c>
      <c r="BA588" s="8">
        <f t="shared" si="315"/>
        <v>-18827</v>
      </c>
      <c r="BB588" s="8">
        <v>686683</v>
      </c>
      <c r="BC588" s="8">
        <f t="shared" si="316"/>
        <v>-31412</v>
      </c>
      <c r="BD588" s="8">
        <f t="shared" si="289"/>
        <v>15449</v>
      </c>
      <c r="BE588" s="8">
        <f t="shared" si="317"/>
        <v>12585</v>
      </c>
      <c r="BF588" s="8">
        <v>409838</v>
      </c>
      <c r="BG588" s="8">
        <f t="shared" si="318"/>
        <v>-17394</v>
      </c>
      <c r="BH588" s="8">
        <v>623462</v>
      </c>
      <c r="BI588" s="8">
        <f t="shared" si="319"/>
        <v>-35653</v>
      </c>
      <c r="BJ588" s="8">
        <f t="shared" si="290"/>
        <v>-213624</v>
      </c>
      <c r="BK588" s="8">
        <f t="shared" si="292"/>
        <v>18259</v>
      </c>
    </row>
    <row r="589" spans="1:63">
      <c r="A589" s="5">
        <v>42990</v>
      </c>
      <c r="B589" s="8">
        <v>472864</v>
      </c>
      <c r="C589" s="8">
        <f t="shared" si="293"/>
        <v>14780</v>
      </c>
      <c r="D589" s="8">
        <v>113472</v>
      </c>
      <c r="E589" s="8">
        <f t="shared" si="294"/>
        <v>12400</v>
      </c>
      <c r="F589" s="8">
        <v>13037</v>
      </c>
      <c r="G589" s="8">
        <f t="shared" si="295"/>
        <v>599</v>
      </c>
      <c r="H589" s="8">
        <v>100435</v>
      </c>
      <c r="I589" s="8">
        <f t="shared" si="296"/>
        <v>11801</v>
      </c>
      <c r="J589" s="8">
        <v>183550</v>
      </c>
      <c r="K589" s="8">
        <f t="shared" si="297"/>
        <v>3229</v>
      </c>
      <c r="L589" s="8">
        <v>306883</v>
      </c>
      <c r="M589" s="8">
        <f t="shared" si="298"/>
        <v>11547</v>
      </c>
      <c r="N589" s="8">
        <v>-123333</v>
      </c>
      <c r="O589" s="8">
        <f t="shared" si="299"/>
        <v>-8318</v>
      </c>
      <c r="P589" s="8">
        <v>67731</v>
      </c>
      <c r="Q589" s="8">
        <f t="shared" si="300"/>
        <v>-2622</v>
      </c>
      <c r="R589" s="8">
        <v>284724</v>
      </c>
      <c r="S589" s="8">
        <f t="shared" si="301"/>
        <v>3534</v>
      </c>
      <c r="T589" s="8">
        <v>-216993</v>
      </c>
      <c r="U589" s="8">
        <f t="shared" si="302"/>
        <v>-6156</v>
      </c>
      <c r="W589" s="8">
        <v>424870</v>
      </c>
      <c r="X589" s="8">
        <f t="shared" si="303"/>
        <v>2256</v>
      </c>
      <c r="Y589" s="8">
        <v>40465</v>
      </c>
      <c r="Z589" s="8">
        <f t="shared" si="304"/>
        <v>2765</v>
      </c>
      <c r="AA589" s="8">
        <v>72282</v>
      </c>
      <c r="AB589" s="8">
        <f t="shared" si="291"/>
        <v>-1762</v>
      </c>
      <c r="AC589" s="8">
        <v>-31817</v>
      </c>
      <c r="AD589" s="8">
        <f t="shared" si="291"/>
        <v>4527</v>
      </c>
      <c r="AE589" s="8">
        <v>221091</v>
      </c>
      <c r="AF589" s="8">
        <f t="shared" si="305"/>
        <v>3696</v>
      </c>
      <c r="AG589" s="8">
        <v>219562</v>
      </c>
      <c r="AH589" s="8">
        <f t="shared" si="306"/>
        <v>5642</v>
      </c>
      <c r="AI589" s="8">
        <v>1529</v>
      </c>
      <c r="AJ589" s="8">
        <f t="shared" si="307"/>
        <v>-1946</v>
      </c>
      <c r="AK589" s="8">
        <v>126786</v>
      </c>
      <c r="AL589" s="8">
        <f t="shared" si="308"/>
        <v>2340</v>
      </c>
      <c r="AM589" s="8">
        <v>194551</v>
      </c>
      <c r="AN589" s="8">
        <f t="shared" si="309"/>
        <v>6625</v>
      </c>
      <c r="AO589" s="8">
        <v>-67765</v>
      </c>
      <c r="AP589" s="8">
        <f t="shared" si="310"/>
        <v>-4285</v>
      </c>
      <c r="AR589" s="8">
        <v>1736940</v>
      </c>
      <c r="AS589" s="8">
        <f t="shared" si="311"/>
        <v>61939</v>
      </c>
      <c r="AT589" s="8">
        <v>214067</v>
      </c>
      <c r="AU589" s="8">
        <f t="shared" si="312"/>
        <v>3699</v>
      </c>
      <c r="AV589" s="8">
        <v>333479</v>
      </c>
      <c r="AW589" s="8">
        <f t="shared" si="313"/>
        <v>13388</v>
      </c>
      <c r="AX589" s="8">
        <f t="shared" si="288"/>
        <v>-119412</v>
      </c>
      <c r="AY589" s="8">
        <f t="shared" si="314"/>
        <v>-9689</v>
      </c>
      <c r="AZ589" s="8">
        <v>724221</v>
      </c>
      <c r="BA589" s="8">
        <f t="shared" si="315"/>
        <v>22089</v>
      </c>
      <c r="BB589" s="8">
        <v>700314</v>
      </c>
      <c r="BC589" s="8">
        <f t="shared" si="316"/>
        <v>13631</v>
      </c>
      <c r="BD589" s="8">
        <f t="shared" si="289"/>
        <v>23907</v>
      </c>
      <c r="BE589" s="8">
        <f t="shared" si="317"/>
        <v>8458</v>
      </c>
      <c r="BF589" s="8">
        <v>424054</v>
      </c>
      <c r="BG589" s="8">
        <f t="shared" si="318"/>
        <v>14216</v>
      </c>
      <c r="BH589" s="8">
        <v>637694</v>
      </c>
      <c r="BI589" s="8">
        <f t="shared" si="319"/>
        <v>14232</v>
      </c>
      <c r="BJ589" s="8">
        <f t="shared" si="290"/>
        <v>-213640</v>
      </c>
      <c r="BK589" s="8">
        <f t="shared" si="292"/>
        <v>-16</v>
      </c>
    </row>
    <row r="590" spans="1:63">
      <c r="A590" s="5">
        <v>42997</v>
      </c>
      <c r="B590" s="8">
        <v>473144</v>
      </c>
      <c r="C590" s="8">
        <f t="shared" si="293"/>
        <v>280</v>
      </c>
      <c r="D590" s="8">
        <v>110516</v>
      </c>
      <c r="E590" s="8">
        <f t="shared" si="294"/>
        <v>-2956</v>
      </c>
      <c r="F590" s="8">
        <v>17646</v>
      </c>
      <c r="G590" s="8">
        <f t="shared" si="295"/>
        <v>4609</v>
      </c>
      <c r="H590" s="8">
        <v>92870</v>
      </c>
      <c r="I590" s="8">
        <f t="shared" si="296"/>
        <v>-7565</v>
      </c>
      <c r="J590" s="8">
        <v>187070</v>
      </c>
      <c r="K590" s="8">
        <f t="shared" si="297"/>
        <v>3520</v>
      </c>
      <c r="L590" s="8">
        <v>305151</v>
      </c>
      <c r="M590" s="8">
        <f t="shared" si="298"/>
        <v>-1732</v>
      </c>
      <c r="N590" s="8">
        <v>-118081</v>
      </c>
      <c r="O590" s="8">
        <f t="shared" si="299"/>
        <v>5252</v>
      </c>
      <c r="P590" s="8">
        <v>66720</v>
      </c>
      <c r="Q590" s="8">
        <f t="shared" si="300"/>
        <v>-1011</v>
      </c>
      <c r="R590" s="8">
        <v>279335</v>
      </c>
      <c r="S590" s="8">
        <f t="shared" si="301"/>
        <v>-5389</v>
      </c>
      <c r="T590" s="8">
        <v>-212615</v>
      </c>
      <c r="U590" s="8">
        <f t="shared" si="302"/>
        <v>4378</v>
      </c>
      <c r="W590" s="8">
        <v>415551</v>
      </c>
      <c r="X590" s="8">
        <f t="shared" si="303"/>
        <v>-9319</v>
      </c>
      <c r="Y590" s="8">
        <v>42555</v>
      </c>
      <c r="Z590" s="8">
        <f t="shared" si="304"/>
        <v>2090</v>
      </c>
      <c r="AA590" s="8">
        <v>59474</v>
      </c>
      <c r="AB590" s="8">
        <f t="shared" si="291"/>
        <v>-12808</v>
      </c>
      <c r="AC590" s="8">
        <v>-16919</v>
      </c>
      <c r="AD590" s="8">
        <f t="shared" si="291"/>
        <v>14898</v>
      </c>
      <c r="AE590" s="8">
        <v>213604</v>
      </c>
      <c r="AF590" s="8">
        <f t="shared" si="305"/>
        <v>-7487</v>
      </c>
      <c r="AG590" s="8">
        <v>229464</v>
      </c>
      <c r="AH590" s="8">
        <f t="shared" si="306"/>
        <v>9902</v>
      </c>
      <c r="AI590" s="8">
        <v>-15860</v>
      </c>
      <c r="AJ590" s="8">
        <f t="shared" si="307"/>
        <v>-17389</v>
      </c>
      <c r="AK590" s="8">
        <v>115705</v>
      </c>
      <c r="AL590" s="8">
        <f t="shared" si="308"/>
        <v>-11081</v>
      </c>
      <c r="AM590" s="8">
        <v>201804</v>
      </c>
      <c r="AN590" s="8">
        <f t="shared" si="309"/>
        <v>7253</v>
      </c>
      <c r="AO590" s="8">
        <v>-86099</v>
      </c>
      <c r="AP590" s="8">
        <f t="shared" si="310"/>
        <v>-18334</v>
      </c>
      <c r="AR590" s="8">
        <v>1785555</v>
      </c>
      <c r="AS590" s="8">
        <f t="shared" si="311"/>
        <v>48615</v>
      </c>
      <c r="AT590" s="8">
        <v>215566</v>
      </c>
      <c r="AU590" s="8">
        <f t="shared" si="312"/>
        <v>1499</v>
      </c>
      <c r="AV590" s="8">
        <v>350172</v>
      </c>
      <c r="AW590" s="8">
        <f t="shared" si="313"/>
        <v>16693</v>
      </c>
      <c r="AX590" s="8">
        <f t="shared" si="288"/>
        <v>-134606</v>
      </c>
      <c r="AY590" s="8">
        <f t="shared" si="314"/>
        <v>-15194</v>
      </c>
      <c r="AZ590" s="8">
        <v>741363</v>
      </c>
      <c r="BA590" s="8">
        <f t="shared" si="315"/>
        <v>17142</v>
      </c>
      <c r="BB590" s="8">
        <v>705225</v>
      </c>
      <c r="BC590" s="8">
        <f t="shared" si="316"/>
        <v>4911</v>
      </c>
      <c r="BD590" s="8">
        <f t="shared" si="289"/>
        <v>36138</v>
      </c>
      <c r="BE590" s="8">
        <f t="shared" si="317"/>
        <v>12231</v>
      </c>
      <c r="BF590" s="8">
        <v>431746</v>
      </c>
      <c r="BG590" s="8">
        <f t="shared" si="318"/>
        <v>7692</v>
      </c>
      <c r="BH590" s="8">
        <v>632814</v>
      </c>
      <c r="BI590" s="8">
        <f t="shared" si="319"/>
        <v>-4880</v>
      </c>
      <c r="BJ590" s="8">
        <f t="shared" si="290"/>
        <v>-201068</v>
      </c>
      <c r="BK590" s="8">
        <f t="shared" si="292"/>
        <v>12572</v>
      </c>
    </row>
    <row r="591" spans="1:63">
      <c r="A591" s="5">
        <v>43004</v>
      </c>
      <c r="B591" s="8">
        <v>465056</v>
      </c>
      <c r="C591" s="8">
        <f t="shared" si="293"/>
        <v>-8088</v>
      </c>
      <c r="D591" s="8">
        <v>99638</v>
      </c>
      <c r="E591" s="8">
        <f t="shared" si="294"/>
        <v>-10878</v>
      </c>
      <c r="F591" s="8">
        <v>24009</v>
      </c>
      <c r="G591" s="8">
        <f t="shared" si="295"/>
        <v>6363</v>
      </c>
      <c r="H591" s="8">
        <v>75629</v>
      </c>
      <c r="I591" s="8">
        <f t="shared" si="296"/>
        <v>-17241</v>
      </c>
      <c r="J591" s="8">
        <v>179659</v>
      </c>
      <c r="K591" s="8">
        <f t="shared" si="297"/>
        <v>-7411</v>
      </c>
      <c r="L591" s="8">
        <v>285998</v>
      </c>
      <c r="M591" s="8">
        <f t="shared" si="298"/>
        <v>-19153</v>
      </c>
      <c r="N591" s="8">
        <v>-106339</v>
      </c>
      <c r="O591" s="8">
        <f t="shared" si="299"/>
        <v>11742</v>
      </c>
      <c r="P591" s="8">
        <v>64784</v>
      </c>
      <c r="Q591" s="8">
        <f t="shared" si="300"/>
        <v>-1936</v>
      </c>
      <c r="R591" s="8">
        <v>257447</v>
      </c>
      <c r="S591" s="8">
        <f t="shared" si="301"/>
        <v>-21888</v>
      </c>
      <c r="T591" s="8">
        <v>-192663</v>
      </c>
      <c r="U591" s="8">
        <f t="shared" si="302"/>
        <v>19952</v>
      </c>
      <c r="W591" s="8">
        <v>402229</v>
      </c>
      <c r="X591" s="8">
        <f t="shared" si="303"/>
        <v>-13322</v>
      </c>
      <c r="Y591" s="8">
        <v>44501</v>
      </c>
      <c r="Z591" s="8">
        <f t="shared" si="304"/>
        <v>1946</v>
      </c>
      <c r="AA591" s="8">
        <v>49993</v>
      </c>
      <c r="AB591" s="8">
        <f t="shared" si="291"/>
        <v>-9481</v>
      </c>
      <c r="AC591" s="8">
        <v>-5492</v>
      </c>
      <c r="AD591" s="8">
        <f t="shared" si="291"/>
        <v>11427</v>
      </c>
      <c r="AE591" s="8">
        <v>205210</v>
      </c>
      <c r="AF591" s="8">
        <f t="shared" si="305"/>
        <v>-8394</v>
      </c>
      <c r="AG591" s="8">
        <v>235206</v>
      </c>
      <c r="AH591" s="8">
        <f t="shared" si="306"/>
        <v>5742</v>
      </c>
      <c r="AI591" s="8">
        <v>-29996</v>
      </c>
      <c r="AJ591" s="8">
        <f t="shared" si="307"/>
        <v>-14136</v>
      </c>
      <c r="AK591" s="8">
        <v>102217</v>
      </c>
      <c r="AL591" s="8">
        <f t="shared" si="308"/>
        <v>-13488</v>
      </c>
      <c r="AM591" s="8">
        <v>207189</v>
      </c>
      <c r="AN591" s="8">
        <f t="shared" si="309"/>
        <v>5385</v>
      </c>
      <c r="AO591" s="8">
        <v>-104972</v>
      </c>
      <c r="AP591" s="8">
        <f t="shared" si="310"/>
        <v>-18873</v>
      </c>
      <c r="AR591" s="8">
        <v>1756920</v>
      </c>
      <c r="AS591" s="8">
        <f t="shared" si="311"/>
        <v>-28635</v>
      </c>
      <c r="AT591" s="8">
        <v>217488</v>
      </c>
      <c r="AU591" s="8">
        <f t="shared" si="312"/>
        <v>1922</v>
      </c>
      <c r="AV591" s="8">
        <v>350930</v>
      </c>
      <c r="AW591" s="8">
        <f t="shared" si="313"/>
        <v>758</v>
      </c>
      <c r="AX591" s="8">
        <f t="shared" si="288"/>
        <v>-133442</v>
      </c>
      <c r="AY591" s="8">
        <f t="shared" si="314"/>
        <v>1164</v>
      </c>
      <c r="AZ591" s="8">
        <v>736435</v>
      </c>
      <c r="BA591" s="8">
        <f t="shared" si="315"/>
        <v>-4928</v>
      </c>
      <c r="BB591" s="8">
        <v>705179</v>
      </c>
      <c r="BC591" s="8">
        <f t="shared" si="316"/>
        <v>-46</v>
      </c>
      <c r="BD591" s="8">
        <f t="shared" si="289"/>
        <v>31256</v>
      </c>
      <c r="BE591" s="8">
        <f t="shared" si="317"/>
        <v>-4882</v>
      </c>
      <c r="BF591" s="8">
        <v>419995</v>
      </c>
      <c r="BG591" s="8">
        <f t="shared" si="318"/>
        <v>-11751</v>
      </c>
      <c r="BH591" s="8">
        <v>632321</v>
      </c>
      <c r="BI591" s="8">
        <f t="shared" si="319"/>
        <v>-493</v>
      </c>
      <c r="BJ591" s="8">
        <f t="shared" si="290"/>
        <v>-212326</v>
      </c>
      <c r="BK591" s="8">
        <f t="shared" si="292"/>
        <v>-11258</v>
      </c>
    </row>
    <row r="592" spans="1:63">
      <c r="A592" s="5">
        <v>43011</v>
      </c>
      <c r="B592" s="8">
        <v>450331</v>
      </c>
      <c r="C592" s="8">
        <f t="shared" si="293"/>
        <v>-14725</v>
      </c>
      <c r="D592" s="8">
        <v>73997</v>
      </c>
      <c r="E592" s="8">
        <f t="shared" si="294"/>
        <v>-25641</v>
      </c>
      <c r="F592" s="8">
        <v>43281</v>
      </c>
      <c r="G592" s="8">
        <f t="shared" si="295"/>
        <v>19272</v>
      </c>
      <c r="H592" s="8">
        <v>30716</v>
      </c>
      <c r="I592" s="8">
        <f t="shared" si="296"/>
        <v>-44913</v>
      </c>
      <c r="J592" s="8">
        <v>182734</v>
      </c>
      <c r="K592" s="8">
        <f t="shared" si="297"/>
        <v>3075</v>
      </c>
      <c r="L592" s="8">
        <v>243096</v>
      </c>
      <c r="M592" s="8">
        <f t="shared" si="298"/>
        <v>-42902</v>
      </c>
      <c r="N592" s="8">
        <v>-60362</v>
      </c>
      <c r="O592" s="8">
        <f t="shared" si="299"/>
        <v>45977</v>
      </c>
      <c r="P592" s="8">
        <v>75047</v>
      </c>
      <c r="Q592" s="8">
        <f t="shared" si="300"/>
        <v>10263</v>
      </c>
      <c r="R592" s="8">
        <v>216889</v>
      </c>
      <c r="S592" s="8">
        <f t="shared" si="301"/>
        <v>-40558</v>
      </c>
      <c r="T592" s="8">
        <v>-141842</v>
      </c>
      <c r="U592" s="8">
        <f t="shared" si="302"/>
        <v>50821</v>
      </c>
      <c r="W592" s="8">
        <v>397951</v>
      </c>
      <c r="X592" s="8">
        <f t="shared" si="303"/>
        <v>-4278</v>
      </c>
      <c r="Y592" s="8">
        <v>47217</v>
      </c>
      <c r="Z592" s="8">
        <f t="shared" si="304"/>
        <v>2716</v>
      </c>
      <c r="AA592" s="8">
        <v>46062</v>
      </c>
      <c r="AB592" s="8">
        <f t="shared" si="291"/>
        <v>-3931</v>
      </c>
      <c r="AC592" s="8">
        <v>1155</v>
      </c>
      <c r="AD592" s="8">
        <f t="shared" si="291"/>
        <v>6647</v>
      </c>
      <c r="AE592" s="8">
        <v>197269</v>
      </c>
      <c r="AF592" s="8">
        <f t="shared" si="305"/>
        <v>-7941</v>
      </c>
      <c r="AG592" s="8">
        <v>231452</v>
      </c>
      <c r="AH592" s="8">
        <f t="shared" si="306"/>
        <v>-3754</v>
      </c>
      <c r="AI592" s="8">
        <v>-34183</v>
      </c>
      <c r="AJ592" s="8">
        <f t="shared" si="307"/>
        <v>-4187</v>
      </c>
      <c r="AK592" s="8">
        <v>93723</v>
      </c>
      <c r="AL592" s="8">
        <f t="shared" si="308"/>
        <v>-8494</v>
      </c>
      <c r="AM592" s="8">
        <v>201678</v>
      </c>
      <c r="AN592" s="8">
        <f t="shared" si="309"/>
        <v>-5511</v>
      </c>
      <c r="AO592" s="8">
        <v>-107955</v>
      </c>
      <c r="AP592" s="8">
        <f t="shared" si="310"/>
        <v>-2983</v>
      </c>
      <c r="AR592" s="8">
        <v>1804698</v>
      </c>
      <c r="AS592" s="8">
        <f t="shared" si="311"/>
        <v>47778</v>
      </c>
      <c r="AT592" s="8">
        <v>214312</v>
      </c>
      <c r="AU592" s="8">
        <f t="shared" si="312"/>
        <v>-3176</v>
      </c>
      <c r="AV592" s="8">
        <v>357513</v>
      </c>
      <c r="AW592" s="8">
        <f t="shared" si="313"/>
        <v>6583</v>
      </c>
      <c r="AX592" s="8">
        <f t="shared" si="288"/>
        <v>-143201</v>
      </c>
      <c r="AY592" s="8">
        <f t="shared" si="314"/>
        <v>-9759</v>
      </c>
      <c r="AZ592" s="8">
        <v>761223</v>
      </c>
      <c r="BA592" s="8">
        <f t="shared" si="315"/>
        <v>24788</v>
      </c>
      <c r="BB592" s="8">
        <v>711645</v>
      </c>
      <c r="BC592" s="8">
        <f t="shared" si="316"/>
        <v>6466</v>
      </c>
      <c r="BD592" s="8">
        <f t="shared" si="289"/>
        <v>49578</v>
      </c>
      <c r="BE592" s="8">
        <f t="shared" si="317"/>
        <v>18322</v>
      </c>
      <c r="BF592" s="8">
        <v>436156</v>
      </c>
      <c r="BG592" s="8">
        <f t="shared" si="318"/>
        <v>16161</v>
      </c>
      <c r="BH592" s="8">
        <v>632368</v>
      </c>
      <c r="BI592" s="8">
        <f t="shared" si="319"/>
        <v>47</v>
      </c>
      <c r="BJ592" s="8">
        <f t="shared" si="290"/>
        <v>-196212</v>
      </c>
      <c r="BK592" s="8">
        <f t="shared" si="292"/>
        <v>16114</v>
      </c>
    </row>
    <row r="593" spans="1:63">
      <c r="A593" s="5">
        <v>43018</v>
      </c>
      <c r="B593" s="8">
        <v>461218</v>
      </c>
      <c r="C593" s="8">
        <f t="shared" si="293"/>
        <v>10887</v>
      </c>
      <c r="D593" s="8">
        <v>71248</v>
      </c>
      <c r="E593" s="8">
        <f t="shared" si="294"/>
        <v>-2749</v>
      </c>
      <c r="F593" s="8">
        <v>48116</v>
      </c>
      <c r="G593" s="8">
        <f t="shared" si="295"/>
        <v>4835</v>
      </c>
      <c r="H593" s="8">
        <v>23132</v>
      </c>
      <c r="I593" s="8">
        <f t="shared" si="296"/>
        <v>-7584</v>
      </c>
      <c r="J593" s="8">
        <v>188519</v>
      </c>
      <c r="K593" s="8">
        <f t="shared" si="297"/>
        <v>5785</v>
      </c>
      <c r="L593" s="8">
        <v>243861</v>
      </c>
      <c r="M593" s="8">
        <f t="shared" si="298"/>
        <v>765</v>
      </c>
      <c r="N593" s="8">
        <v>-55342</v>
      </c>
      <c r="O593" s="8">
        <f t="shared" si="299"/>
        <v>5020</v>
      </c>
      <c r="P593" s="8">
        <v>82068</v>
      </c>
      <c r="Q593" s="8">
        <f t="shared" si="300"/>
        <v>7021</v>
      </c>
      <c r="R593" s="8">
        <v>220465</v>
      </c>
      <c r="S593" s="8">
        <f t="shared" si="301"/>
        <v>3576</v>
      </c>
      <c r="T593" s="8">
        <v>-138397</v>
      </c>
      <c r="U593" s="8">
        <f t="shared" si="302"/>
        <v>3445</v>
      </c>
      <c r="W593" s="8">
        <v>396958</v>
      </c>
      <c r="X593" s="8">
        <f t="shared" si="303"/>
        <v>-993</v>
      </c>
      <c r="Y593" s="8">
        <v>49207</v>
      </c>
      <c r="Z593" s="8">
        <f t="shared" si="304"/>
        <v>1990</v>
      </c>
      <c r="AA593" s="8">
        <v>36152</v>
      </c>
      <c r="AB593" s="8">
        <f t="shared" si="291"/>
        <v>-9910</v>
      </c>
      <c r="AC593" s="8">
        <v>13055</v>
      </c>
      <c r="AD593" s="8">
        <f t="shared" si="291"/>
        <v>11900</v>
      </c>
      <c r="AE593" s="8">
        <v>185742</v>
      </c>
      <c r="AF593" s="8">
        <f t="shared" si="305"/>
        <v>-11527</v>
      </c>
      <c r="AG593" s="8">
        <v>231295</v>
      </c>
      <c r="AH593" s="8">
        <f t="shared" si="306"/>
        <v>-157</v>
      </c>
      <c r="AI593" s="8">
        <v>-45553</v>
      </c>
      <c r="AJ593" s="8">
        <f t="shared" si="307"/>
        <v>-11370</v>
      </c>
      <c r="AK593" s="8">
        <v>93386</v>
      </c>
      <c r="AL593" s="8">
        <f t="shared" si="308"/>
        <v>-337</v>
      </c>
      <c r="AM593" s="8">
        <v>209523</v>
      </c>
      <c r="AN593" s="8">
        <f t="shared" si="309"/>
        <v>7845</v>
      </c>
      <c r="AO593" s="8">
        <v>-116137</v>
      </c>
      <c r="AP593" s="8">
        <f t="shared" si="310"/>
        <v>-8182</v>
      </c>
      <c r="AR593" s="8">
        <v>1833377</v>
      </c>
      <c r="AS593" s="8">
        <f t="shared" si="311"/>
        <v>28679</v>
      </c>
      <c r="AT593" s="8">
        <v>210583</v>
      </c>
      <c r="AU593" s="8">
        <f t="shared" si="312"/>
        <v>-3729</v>
      </c>
      <c r="AV593" s="8">
        <v>373520</v>
      </c>
      <c r="AW593" s="8">
        <f t="shared" si="313"/>
        <v>16007</v>
      </c>
      <c r="AX593" s="8">
        <f t="shared" si="288"/>
        <v>-162937</v>
      </c>
      <c r="AY593" s="8">
        <f t="shared" si="314"/>
        <v>-19736</v>
      </c>
      <c r="AZ593" s="8">
        <v>773197</v>
      </c>
      <c r="BA593" s="8">
        <f t="shared" si="315"/>
        <v>11974</v>
      </c>
      <c r="BB593" s="8">
        <v>708998</v>
      </c>
      <c r="BC593" s="8">
        <f t="shared" si="316"/>
        <v>-2647</v>
      </c>
      <c r="BD593" s="8">
        <f t="shared" si="289"/>
        <v>64199</v>
      </c>
      <c r="BE593" s="8">
        <f t="shared" si="317"/>
        <v>14621</v>
      </c>
      <c r="BF593" s="8">
        <v>452327</v>
      </c>
      <c r="BG593" s="8">
        <f t="shared" si="318"/>
        <v>16171</v>
      </c>
      <c r="BH593" s="8">
        <v>629846</v>
      </c>
      <c r="BI593" s="8">
        <f t="shared" si="319"/>
        <v>-2522</v>
      </c>
      <c r="BJ593" s="8">
        <f t="shared" si="290"/>
        <v>-177519</v>
      </c>
      <c r="BK593" s="8">
        <f t="shared" si="292"/>
        <v>18693</v>
      </c>
    </row>
    <row r="594" spans="1:63">
      <c r="A594" s="5">
        <v>43025</v>
      </c>
      <c r="B594" s="8">
        <v>472962</v>
      </c>
      <c r="C594" s="8">
        <f t="shared" si="293"/>
        <v>11744</v>
      </c>
      <c r="D594" s="8">
        <v>73492</v>
      </c>
      <c r="E594" s="8">
        <f t="shared" si="294"/>
        <v>2244</v>
      </c>
      <c r="F594" s="8">
        <v>48567</v>
      </c>
      <c r="G594" s="8">
        <f t="shared" si="295"/>
        <v>451</v>
      </c>
      <c r="H594" s="8">
        <v>24925</v>
      </c>
      <c r="I594" s="8">
        <f t="shared" si="296"/>
        <v>1793</v>
      </c>
      <c r="J594" s="8">
        <v>190993</v>
      </c>
      <c r="K594" s="8">
        <f t="shared" si="297"/>
        <v>2474</v>
      </c>
      <c r="L594" s="8">
        <v>251097</v>
      </c>
      <c r="M594" s="8">
        <f t="shared" si="298"/>
        <v>7236</v>
      </c>
      <c r="N594" s="8">
        <v>-60104</v>
      </c>
      <c r="O594" s="8">
        <f t="shared" si="299"/>
        <v>-4762</v>
      </c>
      <c r="P594" s="8">
        <v>82110</v>
      </c>
      <c r="Q594" s="8">
        <f t="shared" si="300"/>
        <v>42</v>
      </c>
      <c r="R594" s="8">
        <v>228783</v>
      </c>
      <c r="S594" s="8">
        <f t="shared" si="301"/>
        <v>8318</v>
      </c>
      <c r="T594" s="8">
        <v>-146673</v>
      </c>
      <c r="U594" s="8">
        <f t="shared" si="302"/>
        <v>-8276</v>
      </c>
      <c r="W594" s="8">
        <v>416353</v>
      </c>
      <c r="X594" s="8">
        <f t="shared" si="303"/>
        <v>19395</v>
      </c>
      <c r="Y594" s="8">
        <v>51467</v>
      </c>
      <c r="Z594" s="8">
        <f t="shared" si="304"/>
        <v>2260</v>
      </c>
      <c r="AA594" s="8">
        <v>30340</v>
      </c>
      <c r="AB594" s="8">
        <f t="shared" si="291"/>
        <v>-5812</v>
      </c>
      <c r="AC594" s="8">
        <v>21127</v>
      </c>
      <c r="AD594" s="8">
        <f t="shared" si="291"/>
        <v>8072</v>
      </c>
      <c r="AE594" s="8">
        <v>192862</v>
      </c>
      <c r="AF594" s="8">
        <f t="shared" si="305"/>
        <v>7120</v>
      </c>
      <c r="AG594" s="8">
        <v>250303</v>
      </c>
      <c r="AH594" s="8">
        <f t="shared" si="306"/>
        <v>19008</v>
      </c>
      <c r="AI594" s="8">
        <v>-57441</v>
      </c>
      <c r="AJ594" s="8">
        <f t="shared" si="307"/>
        <v>-11888</v>
      </c>
      <c r="AK594" s="8">
        <v>93870</v>
      </c>
      <c r="AL594" s="8">
        <f t="shared" si="308"/>
        <v>484</v>
      </c>
      <c r="AM594" s="8">
        <v>220097</v>
      </c>
      <c r="AN594" s="8">
        <f t="shared" si="309"/>
        <v>10574</v>
      </c>
      <c r="AO594" s="8">
        <v>-126227</v>
      </c>
      <c r="AP594" s="8">
        <f t="shared" si="310"/>
        <v>-10090</v>
      </c>
      <c r="AR594" s="8">
        <v>1869045</v>
      </c>
      <c r="AS594" s="8">
        <f t="shared" si="311"/>
        <v>35668</v>
      </c>
      <c r="AT594" s="8">
        <v>204834</v>
      </c>
      <c r="AU594" s="8">
        <f t="shared" si="312"/>
        <v>-5749</v>
      </c>
      <c r="AV594" s="8">
        <v>375518</v>
      </c>
      <c r="AW594" s="8">
        <f t="shared" si="313"/>
        <v>1998</v>
      </c>
      <c r="AX594" s="8">
        <f t="shared" si="288"/>
        <v>-170684</v>
      </c>
      <c r="AY594" s="8">
        <f t="shared" si="314"/>
        <v>-7747</v>
      </c>
      <c r="AZ594" s="8">
        <v>786229</v>
      </c>
      <c r="BA594" s="8">
        <f t="shared" si="315"/>
        <v>13032</v>
      </c>
      <c r="BB594" s="8">
        <v>706104</v>
      </c>
      <c r="BC594" s="8">
        <f t="shared" si="316"/>
        <v>-2894</v>
      </c>
      <c r="BD594" s="8">
        <f t="shared" si="289"/>
        <v>80125</v>
      </c>
      <c r="BE594" s="8">
        <f t="shared" si="317"/>
        <v>15926</v>
      </c>
      <c r="BF594" s="8">
        <v>465079</v>
      </c>
      <c r="BG594" s="8">
        <f t="shared" si="318"/>
        <v>12752</v>
      </c>
      <c r="BH594" s="8">
        <v>622999</v>
      </c>
      <c r="BI594" s="8">
        <f t="shared" si="319"/>
        <v>-6847</v>
      </c>
      <c r="BJ594" s="8">
        <f t="shared" si="290"/>
        <v>-157920</v>
      </c>
      <c r="BK594" s="8">
        <f t="shared" si="292"/>
        <v>19599</v>
      </c>
    </row>
    <row r="595" spans="1:63">
      <c r="A595" s="5">
        <v>43032</v>
      </c>
      <c r="B595" s="8">
        <v>477784</v>
      </c>
      <c r="C595" s="8">
        <f t="shared" si="293"/>
        <v>4822</v>
      </c>
      <c r="D595" s="8">
        <v>78427</v>
      </c>
      <c r="E595" s="8">
        <f t="shared" si="294"/>
        <v>4935</v>
      </c>
      <c r="F595" s="8">
        <v>42814</v>
      </c>
      <c r="G595" s="8">
        <f t="shared" si="295"/>
        <v>-5753</v>
      </c>
      <c r="H595" s="8">
        <v>35613</v>
      </c>
      <c r="I595" s="8">
        <f t="shared" si="296"/>
        <v>10688</v>
      </c>
      <c r="J595" s="8">
        <v>192995</v>
      </c>
      <c r="K595" s="8">
        <f t="shared" si="297"/>
        <v>2002</v>
      </c>
      <c r="L595" s="8">
        <v>263388</v>
      </c>
      <c r="M595" s="8">
        <f t="shared" si="298"/>
        <v>12291</v>
      </c>
      <c r="N595" s="8">
        <v>-70393</v>
      </c>
      <c r="O595" s="8">
        <f t="shared" si="299"/>
        <v>-10289</v>
      </c>
      <c r="P595" s="8">
        <v>83445</v>
      </c>
      <c r="Q595" s="8">
        <f t="shared" si="300"/>
        <v>1335</v>
      </c>
      <c r="R595" s="8">
        <v>244469</v>
      </c>
      <c r="S595" s="8">
        <f t="shared" si="301"/>
        <v>15686</v>
      </c>
      <c r="T595" s="8">
        <v>-161024</v>
      </c>
      <c r="U595" s="8">
        <f t="shared" si="302"/>
        <v>-14351</v>
      </c>
      <c r="W595" s="8">
        <v>425560</v>
      </c>
      <c r="X595" s="8">
        <f t="shared" si="303"/>
        <v>9207</v>
      </c>
      <c r="Y595" s="8">
        <v>52431</v>
      </c>
      <c r="Z595" s="8">
        <f t="shared" si="304"/>
        <v>964</v>
      </c>
      <c r="AA595" s="8">
        <v>34752</v>
      </c>
      <c r="AB595" s="8">
        <f t="shared" si="291"/>
        <v>4412</v>
      </c>
      <c r="AC595" s="8">
        <v>17679</v>
      </c>
      <c r="AD595" s="8">
        <f t="shared" si="291"/>
        <v>-3448</v>
      </c>
      <c r="AE595" s="8">
        <v>203394</v>
      </c>
      <c r="AF595" s="8">
        <f t="shared" si="305"/>
        <v>10532</v>
      </c>
      <c r="AG595" s="8">
        <v>253078</v>
      </c>
      <c r="AH595" s="8">
        <f t="shared" si="306"/>
        <v>2775</v>
      </c>
      <c r="AI595" s="8">
        <v>-49684</v>
      </c>
      <c r="AJ595" s="8">
        <f t="shared" si="307"/>
        <v>7757</v>
      </c>
      <c r="AK595" s="8">
        <v>104077</v>
      </c>
      <c r="AL595" s="8">
        <f t="shared" si="308"/>
        <v>10207</v>
      </c>
      <c r="AM595" s="8">
        <v>222136</v>
      </c>
      <c r="AN595" s="8">
        <f t="shared" si="309"/>
        <v>2039</v>
      </c>
      <c r="AO595" s="8">
        <v>-118059</v>
      </c>
      <c r="AP595" s="8">
        <f t="shared" si="310"/>
        <v>8168</v>
      </c>
      <c r="AR595" s="8">
        <v>1932939</v>
      </c>
      <c r="AS595" s="8">
        <f t="shared" si="311"/>
        <v>63894</v>
      </c>
      <c r="AT595" s="8">
        <v>207036</v>
      </c>
      <c r="AU595" s="8">
        <f t="shared" si="312"/>
        <v>2202</v>
      </c>
      <c r="AV595" s="8">
        <v>381430</v>
      </c>
      <c r="AW595" s="8">
        <f t="shared" si="313"/>
        <v>5912</v>
      </c>
      <c r="AX595" s="8">
        <f t="shared" si="288"/>
        <v>-174394</v>
      </c>
      <c r="AY595" s="8">
        <f t="shared" si="314"/>
        <v>-3710</v>
      </c>
      <c r="AZ595" s="8">
        <v>819894</v>
      </c>
      <c r="BA595" s="8">
        <f t="shared" si="315"/>
        <v>33665</v>
      </c>
      <c r="BB595" s="8">
        <v>725208</v>
      </c>
      <c r="BC595" s="8">
        <f t="shared" si="316"/>
        <v>19104</v>
      </c>
      <c r="BD595" s="8">
        <f t="shared" si="289"/>
        <v>94686</v>
      </c>
      <c r="BE595" s="8">
        <f t="shared" si="317"/>
        <v>14561</v>
      </c>
      <c r="BF595" s="8">
        <v>489264</v>
      </c>
      <c r="BG595" s="8">
        <f t="shared" si="318"/>
        <v>24185</v>
      </c>
      <c r="BH595" s="8">
        <v>633637</v>
      </c>
      <c r="BI595" s="8">
        <f t="shared" si="319"/>
        <v>10638</v>
      </c>
      <c r="BJ595" s="8">
        <f t="shared" si="290"/>
        <v>-144373</v>
      </c>
      <c r="BK595" s="8">
        <f t="shared" si="292"/>
        <v>13547</v>
      </c>
    </row>
    <row r="596" spans="1:63">
      <c r="A596" s="5">
        <v>43039</v>
      </c>
      <c r="B596" s="8">
        <v>481860</v>
      </c>
      <c r="C596" s="8">
        <f t="shared" si="293"/>
        <v>4076</v>
      </c>
      <c r="D596" s="8">
        <v>78130</v>
      </c>
      <c r="E596" s="8">
        <f t="shared" si="294"/>
        <v>-297</v>
      </c>
      <c r="F596" s="8">
        <v>34080</v>
      </c>
      <c r="G596" s="8">
        <f t="shared" si="295"/>
        <v>-8734</v>
      </c>
      <c r="H596" s="8">
        <v>44050</v>
      </c>
      <c r="I596" s="8">
        <f t="shared" si="296"/>
        <v>8437</v>
      </c>
      <c r="J596" s="8">
        <v>200386</v>
      </c>
      <c r="K596" s="8">
        <f t="shared" si="297"/>
        <v>7391</v>
      </c>
      <c r="L596" s="8">
        <v>276058</v>
      </c>
      <c r="M596" s="8">
        <f t="shared" si="298"/>
        <v>12670</v>
      </c>
      <c r="N596" s="8">
        <v>-75672</v>
      </c>
      <c r="O596" s="8">
        <f t="shared" si="299"/>
        <v>-5279</v>
      </c>
      <c r="P596" s="8">
        <v>86220</v>
      </c>
      <c r="Q596" s="8">
        <f t="shared" si="300"/>
        <v>2775</v>
      </c>
      <c r="R596" s="8">
        <v>251555</v>
      </c>
      <c r="S596" s="8">
        <f t="shared" si="301"/>
        <v>7086</v>
      </c>
      <c r="T596" s="8">
        <v>-165335</v>
      </c>
      <c r="U596" s="8">
        <f t="shared" si="302"/>
        <v>-4311</v>
      </c>
      <c r="W596" s="8">
        <v>426242</v>
      </c>
      <c r="X596" s="8">
        <f t="shared" si="303"/>
        <v>682</v>
      </c>
      <c r="Y596" s="8">
        <v>47617</v>
      </c>
      <c r="Z596" s="8">
        <f t="shared" si="304"/>
        <v>-4814</v>
      </c>
      <c r="AA596" s="8">
        <v>39004</v>
      </c>
      <c r="AB596" s="8">
        <f t="shared" si="291"/>
        <v>4252</v>
      </c>
      <c r="AC596" s="8">
        <v>8613</v>
      </c>
      <c r="AD596" s="8">
        <f t="shared" si="291"/>
        <v>-9066</v>
      </c>
      <c r="AE596" s="8">
        <v>211905</v>
      </c>
      <c r="AF596" s="8">
        <f t="shared" si="305"/>
        <v>8511</v>
      </c>
      <c r="AG596" s="8">
        <v>253326</v>
      </c>
      <c r="AH596" s="8">
        <f t="shared" si="306"/>
        <v>248</v>
      </c>
      <c r="AI596" s="8">
        <v>-41421</v>
      </c>
      <c r="AJ596" s="8">
        <f t="shared" si="307"/>
        <v>8263</v>
      </c>
      <c r="AK596" s="8">
        <v>110223</v>
      </c>
      <c r="AL596" s="8">
        <f t="shared" si="308"/>
        <v>6146</v>
      </c>
      <c r="AM596" s="8">
        <v>220616</v>
      </c>
      <c r="AN596" s="8">
        <f t="shared" si="309"/>
        <v>-1520</v>
      </c>
      <c r="AO596" s="8">
        <v>-110393</v>
      </c>
      <c r="AP596" s="8">
        <f t="shared" si="310"/>
        <v>7666</v>
      </c>
      <c r="AR596" s="8">
        <v>1970091</v>
      </c>
      <c r="AS596" s="8">
        <f t="shared" si="311"/>
        <v>37152</v>
      </c>
      <c r="AT596" s="8">
        <v>193958</v>
      </c>
      <c r="AU596" s="8">
        <f t="shared" si="312"/>
        <v>-13078</v>
      </c>
      <c r="AV596" s="8">
        <v>396721</v>
      </c>
      <c r="AW596" s="8">
        <f t="shared" si="313"/>
        <v>15291</v>
      </c>
      <c r="AX596" s="8">
        <f t="shared" si="288"/>
        <v>-202763</v>
      </c>
      <c r="AY596" s="8">
        <f t="shared" si="314"/>
        <v>-28369</v>
      </c>
      <c r="AZ596" s="8">
        <v>866429</v>
      </c>
      <c r="BA596" s="8">
        <f t="shared" si="315"/>
        <v>46535</v>
      </c>
      <c r="BB596" s="8">
        <v>748223</v>
      </c>
      <c r="BC596" s="8">
        <f t="shared" si="316"/>
        <v>23015</v>
      </c>
      <c r="BD596" s="8">
        <f t="shared" si="289"/>
        <v>118206</v>
      </c>
      <c r="BE596" s="8">
        <f t="shared" si="317"/>
        <v>23520</v>
      </c>
      <c r="BF596" s="8">
        <v>526692</v>
      </c>
      <c r="BG596" s="8">
        <f t="shared" si="318"/>
        <v>37428</v>
      </c>
      <c r="BH596" s="8">
        <v>643436</v>
      </c>
      <c r="BI596" s="8">
        <f t="shared" si="319"/>
        <v>9799</v>
      </c>
      <c r="BJ596" s="8">
        <f t="shared" si="290"/>
        <v>-116744</v>
      </c>
      <c r="BK596" s="8">
        <f t="shared" si="292"/>
        <v>27629</v>
      </c>
    </row>
    <row r="597" spans="1:63">
      <c r="A597" s="5">
        <v>43046</v>
      </c>
      <c r="B597" s="8">
        <v>502405</v>
      </c>
      <c r="C597" s="8">
        <f t="shared" si="293"/>
        <v>20545</v>
      </c>
      <c r="D597" s="8">
        <v>84231</v>
      </c>
      <c r="E597" s="8">
        <f t="shared" si="294"/>
        <v>6101</v>
      </c>
      <c r="F597" s="8">
        <v>29868</v>
      </c>
      <c r="G597" s="8">
        <f t="shared" si="295"/>
        <v>-4212</v>
      </c>
      <c r="H597" s="8">
        <v>54363</v>
      </c>
      <c r="I597" s="8">
        <f t="shared" si="296"/>
        <v>10313</v>
      </c>
      <c r="J597" s="8">
        <v>203596</v>
      </c>
      <c r="K597" s="8">
        <f t="shared" si="297"/>
        <v>3210</v>
      </c>
      <c r="L597" s="8">
        <v>279805</v>
      </c>
      <c r="M597" s="8">
        <f t="shared" si="298"/>
        <v>3747</v>
      </c>
      <c r="N597" s="8">
        <v>-76209</v>
      </c>
      <c r="O597" s="8">
        <f t="shared" si="299"/>
        <v>-537</v>
      </c>
      <c r="P597" s="8">
        <v>85608</v>
      </c>
      <c r="Q597" s="8">
        <f t="shared" si="300"/>
        <v>-612</v>
      </c>
      <c r="R597" s="8">
        <v>254941</v>
      </c>
      <c r="S597" s="8">
        <f t="shared" si="301"/>
        <v>3386</v>
      </c>
      <c r="T597" s="8">
        <v>-169333</v>
      </c>
      <c r="U597" s="8">
        <f t="shared" si="302"/>
        <v>-3998</v>
      </c>
      <c r="W597" s="8">
        <v>425540</v>
      </c>
      <c r="X597" s="8">
        <f t="shared" si="303"/>
        <v>-702</v>
      </c>
      <c r="Y597" s="8">
        <v>46546</v>
      </c>
      <c r="Z597" s="8">
        <f t="shared" si="304"/>
        <v>-1071</v>
      </c>
      <c r="AA597" s="8">
        <v>38111</v>
      </c>
      <c r="AB597" s="8">
        <f t="shared" si="291"/>
        <v>-893</v>
      </c>
      <c r="AC597" s="8">
        <v>8435</v>
      </c>
      <c r="AD597" s="8">
        <f t="shared" si="291"/>
        <v>-178</v>
      </c>
      <c r="AE597" s="8">
        <v>212866</v>
      </c>
      <c r="AF597" s="8">
        <f t="shared" si="305"/>
        <v>961</v>
      </c>
      <c r="AG597" s="8">
        <v>255380</v>
      </c>
      <c r="AH597" s="8">
        <f t="shared" si="306"/>
        <v>2054</v>
      </c>
      <c r="AI597" s="8">
        <v>-42514</v>
      </c>
      <c r="AJ597" s="8">
        <f t="shared" si="307"/>
        <v>-1093</v>
      </c>
      <c r="AK597" s="8">
        <v>107866</v>
      </c>
      <c r="AL597" s="8">
        <f t="shared" si="308"/>
        <v>-2357</v>
      </c>
      <c r="AM597" s="8">
        <v>225121</v>
      </c>
      <c r="AN597" s="8">
        <f t="shared" si="309"/>
        <v>4505</v>
      </c>
      <c r="AO597" s="8">
        <v>-117255</v>
      </c>
      <c r="AP597" s="8">
        <f t="shared" si="310"/>
        <v>-6862</v>
      </c>
      <c r="AR597" s="8">
        <v>2009799</v>
      </c>
      <c r="AS597" s="8">
        <f t="shared" si="311"/>
        <v>39708</v>
      </c>
      <c r="AT597" s="8">
        <v>202042</v>
      </c>
      <c r="AU597" s="8">
        <f t="shared" si="312"/>
        <v>8084</v>
      </c>
      <c r="AV597" s="8">
        <v>407666</v>
      </c>
      <c r="AW597" s="8">
        <f t="shared" si="313"/>
        <v>10945</v>
      </c>
      <c r="AX597" s="8">
        <f t="shared" si="288"/>
        <v>-205624</v>
      </c>
      <c r="AY597" s="8">
        <f t="shared" si="314"/>
        <v>-2861</v>
      </c>
      <c r="AZ597" s="8">
        <v>874063</v>
      </c>
      <c r="BA597" s="8">
        <f t="shared" si="315"/>
        <v>7634</v>
      </c>
      <c r="BB597" s="8">
        <v>755592</v>
      </c>
      <c r="BC597" s="8">
        <f t="shared" si="316"/>
        <v>7369</v>
      </c>
      <c r="BD597" s="8">
        <f t="shared" si="289"/>
        <v>118471</v>
      </c>
      <c r="BE597" s="8">
        <f t="shared" si="317"/>
        <v>265</v>
      </c>
      <c r="BF597" s="8">
        <v>532239</v>
      </c>
      <c r="BG597" s="8">
        <f t="shared" si="318"/>
        <v>5547</v>
      </c>
      <c r="BH597" s="8">
        <v>654351</v>
      </c>
      <c r="BI597" s="8">
        <f t="shared" si="319"/>
        <v>10915</v>
      </c>
      <c r="BJ597" s="8">
        <f t="shared" si="290"/>
        <v>-122112</v>
      </c>
      <c r="BK597" s="8">
        <f t="shared" si="292"/>
        <v>-5368</v>
      </c>
    </row>
    <row r="598" spans="1:63">
      <c r="A598" s="5">
        <v>43053</v>
      </c>
      <c r="B598" s="8">
        <v>508238</v>
      </c>
      <c r="C598" s="8">
        <f t="shared" si="293"/>
        <v>5833</v>
      </c>
      <c r="D598" s="8">
        <v>88658</v>
      </c>
      <c r="E598" s="8">
        <f t="shared" si="294"/>
        <v>4427</v>
      </c>
      <c r="F598" s="8">
        <v>31983</v>
      </c>
      <c r="G598" s="8">
        <f t="shared" si="295"/>
        <v>2115</v>
      </c>
      <c r="H598" s="8">
        <v>56675</v>
      </c>
      <c r="I598" s="8">
        <f t="shared" si="296"/>
        <v>2312</v>
      </c>
      <c r="J598" s="8">
        <v>212705</v>
      </c>
      <c r="K598" s="8">
        <f t="shared" si="297"/>
        <v>9109</v>
      </c>
      <c r="L598" s="8">
        <v>291887</v>
      </c>
      <c r="M598" s="8">
        <f t="shared" si="298"/>
        <v>12082</v>
      </c>
      <c r="N598" s="8">
        <v>-79182</v>
      </c>
      <c r="O598" s="8">
        <f t="shared" si="299"/>
        <v>-2973</v>
      </c>
      <c r="P598" s="8">
        <v>92495</v>
      </c>
      <c r="Q598" s="8">
        <f t="shared" si="300"/>
        <v>6887</v>
      </c>
      <c r="R598" s="8">
        <v>263528</v>
      </c>
      <c r="S598" s="8">
        <f t="shared" si="301"/>
        <v>8587</v>
      </c>
      <c r="T598" s="8">
        <v>-171033</v>
      </c>
      <c r="U598" s="8">
        <f t="shared" si="302"/>
        <v>-1700</v>
      </c>
      <c r="W598" s="8">
        <v>437493</v>
      </c>
      <c r="X598" s="8">
        <f t="shared" si="303"/>
        <v>11953</v>
      </c>
      <c r="Y598" s="8">
        <v>46784</v>
      </c>
      <c r="Z598" s="8">
        <f t="shared" si="304"/>
        <v>238</v>
      </c>
      <c r="AA598" s="8">
        <v>40478</v>
      </c>
      <c r="AB598" s="8">
        <f t="shared" si="291"/>
        <v>2367</v>
      </c>
      <c r="AC598" s="8">
        <v>6306</v>
      </c>
      <c r="AD598" s="8">
        <f t="shared" si="291"/>
        <v>-2129</v>
      </c>
      <c r="AE598" s="8">
        <v>223212</v>
      </c>
      <c r="AF598" s="8">
        <f t="shared" si="305"/>
        <v>10346</v>
      </c>
      <c r="AG598" s="8">
        <v>265638</v>
      </c>
      <c r="AH598" s="8">
        <f t="shared" si="306"/>
        <v>10258</v>
      </c>
      <c r="AI598" s="8">
        <v>-42426</v>
      </c>
      <c r="AJ598" s="8">
        <f t="shared" si="307"/>
        <v>88</v>
      </c>
      <c r="AK598" s="8">
        <v>114605</v>
      </c>
      <c r="AL598" s="8">
        <f t="shared" si="308"/>
        <v>6739</v>
      </c>
      <c r="AM598" s="8">
        <v>232272</v>
      </c>
      <c r="AN598" s="8">
        <f t="shared" si="309"/>
        <v>7151</v>
      </c>
      <c r="AO598" s="8">
        <v>-117667</v>
      </c>
      <c r="AP598" s="8">
        <f t="shared" si="310"/>
        <v>-412</v>
      </c>
      <c r="AR598" s="8">
        <v>2127835</v>
      </c>
      <c r="AS598" s="8">
        <f t="shared" si="311"/>
        <v>118036</v>
      </c>
      <c r="AT598" s="8">
        <v>203814</v>
      </c>
      <c r="AU598" s="8">
        <f t="shared" si="312"/>
        <v>1772</v>
      </c>
      <c r="AV598" s="8">
        <v>434370</v>
      </c>
      <c r="AW598" s="8">
        <f t="shared" si="313"/>
        <v>26704</v>
      </c>
      <c r="AX598" s="8">
        <f t="shared" si="288"/>
        <v>-230556</v>
      </c>
      <c r="AY598" s="8">
        <f t="shared" si="314"/>
        <v>-24932</v>
      </c>
      <c r="AZ598" s="8">
        <v>953325</v>
      </c>
      <c r="BA598" s="8">
        <f t="shared" si="315"/>
        <v>79262</v>
      </c>
      <c r="BB598" s="8">
        <v>788428</v>
      </c>
      <c r="BC598" s="8">
        <f t="shared" si="316"/>
        <v>32836</v>
      </c>
      <c r="BD598" s="8">
        <f t="shared" si="289"/>
        <v>164897</v>
      </c>
      <c r="BE598" s="8">
        <f t="shared" si="317"/>
        <v>46426</v>
      </c>
      <c r="BF598" s="8">
        <v>599957</v>
      </c>
      <c r="BG598" s="8">
        <f t="shared" si="318"/>
        <v>67718</v>
      </c>
      <c r="BH598" s="8">
        <v>680091</v>
      </c>
      <c r="BI598" s="8">
        <f t="shared" si="319"/>
        <v>25740</v>
      </c>
      <c r="BJ598" s="8">
        <f t="shared" si="290"/>
        <v>-80134</v>
      </c>
      <c r="BK598" s="8">
        <f t="shared" si="292"/>
        <v>41978</v>
      </c>
    </row>
    <row r="599" spans="1:63">
      <c r="A599" s="5">
        <v>43060</v>
      </c>
      <c r="B599" s="8">
        <v>515462</v>
      </c>
      <c r="C599" s="8">
        <f t="shared" si="293"/>
        <v>7224</v>
      </c>
      <c r="D599" s="8">
        <v>83315</v>
      </c>
      <c r="E599" s="8">
        <f t="shared" si="294"/>
        <v>-5343</v>
      </c>
      <c r="F599" s="8">
        <v>35651</v>
      </c>
      <c r="G599" s="8">
        <f t="shared" si="295"/>
        <v>3668</v>
      </c>
      <c r="H599" s="8">
        <v>47664</v>
      </c>
      <c r="I599" s="8">
        <f t="shared" si="296"/>
        <v>-9011</v>
      </c>
      <c r="J599" s="8">
        <v>223170</v>
      </c>
      <c r="K599" s="8">
        <f t="shared" si="297"/>
        <v>10465</v>
      </c>
      <c r="L599" s="8">
        <v>295218</v>
      </c>
      <c r="M599" s="8">
        <f t="shared" si="298"/>
        <v>3331</v>
      </c>
      <c r="N599" s="8">
        <v>-72048</v>
      </c>
      <c r="O599" s="8">
        <f t="shared" si="299"/>
        <v>7134</v>
      </c>
      <c r="P599" s="8">
        <v>97149</v>
      </c>
      <c r="Q599" s="8">
        <f t="shared" si="300"/>
        <v>4654</v>
      </c>
      <c r="R599" s="8">
        <v>262971</v>
      </c>
      <c r="S599" s="8">
        <f t="shared" si="301"/>
        <v>-557</v>
      </c>
      <c r="T599" s="8">
        <v>-165822</v>
      </c>
      <c r="U599" s="8">
        <f t="shared" si="302"/>
        <v>5211</v>
      </c>
      <c r="W599" s="8">
        <v>442489</v>
      </c>
      <c r="X599" s="8">
        <f t="shared" si="303"/>
        <v>4996</v>
      </c>
      <c r="Y599" s="8">
        <v>50427</v>
      </c>
      <c r="Z599" s="8">
        <f t="shared" si="304"/>
        <v>3643</v>
      </c>
      <c r="AA599" s="8">
        <v>34518</v>
      </c>
      <c r="AB599" s="8">
        <f t="shared" si="291"/>
        <v>-5960</v>
      </c>
      <c r="AC599" s="8">
        <v>15909</v>
      </c>
      <c r="AD599" s="8">
        <f t="shared" si="291"/>
        <v>9603</v>
      </c>
      <c r="AE599" s="8">
        <v>223298</v>
      </c>
      <c r="AF599" s="8">
        <f t="shared" si="305"/>
        <v>86</v>
      </c>
      <c r="AG599" s="8">
        <v>279500</v>
      </c>
      <c r="AH599" s="8">
        <f t="shared" si="306"/>
        <v>13862</v>
      </c>
      <c r="AI599" s="8">
        <v>-56202</v>
      </c>
      <c r="AJ599" s="8">
        <f t="shared" si="307"/>
        <v>-13776</v>
      </c>
      <c r="AK599" s="8">
        <v>114215</v>
      </c>
      <c r="AL599" s="8">
        <f t="shared" si="308"/>
        <v>-390</v>
      </c>
      <c r="AM599" s="8">
        <v>244673</v>
      </c>
      <c r="AN599" s="8">
        <f t="shared" si="309"/>
        <v>12401</v>
      </c>
      <c r="AO599" s="8">
        <v>-130458</v>
      </c>
      <c r="AP599" s="8">
        <f t="shared" si="310"/>
        <v>-12791</v>
      </c>
      <c r="AR599" s="8">
        <v>2082562</v>
      </c>
      <c r="AS599" s="8">
        <f t="shared" si="311"/>
        <v>-45273</v>
      </c>
      <c r="AT599" s="8">
        <v>214241</v>
      </c>
      <c r="AU599" s="8">
        <f t="shared" si="312"/>
        <v>10427</v>
      </c>
      <c r="AV599" s="8">
        <v>424707</v>
      </c>
      <c r="AW599" s="8">
        <f t="shared" si="313"/>
        <v>-9663</v>
      </c>
      <c r="AX599" s="8">
        <f t="shared" si="288"/>
        <v>-210466</v>
      </c>
      <c r="AY599" s="8">
        <f t="shared" si="314"/>
        <v>20090</v>
      </c>
      <c r="AZ599" s="8">
        <v>921127</v>
      </c>
      <c r="BA599" s="8">
        <f t="shared" si="315"/>
        <v>-32198</v>
      </c>
      <c r="BB599" s="8">
        <v>785967</v>
      </c>
      <c r="BC599" s="8">
        <f t="shared" si="316"/>
        <v>-2461</v>
      </c>
      <c r="BD599" s="8">
        <f t="shared" si="289"/>
        <v>135160</v>
      </c>
      <c r="BE599" s="8">
        <f t="shared" si="317"/>
        <v>-29737</v>
      </c>
      <c r="BF599" s="8">
        <v>575890</v>
      </c>
      <c r="BG599" s="8">
        <f t="shared" si="318"/>
        <v>-24067</v>
      </c>
      <c r="BH599" s="8">
        <v>684269</v>
      </c>
      <c r="BI599" s="8">
        <f t="shared" si="319"/>
        <v>4178</v>
      </c>
      <c r="BJ599" s="8">
        <f t="shared" si="290"/>
        <v>-108379</v>
      </c>
      <c r="BK599" s="8">
        <f t="shared" si="292"/>
        <v>-28245</v>
      </c>
    </row>
    <row r="600" spans="1:63">
      <c r="A600" s="5">
        <v>43067</v>
      </c>
      <c r="B600" s="8">
        <v>485484</v>
      </c>
      <c r="C600" s="8">
        <f t="shared" si="293"/>
        <v>-29978</v>
      </c>
      <c r="D600" s="8">
        <v>75987</v>
      </c>
      <c r="E600" s="8">
        <f t="shared" si="294"/>
        <v>-7328</v>
      </c>
      <c r="F600" s="8">
        <v>49589</v>
      </c>
      <c r="G600" s="8">
        <f t="shared" si="295"/>
        <v>13938</v>
      </c>
      <c r="H600" s="8">
        <v>26398</v>
      </c>
      <c r="I600" s="8">
        <f t="shared" si="296"/>
        <v>-21266</v>
      </c>
      <c r="J600" s="8">
        <v>217609</v>
      </c>
      <c r="K600" s="8">
        <f t="shared" si="297"/>
        <v>-5561</v>
      </c>
      <c r="L600" s="8">
        <v>268352</v>
      </c>
      <c r="M600" s="8">
        <f t="shared" si="298"/>
        <v>-26866</v>
      </c>
      <c r="N600" s="8">
        <v>-50743</v>
      </c>
      <c r="O600" s="8">
        <f t="shared" si="299"/>
        <v>21305</v>
      </c>
      <c r="P600" s="8">
        <v>100304</v>
      </c>
      <c r="Q600" s="8">
        <f t="shared" si="300"/>
        <v>3155</v>
      </c>
      <c r="R600" s="8">
        <v>246439</v>
      </c>
      <c r="S600" s="8">
        <f t="shared" si="301"/>
        <v>-16532</v>
      </c>
      <c r="T600" s="8">
        <v>-146135</v>
      </c>
      <c r="U600" s="8">
        <f t="shared" si="302"/>
        <v>19687</v>
      </c>
      <c r="W600" s="8">
        <v>439901</v>
      </c>
      <c r="X600" s="8">
        <f t="shared" si="303"/>
        <v>-2588</v>
      </c>
      <c r="Y600" s="8">
        <v>62392</v>
      </c>
      <c r="Z600" s="8">
        <f t="shared" si="304"/>
        <v>11965</v>
      </c>
      <c r="AA600" s="8">
        <v>23692</v>
      </c>
      <c r="AB600" s="8">
        <f t="shared" si="291"/>
        <v>-10826</v>
      </c>
      <c r="AC600" s="8">
        <v>38700</v>
      </c>
      <c r="AD600" s="8">
        <f t="shared" si="291"/>
        <v>22791</v>
      </c>
      <c r="AE600" s="8">
        <v>210257</v>
      </c>
      <c r="AF600" s="8">
        <f t="shared" si="305"/>
        <v>-13041</v>
      </c>
      <c r="AG600" s="8">
        <v>291813</v>
      </c>
      <c r="AH600" s="8">
        <f t="shared" si="306"/>
        <v>12313</v>
      </c>
      <c r="AI600" s="8">
        <v>-81556</v>
      </c>
      <c r="AJ600" s="8">
        <f t="shared" si="307"/>
        <v>-25354</v>
      </c>
      <c r="AK600" s="8">
        <v>104829</v>
      </c>
      <c r="AL600" s="8">
        <f t="shared" si="308"/>
        <v>-9386</v>
      </c>
      <c r="AM600" s="8">
        <v>259944</v>
      </c>
      <c r="AN600" s="8">
        <f t="shared" si="309"/>
        <v>15271</v>
      </c>
      <c r="AO600" s="8">
        <v>-155115</v>
      </c>
      <c r="AP600" s="8">
        <f t="shared" si="310"/>
        <v>-24657</v>
      </c>
      <c r="AR600" s="8">
        <v>1856263</v>
      </c>
      <c r="AS600" s="8">
        <f t="shared" si="311"/>
        <v>-226299</v>
      </c>
      <c r="AT600" s="8">
        <v>214942</v>
      </c>
      <c r="AU600" s="8">
        <f t="shared" si="312"/>
        <v>701</v>
      </c>
      <c r="AV600" s="8">
        <v>411705</v>
      </c>
      <c r="AW600" s="8">
        <f t="shared" si="313"/>
        <v>-13002</v>
      </c>
      <c r="AX600" s="8">
        <f t="shared" si="288"/>
        <v>-196763</v>
      </c>
      <c r="AY600" s="8">
        <f t="shared" si="314"/>
        <v>13703</v>
      </c>
      <c r="AZ600" s="8">
        <v>839274</v>
      </c>
      <c r="BA600" s="8">
        <f t="shared" si="315"/>
        <v>-81853</v>
      </c>
      <c r="BB600" s="8">
        <v>722479</v>
      </c>
      <c r="BC600" s="8">
        <f t="shared" si="316"/>
        <v>-63488</v>
      </c>
      <c r="BD600" s="8">
        <f t="shared" si="289"/>
        <v>116795</v>
      </c>
      <c r="BE600" s="8">
        <f t="shared" si="317"/>
        <v>-18365</v>
      </c>
      <c r="BF600" s="8">
        <v>509124</v>
      </c>
      <c r="BG600" s="8">
        <f t="shared" si="318"/>
        <v>-66766</v>
      </c>
      <c r="BH600" s="8">
        <v>642617</v>
      </c>
      <c r="BI600" s="8">
        <f t="shared" si="319"/>
        <v>-41652</v>
      </c>
      <c r="BJ600" s="8">
        <f t="shared" si="290"/>
        <v>-133493</v>
      </c>
      <c r="BK600" s="8">
        <f t="shared" si="292"/>
        <v>-25114</v>
      </c>
    </row>
    <row r="601" spans="1:63">
      <c r="A601" s="5">
        <v>43074</v>
      </c>
      <c r="B601" s="8">
        <v>501657</v>
      </c>
      <c r="C601" s="8">
        <f t="shared" si="293"/>
        <v>16173</v>
      </c>
      <c r="D601" s="8">
        <v>70231</v>
      </c>
      <c r="E601" s="8">
        <f t="shared" si="294"/>
        <v>-5756</v>
      </c>
      <c r="F601" s="8">
        <v>56552</v>
      </c>
      <c r="G601" s="8">
        <f t="shared" si="295"/>
        <v>6963</v>
      </c>
      <c r="H601" s="8">
        <v>13679</v>
      </c>
      <c r="I601" s="8">
        <f t="shared" si="296"/>
        <v>-12719</v>
      </c>
      <c r="J601" s="8">
        <v>227655</v>
      </c>
      <c r="K601" s="8">
        <f t="shared" si="297"/>
        <v>10046</v>
      </c>
      <c r="L601" s="8">
        <v>273552</v>
      </c>
      <c r="M601" s="8">
        <f t="shared" si="298"/>
        <v>5200</v>
      </c>
      <c r="N601" s="8">
        <v>-45897</v>
      </c>
      <c r="O601" s="8">
        <f t="shared" si="299"/>
        <v>4846</v>
      </c>
      <c r="P601" s="8">
        <v>103925</v>
      </c>
      <c r="Q601" s="8">
        <f t="shared" si="300"/>
        <v>3621</v>
      </c>
      <c r="R601" s="8">
        <v>250336</v>
      </c>
      <c r="S601" s="8">
        <f t="shared" si="301"/>
        <v>3897</v>
      </c>
      <c r="T601" s="8">
        <v>-146411</v>
      </c>
      <c r="U601" s="8">
        <f t="shared" si="302"/>
        <v>-276</v>
      </c>
      <c r="W601" s="8">
        <v>475596</v>
      </c>
      <c r="X601" s="8">
        <f t="shared" si="303"/>
        <v>35695</v>
      </c>
      <c r="Y601" s="8">
        <v>80035</v>
      </c>
      <c r="Z601" s="8">
        <f t="shared" si="304"/>
        <v>17643</v>
      </c>
      <c r="AA601" s="8">
        <v>16128</v>
      </c>
      <c r="AB601" s="8">
        <f t="shared" si="291"/>
        <v>-7564</v>
      </c>
      <c r="AC601" s="8">
        <v>63907</v>
      </c>
      <c r="AD601" s="8">
        <f t="shared" si="291"/>
        <v>25207</v>
      </c>
      <c r="AE601" s="8">
        <v>209646</v>
      </c>
      <c r="AF601" s="8">
        <f t="shared" si="305"/>
        <v>-611</v>
      </c>
      <c r="AG601" s="8">
        <v>323420</v>
      </c>
      <c r="AH601" s="8">
        <f t="shared" si="306"/>
        <v>31607</v>
      </c>
      <c r="AI601" s="8">
        <v>-113774</v>
      </c>
      <c r="AJ601" s="8">
        <f t="shared" si="307"/>
        <v>-32218</v>
      </c>
      <c r="AK601" s="8">
        <v>100120</v>
      </c>
      <c r="AL601" s="8">
        <f t="shared" si="308"/>
        <v>-4709</v>
      </c>
      <c r="AM601" s="8">
        <v>290317</v>
      </c>
      <c r="AN601" s="8">
        <f t="shared" si="309"/>
        <v>30373</v>
      </c>
      <c r="AO601" s="8">
        <v>-190197</v>
      </c>
      <c r="AP601" s="8">
        <f t="shared" si="310"/>
        <v>-35082</v>
      </c>
      <c r="AR601" s="8">
        <v>1792019</v>
      </c>
      <c r="AS601" s="8">
        <f t="shared" si="311"/>
        <v>-64244</v>
      </c>
      <c r="AT601" s="8">
        <v>228484</v>
      </c>
      <c r="AU601" s="8">
        <f t="shared" si="312"/>
        <v>13542</v>
      </c>
      <c r="AV601" s="8">
        <v>389003</v>
      </c>
      <c r="AW601" s="8">
        <f t="shared" si="313"/>
        <v>-22702</v>
      </c>
      <c r="AX601" s="8">
        <f t="shared" si="288"/>
        <v>-160519</v>
      </c>
      <c r="AY601" s="8">
        <f t="shared" si="314"/>
        <v>36244</v>
      </c>
      <c r="AZ601" s="8">
        <v>782788</v>
      </c>
      <c r="BA601" s="8">
        <f t="shared" si="315"/>
        <v>-56486</v>
      </c>
      <c r="BB601" s="8">
        <v>694072</v>
      </c>
      <c r="BC601" s="8">
        <f t="shared" si="316"/>
        <v>-28407</v>
      </c>
      <c r="BD601" s="8">
        <f t="shared" si="289"/>
        <v>88716</v>
      </c>
      <c r="BE601" s="8">
        <f t="shared" si="317"/>
        <v>-28079</v>
      </c>
      <c r="BF601" s="8">
        <v>455345</v>
      </c>
      <c r="BG601" s="8">
        <f t="shared" si="318"/>
        <v>-53779</v>
      </c>
      <c r="BH601" s="8">
        <v>619680</v>
      </c>
      <c r="BI601" s="8">
        <f t="shared" si="319"/>
        <v>-22937</v>
      </c>
      <c r="BJ601" s="8">
        <f t="shared" si="290"/>
        <v>-164335</v>
      </c>
      <c r="BK601" s="8">
        <f t="shared" si="292"/>
        <v>-30842</v>
      </c>
    </row>
    <row r="602" spans="1:63">
      <c r="A602" s="5">
        <v>43081</v>
      </c>
      <c r="B602" s="8">
        <v>494301</v>
      </c>
      <c r="C602" s="8">
        <f t="shared" si="293"/>
        <v>-7356</v>
      </c>
      <c r="D602" s="8">
        <v>78257</v>
      </c>
      <c r="E602" s="8">
        <f t="shared" si="294"/>
        <v>8026</v>
      </c>
      <c r="F602" s="8">
        <v>65548</v>
      </c>
      <c r="G602" s="8">
        <f t="shared" si="295"/>
        <v>8996</v>
      </c>
      <c r="H602" s="8">
        <v>12709</v>
      </c>
      <c r="I602" s="8">
        <f t="shared" si="296"/>
        <v>-970</v>
      </c>
      <c r="J602" s="8">
        <v>225964</v>
      </c>
      <c r="K602" s="8">
        <f t="shared" si="297"/>
        <v>-1691</v>
      </c>
      <c r="L602" s="8">
        <v>268709</v>
      </c>
      <c r="M602" s="8">
        <f t="shared" si="298"/>
        <v>-4843</v>
      </c>
      <c r="N602" s="8">
        <v>-42745</v>
      </c>
      <c r="O602" s="8">
        <f t="shared" si="299"/>
        <v>3152</v>
      </c>
      <c r="P602" s="8">
        <v>102264</v>
      </c>
      <c r="Q602" s="8">
        <f t="shared" si="300"/>
        <v>-1661</v>
      </c>
      <c r="R602" s="8">
        <v>248969</v>
      </c>
      <c r="S602" s="8">
        <f t="shared" si="301"/>
        <v>-1367</v>
      </c>
      <c r="T602" s="8">
        <v>-146705</v>
      </c>
      <c r="U602" s="8">
        <f t="shared" si="302"/>
        <v>-294</v>
      </c>
      <c r="W602" s="8">
        <v>456741</v>
      </c>
      <c r="X602" s="8">
        <f t="shared" si="303"/>
        <v>-18855</v>
      </c>
      <c r="Y602" s="8">
        <v>83005</v>
      </c>
      <c r="Z602" s="8">
        <f t="shared" si="304"/>
        <v>2970</v>
      </c>
      <c r="AA602" s="8">
        <v>15289</v>
      </c>
      <c r="AB602" s="8">
        <f t="shared" si="291"/>
        <v>-839</v>
      </c>
      <c r="AC602" s="8">
        <v>67716</v>
      </c>
      <c r="AD602" s="8">
        <f t="shared" si="291"/>
        <v>3809</v>
      </c>
      <c r="AE602" s="8">
        <v>201681</v>
      </c>
      <c r="AF602" s="8">
        <f t="shared" si="305"/>
        <v>-7965</v>
      </c>
      <c r="AG602" s="8">
        <v>319965</v>
      </c>
      <c r="AH602" s="8">
        <f t="shared" si="306"/>
        <v>-3455</v>
      </c>
      <c r="AI602" s="8">
        <v>-118284</v>
      </c>
      <c r="AJ602" s="8">
        <f t="shared" si="307"/>
        <v>-4510</v>
      </c>
      <c r="AK602" s="8">
        <v>93859</v>
      </c>
      <c r="AL602" s="8">
        <f t="shared" si="308"/>
        <v>-6261</v>
      </c>
      <c r="AM602" s="8">
        <v>293390</v>
      </c>
      <c r="AN602" s="8">
        <f t="shared" si="309"/>
        <v>3073</v>
      </c>
      <c r="AO602" s="8">
        <v>-199531</v>
      </c>
      <c r="AP602" s="8">
        <f t="shared" si="310"/>
        <v>-9334</v>
      </c>
      <c r="AR602" s="8">
        <v>1836183</v>
      </c>
      <c r="AS602" s="8">
        <f t="shared" si="311"/>
        <v>44164</v>
      </c>
      <c r="AT602" s="8">
        <v>207182</v>
      </c>
      <c r="AU602" s="8">
        <f t="shared" si="312"/>
        <v>-21302</v>
      </c>
      <c r="AV602" s="8">
        <v>404374</v>
      </c>
      <c r="AW602" s="8">
        <f t="shared" si="313"/>
        <v>15371</v>
      </c>
      <c r="AX602" s="8">
        <f t="shared" si="288"/>
        <v>-197192</v>
      </c>
      <c r="AY602" s="8">
        <f t="shared" si="314"/>
        <v>-36673</v>
      </c>
      <c r="AZ602" s="8">
        <v>809658</v>
      </c>
      <c r="BA602" s="8">
        <f t="shared" si="315"/>
        <v>26870</v>
      </c>
      <c r="BB602" s="8">
        <v>703021</v>
      </c>
      <c r="BC602" s="8">
        <f t="shared" si="316"/>
        <v>8949</v>
      </c>
      <c r="BD602" s="8">
        <f t="shared" si="289"/>
        <v>106637</v>
      </c>
      <c r="BE602" s="8">
        <f t="shared" si="317"/>
        <v>17921</v>
      </c>
      <c r="BF602" s="8">
        <v>477214</v>
      </c>
      <c r="BG602" s="8">
        <f t="shared" si="318"/>
        <v>21869</v>
      </c>
      <c r="BH602" s="8">
        <v>620834</v>
      </c>
      <c r="BI602" s="8">
        <f t="shared" si="319"/>
        <v>1154</v>
      </c>
      <c r="BJ602" s="8">
        <f t="shared" si="290"/>
        <v>-143620</v>
      </c>
      <c r="BK602" s="8">
        <f t="shared" si="292"/>
        <v>20715</v>
      </c>
    </row>
    <row r="603" spans="1:63">
      <c r="A603" s="5">
        <v>43088</v>
      </c>
      <c r="B603" s="8">
        <v>500990</v>
      </c>
      <c r="C603" s="8">
        <f t="shared" si="293"/>
        <v>6689</v>
      </c>
      <c r="D603" s="8">
        <v>77660</v>
      </c>
      <c r="E603" s="8">
        <f t="shared" si="294"/>
        <v>-597</v>
      </c>
      <c r="F603" s="8">
        <v>68527</v>
      </c>
      <c r="G603" s="8">
        <f t="shared" si="295"/>
        <v>2979</v>
      </c>
      <c r="H603" s="8">
        <v>9133</v>
      </c>
      <c r="I603" s="8">
        <f t="shared" si="296"/>
        <v>-3576</v>
      </c>
      <c r="J603" s="8">
        <v>228050</v>
      </c>
      <c r="K603" s="8">
        <f t="shared" si="297"/>
        <v>2086</v>
      </c>
      <c r="L603" s="8">
        <v>264202</v>
      </c>
      <c r="M603" s="8">
        <f t="shared" si="298"/>
        <v>-4507</v>
      </c>
      <c r="N603" s="8">
        <v>-36152</v>
      </c>
      <c r="O603" s="8">
        <f t="shared" si="299"/>
        <v>6593</v>
      </c>
      <c r="P603" s="8">
        <v>103376</v>
      </c>
      <c r="Q603" s="8">
        <f t="shared" si="300"/>
        <v>1112</v>
      </c>
      <c r="R603" s="8">
        <v>242216</v>
      </c>
      <c r="S603" s="8">
        <f t="shared" si="301"/>
        <v>-6753</v>
      </c>
      <c r="T603" s="8">
        <v>-138840</v>
      </c>
      <c r="U603" s="8">
        <f t="shared" si="302"/>
        <v>7865</v>
      </c>
      <c r="W603" s="8">
        <v>445181</v>
      </c>
      <c r="X603" s="8">
        <f t="shared" si="303"/>
        <v>-11560</v>
      </c>
      <c r="Y603" s="8">
        <v>69104</v>
      </c>
      <c r="Z603" s="8">
        <f t="shared" si="304"/>
        <v>-13901</v>
      </c>
      <c r="AA603" s="8">
        <v>20635</v>
      </c>
      <c r="AB603" s="8">
        <f t="shared" si="291"/>
        <v>5346</v>
      </c>
      <c r="AC603" s="8">
        <v>48469</v>
      </c>
      <c r="AD603" s="8">
        <f t="shared" si="291"/>
        <v>-19247</v>
      </c>
      <c r="AE603" s="8">
        <v>208902</v>
      </c>
      <c r="AF603" s="8">
        <f t="shared" si="305"/>
        <v>7221</v>
      </c>
      <c r="AG603" s="8">
        <v>304524</v>
      </c>
      <c r="AH603" s="8">
        <f t="shared" si="306"/>
        <v>-15441</v>
      </c>
      <c r="AI603" s="8">
        <v>-95622</v>
      </c>
      <c r="AJ603" s="8">
        <f t="shared" si="307"/>
        <v>22662</v>
      </c>
      <c r="AK603" s="8">
        <v>101057</v>
      </c>
      <c r="AL603" s="8">
        <f t="shared" si="308"/>
        <v>7198</v>
      </c>
      <c r="AM603" s="8">
        <v>277648</v>
      </c>
      <c r="AN603" s="8">
        <f t="shared" si="309"/>
        <v>-15742</v>
      </c>
      <c r="AO603" s="8">
        <v>-176591</v>
      </c>
      <c r="AP603" s="8">
        <f t="shared" si="310"/>
        <v>22940</v>
      </c>
      <c r="AR603" s="8">
        <v>1880411</v>
      </c>
      <c r="AS603" s="8">
        <f t="shared" si="311"/>
        <v>44228</v>
      </c>
      <c r="AT603" s="8">
        <v>207122</v>
      </c>
      <c r="AU603" s="8">
        <f t="shared" si="312"/>
        <v>-60</v>
      </c>
      <c r="AV603" s="8">
        <v>429275</v>
      </c>
      <c r="AW603" s="8">
        <f t="shared" si="313"/>
        <v>24901</v>
      </c>
      <c r="AX603" s="8">
        <f t="shared" si="288"/>
        <v>-222153</v>
      </c>
      <c r="AY603" s="8">
        <f t="shared" si="314"/>
        <v>-24961</v>
      </c>
      <c r="AZ603" s="8">
        <v>822342</v>
      </c>
      <c r="BA603" s="8">
        <f t="shared" si="315"/>
        <v>12684</v>
      </c>
      <c r="BB603" s="8">
        <v>702635</v>
      </c>
      <c r="BC603" s="8">
        <f t="shared" si="316"/>
        <v>-386</v>
      </c>
      <c r="BD603" s="8">
        <f t="shared" si="289"/>
        <v>119707</v>
      </c>
      <c r="BE603" s="8">
        <f t="shared" si="317"/>
        <v>13070</v>
      </c>
      <c r="BF603" s="8">
        <v>496893</v>
      </c>
      <c r="BG603" s="8">
        <f t="shared" si="318"/>
        <v>19679</v>
      </c>
      <c r="BH603" s="8">
        <v>617482</v>
      </c>
      <c r="BI603" s="8">
        <f t="shared" si="319"/>
        <v>-3352</v>
      </c>
      <c r="BJ603" s="8">
        <f t="shared" si="290"/>
        <v>-120589</v>
      </c>
      <c r="BK603" s="8">
        <f t="shared" si="292"/>
        <v>23031</v>
      </c>
    </row>
    <row r="604" spans="1:63">
      <c r="A604" s="5">
        <v>43095</v>
      </c>
      <c r="B604" s="8">
        <v>475641</v>
      </c>
      <c r="C604" s="8">
        <f t="shared" si="293"/>
        <v>-25349</v>
      </c>
      <c r="D604" s="8">
        <v>74502</v>
      </c>
      <c r="E604" s="8">
        <f t="shared" si="294"/>
        <v>-3158</v>
      </c>
      <c r="F604" s="8">
        <v>71096</v>
      </c>
      <c r="G604" s="8">
        <f t="shared" si="295"/>
        <v>2569</v>
      </c>
      <c r="H604" s="8">
        <v>3406</v>
      </c>
      <c r="I604" s="8">
        <f t="shared" si="296"/>
        <v>-5727</v>
      </c>
      <c r="J604" s="8">
        <v>229035</v>
      </c>
      <c r="K604" s="8">
        <f t="shared" si="297"/>
        <v>985</v>
      </c>
      <c r="L604" s="8">
        <v>256582</v>
      </c>
      <c r="M604" s="8">
        <f t="shared" si="298"/>
        <v>-7620</v>
      </c>
      <c r="N604" s="8">
        <v>-27547</v>
      </c>
      <c r="O604" s="8">
        <f t="shared" si="299"/>
        <v>8605</v>
      </c>
      <c r="P604" s="8">
        <v>106366</v>
      </c>
      <c r="Q604" s="8">
        <f t="shared" si="300"/>
        <v>2990</v>
      </c>
      <c r="R604" s="8">
        <v>235612</v>
      </c>
      <c r="S604" s="8">
        <f t="shared" si="301"/>
        <v>-6604</v>
      </c>
      <c r="T604" s="8">
        <v>-129246</v>
      </c>
      <c r="U604" s="8">
        <f t="shared" si="302"/>
        <v>9594</v>
      </c>
      <c r="W604" s="8">
        <v>425347</v>
      </c>
      <c r="X604" s="8">
        <f t="shared" si="303"/>
        <v>-19834</v>
      </c>
      <c r="Y604" s="8">
        <v>64672</v>
      </c>
      <c r="Z604" s="8">
        <f t="shared" si="304"/>
        <v>-4432</v>
      </c>
      <c r="AA604" s="8">
        <v>33415</v>
      </c>
      <c r="AB604" s="8">
        <f t="shared" si="291"/>
        <v>12780</v>
      </c>
      <c r="AC604" s="8">
        <v>31257</v>
      </c>
      <c r="AD604" s="8">
        <f t="shared" si="291"/>
        <v>-17212</v>
      </c>
      <c r="AE604" s="8">
        <v>204637</v>
      </c>
      <c r="AF604" s="8">
        <f t="shared" si="305"/>
        <v>-4265</v>
      </c>
      <c r="AG604" s="8">
        <v>279573</v>
      </c>
      <c r="AH604" s="8">
        <f t="shared" si="306"/>
        <v>-24951</v>
      </c>
      <c r="AI604" s="8">
        <v>-74936</v>
      </c>
      <c r="AJ604" s="8">
        <f t="shared" si="307"/>
        <v>20686</v>
      </c>
      <c r="AK604" s="8">
        <v>99039</v>
      </c>
      <c r="AL604" s="8">
        <f t="shared" si="308"/>
        <v>-2018</v>
      </c>
      <c r="AM604" s="8">
        <v>251447</v>
      </c>
      <c r="AN604" s="8">
        <f t="shared" si="309"/>
        <v>-26201</v>
      </c>
      <c r="AO604" s="8">
        <v>-152408</v>
      </c>
      <c r="AP604" s="8">
        <f t="shared" si="310"/>
        <v>24183</v>
      </c>
      <c r="AR604" s="8">
        <v>1852922</v>
      </c>
      <c r="AS604" s="8">
        <f t="shared" si="311"/>
        <v>-27489</v>
      </c>
      <c r="AT604" s="8">
        <v>209616</v>
      </c>
      <c r="AU604" s="8">
        <f t="shared" si="312"/>
        <v>2494</v>
      </c>
      <c r="AV604" s="8">
        <v>416240</v>
      </c>
      <c r="AW604" s="8">
        <f t="shared" si="313"/>
        <v>-13035</v>
      </c>
      <c r="AX604" s="8">
        <f t="shared" si="288"/>
        <v>-206624</v>
      </c>
      <c r="AY604" s="8">
        <f t="shared" si="314"/>
        <v>15529</v>
      </c>
      <c r="AZ604" s="8">
        <v>823484</v>
      </c>
      <c r="BA604" s="8">
        <f t="shared" si="315"/>
        <v>1142</v>
      </c>
      <c r="BB604" s="8">
        <v>721553</v>
      </c>
      <c r="BC604" s="8">
        <f t="shared" si="316"/>
        <v>18918</v>
      </c>
      <c r="BD604" s="8">
        <f t="shared" si="289"/>
        <v>101931</v>
      </c>
      <c r="BE604" s="8">
        <f t="shared" si="317"/>
        <v>-17776</v>
      </c>
      <c r="BF604" s="8">
        <v>498350</v>
      </c>
      <c r="BG604" s="8">
        <f t="shared" si="318"/>
        <v>1457</v>
      </c>
      <c r="BH604" s="8">
        <v>634094</v>
      </c>
      <c r="BI604" s="8">
        <f t="shared" si="319"/>
        <v>16612</v>
      </c>
      <c r="BJ604" s="8">
        <f t="shared" si="290"/>
        <v>-135744</v>
      </c>
      <c r="BK604" s="8">
        <f t="shared" si="292"/>
        <v>-15155</v>
      </c>
    </row>
    <row r="605" spans="1:63">
      <c r="A605" s="5">
        <v>43102</v>
      </c>
      <c r="B605" s="8">
        <v>468013</v>
      </c>
      <c r="C605" s="8">
        <f t="shared" si="293"/>
        <v>-7628</v>
      </c>
      <c r="D605" s="8">
        <v>73533</v>
      </c>
      <c r="E605" s="8">
        <f t="shared" si="294"/>
        <v>-969</v>
      </c>
      <c r="F605" s="8">
        <v>70159</v>
      </c>
      <c r="G605" s="8">
        <f t="shared" si="295"/>
        <v>-937</v>
      </c>
      <c r="H605" s="8">
        <v>3374</v>
      </c>
      <c r="I605" s="8">
        <f t="shared" si="296"/>
        <v>-32</v>
      </c>
      <c r="J605" s="8">
        <v>213891</v>
      </c>
      <c r="K605" s="8">
        <f t="shared" si="297"/>
        <v>-15144</v>
      </c>
      <c r="L605" s="8">
        <v>241113</v>
      </c>
      <c r="M605" s="8">
        <f t="shared" si="298"/>
        <v>-15469</v>
      </c>
      <c r="N605" s="8">
        <v>-27222</v>
      </c>
      <c r="O605" s="8">
        <f t="shared" si="299"/>
        <v>325</v>
      </c>
      <c r="P605" s="8">
        <v>93751</v>
      </c>
      <c r="Q605" s="8">
        <f t="shared" si="300"/>
        <v>-12615</v>
      </c>
      <c r="R605" s="8">
        <v>219968</v>
      </c>
      <c r="S605" s="8">
        <f t="shared" si="301"/>
        <v>-15644</v>
      </c>
      <c r="T605" s="8">
        <v>-126217</v>
      </c>
      <c r="U605" s="8">
        <f t="shared" si="302"/>
        <v>3029</v>
      </c>
      <c r="W605" s="8">
        <v>414796</v>
      </c>
      <c r="X605" s="8">
        <f t="shared" si="303"/>
        <v>-10551</v>
      </c>
      <c r="Y605" s="8">
        <v>60314</v>
      </c>
      <c r="Z605" s="8">
        <f t="shared" si="304"/>
        <v>-4358</v>
      </c>
      <c r="AA605" s="8">
        <v>41629</v>
      </c>
      <c r="AB605" s="8">
        <f t="shared" si="291"/>
        <v>8214</v>
      </c>
      <c r="AC605" s="8">
        <v>18685</v>
      </c>
      <c r="AD605" s="8">
        <f t="shared" si="291"/>
        <v>-12572</v>
      </c>
      <c r="AE605" s="8">
        <v>197163</v>
      </c>
      <c r="AF605" s="8">
        <f t="shared" si="305"/>
        <v>-7474</v>
      </c>
      <c r="AG605" s="8">
        <v>260508</v>
      </c>
      <c r="AH605" s="8">
        <f t="shared" si="306"/>
        <v>-19065</v>
      </c>
      <c r="AI605" s="8">
        <v>-63345</v>
      </c>
      <c r="AJ605" s="8">
        <f t="shared" si="307"/>
        <v>11591</v>
      </c>
      <c r="AK605" s="8">
        <v>92655</v>
      </c>
      <c r="AL605" s="8">
        <f t="shared" si="308"/>
        <v>-6384</v>
      </c>
      <c r="AM605" s="8">
        <v>232941</v>
      </c>
      <c r="AN605" s="8">
        <f t="shared" si="309"/>
        <v>-18506</v>
      </c>
      <c r="AO605" s="8">
        <v>-140286</v>
      </c>
      <c r="AP605" s="8">
        <f t="shared" si="310"/>
        <v>12122</v>
      </c>
      <c r="AR605" s="8">
        <v>1851952</v>
      </c>
      <c r="AS605" s="8">
        <f t="shared" si="311"/>
        <v>-970</v>
      </c>
      <c r="AT605" s="8">
        <v>210518</v>
      </c>
      <c r="AU605" s="8">
        <f t="shared" si="312"/>
        <v>902</v>
      </c>
      <c r="AV605" s="8">
        <v>409094</v>
      </c>
      <c r="AW605" s="8">
        <f t="shared" si="313"/>
        <v>-7146</v>
      </c>
      <c r="AX605" s="8">
        <f t="shared" si="288"/>
        <v>-198576</v>
      </c>
      <c r="AY605" s="8">
        <f t="shared" si="314"/>
        <v>8048</v>
      </c>
      <c r="AZ605" s="8">
        <v>817751</v>
      </c>
      <c r="BA605" s="8">
        <f t="shared" si="315"/>
        <v>-5733</v>
      </c>
      <c r="BB605" s="8">
        <v>724731</v>
      </c>
      <c r="BC605" s="8">
        <f t="shared" si="316"/>
        <v>3178</v>
      </c>
      <c r="BD605" s="8">
        <f t="shared" si="289"/>
        <v>93020</v>
      </c>
      <c r="BE605" s="8">
        <f t="shared" si="317"/>
        <v>-8911</v>
      </c>
      <c r="BF605" s="8">
        <v>491000</v>
      </c>
      <c r="BG605" s="8">
        <f t="shared" si="318"/>
        <v>-7350</v>
      </c>
      <c r="BH605" s="8">
        <v>637892</v>
      </c>
      <c r="BI605" s="8">
        <f t="shared" si="319"/>
        <v>3798</v>
      </c>
      <c r="BJ605" s="8">
        <f t="shared" si="290"/>
        <v>-146892</v>
      </c>
      <c r="BK605" s="8">
        <f t="shared" si="292"/>
        <v>-11148</v>
      </c>
    </row>
    <row r="606" spans="1:63">
      <c r="A606" s="5">
        <v>43109</v>
      </c>
      <c r="B606" s="8">
        <v>475819</v>
      </c>
      <c r="C606" s="8">
        <f t="shared" si="293"/>
        <v>7806</v>
      </c>
      <c r="D606" s="8">
        <v>77527</v>
      </c>
      <c r="E606" s="8">
        <f t="shared" si="294"/>
        <v>3994</v>
      </c>
      <c r="F606" s="8">
        <v>65615</v>
      </c>
      <c r="G606" s="8">
        <f t="shared" si="295"/>
        <v>-4544</v>
      </c>
      <c r="H606" s="8">
        <v>11912</v>
      </c>
      <c r="I606" s="8">
        <f t="shared" si="296"/>
        <v>8538</v>
      </c>
      <c r="J606" s="8">
        <v>219078</v>
      </c>
      <c r="K606" s="8">
        <f t="shared" si="297"/>
        <v>5187</v>
      </c>
      <c r="L606" s="8">
        <v>254715</v>
      </c>
      <c r="M606" s="8">
        <f t="shared" si="298"/>
        <v>13602</v>
      </c>
      <c r="N606" s="8">
        <v>-35637</v>
      </c>
      <c r="O606" s="8">
        <f t="shared" si="299"/>
        <v>-8415</v>
      </c>
      <c r="P606" s="8">
        <v>93117</v>
      </c>
      <c r="Q606" s="8">
        <f t="shared" si="300"/>
        <v>-634</v>
      </c>
      <c r="R606" s="8">
        <v>234650</v>
      </c>
      <c r="S606" s="8">
        <f t="shared" si="301"/>
        <v>14682</v>
      </c>
      <c r="T606" s="8">
        <v>-141533</v>
      </c>
      <c r="U606" s="8">
        <f t="shared" si="302"/>
        <v>-15316</v>
      </c>
      <c r="W606" s="8">
        <v>418712</v>
      </c>
      <c r="X606" s="8">
        <f t="shared" si="303"/>
        <v>3916</v>
      </c>
      <c r="Y606" s="8">
        <v>59265</v>
      </c>
      <c r="Z606" s="8">
        <f t="shared" si="304"/>
        <v>-1049</v>
      </c>
      <c r="AA606" s="8">
        <v>43531</v>
      </c>
      <c r="AB606" s="8">
        <f t="shared" si="291"/>
        <v>1902</v>
      </c>
      <c r="AC606" s="8">
        <v>15734</v>
      </c>
      <c r="AD606" s="8">
        <f t="shared" si="291"/>
        <v>-2951</v>
      </c>
      <c r="AE606" s="8">
        <v>196697</v>
      </c>
      <c r="AF606" s="8">
        <f t="shared" si="305"/>
        <v>-466</v>
      </c>
      <c r="AG606" s="8">
        <v>261982</v>
      </c>
      <c r="AH606" s="8">
        <f t="shared" si="306"/>
        <v>1474</v>
      </c>
      <c r="AI606" s="8">
        <v>-65285</v>
      </c>
      <c r="AJ606" s="8">
        <f t="shared" si="307"/>
        <v>-1940</v>
      </c>
      <c r="AK606" s="8">
        <v>94890</v>
      </c>
      <c r="AL606" s="8">
        <f t="shared" si="308"/>
        <v>2235</v>
      </c>
      <c r="AM606" s="8">
        <v>235719</v>
      </c>
      <c r="AN606" s="8">
        <f t="shared" si="309"/>
        <v>2778</v>
      </c>
      <c r="AO606" s="8">
        <v>-140829</v>
      </c>
      <c r="AP606" s="8">
        <f t="shared" si="310"/>
        <v>-543</v>
      </c>
      <c r="AR606" s="8">
        <v>1915789</v>
      </c>
      <c r="AS606" s="8">
        <f t="shared" si="311"/>
        <v>63837</v>
      </c>
      <c r="AT606" s="8">
        <v>201438</v>
      </c>
      <c r="AU606" s="8">
        <f t="shared" si="312"/>
        <v>-9080</v>
      </c>
      <c r="AV606" s="8">
        <v>423954</v>
      </c>
      <c r="AW606" s="8">
        <f t="shared" si="313"/>
        <v>14860</v>
      </c>
      <c r="AX606" s="8">
        <f t="shared" si="288"/>
        <v>-222516</v>
      </c>
      <c r="AY606" s="8">
        <f t="shared" si="314"/>
        <v>-23940</v>
      </c>
      <c r="AZ606" s="8">
        <v>836466</v>
      </c>
      <c r="BA606" s="8">
        <f t="shared" si="315"/>
        <v>18715</v>
      </c>
      <c r="BB606" s="8">
        <v>718543</v>
      </c>
      <c r="BC606" s="8">
        <f t="shared" si="316"/>
        <v>-6188</v>
      </c>
      <c r="BD606" s="8">
        <f t="shared" si="289"/>
        <v>117923</v>
      </c>
      <c r="BE606" s="8">
        <f t="shared" si="317"/>
        <v>24903</v>
      </c>
      <c r="BF606" s="8">
        <v>512101</v>
      </c>
      <c r="BG606" s="8">
        <f t="shared" si="318"/>
        <v>21101</v>
      </c>
      <c r="BH606" s="8">
        <v>628606</v>
      </c>
      <c r="BI606" s="8">
        <f t="shared" si="319"/>
        <v>-9286</v>
      </c>
      <c r="BJ606" s="8">
        <f t="shared" si="290"/>
        <v>-116505</v>
      </c>
      <c r="BK606" s="8">
        <f t="shared" si="292"/>
        <v>30387</v>
      </c>
    </row>
    <row r="607" spans="1:63">
      <c r="A607" s="5">
        <v>43116</v>
      </c>
      <c r="B607" s="8">
        <v>498111</v>
      </c>
      <c r="C607" s="8">
        <f t="shared" si="293"/>
        <v>22292</v>
      </c>
      <c r="D607" s="8">
        <v>70740</v>
      </c>
      <c r="E607" s="8">
        <f t="shared" si="294"/>
        <v>-6787</v>
      </c>
      <c r="F607" s="8">
        <v>76572</v>
      </c>
      <c r="G607" s="8">
        <f t="shared" si="295"/>
        <v>10957</v>
      </c>
      <c r="H607" s="8">
        <v>-5832</v>
      </c>
      <c r="I607" s="8">
        <f t="shared" si="296"/>
        <v>-17744</v>
      </c>
      <c r="J607" s="8">
        <v>223430</v>
      </c>
      <c r="K607" s="8">
        <f t="shared" si="297"/>
        <v>4352</v>
      </c>
      <c r="L607" s="8">
        <v>245631</v>
      </c>
      <c r="M607" s="8">
        <f t="shared" si="298"/>
        <v>-9084</v>
      </c>
      <c r="N607" s="8">
        <v>-22201</v>
      </c>
      <c r="O607" s="8">
        <f t="shared" si="299"/>
        <v>13436</v>
      </c>
      <c r="P607" s="8">
        <v>94017</v>
      </c>
      <c r="Q607" s="8">
        <f t="shared" si="300"/>
        <v>900</v>
      </c>
      <c r="R607" s="8">
        <v>223398</v>
      </c>
      <c r="S607" s="8">
        <f t="shared" si="301"/>
        <v>-11252</v>
      </c>
      <c r="T607" s="8">
        <v>-129381</v>
      </c>
      <c r="U607" s="8">
        <f t="shared" si="302"/>
        <v>12152</v>
      </c>
      <c r="W607" s="8">
        <v>428531</v>
      </c>
      <c r="X607" s="8">
        <f t="shared" si="303"/>
        <v>9819</v>
      </c>
      <c r="Y607" s="8">
        <v>57721</v>
      </c>
      <c r="Z607" s="8">
        <f t="shared" si="304"/>
        <v>-1544</v>
      </c>
      <c r="AA607" s="8">
        <v>49647</v>
      </c>
      <c r="AB607" s="8">
        <f t="shared" si="291"/>
        <v>6116</v>
      </c>
      <c r="AC607" s="8">
        <v>8074</v>
      </c>
      <c r="AD607" s="8">
        <f t="shared" si="291"/>
        <v>-7660</v>
      </c>
      <c r="AE607" s="8">
        <v>209431</v>
      </c>
      <c r="AF607" s="8">
        <f t="shared" si="305"/>
        <v>12734</v>
      </c>
      <c r="AG607" s="8">
        <v>258473</v>
      </c>
      <c r="AH607" s="8">
        <f t="shared" si="306"/>
        <v>-3509</v>
      </c>
      <c r="AI607" s="8">
        <v>-49042</v>
      </c>
      <c r="AJ607" s="8">
        <f t="shared" si="307"/>
        <v>16243</v>
      </c>
      <c r="AK607" s="8">
        <v>105930</v>
      </c>
      <c r="AL607" s="8">
        <f t="shared" si="308"/>
        <v>11040</v>
      </c>
      <c r="AM607" s="8">
        <v>230851</v>
      </c>
      <c r="AN607" s="8">
        <f t="shared" si="309"/>
        <v>-4868</v>
      </c>
      <c r="AO607" s="8">
        <v>-124921</v>
      </c>
      <c r="AP607" s="8">
        <f t="shared" si="310"/>
        <v>15908</v>
      </c>
      <c r="AR607" s="8">
        <v>1979732</v>
      </c>
      <c r="AS607" s="8">
        <f t="shared" si="311"/>
        <v>63943</v>
      </c>
      <c r="AT607" s="8">
        <v>211296</v>
      </c>
      <c r="AU607" s="8">
        <f t="shared" si="312"/>
        <v>9858</v>
      </c>
      <c r="AV607" s="8">
        <v>438172</v>
      </c>
      <c r="AW607" s="8">
        <f t="shared" si="313"/>
        <v>14218</v>
      </c>
      <c r="AX607" s="8">
        <f t="shared" si="288"/>
        <v>-226876</v>
      </c>
      <c r="AY607" s="8">
        <f t="shared" si="314"/>
        <v>-4360</v>
      </c>
      <c r="AZ607" s="8">
        <v>859363</v>
      </c>
      <c r="BA607" s="8">
        <f t="shared" si="315"/>
        <v>22897</v>
      </c>
      <c r="BB607" s="8">
        <v>739381</v>
      </c>
      <c r="BC607" s="8">
        <f t="shared" si="316"/>
        <v>20838</v>
      </c>
      <c r="BD607" s="8">
        <f t="shared" si="289"/>
        <v>119982</v>
      </c>
      <c r="BE607" s="8">
        <f t="shared" si="317"/>
        <v>2059</v>
      </c>
      <c r="BF607" s="8">
        <v>536729</v>
      </c>
      <c r="BG607" s="8">
        <f t="shared" si="318"/>
        <v>24628</v>
      </c>
      <c r="BH607" s="8">
        <v>649678</v>
      </c>
      <c r="BI607" s="8">
        <f t="shared" si="319"/>
        <v>21072</v>
      </c>
      <c r="BJ607" s="8">
        <f t="shared" si="290"/>
        <v>-112949</v>
      </c>
      <c r="BK607" s="8">
        <f t="shared" si="292"/>
        <v>3556</v>
      </c>
    </row>
    <row r="608" spans="1:63">
      <c r="A608" s="5">
        <v>43123</v>
      </c>
      <c r="B608" s="8">
        <v>540168</v>
      </c>
      <c r="C608" s="8">
        <f t="shared" si="293"/>
        <v>42057</v>
      </c>
      <c r="D608" s="8">
        <v>71321</v>
      </c>
      <c r="E608" s="8">
        <f t="shared" si="294"/>
        <v>581</v>
      </c>
      <c r="F608" s="8">
        <v>92817</v>
      </c>
      <c r="G608" s="8">
        <f t="shared" si="295"/>
        <v>16245</v>
      </c>
      <c r="H608" s="8">
        <v>-21496</v>
      </c>
      <c r="I608" s="8">
        <f t="shared" si="296"/>
        <v>-15664</v>
      </c>
      <c r="J608" s="8">
        <v>243740</v>
      </c>
      <c r="K608" s="8">
        <f t="shared" si="297"/>
        <v>20310</v>
      </c>
      <c r="L608" s="8">
        <v>255813</v>
      </c>
      <c r="M608" s="8">
        <f t="shared" si="298"/>
        <v>10182</v>
      </c>
      <c r="N608" s="8">
        <v>-12073</v>
      </c>
      <c r="O608" s="8">
        <f t="shared" si="299"/>
        <v>10128</v>
      </c>
      <c r="P608" s="8">
        <v>112380</v>
      </c>
      <c r="Q608" s="8">
        <f t="shared" si="300"/>
        <v>18363</v>
      </c>
      <c r="R608" s="8">
        <v>234240</v>
      </c>
      <c r="S608" s="8">
        <f t="shared" si="301"/>
        <v>10842</v>
      </c>
      <c r="T608" s="8">
        <v>-121860</v>
      </c>
      <c r="U608" s="8">
        <f t="shared" si="302"/>
        <v>7521</v>
      </c>
      <c r="W608" s="8">
        <v>457462</v>
      </c>
      <c r="X608" s="8">
        <f t="shared" si="303"/>
        <v>28931</v>
      </c>
      <c r="Y608" s="8">
        <v>68946</v>
      </c>
      <c r="Z608" s="8">
        <f t="shared" si="304"/>
        <v>11225</v>
      </c>
      <c r="AA608" s="8">
        <v>35725</v>
      </c>
      <c r="AB608" s="8">
        <f t="shared" si="291"/>
        <v>-13922</v>
      </c>
      <c r="AC608" s="8">
        <v>33221</v>
      </c>
      <c r="AD608" s="8">
        <f t="shared" si="291"/>
        <v>25147</v>
      </c>
      <c r="AE608" s="8">
        <v>214283</v>
      </c>
      <c r="AF608" s="8">
        <f t="shared" si="305"/>
        <v>4852</v>
      </c>
      <c r="AG608" s="8">
        <v>291118</v>
      </c>
      <c r="AH608" s="8">
        <f t="shared" si="306"/>
        <v>32645</v>
      </c>
      <c r="AI608" s="8">
        <v>-76835</v>
      </c>
      <c r="AJ608" s="8">
        <f t="shared" si="307"/>
        <v>-27793</v>
      </c>
      <c r="AK608" s="8">
        <v>106815</v>
      </c>
      <c r="AL608" s="8">
        <f t="shared" si="308"/>
        <v>885</v>
      </c>
      <c r="AM608" s="8">
        <v>261461</v>
      </c>
      <c r="AN608" s="8">
        <f t="shared" si="309"/>
        <v>30610</v>
      </c>
      <c r="AO608" s="8">
        <v>-154646</v>
      </c>
      <c r="AP608" s="8">
        <f t="shared" si="310"/>
        <v>-29725</v>
      </c>
      <c r="AR608" s="8">
        <v>2038080</v>
      </c>
      <c r="AS608" s="8">
        <f t="shared" si="311"/>
        <v>58348</v>
      </c>
      <c r="AT608" s="8">
        <v>207898</v>
      </c>
      <c r="AU608" s="8">
        <f t="shared" si="312"/>
        <v>-3398</v>
      </c>
      <c r="AV608" s="8">
        <v>427574</v>
      </c>
      <c r="AW608" s="8">
        <f t="shared" si="313"/>
        <v>-10598</v>
      </c>
      <c r="AX608" s="8">
        <f t="shared" si="288"/>
        <v>-219676</v>
      </c>
      <c r="AY608" s="8">
        <f t="shared" si="314"/>
        <v>7200</v>
      </c>
      <c r="AZ608" s="8">
        <v>888521</v>
      </c>
      <c r="BA608" s="8">
        <f t="shared" si="315"/>
        <v>29158</v>
      </c>
      <c r="BB608" s="8">
        <v>779209</v>
      </c>
      <c r="BC608" s="8">
        <f t="shared" si="316"/>
        <v>39828</v>
      </c>
      <c r="BD608" s="8">
        <f t="shared" si="289"/>
        <v>109312</v>
      </c>
      <c r="BE608" s="8">
        <f t="shared" si="317"/>
        <v>-10670</v>
      </c>
      <c r="BF608" s="8">
        <v>554834</v>
      </c>
      <c r="BG608" s="8">
        <f t="shared" si="318"/>
        <v>18105</v>
      </c>
      <c r="BH608" s="8">
        <v>678882</v>
      </c>
      <c r="BI608" s="8">
        <f t="shared" si="319"/>
        <v>29204</v>
      </c>
      <c r="BJ608" s="8">
        <f t="shared" si="290"/>
        <v>-124048</v>
      </c>
      <c r="BK608" s="8">
        <f t="shared" si="292"/>
        <v>-11099</v>
      </c>
    </row>
    <row r="609" spans="1:63">
      <c r="A609" s="5">
        <v>43130</v>
      </c>
      <c r="B609" s="8">
        <v>536440</v>
      </c>
      <c r="C609" s="8">
        <f t="shared" si="293"/>
        <v>-3728</v>
      </c>
      <c r="D609" s="8">
        <v>70699</v>
      </c>
      <c r="E609" s="8">
        <f t="shared" si="294"/>
        <v>-622</v>
      </c>
      <c r="F609" s="8">
        <v>87287</v>
      </c>
      <c r="G609" s="8">
        <f t="shared" si="295"/>
        <v>-5530</v>
      </c>
      <c r="H609" s="8">
        <v>-16588</v>
      </c>
      <c r="I609" s="8">
        <f t="shared" si="296"/>
        <v>4908</v>
      </c>
      <c r="J609" s="8">
        <v>237129</v>
      </c>
      <c r="K609" s="8">
        <f t="shared" si="297"/>
        <v>-6611</v>
      </c>
      <c r="L609" s="8">
        <v>261369</v>
      </c>
      <c r="M609" s="8">
        <f t="shared" si="298"/>
        <v>5556</v>
      </c>
      <c r="N609" s="8">
        <v>-24240</v>
      </c>
      <c r="O609" s="8">
        <f t="shared" si="299"/>
        <v>-12167</v>
      </c>
      <c r="P609" s="8">
        <v>100336</v>
      </c>
      <c r="Q609" s="8">
        <f t="shared" si="300"/>
        <v>-12044</v>
      </c>
      <c r="R609" s="8">
        <v>238197</v>
      </c>
      <c r="S609" s="8">
        <f t="shared" si="301"/>
        <v>3957</v>
      </c>
      <c r="T609" s="8">
        <v>-137861</v>
      </c>
      <c r="U609" s="8">
        <f t="shared" si="302"/>
        <v>-16001</v>
      </c>
      <c r="W609" s="8">
        <v>469396</v>
      </c>
      <c r="X609" s="8">
        <f t="shared" si="303"/>
        <v>11934</v>
      </c>
      <c r="Y609" s="8">
        <v>74593</v>
      </c>
      <c r="Z609" s="8">
        <f t="shared" si="304"/>
        <v>5647</v>
      </c>
      <c r="AA609" s="8">
        <v>19358</v>
      </c>
      <c r="AB609" s="8">
        <f t="shared" si="291"/>
        <v>-16367</v>
      </c>
      <c r="AC609" s="8">
        <v>55235</v>
      </c>
      <c r="AD609" s="8">
        <f t="shared" si="291"/>
        <v>22014</v>
      </c>
      <c r="AE609" s="8">
        <v>211283</v>
      </c>
      <c r="AF609" s="8">
        <f t="shared" si="305"/>
        <v>-3000</v>
      </c>
      <c r="AG609" s="8">
        <v>308349</v>
      </c>
      <c r="AH609" s="8">
        <f t="shared" si="306"/>
        <v>17231</v>
      </c>
      <c r="AI609" s="8">
        <v>-97066</v>
      </c>
      <c r="AJ609" s="8">
        <f t="shared" si="307"/>
        <v>-20231</v>
      </c>
      <c r="AK609" s="8">
        <v>102337</v>
      </c>
      <c r="AL609" s="8">
        <f t="shared" si="308"/>
        <v>-4478</v>
      </c>
      <c r="AM609" s="8">
        <v>278510</v>
      </c>
      <c r="AN609" s="8">
        <f t="shared" si="309"/>
        <v>17049</v>
      </c>
      <c r="AO609" s="8">
        <v>-176173</v>
      </c>
      <c r="AP609" s="8">
        <f t="shared" si="310"/>
        <v>-21527</v>
      </c>
      <c r="AR609" s="8">
        <v>2093775</v>
      </c>
      <c r="AS609" s="8">
        <f t="shared" si="311"/>
        <v>55695</v>
      </c>
      <c r="AT609" s="8">
        <v>239369</v>
      </c>
      <c r="AU609" s="8">
        <f t="shared" si="312"/>
        <v>31471</v>
      </c>
      <c r="AV609" s="8">
        <v>370311</v>
      </c>
      <c r="AW609" s="8">
        <f t="shared" si="313"/>
        <v>-57263</v>
      </c>
      <c r="AX609" s="8">
        <f t="shared" si="288"/>
        <v>-130942</v>
      </c>
      <c r="AY609" s="8">
        <f t="shared" si="314"/>
        <v>88734</v>
      </c>
      <c r="AZ609" s="8">
        <v>868569</v>
      </c>
      <c r="BA609" s="8">
        <f t="shared" si="315"/>
        <v>-19952</v>
      </c>
      <c r="BB609" s="8">
        <v>849505</v>
      </c>
      <c r="BC609" s="8">
        <f t="shared" si="316"/>
        <v>70296</v>
      </c>
      <c r="BD609" s="8">
        <f t="shared" si="289"/>
        <v>19064</v>
      </c>
      <c r="BE609" s="8">
        <f t="shared" si="317"/>
        <v>-90248</v>
      </c>
      <c r="BF609" s="8">
        <v>528978</v>
      </c>
      <c r="BG609" s="8">
        <f t="shared" si="318"/>
        <v>-25856</v>
      </c>
      <c r="BH609" s="8">
        <v>743788</v>
      </c>
      <c r="BI609" s="8">
        <f t="shared" si="319"/>
        <v>64906</v>
      </c>
      <c r="BJ609" s="8">
        <f t="shared" si="290"/>
        <v>-214810</v>
      </c>
      <c r="BK609" s="8">
        <f t="shared" si="292"/>
        <v>-90762</v>
      </c>
    </row>
    <row r="610" spans="1:63">
      <c r="A610" s="5">
        <v>43137</v>
      </c>
      <c r="B610" s="8">
        <v>525277</v>
      </c>
      <c r="C610" s="8">
        <f t="shared" si="293"/>
        <v>-11163</v>
      </c>
      <c r="D610" s="8">
        <v>73950</v>
      </c>
      <c r="E610" s="8">
        <f t="shared" si="294"/>
        <v>3251</v>
      </c>
      <c r="F610" s="8">
        <v>76638</v>
      </c>
      <c r="G610" s="8">
        <f t="shared" si="295"/>
        <v>-10649</v>
      </c>
      <c r="H610" s="8">
        <v>-2688</v>
      </c>
      <c r="I610" s="8">
        <f t="shared" si="296"/>
        <v>13900</v>
      </c>
      <c r="J610" s="8">
        <v>229775</v>
      </c>
      <c r="K610" s="8">
        <f t="shared" si="297"/>
        <v>-7354</v>
      </c>
      <c r="L610" s="8">
        <v>269112</v>
      </c>
      <c r="M610" s="8">
        <f t="shared" si="298"/>
        <v>7743</v>
      </c>
      <c r="N610" s="8">
        <v>-39337</v>
      </c>
      <c r="O610" s="8">
        <f t="shared" si="299"/>
        <v>-15097</v>
      </c>
      <c r="P610" s="8">
        <v>97873</v>
      </c>
      <c r="Q610" s="8">
        <f t="shared" si="300"/>
        <v>-2463</v>
      </c>
      <c r="R610" s="8">
        <v>242421</v>
      </c>
      <c r="S610" s="8">
        <f t="shared" si="301"/>
        <v>4224</v>
      </c>
      <c r="T610" s="8">
        <v>-144548</v>
      </c>
      <c r="U610" s="8">
        <f t="shared" si="302"/>
        <v>-6687</v>
      </c>
      <c r="W610" s="8">
        <v>492316</v>
      </c>
      <c r="X610" s="8">
        <f t="shared" si="303"/>
        <v>22920</v>
      </c>
      <c r="Y610" s="8">
        <v>70772</v>
      </c>
      <c r="Z610" s="8">
        <f t="shared" si="304"/>
        <v>-3821</v>
      </c>
      <c r="AA610" s="8">
        <v>18769</v>
      </c>
      <c r="AB610" s="8">
        <f t="shared" si="291"/>
        <v>-589</v>
      </c>
      <c r="AC610" s="8">
        <v>52003</v>
      </c>
      <c r="AD610" s="8">
        <f t="shared" si="291"/>
        <v>-3232</v>
      </c>
      <c r="AE610" s="8">
        <v>223254</v>
      </c>
      <c r="AF610" s="8">
        <f t="shared" si="305"/>
        <v>11971</v>
      </c>
      <c r="AG610" s="8">
        <v>323031</v>
      </c>
      <c r="AH610" s="8">
        <f t="shared" si="306"/>
        <v>14682</v>
      </c>
      <c r="AI610" s="8">
        <v>-99777</v>
      </c>
      <c r="AJ610" s="8">
        <f t="shared" si="307"/>
        <v>-2711</v>
      </c>
      <c r="AK610" s="8">
        <v>113109</v>
      </c>
      <c r="AL610" s="8">
        <f t="shared" si="308"/>
        <v>10772</v>
      </c>
      <c r="AM610" s="8">
        <v>294208</v>
      </c>
      <c r="AN610" s="8">
        <f t="shared" si="309"/>
        <v>15698</v>
      </c>
      <c r="AO610" s="8">
        <v>-181099</v>
      </c>
      <c r="AP610" s="8">
        <f t="shared" si="310"/>
        <v>-4926</v>
      </c>
      <c r="AR610" s="8">
        <v>2132218</v>
      </c>
      <c r="AS610" s="8">
        <f t="shared" si="311"/>
        <v>38443</v>
      </c>
      <c r="AT610" s="8">
        <v>250148</v>
      </c>
      <c r="AU610" s="8">
        <f t="shared" si="312"/>
        <v>10779</v>
      </c>
      <c r="AV610" s="8">
        <v>333072</v>
      </c>
      <c r="AW610" s="8">
        <f t="shared" si="313"/>
        <v>-37239</v>
      </c>
      <c r="AX610" s="8">
        <f t="shared" si="288"/>
        <v>-82924</v>
      </c>
      <c r="AY610" s="8">
        <f t="shared" si="314"/>
        <v>48018</v>
      </c>
      <c r="AZ610" s="8">
        <v>888091</v>
      </c>
      <c r="BA610" s="8">
        <f t="shared" si="315"/>
        <v>19522</v>
      </c>
      <c r="BB610" s="8">
        <v>900898</v>
      </c>
      <c r="BC610" s="8">
        <f t="shared" si="316"/>
        <v>51393</v>
      </c>
      <c r="BD610" s="8">
        <f t="shared" si="289"/>
        <v>-12807</v>
      </c>
      <c r="BE610" s="8">
        <f t="shared" si="317"/>
        <v>-31871</v>
      </c>
      <c r="BF610" s="8">
        <v>540099</v>
      </c>
      <c r="BG610" s="8">
        <f t="shared" si="318"/>
        <v>11121</v>
      </c>
      <c r="BH610" s="8">
        <v>783832</v>
      </c>
      <c r="BI610" s="8">
        <f t="shared" si="319"/>
        <v>40044</v>
      </c>
      <c r="BJ610" s="8">
        <f t="shared" si="290"/>
        <v>-243733</v>
      </c>
      <c r="BK610" s="8">
        <f t="shared" si="292"/>
        <v>-28923</v>
      </c>
    </row>
    <row r="611" spans="1:63">
      <c r="A611" s="5">
        <v>43144</v>
      </c>
      <c r="B611" s="8">
        <v>539982</v>
      </c>
      <c r="C611" s="8">
        <f t="shared" si="293"/>
        <v>14705</v>
      </c>
      <c r="D611" s="8">
        <v>71251</v>
      </c>
      <c r="E611" s="8">
        <f t="shared" si="294"/>
        <v>-2699</v>
      </c>
      <c r="F611" s="8">
        <v>84881</v>
      </c>
      <c r="G611" s="8">
        <f t="shared" si="295"/>
        <v>8243</v>
      </c>
      <c r="H611" s="8">
        <v>-13630</v>
      </c>
      <c r="I611" s="8">
        <f t="shared" si="296"/>
        <v>-10942</v>
      </c>
      <c r="J611" s="8">
        <v>240950</v>
      </c>
      <c r="K611" s="8">
        <f t="shared" si="297"/>
        <v>11175</v>
      </c>
      <c r="L611" s="8">
        <v>274106</v>
      </c>
      <c r="M611" s="8">
        <f t="shared" si="298"/>
        <v>4994</v>
      </c>
      <c r="N611" s="8">
        <v>-33156</v>
      </c>
      <c r="O611" s="8">
        <f t="shared" si="299"/>
        <v>6181</v>
      </c>
      <c r="P611" s="8">
        <v>112692</v>
      </c>
      <c r="Q611" s="8">
        <f t="shared" si="300"/>
        <v>14819</v>
      </c>
      <c r="R611" s="8">
        <v>249708</v>
      </c>
      <c r="S611" s="8">
        <f t="shared" si="301"/>
        <v>7287</v>
      </c>
      <c r="T611" s="8">
        <v>-137016</v>
      </c>
      <c r="U611" s="8">
        <f t="shared" si="302"/>
        <v>7532</v>
      </c>
      <c r="W611" s="8">
        <v>539075</v>
      </c>
      <c r="X611" s="8">
        <f t="shared" si="303"/>
        <v>46759</v>
      </c>
      <c r="Y611" s="8">
        <v>82642</v>
      </c>
      <c r="Z611" s="8">
        <f t="shared" si="304"/>
        <v>11870</v>
      </c>
      <c r="AA611" s="8">
        <v>11651</v>
      </c>
      <c r="AB611" s="8">
        <f t="shared" si="291"/>
        <v>-7118</v>
      </c>
      <c r="AC611" s="8">
        <v>70991</v>
      </c>
      <c r="AD611" s="8">
        <f t="shared" si="291"/>
        <v>18988</v>
      </c>
      <c r="AE611" s="8">
        <v>233353</v>
      </c>
      <c r="AF611" s="8">
        <f t="shared" si="305"/>
        <v>10099</v>
      </c>
      <c r="AG611" s="8">
        <v>363285</v>
      </c>
      <c r="AH611" s="8">
        <f t="shared" si="306"/>
        <v>40254</v>
      </c>
      <c r="AI611" s="8">
        <v>-129932</v>
      </c>
      <c r="AJ611" s="8">
        <f t="shared" si="307"/>
        <v>-30155</v>
      </c>
      <c r="AK611" s="8">
        <v>117764</v>
      </c>
      <c r="AL611" s="8">
        <f t="shared" si="308"/>
        <v>4655</v>
      </c>
      <c r="AM611" s="8">
        <v>335899</v>
      </c>
      <c r="AN611" s="8">
        <f t="shared" si="309"/>
        <v>41691</v>
      </c>
      <c r="AO611" s="8">
        <v>-218135</v>
      </c>
      <c r="AP611" s="8">
        <f t="shared" si="310"/>
        <v>-37036</v>
      </c>
      <c r="AR611" s="8">
        <v>2104949</v>
      </c>
      <c r="AS611" s="8">
        <f t="shared" si="311"/>
        <v>-27269</v>
      </c>
      <c r="AT611" s="8">
        <v>258602</v>
      </c>
      <c r="AU611" s="8">
        <f t="shared" si="312"/>
        <v>8454</v>
      </c>
      <c r="AV611" s="8">
        <v>269216</v>
      </c>
      <c r="AW611" s="8">
        <f t="shared" si="313"/>
        <v>-63856</v>
      </c>
      <c r="AX611" s="8">
        <f t="shared" si="288"/>
        <v>-10614</v>
      </c>
      <c r="AY611" s="8">
        <f t="shared" si="314"/>
        <v>72310</v>
      </c>
      <c r="AZ611" s="8">
        <v>853428</v>
      </c>
      <c r="BA611" s="8">
        <f t="shared" si="315"/>
        <v>-34663</v>
      </c>
      <c r="BB611" s="8">
        <v>940624</v>
      </c>
      <c r="BC611" s="8">
        <f t="shared" si="316"/>
        <v>39726</v>
      </c>
      <c r="BD611" s="8">
        <f t="shared" si="289"/>
        <v>-87196</v>
      </c>
      <c r="BE611" s="8">
        <f t="shared" si="317"/>
        <v>-74389</v>
      </c>
      <c r="BF611" s="8">
        <v>511360</v>
      </c>
      <c r="BG611" s="8">
        <f t="shared" si="318"/>
        <v>-28739</v>
      </c>
      <c r="BH611" s="8">
        <v>830519</v>
      </c>
      <c r="BI611" s="8">
        <f t="shared" si="319"/>
        <v>46687</v>
      </c>
      <c r="BJ611" s="8">
        <f t="shared" si="290"/>
        <v>-319159</v>
      </c>
      <c r="BK611" s="8">
        <f t="shared" si="292"/>
        <v>-75426</v>
      </c>
    </row>
    <row r="612" spans="1:63">
      <c r="A612" s="5">
        <v>43151</v>
      </c>
      <c r="B612" s="8">
        <v>539130</v>
      </c>
      <c r="C612" s="8">
        <f t="shared" si="293"/>
        <v>-852</v>
      </c>
      <c r="D612" s="8">
        <v>68289</v>
      </c>
      <c r="E612" s="8">
        <f t="shared" si="294"/>
        <v>-2962</v>
      </c>
      <c r="F612" s="8">
        <v>95424</v>
      </c>
      <c r="G612" s="8">
        <f t="shared" si="295"/>
        <v>10543</v>
      </c>
      <c r="H612" s="8">
        <v>-27135</v>
      </c>
      <c r="I612" s="8">
        <f t="shared" si="296"/>
        <v>-13505</v>
      </c>
      <c r="J612" s="8">
        <v>245935</v>
      </c>
      <c r="K612" s="8">
        <f t="shared" si="297"/>
        <v>4985</v>
      </c>
      <c r="L612" s="8">
        <v>270322</v>
      </c>
      <c r="M612" s="8">
        <f t="shared" si="298"/>
        <v>-3784</v>
      </c>
      <c r="N612" s="8">
        <v>-24387</v>
      </c>
      <c r="O612" s="8">
        <f t="shared" si="299"/>
        <v>8769</v>
      </c>
      <c r="P612" s="8">
        <v>117014</v>
      </c>
      <c r="Q612" s="8">
        <f t="shared" si="300"/>
        <v>4322</v>
      </c>
      <c r="R612" s="8">
        <v>245291</v>
      </c>
      <c r="S612" s="8">
        <f t="shared" si="301"/>
        <v>-4417</v>
      </c>
      <c r="T612" s="8">
        <v>-128277</v>
      </c>
      <c r="U612" s="8">
        <f t="shared" si="302"/>
        <v>8739</v>
      </c>
      <c r="W612" s="8">
        <v>557582</v>
      </c>
      <c r="X612" s="8">
        <f t="shared" si="303"/>
        <v>18507</v>
      </c>
      <c r="Y612" s="8">
        <v>92757</v>
      </c>
      <c r="Z612" s="8">
        <f t="shared" si="304"/>
        <v>10115</v>
      </c>
      <c r="AA612" s="8">
        <v>7668</v>
      </c>
      <c r="AB612" s="8">
        <f t="shared" si="291"/>
        <v>-3983</v>
      </c>
      <c r="AC612" s="8">
        <v>85089</v>
      </c>
      <c r="AD612" s="8">
        <f t="shared" si="291"/>
        <v>14098</v>
      </c>
      <c r="AE612" s="8">
        <v>231124</v>
      </c>
      <c r="AF612" s="8">
        <f t="shared" si="305"/>
        <v>-2229</v>
      </c>
      <c r="AG612" s="8">
        <v>380578</v>
      </c>
      <c r="AH612" s="8">
        <f t="shared" si="306"/>
        <v>17293</v>
      </c>
      <c r="AI612" s="8">
        <v>-149454</v>
      </c>
      <c r="AJ612" s="8">
        <f t="shared" si="307"/>
        <v>-19522</v>
      </c>
      <c r="AK612" s="8">
        <v>119997</v>
      </c>
      <c r="AL612" s="8">
        <f t="shared" si="308"/>
        <v>2233</v>
      </c>
      <c r="AM612" s="8">
        <v>353525</v>
      </c>
      <c r="AN612" s="8">
        <f t="shared" si="309"/>
        <v>17626</v>
      </c>
      <c r="AO612" s="8">
        <v>-233528</v>
      </c>
      <c r="AP612" s="8">
        <f t="shared" si="310"/>
        <v>-15393</v>
      </c>
      <c r="AR612" s="8">
        <v>2128714</v>
      </c>
      <c r="AS612" s="8">
        <f t="shared" si="311"/>
        <v>23765</v>
      </c>
      <c r="AT612" s="8">
        <v>266270</v>
      </c>
      <c r="AU612" s="8">
        <f t="shared" si="312"/>
        <v>7668</v>
      </c>
      <c r="AV612" s="8">
        <v>247596</v>
      </c>
      <c r="AW612" s="8">
        <f t="shared" si="313"/>
        <v>-21620</v>
      </c>
      <c r="AX612" s="8">
        <f t="shared" si="288"/>
        <v>18674</v>
      </c>
      <c r="AY612" s="8">
        <f t="shared" si="314"/>
        <v>29288</v>
      </c>
      <c r="AZ612" s="8">
        <v>842485</v>
      </c>
      <c r="BA612" s="8">
        <f t="shared" si="315"/>
        <v>-10943</v>
      </c>
      <c r="BB612" s="8">
        <v>946693</v>
      </c>
      <c r="BC612" s="8">
        <f t="shared" si="316"/>
        <v>6069</v>
      </c>
      <c r="BD612" s="8">
        <f t="shared" si="289"/>
        <v>-104208</v>
      </c>
      <c r="BE612" s="8">
        <f t="shared" si="317"/>
        <v>-17012</v>
      </c>
      <c r="BF612" s="8">
        <v>496861</v>
      </c>
      <c r="BG612" s="8">
        <f t="shared" si="318"/>
        <v>-14499</v>
      </c>
      <c r="BH612" s="8">
        <v>834307</v>
      </c>
      <c r="BI612" s="8">
        <f t="shared" si="319"/>
        <v>3788</v>
      </c>
      <c r="BJ612" s="8">
        <f t="shared" si="290"/>
        <v>-337446</v>
      </c>
      <c r="BK612" s="8">
        <f t="shared" si="292"/>
        <v>-18287</v>
      </c>
    </row>
    <row r="613" spans="1:63">
      <c r="A613" s="5">
        <v>43158</v>
      </c>
      <c r="B613" s="8">
        <v>491114</v>
      </c>
      <c r="C613" s="8">
        <f t="shared" si="293"/>
        <v>-48016</v>
      </c>
      <c r="D613" s="8">
        <v>72597</v>
      </c>
      <c r="E613" s="8">
        <f t="shared" si="294"/>
        <v>4308</v>
      </c>
      <c r="F613" s="8">
        <v>81944</v>
      </c>
      <c r="G613" s="8">
        <f t="shared" si="295"/>
        <v>-13480</v>
      </c>
      <c r="H613" s="8">
        <v>-9347</v>
      </c>
      <c r="I613" s="8">
        <f t="shared" si="296"/>
        <v>17788</v>
      </c>
      <c r="J613" s="8">
        <v>222085</v>
      </c>
      <c r="K613" s="8">
        <f t="shared" si="297"/>
        <v>-23850</v>
      </c>
      <c r="L613" s="8">
        <v>270745</v>
      </c>
      <c r="M613" s="8">
        <f t="shared" si="298"/>
        <v>423</v>
      </c>
      <c r="N613" s="8">
        <v>-48660</v>
      </c>
      <c r="O613" s="8">
        <f t="shared" si="299"/>
        <v>-24273</v>
      </c>
      <c r="P613" s="8">
        <v>95588</v>
      </c>
      <c r="Q613" s="8">
        <f t="shared" si="300"/>
        <v>-21426</v>
      </c>
      <c r="R613" s="8">
        <v>248064</v>
      </c>
      <c r="S613" s="8">
        <f t="shared" si="301"/>
        <v>2773</v>
      </c>
      <c r="T613" s="8">
        <v>-152476</v>
      </c>
      <c r="U613" s="8">
        <f t="shared" si="302"/>
        <v>-24199</v>
      </c>
      <c r="W613" s="8">
        <v>508077</v>
      </c>
      <c r="X613" s="8">
        <f t="shared" si="303"/>
        <v>-49505</v>
      </c>
      <c r="Y613" s="8">
        <v>113883</v>
      </c>
      <c r="Z613" s="8">
        <f t="shared" si="304"/>
        <v>21126</v>
      </c>
      <c r="AA613" s="8">
        <v>7603</v>
      </c>
      <c r="AB613" s="8">
        <f t="shared" si="291"/>
        <v>-65</v>
      </c>
      <c r="AC613" s="8">
        <v>106280</v>
      </c>
      <c r="AD613" s="8">
        <f t="shared" si="291"/>
        <v>21191</v>
      </c>
      <c r="AE613" s="8">
        <v>193407</v>
      </c>
      <c r="AF613" s="8">
        <f t="shared" si="305"/>
        <v>-37717</v>
      </c>
      <c r="AG613" s="8">
        <v>360392</v>
      </c>
      <c r="AH613" s="8">
        <f t="shared" si="306"/>
        <v>-20186</v>
      </c>
      <c r="AI613" s="8">
        <v>-166985</v>
      </c>
      <c r="AJ613" s="8">
        <f t="shared" si="307"/>
        <v>-17531</v>
      </c>
      <c r="AK613" s="8">
        <v>84047</v>
      </c>
      <c r="AL613" s="8">
        <f t="shared" si="308"/>
        <v>-35950</v>
      </c>
      <c r="AM613" s="8">
        <v>332589</v>
      </c>
      <c r="AN613" s="8">
        <f t="shared" si="309"/>
        <v>-20936</v>
      </c>
      <c r="AO613" s="8">
        <v>-248542</v>
      </c>
      <c r="AP613" s="8">
        <f t="shared" si="310"/>
        <v>-15014</v>
      </c>
      <c r="AR613" s="8">
        <v>1986305</v>
      </c>
      <c r="AS613" s="8">
        <f t="shared" si="311"/>
        <v>-142409</v>
      </c>
      <c r="AT613" s="8">
        <v>285058</v>
      </c>
      <c r="AU613" s="8">
        <f t="shared" si="312"/>
        <v>18788</v>
      </c>
      <c r="AV613" s="8">
        <v>225938</v>
      </c>
      <c r="AW613" s="8">
        <f t="shared" si="313"/>
        <v>-21658</v>
      </c>
      <c r="AX613" s="8">
        <f t="shared" si="288"/>
        <v>59120</v>
      </c>
      <c r="AY613" s="8">
        <f t="shared" si="314"/>
        <v>40446</v>
      </c>
      <c r="AZ613" s="8">
        <v>810259</v>
      </c>
      <c r="BA613" s="8">
        <f t="shared" si="315"/>
        <v>-32226</v>
      </c>
      <c r="BB613" s="8">
        <v>956061</v>
      </c>
      <c r="BC613" s="8">
        <f t="shared" si="316"/>
        <v>9368</v>
      </c>
      <c r="BD613" s="8">
        <f t="shared" si="289"/>
        <v>-145802</v>
      </c>
      <c r="BE613" s="8">
        <f t="shared" si="317"/>
        <v>-41594</v>
      </c>
      <c r="BF613" s="8">
        <v>476194</v>
      </c>
      <c r="BG613" s="8">
        <f t="shared" si="318"/>
        <v>-20667</v>
      </c>
      <c r="BH613" s="8">
        <v>872268</v>
      </c>
      <c r="BI613" s="8">
        <f t="shared" si="319"/>
        <v>37961</v>
      </c>
      <c r="BJ613" s="8">
        <f t="shared" si="290"/>
        <v>-396074</v>
      </c>
      <c r="BK613" s="8">
        <f t="shared" si="292"/>
        <v>-58628</v>
      </c>
    </row>
    <row r="614" spans="1:63">
      <c r="A614" s="5">
        <v>43165</v>
      </c>
      <c r="B614" s="8">
        <v>514235</v>
      </c>
      <c r="C614" s="8">
        <f t="shared" si="293"/>
        <v>23121</v>
      </c>
      <c r="D614" s="8">
        <v>73935</v>
      </c>
      <c r="E614" s="8">
        <f t="shared" si="294"/>
        <v>1338</v>
      </c>
      <c r="F614" s="8">
        <v>82981</v>
      </c>
      <c r="G614" s="8">
        <f t="shared" si="295"/>
        <v>1037</v>
      </c>
      <c r="H614" s="8">
        <v>-9046</v>
      </c>
      <c r="I614" s="8">
        <f t="shared" si="296"/>
        <v>301</v>
      </c>
      <c r="J614" s="8">
        <v>233049</v>
      </c>
      <c r="K614" s="8">
        <f t="shared" si="297"/>
        <v>10964</v>
      </c>
      <c r="L614" s="8">
        <v>282591</v>
      </c>
      <c r="M614" s="8">
        <f t="shared" si="298"/>
        <v>11846</v>
      </c>
      <c r="N614" s="8">
        <v>-49542</v>
      </c>
      <c r="O614" s="8">
        <f t="shared" si="299"/>
        <v>-882</v>
      </c>
      <c r="P614" s="8">
        <v>100529</v>
      </c>
      <c r="Q614" s="8">
        <f t="shared" si="300"/>
        <v>4941</v>
      </c>
      <c r="R614" s="8">
        <v>259120</v>
      </c>
      <c r="S614" s="8">
        <f t="shared" si="301"/>
        <v>11056</v>
      </c>
      <c r="T614" s="8">
        <v>-158591</v>
      </c>
      <c r="U614" s="8">
        <f t="shared" si="302"/>
        <v>-6115</v>
      </c>
      <c r="W614" s="8">
        <v>510861</v>
      </c>
      <c r="X614" s="8">
        <f t="shared" si="303"/>
        <v>2784</v>
      </c>
      <c r="Y614" s="8">
        <v>121252</v>
      </c>
      <c r="Z614" s="8">
        <f t="shared" si="304"/>
        <v>7369</v>
      </c>
      <c r="AA614" s="8">
        <v>5752</v>
      </c>
      <c r="AB614" s="8">
        <f t="shared" si="291"/>
        <v>-1851</v>
      </c>
      <c r="AC614" s="8">
        <v>115500</v>
      </c>
      <c r="AD614" s="8">
        <f t="shared" si="291"/>
        <v>9220</v>
      </c>
      <c r="AE614" s="8">
        <v>196932</v>
      </c>
      <c r="AF614" s="8">
        <f t="shared" si="305"/>
        <v>3525</v>
      </c>
      <c r="AG614" s="8">
        <v>365749</v>
      </c>
      <c r="AH614" s="8">
        <f t="shared" si="306"/>
        <v>5357</v>
      </c>
      <c r="AI614" s="8">
        <v>-168817</v>
      </c>
      <c r="AJ614" s="8">
        <f t="shared" si="307"/>
        <v>-1832</v>
      </c>
      <c r="AK614" s="8">
        <v>86904</v>
      </c>
      <c r="AL614" s="8">
        <f t="shared" si="308"/>
        <v>2857</v>
      </c>
      <c r="AM614" s="8">
        <v>337288</v>
      </c>
      <c r="AN614" s="8">
        <f t="shared" si="309"/>
        <v>4699</v>
      </c>
      <c r="AO614" s="8">
        <v>-250384</v>
      </c>
      <c r="AP614" s="8">
        <f t="shared" si="310"/>
        <v>-1842</v>
      </c>
      <c r="AR614" s="8">
        <v>2149942</v>
      </c>
      <c r="AS614" s="8">
        <f t="shared" si="311"/>
        <v>163637</v>
      </c>
      <c r="AT614" s="8">
        <v>349582</v>
      </c>
      <c r="AU614" s="8">
        <f t="shared" si="312"/>
        <v>64524</v>
      </c>
      <c r="AV614" s="8">
        <v>186048</v>
      </c>
      <c r="AW614" s="8">
        <f t="shared" si="313"/>
        <v>-39890</v>
      </c>
      <c r="AX614" s="8">
        <f t="shared" si="288"/>
        <v>163534</v>
      </c>
      <c r="AY614" s="8">
        <f t="shared" si="314"/>
        <v>104414</v>
      </c>
      <c r="AZ614" s="8">
        <v>857881</v>
      </c>
      <c r="BA614" s="8">
        <f t="shared" si="315"/>
        <v>47622</v>
      </c>
      <c r="BB614" s="8">
        <v>1092305</v>
      </c>
      <c r="BC614" s="8">
        <f t="shared" si="316"/>
        <v>136244</v>
      </c>
      <c r="BD614" s="8">
        <f t="shared" si="289"/>
        <v>-234424</v>
      </c>
      <c r="BE614" s="8">
        <f t="shared" si="317"/>
        <v>-88622</v>
      </c>
      <c r="BF614" s="8">
        <v>500216</v>
      </c>
      <c r="BG614" s="8">
        <f t="shared" si="318"/>
        <v>24022</v>
      </c>
      <c r="BH614" s="8">
        <v>1001375</v>
      </c>
      <c r="BI614" s="8">
        <f t="shared" si="319"/>
        <v>129107</v>
      </c>
      <c r="BJ614" s="8">
        <f t="shared" si="290"/>
        <v>-501159</v>
      </c>
      <c r="BK614" s="8">
        <f t="shared" si="292"/>
        <v>-105085</v>
      </c>
    </row>
    <row r="615" spans="1:63">
      <c r="A615" s="5">
        <f>A614+7</f>
        <v>43172</v>
      </c>
      <c r="B615" s="8">
        <v>517069</v>
      </c>
      <c r="C615" s="8">
        <f t="shared" si="293"/>
        <v>2834</v>
      </c>
      <c r="D615" s="8">
        <v>69391</v>
      </c>
      <c r="E615" s="8">
        <f t="shared" si="294"/>
        <v>-4544</v>
      </c>
      <c r="F615" s="8">
        <v>90612</v>
      </c>
      <c r="G615" s="8">
        <f t="shared" si="295"/>
        <v>7631</v>
      </c>
      <c r="H615" s="8">
        <v>-21221</v>
      </c>
      <c r="I615" s="8">
        <f t="shared" si="296"/>
        <v>-12175</v>
      </c>
      <c r="J615" s="8">
        <v>237074</v>
      </c>
      <c r="K615" s="8">
        <f t="shared" si="297"/>
        <v>4025</v>
      </c>
      <c r="L615" s="8">
        <v>272870</v>
      </c>
      <c r="M615" s="8">
        <f t="shared" si="298"/>
        <v>-9721</v>
      </c>
      <c r="N615" s="8">
        <v>-35796</v>
      </c>
      <c r="O615" s="8">
        <f t="shared" si="299"/>
        <v>13746</v>
      </c>
      <c r="P615" s="8">
        <v>107186</v>
      </c>
      <c r="Q615" s="8">
        <f t="shared" si="300"/>
        <v>6657</v>
      </c>
      <c r="R615" s="8">
        <v>249288</v>
      </c>
      <c r="S615" s="8">
        <f t="shared" si="301"/>
        <v>-9832</v>
      </c>
      <c r="T615" s="8">
        <v>-142102</v>
      </c>
      <c r="U615" s="8">
        <f t="shared" si="302"/>
        <v>16489</v>
      </c>
      <c r="W615" s="8">
        <v>512779</v>
      </c>
      <c r="X615" s="8">
        <f t="shared" si="303"/>
        <v>1918</v>
      </c>
      <c r="Y615" s="8">
        <v>116576</v>
      </c>
      <c r="Z615" s="8">
        <f t="shared" si="304"/>
        <v>-4676</v>
      </c>
      <c r="AA615" s="8">
        <v>5127</v>
      </c>
      <c r="AB615" s="8">
        <f t="shared" si="291"/>
        <v>-625</v>
      </c>
      <c r="AC615" s="8">
        <v>111449</v>
      </c>
      <c r="AD615" s="8">
        <f t="shared" si="291"/>
        <v>-4051</v>
      </c>
      <c r="AE615" s="8">
        <v>200256</v>
      </c>
      <c r="AF615" s="8">
        <f t="shared" si="305"/>
        <v>3324</v>
      </c>
      <c r="AG615" s="8">
        <v>363154</v>
      </c>
      <c r="AH615" s="8">
        <f t="shared" si="306"/>
        <v>-2595</v>
      </c>
      <c r="AI615" s="8">
        <v>-162898</v>
      </c>
      <c r="AJ615" s="8">
        <f t="shared" si="307"/>
        <v>5919</v>
      </c>
      <c r="AK615" s="8">
        <v>87400</v>
      </c>
      <c r="AL615" s="8">
        <f t="shared" si="308"/>
        <v>496</v>
      </c>
      <c r="AM615" s="8">
        <v>332671</v>
      </c>
      <c r="AN615" s="8">
        <f t="shared" si="309"/>
        <v>-4617</v>
      </c>
      <c r="AO615" s="8">
        <v>-245271</v>
      </c>
      <c r="AP615" s="8">
        <f t="shared" si="310"/>
        <v>5113</v>
      </c>
      <c r="AR615" s="8">
        <v>2323591</v>
      </c>
      <c r="AS615" s="8">
        <f t="shared" si="311"/>
        <v>173649</v>
      </c>
      <c r="AT615" s="8">
        <v>380552</v>
      </c>
      <c r="AU615" s="8">
        <f t="shared" si="312"/>
        <v>30970</v>
      </c>
      <c r="AV615" s="8">
        <v>147489</v>
      </c>
      <c r="AW615" s="8">
        <f t="shared" si="313"/>
        <v>-38559</v>
      </c>
      <c r="AX615" s="8">
        <f t="shared" si="288"/>
        <v>233063</v>
      </c>
      <c r="AY615" s="8">
        <f t="shared" si="314"/>
        <v>69529</v>
      </c>
      <c r="AZ615" s="8">
        <v>888929</v>
      </c>
      <c r="BA615" s="8">
        <f t="shared" si="315"/>
        <v>31048</v>
      </c>
      <c r="BB615" s="8">
        <v>1185306</v>
      </c>
      <c r="BC615" s="8">
        <f t="shared" si="316"/>
        <v>93001</v>
      </c>
      <c r="BD615" s="8">
        <f t="shared" si="289"/>
        <v>-296377</v>
      </c>
      <c r="BE615" s="8">
        <f t="shared" si="317"/>
        <v>-61953</v>
      </c>
      <c r="BF615" s="8">
        <v>525573</v>
      </c>
      <c r="BG615" s="8">
        <f t="shared" si="318"/>
        <v>25357</v>
      </c>
      <c r="BH615" s="8">
        <v>1084907</v>
      </c>
      <c r="BI615" s="8">
        <f t="shared" si="319"/>
        <v>83532</v>
      </c>
      <c r="BJ615" s="8">
        <f t="shared" si="290"/>
        <v>-559334</v>
      </c>
      <c r="BK615" s="8">
        <f t="shared" si="292"/>
        <v>-58175</v>
      </c>
    </row>
    <row r="616" spans="1:63">
      <c r="A616" s="5">
        <f t="shared" ref="A616:A679" si="320">A615+7</f>
        <v>43179</v>
      </c>
      <c r="B616" s="8">
        <v>526434</v>
      </c>
      <c r="C616" s="8">
        <f t="shared" si="293"/>
        <v>9365</v>
      </c>
      <c r="D616" s="8">
        <v>68125</v>
      </c>
      <c r="E616" s="8">
        <f t="shared" si="294"/>
        <v>-1266</v>
      </c>
      <c r="F616" s="8">
        <v>93045</v>
      </c>
      <c r="G616" s="8">
        <f t="shared" si="295"/>
        <v>2433</v>
      </c>
      <c r="H616" s="8">
        <v>-24920</v>
      </c>
      <c r="I616" s="8">
        <f t="shared" si="296"/>
        <v>-3699</v>
      </c>
      <c r="J616" s="8">
        <v>235432</v>
      </c>
      <c r="K616" s="8">
        <f t="shared" si="297"/>
        <v>-1642</v>
      </c>
      <c r="L616" s="8">
        <v>268206</v>
      </c>
      <c r="M616" s="8">
        <f t="shared" si="298"/>
        <v>-4664</v>
      </c>
      <c r="N616" s="8">
        <v>-32774</v>
      </c>
      <c r="O616" s="8">
        <f t="shared" si="299"/>
        <v>3022</v>
      </c>
      <c r="P616" s="8">
        <v>111999</v>
      </c>
      <c r="Q616" s="8">
        <f t="shared" si="300"/>
        <v>4813</v>
      </c>
      <c r="R616" s="8">
        <v>248929</v>
      </c>
      <c r="S616" s="8">
        <f t="shared" si="301"/>
        <v>-359</v>
      </c>
      <c r="T616" s="8">
        <v>-136930</v>
      </c>
      <c r="U616" s="8">
        <f t="shared" si="302"/>
        <v>5172</v>
      </c>
      <c r="W616" s="8">
        <v>507869</v>
      </c>
      <c r="X616" s="8">
        <f t="shared" si="303"/>
        <v>-4910</v>
      </c>
      <c r="Y616" s="8">
        <v>106932</v>
      </c>
      <c r="Z616" s="8">
        <f t="shared" si="304"/>
        <v>-9644</v>
      </c>
      <c r="AA616" s="8">
        <v>7454</v>
      </c>
      <c r="AB616" s="8">
        <f t="shared" ref="AB616:AB682" si="321">AA616-AA615</f>
        <v>2327</v>
      </c>
      <c r="AC616" s="8">
        <v>99478</v>
      </c>
      <c r="AD616" s="8">
        <f t="shared" ref="AD616:AD682" si="322">AC616-AC615</f>
        <v>-11971</v>
      </c>
      <c r="AE616" s="8">
        <v>203908</v>
      </c>
      <c r="AF616" s="8">
        <f t="shared" si="305"/>
        <v>3652</v>
      </c>
      <c r="AG616" s="8">
        <v>354348</v>
      </c>
      <c r="AH616" s="8">
        <f t="shared" si="306"/>
        <v>-8806</v>
      </c>
      <c r="AI616" s="8">
        <v>-150440</v>
      </c>
      <c r="AJ616" s="8">
        <f t="shared" si="307"/>
        <v>12458</v>
      </c>
      <c r="AK616" s="8">
        <v>92506</v>
      </c>
      <c r="AL616" s="8">
        <f t="shared" si="308"/>
        <v>5106</v>
      </c>
      <c r="AM616" s="8">
        <v>326127</v>
      </c>
      <c r="AN616" s="8">
        <f t="shared" si="309"/>
        <v>-6544</v>
      </c>
      <c r="AO616" s="8">
        <v>-233621</v>
      </c>
      <c r="AP616" s="8">
        <f t="shared" si="310"/>
        <v>11650</v>
      </c>
      <c r="AR616" s="8">
        <v>2310613</v>
      </c>
      <c r="AS616" s="8">
        <f t="shared" si="311"/>
        <v>-12978</v>
      </c>
      <c r="AT616" s="8">
        <v>370555</v>
      </c>
      <c r="AU616" s="8">
        <f t="shared" si="312"/>
        <v>-9997</v>
      </c>
      <c r="AV616" s="8">
        <v>157324</v>
      </c>
      <c r="AW616" s="8">
        <f t="shared" si="313"/>
        <v>9835</v>
      </c>
      <c r="AX616" s="8">
        <f t="shared" si="288"/>
        <v>213231</v>
      </c>
      <c r="AY616" s="8">
        <f t="shared" si="314"/>
        <v>-19832</v>
      </c>
      <c r="AZ616" s="8">
        <v>929248</v>
      </c>
      <c r="BA616" s="8">
        <f t="shared" si="315"/>
        <v>40319</v>
      </c>
      <c r="BB616" s="8">
        <v>1162011</v>
      </c>
      <c r="BC616" s="8">
        <f t="shared" si="316"/>
        <v>-23295</v>
      </c>
      <c r="BD616" s="8">
        <f t="shared" si="289"/>
        <v>-232763</v>
      </c>
      <c r="BE616" s="8">
        <f t="shared" si="317"/>
        <v>63614</v>
      </c>
      <c r="BF616" s="8">
        <v>552478</v>
      </c>
      <c r="BG616" s="8">
        <f t="shared" si="318"/>
        <v>26905</v>
      </c>
      <c r="BH616" s="8">
        <v>1046042</v>
      </c>
      <c r="BI616" s="8">
        <f t="shared" si="319"/>
        <v>-38865</v>
      </c>
      <c r="BJ616" s="8">
        <f t="shared" si="290"/>
        <v>-493564</v>
      </c>
      <c r="BK616" s="8">
        <f t="shared" si="292"/>
        <v>65770</v>
      </c>
    </row>
    <row r="617" spans="1:63">
      <c r="A617" s="5">
        <f t="shared" si="320"/>
        <v>43186</v>
      </c>
      <c r="B617" s="8">
        <v>547098</v>
      </c>
      <c r="C617" s="8">
        <f t="shared" si="293"/>
        <v>20664</v>
      </c>
      <c r="D617" s="8">
        <v>65798</v>
      </c>
      <c r="E617" s="8">
        <f t="shared" si="294"/>
        <v>-2327</v>
      </c>
      <c r="F617" s="8">
        <v>101914</v>
      </c>
      <c r="G617" s="8">
        <f t="shared" si="295"/>
        <v>8869</v>
      </c>
      <c r="H617" s="8">
        <v>-36116</v>
      </c>
      <c r="I617" s="8">
        <f t="shared" si="296"/>
        <v>-11196</v>
      </c>
      <c r="J617" s="8">
        <v>240318</v>
      </c>
      <c r="K617" s="8">
        <f t="shared" si="297"/>
        <v>4886</v>
      </c>
      <c r="L617" s="8">
        <v>265923</v>
      </c>
      <c r="M617" s="8">
        <f t="shared" si="298"/>
        <v>-2283</v>
      </c>
      <c r="N617" s="8">
        <v>-25605</v>
      </c>
      <c r="O617" s="8">
        <f t="shared" si="299"/>
        <v>7169</v>
      </c>
      <c r="P617" s="8">
        <v>116283</v>
      </c>
      <c r="Q617" s="8">
        <f t="shared" si="300"/>
        <v>4284</v>
      </c>
      <c r="R617" s="8">
        <v>247185</v>
      </c>
      <c r="S617" s="8">
        <f t="shared" si="301"/>
        <v>-1744</v>
      </c>
      <c r="T617" s="8">
        <v>-130902</v>
      </c>
      <c r="U617" s="8">
        <f t="shared" si="302"/>
        <v>6028</v>
      </c>
      <c r="W617" s="8">
        <v>517981</v>
      </c>
      <c r="X617" s="8">
        <f t="shared" si="303"/>
        <v>10112</v>
      </c>
      <c r="Y617" s="8">
        <v>107725</v>
      </c>
      <c r="Z617" s="8">
        <f t="shared" si="304"/>
        <v>793</v>
      </c>
      <c r="AA617" s="8">
        <v>5652</v>
      </c>
      <c r="AB617" s="8">
        <f t="shared" si="321"/>
        <v>-1802</v>
      </c>
      <c r="AC617" s="8">
        <v>102073</v>
      </c>
      <c r="AD617" s="8">
        <f t="shared" si="322"/>
        <v>2595</v>
      </c>
      <c r="AE617" s="8">
        <v>208219</v>
      </c>
      <c r="AF617" s="8">
        <f t="shared" si="305"/>
        <v>4311</v>
      </c>
      <c r="AG617" s="8">
        <v>362946</v>
      </c>
      <c r="AH617" s="8">
        <f t="shared" si="306"/>
        <v>8598</v>
      </c>
      <c r="AI617" s="8">
        <v>-154727</v>
      </c>
      <c r="AJ617" s="8">
        <f t="shared" si="307"/>
        <v>-4287</v>
      </c>
      <c r="AK617" s="8">
        <v>94732</v>
      </c>
      <c r="AL617" s="8">
        <f t="shared" si="308"/>
        <v>2226</v>
      </c>
      <c r="AM617" s="8">
        <v>327300</v>
      </c>
      <c r="AN617" s="8">
        <f t="shared" si="309"/>
        <v>1173</v>
      </c>
      <c r="AO617" s="8">
        <v>-232568</v>
      </c>
      <c r="AP617" s="8">
        <f t="shared" si="310"/>
        <v>1053</v>
      </c>
      <c r="AR617" s="8">
        <v>2315457</v>
      </c>
      <c r="AS617" s="8">
        <f t="shared" si="311"/>
        <v>4844</v>
      </c>
      <c r="AT617" s="8">
        <v>313238</v>
      </c>
      <c r="AU617" s="8">
        <f t="shared" si="312"/>
        <v>-57317</v>
      </c>
      <c r="AV617" s="8">
        <v>196327</v>
      </c>
      <c r="AW617" s="8">
        <f t="shared" si="313"/>
        <v>39003</v>
      </c>
      <c r="AX617" s="8">
        <f t="shared" si="288"/>
        <v>116911</v>
      </c>
      <c r="AY617" s="8">
        <f t="shared" si="314"/>
        <v>-96320</v>
      </c>
      <c r="AZ617" s="8">
        <v>979954</v>
      </c>
      <c r="BA617" s="8">
        <f t="shared" si="315"/>
        <v>50706</v>
      </c>
      <c r="BB617" s="8">
        <v>1135799</v>
      </c>
      <c r="BC617" s="8">
        <f t="shared" si="316"/>
        <v>-26212</v>
      </c>
      <c r="BD617" s="8">
        <f t="shared" si="289"/>
        <v>-155845</v>
      </c>
      <c r="BE617" s="8">
        <f t="shared" si="317"/>
        <v>76918</v>
      </c>
      <c r="BF617" s="8">
        <v>585663</v>
      </c>
      <c r="BG617" s="8">
        <f t="shared" si="318"/>
        <v>33185</v>
      </c>
      <c r="BH617" s="8">
        <v>1002055</v>
      </c>
      <c r="BI617" s="8">
        <f t="shared" si="319"/>
        <v>-43987</v>
      </c>
      <c r="BJ617" s="8">
        <f t="shared" si="290"/>
        <v>-416392</v>
      </c>
      <c r="BK617" s="8">
        <f t="shared" si="292"/>
        <v>77172</v>
      </c>
    </row>
    <row r="618" spans="1:63">
      <c r="A618" s="5">
        <f t="shared" si="320"/>
        <v>43193</v>
      </c>
      <c r="B618" s="8">
        <v>545053</v>
      </c>
      <c r="C618" s="8">
        <f t="shared" si="293"/>
        <v>-2045</v>
      </c>
      <c r="D618" s="8">
        <v>69856</v>
      </c>
      <c r="E618" s="8">
        <f t="shared" si="294"/>
        <v>4058</v>
      </c>
      <c r="F618" s="8">
        <v>92298</v>
      </c>
      <c r="G618" s="8">
        <f t="shared" si="295"/>
        <v>-9616</v>
      </c>
      <c r="H618" s="8">
        <v>-22442</v>
      </c>
      <c r="I618" s="8">
        <f t="shared" si="296"/>
        <v>13674</v>
      </c>
      <c r="J618" s="8">
        <v>231996</v>
      </c>
      <c r="K618" s="8">
        <f t="shared" si="297"/>
        <v>-8322</v>
      </c>
      <c r="L618" s="8">
        <v>268603</v>
      </c>
      <c r="M618" s="8">
        <f t="shared" si="298"/>
        <v>2680</v>
      </c>
      <c r="N618" s="8">
        <v>-36607</v>
      </c>
      <c r="O618" s="8">
        <f t="shared" si="299"/>
        <v>-11002</v>
      </c>
      <c r="P618" s="8">
        <v>109712</v>
      </c>
      <c r="Q618" s="8">
        <f t="shared" si="300"/>
        <v>-6571</v>
      </c>
      <c r="R618" s="8">
        <v>250526</v>
      </c>
      <c r="S618" s="8">
        <f t="shared" si="301"/>
        <v>3341</v>
      </c>
      <c r="T618" s="8">
        <v>-140814</v>
      </c>
      <c r="U618" s="8">
        <f t="shared" si="302"/>
        <v>-9912</v>
      </c>
      <c r="W618" s="8">
        <v>534398</v>
      </c>
      <c r="X618" s="8">
        <f t="shared" si="303"/>
        <v>16417</v>
      </c>
      <c r="Y618" s="8">
        <v>104120</v>
      </c>
      <c r="Z618" s="8">
        <f t="shared" si="304"/>
        <v>-3605</v>
      </c>
      <c r="AA618" s="8">
        <v>5893</v>
      </c>
      <c r="AB618" s="8">
        <f t="shared" si="321"/>
        <v>241</v>
      </c>
      <c r="AC618" s="8">
        <v>98227</v>
      </c>
      <c r="AD618" s="8">
        <f t="shared" si="322"/>
        <v>-3846</v>
      </c>
      <c r="AE618" s="8">
        <v>209768</v>
      </c>
      <c r="AF618" s="8">
        <f t="shared" si="305"/>
        <v>1549</v>
      </c>
      <c r="AG618" s="8">
        <v>363839</v>
      </c>
      <c r="AH618" s="8">
        <f t="shared" si="306"/>
        <v>893</v>
      </c>
      <c r="AI618" s="8">
        <v>-154071</v>
      </c>
      <c r="AJ618" s="8">
        <f t="shared" si="307"/>
        <v>656</v>
      </c>
      <c r="AK618" s="8">
        <v>96688</v>
      </c>
      <c r="AL618" s="8">
        <f t="shared" si="308"/>
        <v>1956</v>
      </c>
      <c r="AM618" s="8">
        <v>331378</v>
      </c>
      <c r="AN618" s="8">
        <f t="shared" si="309"/>
        <v>4078</v>
      </c>
      <c r="AO618" s="8">
        <v>-234690</v>
      </c>
      <c r="AP618" s="8">
        <f t="shared" si="310"/>
        <v>-2122</v>
      </c>
      <c r="AR618" s="8">
        <v>2403876</v>
      </c>
      <c r="AS618" s="8">
        <f t="shared" si="311"/>
        <v>88419</v>
      </c>
      <c r="AT618" s="8">
        <v>326893</v>
      </c>
      <c r="AU618" s="8">
        <f t="shared" si="312"/>
        <v>13655</v>
      </c>
      <c r="AV618" s="8">
        <v>186706</v>
      </c>
      <c r="AW618" s="8">
        <f t="shared" si="313"/>
        <v>-9621</v>
      </c>
      <c r="AX618" s="8">
        <f t="shared" si="288"/>
        <v>140187</v>
      </c>
      <c r="AY618" s="8">
        <f t="shared" si="314"/>
        <v>23276</v>
      </c>
      <c r="AZ618" s="8">
        <v>964034</v>
      </c>
      <c r="BA618" s="8">
        <f t="shared" si="315"/>
        <v>-15920</v>
      </c>
      <c r="BB618" s="8">
        <v>1190875</v>
      </c>
      <c r="BC618" s="8">
        <f t="shared" si="316"/>
        <v>55076</v>
      </c>
      <c r="BD618" s="8">
        <f t="shared" si="289"/>
        <v>-226841</v>
      </c>
      <c r="BE618" s="8">
        <f t="shared" si="317"/>
        <v>-70996</v>
      </c>
      <c r="BF618" s="8">
        <v>576980</v>
      </c>
      <c r="BG618" s="8">
        <f t="shared" si="318"/>
        <v>-8683</v>
      </c>
      <c r="BH618" s="8">
        <v>1051965</v>
      </c>
      <c r="BI618" s="8">
        <f t="shared" si="319"/>
        <v>49910</v>
      </c>
      <c r="BJ618" s="8">
        <f t="shared" si="290"/>
        <v>-474985</v>
      </c>
      <c r="BK618" s="8">
        <f t="shared" si="292"/>
        <v>-58593</v>
      </c>
    </row>
    <row r="619" spans="1:63">
      <c r="A619" s="5">
        <f t="shared" si="320"/>
        <v>43200</v>
      </c>
      <c r="B619" s="8">
        <v>572007</v>
      </c>
      <c r="C619" s="8">
        <f t="shared" si="293"/>
        <v>26954</v>
      </c>
      <c r="D619" s="8">
        <v>68685</v>
      </c>
      <c r="E619" s="8">
        <f t="shared" si="294"/>
        <v>-1171</v>
      </c>
      <c r="F619" s="8">
        <v>101484</v>
      </c>
      <c r="G619" s="8">
        <f t="shared" si="295"/>
        <v>9186</v>
      </c>
      <c r="H619" s="8">
        <v>-32799</v>
      </c>
      <c r="I619" s="8">
        <f t="shared" si="296"/>
        <v>-10357</v>
      </c>
      <c r="J619" s="8">
        <v>237594</v>
      </c>
      <c r="K619" s="8">
        <f t="shared" si="297"/>
        <v>5598</v>
      </c>
      <c r="L619" s="8">
        <v>264074</v>
      </c>
      <c r="M619" s="8">
        <f t="shared" si="298"/>
        <v>-4529</v>
      </c>
      <c r="N619" s="8">
        <v>-26480</v>
      </c>
      <c r="O619" s="8">
        <f t="shared" si="299"/>
        <v>10127</v>
      </c>
      <c r="P619" s="8">
        <v>119227</v>
      </c>
      <c r="Q619" s="8">
        <f t="shared" si="300"/>
        <v>9515</v>
      </c>
      <c r="R619" s="8">
        <v>246334</v>
      </c>
      <c r="S619" s="8">
        <f t="shared" si="301"/>
        <v>-4192</v>
      </c>
      <c r="T619" s="8">
        <v>-127107</v>
      </c>
      <c r="U619" s="8">
        <f t="shared" si="302"/>
        <v>13707</v>
      </c>
      <c r="W619" s="8">
        <v>570068</v>
      </c>
      <c r="X619" s="8">
        <f t="shared" si="303"/>
        <v>35670</v>
      </c>
      <c r="Y619" s="8">
        <v>114672</v>
      </c>
      <c r="Z619" s="8">
        <f t="shared" si="304"/>
        <v>10552</v>
      </c>
      <c r="AA619" s="8">
        <v>5302</v>
      </c>
      <c r="AB619" s="8">
        <f t="shared" si="321"/>
        <v>-591</v>
      </c>
      <c r="AC619" s="8">
        <v>109370</v>
      </c>
      <c r="AD619" s="8">
        <f t="shared" si="322"/>
        <v>11143</v>
      </c>
      <c r="AE619" s="8">
        <v>207035</v>
      </c>
      <c r="AF619" s="8">
        <f t="shared" si="305"/>
        <v>-2733</v>
      </c>
      <c r="AG619" s="8">
        <v>371836</v>
      </c>
      <c r="AH619" s="8">
        <f t="shared" si="306"/>
        <v>7997</v>
      </c>
      <c r="AI619" s="8">
        <v>-164801</v>
      </c>
      <c r="AJ619" s="8">
        <f t="shared" si="307"/>
        <v>-10730</v>
      </c>
      <c r="AK619" s="8">
        <v>97562</v>
      </c>
      <c r="AL619" s="8">
        <f t="shared" si="308"/>
        <v>874</v>
      </c>
      <c r="AM619" s="8">
        <v>338658</v>
      </c>
      <c r="AN619" s="8">
        <f t="shared" si="309"/>
        <v>7280</v>
      </c>
      <c r="AO619" s="8">
        <v>-241096</v>
      </c>
      <c r="AP619" s="8">
        <f t="shared" si="310"/>
        <v>-6406</v>
      </c>
      <c r="AR619" s="8">
        <v>2448431</v>
      </c>
      <c r="AS619" s="8">
        <f t="shared" si="311"/>
        <v>44555</v>
      </c>
      <c r="AT619" s="8">
        <v>329989</v>
      </c>
      <c r="AU619" s="8">
        <f t="shared" si="312"/>
        <v>3096</v>
      </c>
      <c r="AV619" s="8">
        <v>155102</v>
      </c>
      <c r="AW619" s="8">
        <f t="shared" si="313"/>
        <v>-31604</v>
      </c>
      <c r="AX619" s="8">
        <f t="shared" si="288"/>
        <v>174887</v>
      </c>
      <c r="AY619" s="8">
        <f t="shared" si="314"/>
        <v>34700</v>
      </c>
      <c r="AZ619" s="8">
        <v>959905</v>
      </c>
      <c r="BA619" s="8">
        <f t="shared" si="315"/>
        <v>-4129</v>
      </c>
      <c r="BB619" s="8">
        <v>1211510</v>
      </c>
      <c r="BC619" s="8">
        <f t="shared" si="316"/>
        <v>20635</v>
      </c>
      <c r="BD619" s="8">
        <f t="shared" si="289"/>
        <v>-251605</v>
      </c>
      <c r="BE619" s="8">
        <f t="shared" si="317"/>
        <v>-24764</v>
      </c>
      <c r="BF619" s="8">
        <v>578643</v>
      </c>
      <c r="BG619" s="8">
        <f t="shared" si="318"/>
        <v>1663</v>
      </c>
      <c r="BH619" s="8">
        <v>1085169</v>
      </c>
      <c r="BI619" s="8">
        <f t="shared" si="319"/>
        <v>33204</v>
      </c>
      <c r="BJ619" s="8">
        <f t="shared" si="290"/>
        <v>-506526</v>
      </c>
      <c r="BK619" s="8">
        <f t="shared" si="292"/>
        <v>-31541</v>
      </c>
    </row>
    <row r="620" spans="1:63">
      <c r="A620" s="5">
        <f t="shared" si="320"/>
        <v>43207</v>
      </c>
      <c r="B620" s="8">
        <v>558796</v>
      </c>
      <c r="C620" s="8">
        <f t="shared" si="293"/>
        <v>-13211</v>
      </c>
      <c r="D620" s="8">
        <v>68316</v>
      </c>
      <c r="E620" s="8">
        <f t="shared" si="294"/>
        <v>-369</v>
      </c>
      <c r="F620" s="8">
        <v>109143</v>
      </c>
      <c r="G620" s="8">
        <f t="shared" si="295"/>
        <v>7659</v>
      </c>
      <c r="H620" s="8">
        <v>-40827</v>
      </c>
      <c r="I620" s="8">
        <f t="shared" si="296"/>
        <v>-8028</v>
      </c>
      <c r="J620" s="8">
        <v>235319</v>
      </c>
      <c r="K620" s="8">
        <f t="shared" si="297"/>
        <v>-2275</v>
      </c>
      <c r="L620" s="8">
        <v>247999</v>
      </c>
      <c r="M620" s="8">
        <f t="shared" si="298"/>
        <v>-16075</v>
      </c>
      <c r="N620" s="8">
        <v>-12680</v>
      </c>
      <c r="O620" s="8">
        <f t="shared" si="299"/>
        <v>13800</v>
      </c>
      <c r="P620" s="8">
        <v>123220</v>
      </c>
      <c r="Q620" s="8">
        <f t="shared" si="300"/>
        <v>3993</v>
      </c>
      <c r="R620" s="8">
        <v>231880</v>
      </c>
      <c r="S620" s="8">
        <f t="shared" si="301"/>
        <v>-14454</v>
      </c>
      <c r="T620" s="8">
        <v>-108660</v>
      </c>
      <c r="U620" s="8">
        <f t="shared" si="302"/>
        <v>18447</v>
      </c>
      <c r="W620" s="8">
        <v>588589</v>
      </c>
      <c r="X620" s="8">
        <f t="shared" si="303"/>
        <v>18521</v>
      </c>
      <c r="Y620" s="8">
        <v>113969</v>
      </c>
      <c r="Z620" s="8">
        <f t="shared" si="304"/>
        <v>-703</v>
      </c>
      <c r="AA620" s="8">
        <v>4817</v>
      </c>
      <c r="AB620" s="8">
        <f t="shared" si="321"/>
        <v>-485</v>
      </c>
      <c r="AC620" s="8">
        <v>109152</v>
      </c>
      <c r="AD620" s="8">
        <f t="shared" si="322"/>
        <v>-218</v>
      </c>
      <c r="AE620" s="8">
        <v>217571</v>
      </c>
      <c r="AF620" s="8">
        <f t="shared" si="305"/>
        <v>10536</v>
      </c>
      <c r="AG620" s="8">
        <v>379339</v>
      </c>
      <c r="AH620" s="8">
        <f t="shared" si="306"/>
        <v>7503</v>
      </c>
      <c r="AI620" s="8">
        <v>-161768</v>
      </c>
      <c r="AJ620" s="8">
        <f t="shared" si="307"/>
        <v>3033</v>
      </c>
      <c r="AK620" s="8">
        <v>104540</v>
      </c>
      <c r="AL620" s="8">
        <f t="shared" si="308"/>
        <v>6978</v>
      </c>
      <c r="AM620" s="8">
        <v>341256</v>
      </c>
      <c r="AN620" s="8">
        <f t="shared" si="309"/>
        <v>2598</v>
      </c>
      <c r="AO620" s="8">
        <v>-236716</v>
      </c>
      <c r="AP620" s="8">
        <f t="shared" si="310"/>
        <v>4380</v>
      </c>
      <c r="AR620" s="8">
        <v>2382243</v>
      </c>
      <c r="AS620" s="8">
        <f t="shared" si="311"/>
        <v>-66188</v>
      </c>
      <c r="AT620" s="8">
        <v>302072</v>
      </c>
      <c r="AU620" s="8">
        <f t="shared" si="312"/>
        <v>-27917</v>
      </c>
      <c r="AV620" s="8">
        <v>163828</v>
      </c>
      <c r="AW620" s="8">
        <f t="shared" si="313"/>
        <v>8726</v>
      </c>
      <c r="AX620" s="8">
        <f t="shared" si="288"/>
        <v>138244</v>
      </c>
      <c r="AY620" s="8">
        <f t="shared" si="314"/>
        <v>-36643</v>
      </c>
      <c r="AZ620" s="8">
        <v>970286</v>
      </c>
      <c r="BA620" s="8">
        <f t="shared" si="315"/>
        <v>10381</v>
      </c>
      <c r="BB620" s="8">
        <v>1167363</v>
      </c>
      <c r="BC620" s="8">
        <f t="shared" si="316"/>
        <v>-44147</v>
      </c>
      <c r="BD620" s="8">
        <f t="shared" si="289"/>
        <v>-197077</v>
      </c>
      <c r="BE620" s="8">
        <f t="shared" si="317"/>
        <v>54528</v>
      </c>
      <c r="BF620" s="8">
        <v>586419</v>
      </c>
      <c r="BG620" s="8">
        <f t="shared" si="318"/>
        <v>7776</v>
      </c>
      <c r="BH620" s="8">
        <v>1051719</v>
      </c>
      <c r="BI620" s="8">
        <f t="shared" si="319"/>
        <v>-33450</v>
      </c>
      <c r="BJ620" s="8">
        <f t="shared" si="290"/>
        <v>-465300</v>
      </c>
      <c r="BK620" s="8">
        <f t="shared" si="292"/>
        <v>41226</v>
      </c>
    </row>
    <row r="621" spans="1:63">
      <c r="A621" s="5">
        <f t="shared" si="320"/>
        <v>43214</v>
      </c>
      <c r="B621" s="8">
        <v>518430</v>
      </c>
      <c r="C621" s="8">
        <f t="shared" si="293"/>
        <v>-40366</v>
      </c>
      <c r="D621" s="8">
        <v>67614</v>
      </c>
      <c r="E621" s="8">
        <f t="shared" si="294"/>
        <v>-702</v>
      </c>
      <c r="F621" s="8">
        <v>120340</v>
      </c>
      <c r="G621" s="8">
        <f t="shared" si="295"/>
        <v>11197</v>
      </c>
      <c r="H621" s="8">
        <v>-52726</v>
      </c>
      <c r="I621" s="8">
        <f t="shared" si="296"/>
        <v>-11899</v>
      </c>
      <c r="J621" s="8">
        <v>225768</v>
      </c>
      <c r="K621" s="8">
        <f t="shared" si="297"/>
        <v>-9551</v>
      </c>
      <c r="L621" s="8">
        <v>228770</v>
      </c>
      <c r="M621" s="8">
        <f t="shared" si="298"/>
        <v>-19229</v>
      </c>
      <c r="N621" s="8">
        <v>-3002</v>
      </c>
      <c r="O621" s="8">
        <f t="shared" si="299"/>
        <v>9678</v>
      </c>
      <c r="P621" s="8">
        <v>118345</v>
      </c>
      <c r="Q621" s="8">
        <f t="shared" si="300"/>
        <v>-4875</v>
      </c>
      <c r="R621" s="8">
        <v>215861</v>
      </c>
      <c r="S621" s="8">
        <f t="shared" si="301"/>
        <v>-16019</v>
      </c>
      <c r="T621" s="8">
        <v>-97516</v>
      </c>
      <c r="U621" s="8">
        <f t="shared" si="302"/>
        <v>11144</v>
      </c>
      <c r="W621" s="8">
        <v>556334</v>
      </c>
      <c r="X621" s="8">
        <f t="shared" si="303"/>
        <v>-32255</v>
      </c>
      <c r="Y621" s="8">
        <v>110780</v>
      </c>
      <c r="Z621" s="8">
        <f t="shared" si="304"/>
        <v>-3189</v>
      </c>
      <c r="AA621" s="8">
        <v>5359</v>
      </c>
      <c r="AB621" s="8">
        <f t="shared" si="321"/>
        <v>542</v>
      </c>
      <c r="AC621" s="8">
        <v>105421</v>
      </c>
      <c r="AD621" s="8">
        <f t="shared" si="322"/>
        <v>-3731</v>
      </c>
      <c r="AE621" s="8">
        <v>217747</v>
      </c>
      <c r="AF621" s="8">
        <f t="shared" si="305"/>
        <v>176</v>
      </c>
      <c r="AG621" s="8">
        <v>367596</v>
      </c>
      <c r="AH621" s="8">
        <f t="shared" si="306"/>
        <v>-11743</v>
      </c>
      <c r="AI621" s="8">
        <v>-149849</v>
      </c>
      <c r="AJ621" s="8">
        <f t="shared" si="307"/>
        <v>11919</v>
      </c>
      <c r="AK621" s="8">
        <v>106534</v>
      </c>
      <c r="AL621" s="8">
        <f t="shared" si="308"/>
        <v>1994</v>
      </c>
      <c r="AM621" s="8">
        <v>330600</v>
      </c>
      <c r="AN621" s="8">
        <f t="shared" si="309"/>
        <v>-10656</v>
      </c>
      <c r="AO621" s="8">
        <v>-224066</v>
      </c>
      <c r="AP621" s="8">
        <f t="shared" si="310"/>
        <v>12650</v>
      </c>
      <c r="AR621" s="8">
        <v>2259200</v>
      </c>
      <c r="AS621" s="8">
        <f t="shared" si="311"/>
        <v>-123043</v>
      </c>
      <c r="AT621" s="8">
        <v>307162</v>
      </c>
      <c r="AU621" s="8">
        <f t="shared" si="312"/>
        <v>5090</v>
      </c>
      <c r="AV621" s="8">
        <v>184285</v>
      </c>
      <c r="AW621" s="8">
        <f t="shared" si="313"/>
        <v>20457</v>
      </c>
      <c r="AX621" s="8">
        <f t="shared" si="288"/>
        <v>122877</v>
      </c>
      <c r="AY621" s="8">
        <f t="shared" si="314"/>
        <v>-15367</v>
      </c>
      <c r="AZ621" s="8">
        <v>905996</v>
      </c>
      <c r="BA621" s="8">
        <f t="shared" si="315"/>
        <v>-64290</v>
      </c>
      <c r="BB621" s="8">
        <v>1109501</v>
      </c>
      <c r="BC621" s="8">
        <f t="shared" si="316"/>
        <v>-57862</v>
      </c>
      <c r="BD621" s="8">
        <f t="shared" si="289"/>
        <v>-203505</v>
      </c>
      <c r="BE621" s="8">
        <f t="shared" si="317"/>
        <v>-6428</v>
      </c>
      <c r="BF621" s="8">
        <v>528188</v>
      </c>
      <c r="BG621" s="8">
        <f t="shared" si="318"/>
        <v>-58231</v>
      </c>
      <c r="BH621" s="8">
        <v>1000183</v>
      </c>
      <c r="BI621" s="8">
        <f t="shared" si="319"/>
        <v>-51536</v>
      </c>
      <c r="BJ621" s="8">
        <f t="shared" si="290"/>
        <v>-471995</v>
      </c>
      <c r="BK621" s="8">
        <f t="shared" si="292"/>
        <v>-6695</v>
      </c>
    </row>
    <row r="622" spans="1:63">
      <c r="A622" s="5">
        <f t="shared" si="320"/>
        <v>43221</v>
      </c>
      <c r="B622" s="8">
        <v>532786</v>
      </c>
      <c r="C622" s="8">
        <f t="shared" si="293"/>
        <v>14356</v>
      </c>
      <c r="D622" s="8">
        <v>65706</v>
      </c>
      <c r="E622" s="8">
        <f t="shared" si="294"/>
        <v>-1908</v>
      </c>
      <c r="F622" s="8">
        <v>139246</v>
      </c>
      <c r="G622" s="8">
        <f t="shared" si="295"/>
        <v>18906</v>
      </c>
      <c r="H622" s="8">
        <v>-73540</v>
      </c>
      <c r="I622" s="8">
        <f t="shared" si="296"/>
        <v>-20814</v>
      </c>
      <c r="J622" s="8">
        <v>238335</v>
      </c>
      <c r="K622" s="8">
        <f t="shared" si="297"/>
        <v>12567</v>
      </c>
      <c r="L622" s="8">
        <v>219396</v>
      </c>
      <c r="M622" s="8">
        <f t="shared" si="298"/>
        <v>-9374</v>
      </c>
      <c r="N622" s="8">
        <v>18939</v>
      </c>
      <c r="O622" s="8">
        <f t="shared" si="299"/>
        <v>21941</v>
      </c>
      <c r="P622" s="8">
        <v>130831</v>
      </c>
      <c r="Q622" s="8">
        <f t="shared" si="300"/>
        <v>12486</v>
      </c>
      <c r="R622" s="8">
        <v>205146</v>
      </c>
      <c r="S622" s="8">
        <f t="shared" si="301"/>
        <v>-10715</v>
      </c>
      <c r="T622" s="8">
        <v>-74315</v>
      </c>
      <c r="U622" s="8">
        <f t="shared" si="302"/>
        <v>23201</v>
      </c>
      <c r="W622" s="8">
        <v>587565</v>
      </c>
      <c r="X622" s="8">
        <f t="shared" si="303"/>
        <v>31231</v>
      </c>
      <c r="Y622" s="8">
        <v>136231</v>
      </c>
      <c r="Z622" s="8">
        <f t="shared" si="304"/>
        <v>25451</v>
      </c>
      <c r="AA622" s="8">
        <v>2682</v>
      </c>
      <c r="AB622" s="8">
        <f t="shared" si="321"/>
        <v>-2677</v>
      </c>
      <c r="AC622" s="8">
        <v>133549</v>
      </c>
      <c r="AD622" s="8">
        <f t="shared" si="322"/>
        <v>28128</v>
      </c>
      <c r="AE622" s="8">
        <v>214960</v>
      </c>
      <c r="AF622" s="8">
        <f t="shared" si="305"/>
        <v>-2787</v>
      </c>
      <c r="AG622" s="8">
        <v>400359</v>
      </c>
      <c r="AH622" s="8">
        <f t="shared" si="306"/>
        <v>32763</v>
      </c>
      <c r="AI622" s="8">
        <v>-185399</v>
      </c>
      <c r="AJ622" s="8">
        <f t="shared" si="307"/>
        <v>-35550</v>
      </c>
      <c r="AK622" s="8">
        <v>105041</v>
      </c>
      <c r="AL622" s="8">
        <f t="shared" si="308"/>
        <v>-1493</v>
      </c>
      <c r="AM622" s="8">
        <v>367258</v>
      </c>
      <c r="AN622" s="8">
        <f t="shared" si="309"/>
        <v>36658</v>
      </c>
      <c r="AO622" s="8">
        <v>-262217</v>
      </c>
      <c r="AP622" s="8">
        <f t="shared" si="310"/>
        <v>-38151</v>
      </c>
      <c r="AR622" s="8">
        <v>2318130</v>
      </c>
      <c r="AS622" s="8">
        <f t="shared" si="311"/>
        <v>58930</v>
      </c>
      <c r="AT622" s="8">
        <v>339128</v>
      </c>
      <c r="AU622" s="8">
        <f t="shared" si="312"/>
        <v>31966</v>
      </c>
      <c r="AV622" s="8">
        <v>152811</v>
      </c>
      <c r="AW622" s="8">
        <f t="shared" si="313"/>
        <v>-31474</v>
      </c>
      <c r="AX622" s="8">
        <f t="shared" si="288"/>
        <v>186317</v>
      </c>
      <c r="AY622" s="8">
        <f t="shared" si="314"/>
        <v>63440</v>
      </c>
      <c r="AZ622" s="8">
        <v>891270</v>
      </c>
      <c r="BA622" s="8">
        <f t="shared" si="315"/>
        <v>-14726</v>
      </c>
      <c r="BB622" s="8">
        <v>1162244</v>
      </c>
      <c r="BC622" s="8">
        <f t="shared" si="316"/>
        <v>52743</v>
      </c>
      <c r="BD622" s="8">
        <f t="shared" si="289"/>
        <v>-270974</v>
      </c>
      <c r="BE622" s="8">
        <f t="shared" si="317"/>
        <v>-67469</v>
      </c>
      <c r="BF622" s="8">
        <v>498045</v>
      </c>
      <c r="BG622" s="8">
        <f t="shared" si="318"/>
        <v>-30143</v>
      </c>
      <c r="BH622" s="8">
        <v>1045419</v>
      </c>
      <c r="BI622" s="8">
        <f t="shared" si="319"/>
        <v>45236</v>
      </c>
      <c r="BJ622" s="8">
        <f t="shared" si="290"/>
        <v>-547374</v>
      </c>
      <c r="BK622" s="8">
        <f t="shared" si="292"/>
        <v>-75379</v>
      </c>
    </row>
    <row r="623" spans="1:63">
      <c r="A623" s="5">
        <f t="shared" si="320"/>
        <v>43228</v>
      </c>
      <c r="B623" s="8">
        <v>538981</v>
      </c>
      <c r="C623" s="8">
        <f t="shared" si="293"/>
        <v>6195</v>
      </c>
      <c r="D623" s="8">
        <v>68044</v>
      </c>
      <c r="E623" s="8">
        <f t="shared" si="294"/>
        <v>2338</v>
      </c>
      <c r="F623" s="8">
        <v>135993</v>
      </c>
      <c r="G623" s="8">
        <f t="shared" si="295"/>
        <v>-3253</v>
      </c>
      <c r="H623" s="8">
        <v>-67949</v>
      </c>
      <c r="I623" s="8">
        <f t="shared" si="296"/>
        <v>5591</v>
      </c>
      <c r="J623" s="8">
        <v>240388</v>
      </c>
      <c r="K623" s="8">
        <f t="shared" si="297"/>
        <v>2053</v>
      </c>
      <c r="L623" s="8">
        <v>223777</v>
      </c>
      <c r="M623" s="8">
        <f t="shared" si="298"/>
        <v>4381</v>
      </c>
      <c r="N623" s="8">
        <v>16611</v>
      </c>
      <c r="O623" s="8">
        <f t="shared" si="299"/>
        <v>-2328</v>
      </c>
      <c r="P623" s="8">
        <v>134989</v>
      </c>
      <c r="Q623" s="8">
        <f t="shared" si="300"/>
        <v>4158</v>
      </c>
      <c r="R623" s="8">
        <v>210430</v>
      </c>
      <c r="S623" s="8">
        <f t="shared" si="301"/>
        <v>5284</v>
      </c>
      <c r="T623" s="8">
        <v>-75441</v>
      </c>
      <c r="U623" s="8">
        <f t="shared" si="302"/>
        <v>-1126</v>
      </c>
      <c r="W623" s="8">
        <v>580661</v>
      </c>
      <c r="X623" s="8">
        <f t="shared" si="303"/>
        <v>-6904</v>
      </c>
      <c r="Y623" s="8">
        <v>132141</v>
      </c>
      <c r="Z623" s="8">
        <f t="shared" si="304"/>
        <v>-4090</v>
      </c>
      <c r="AA623" s="8">
        <v>1756</v>
      </c>
      <c r="AB623" s="8">
        <f t="shared" si="321"/>
        <v>-926</v>
      </c>
      <c r="AC623" s="8">
        <v>130385</v>
      </c>
      <c r="AD623" s="8">
        <f t="shared" si="322"/>
        <v>-3164</v>
      </c>
      <c r="AE623" s="8">
        <v>219887</v>
      </c>
      <c r="AF623" s="8">
        <f t="shared" si="305"/>
        <v>4927</v>
      </c>
      <c r="AG623" s="8">
        <v>399444</v>
      </c>
      <c r="AH623" s="8">
        <f t="shared" si="306"/>
        <v>-915</v>
      </c>
      <c r="AI623" s="8">
        <v>-179557</v>
      </c>
      <c r="AJ623" s="8">
        <f t="shared" si="307"/>
        <v>5842</v>
      </c>
      <c r="AK623" s="8">
        <v>109281</v>
      </c>
      <c r="AL623" s="8">
        <f t="shared" si="308"/>
        <v>4240</v>
      </c>
      <c r="AM623" s="8">
        <v>363557</v>
      </c>
      <c r="AN623" s="8">
        <f t="shared" si="309"/>
        <v>-3701</v>
      </c>
      <c r="AO623" s="8">
        <v>-254276</v>
      </c>
      <c r="AP623" s="8">
        <f t="shared" si="310"/>
        <v>7941</v>
      </c>
      <c r="AR623" s="8">
        <v>2362419</v>
      </c>
      <c r="AS623" s="8">
        <f t="shared" si="311"/>
        <v>44289</v>
      </c>
      <c r="AT623" s="8">
        <v>343355</v>
      </c>
      <c r="AU623" s="8">
        <f t="shared" si="312"/>
        <v>4227</v>
      </c>
      <c r="AV623" s="8">
        <v>131463</v>
      </c>
      <c r="AW623" s="8">
        <f t="shared" si="313"/>
        <v>-21348</v>
      </c>
      <c r="AX623" s="8">
        <f t="shared" si="288"/>
        <v>211892</v>
      </c>
      <c r="AY623" s="8">
        <f t="shared" si="314"/>
        <v>25575</v>
      </c>
      <c r="AZ623" s="8">
        <v>927592</v>
      </c>
      <c r="BA623" s="8">
        <f t="shared" si="315"/>
        <v>36322</v>
      </c>
      <c r="BB623" s="8">
        <v>1203439</v>
      </c>
      <c r="BC623" s="8">
        <f t="shared" si="316"/>
        <v>41195</v>
      </c>
      <c r="BD623" s="8">
        <f t="shared" si="289"/>
        <v>-275847</v>
      </c>
      <c r="BE623" s="8">
        <f t="shared" si="317"/>
        <v>-4873</v>
      </c>
      <c r="BF623" s="8">
        <v>533117</v>
      </c>
      <c r="BG623" s="8">
        <f t="shared" si="318"/>
        <v>35072</v>
      </c>
      <c r="BH623" s="8">
        <v>1086741</v>
      </c>
      <c r="BI623" s="8">
        <f t="shared" si="319"/>
        <v>41322</v>
      </c>
      <c r="BJ623" s="8">
        <f t="shared" si="290"/>
        <v>-553624</v>
      </c>
      <c r="BK623" s="8">
        <f t="shared" si="292"/>
        <v>-6250</v>
      </c>
    </row>
    <row r="624" spans="1:63">
      <c r="A624" s="5">
        <f t="shared" si="320"/>
        <v>43235</v>
      </c>
      <c r="B624" s="8">
        <v>536377</v>
      </c>
      <c r="C624" s="8">
        <f t="shared" si="293"/>
        <v>-2604</v>
      </c>
      <c r="D624" s="8">
        <v>71415</v>
      </c>
      <c r="E624" s="8">
        <f t="shared" si="294"/>
        <v>3371</v>
      </c>
      <c r="F624" s="8">
        <v>126857</v>
      </c>
      <c r="G624" s="8">
        <f t="shared" si="295"/>
        <v>-9136</v>
      </c>
      <c r="H624" s="8">
        <v>-55442</v>
      </c>
      <c r="I624" s="8">
        <f t="shared" si="296"/>
        <v>12507</v>
      </c>
      <c r="J624" s="8">
        <v>229571</v>
      </c>
      <c r="K624" s="8">
        <f t="shared" si="297"/>
        <v>-10817</v>
      </c>
      <c r="L624" s="8">
        <v>224021</v>
      </c>
      <c r="M624" s="8">
        <f t="shared" si="298"/>
        <v>244</v>
      </c>
      <c r="N624" s="8">
        <v>5550</v>
      </c>
      <c r="O624" s="8">
        <f t="shared" si="299"/>
        <v>-11061</v>
      </c>
      <c r="P624" s="8">
        <v>123957</v>
      </c>
      <c r="Q624" s="8">
        <f t="shared" si="300"/>
        <v>-11032</v>
      </c>
      <c r="R624" s="8">
        <v>211968</v>
      </c>
      <c r="S624" s="8">
        <f t="shared" si="301"/>
        <v>1538</v>
      </c>
      <c r="T624" s="8">
        <v>-88011</v>
      </c>
      <c r="U624" s="8">
        <f t="shared" si="302"/>
        <v>-12570</v>
      </c>
      <c r="W624" s="8">
        <v>588612</v>
      </c>
      <c r="X624" s="8">
        <f t="shared" si="303"/>
        <v>7951</v>
      </c>
      <c r="Y624" s="8">
        <v>124779</v>
      </c>
      <c r="Z624" s="8">
        <f t="shared" si="304"/>
        <v>-7362</v>
      </c>
      <c r="AA624" s="8">
        <v>3247</v>
      </c>
      <c r="AB624" s="8">
        <f t="shared" si="321"/>
        <v>1491</v>
      </c>
      <c r="AC624" s="8">
        <v>121532</v>
      </c>
      <c r="AD624" s="8">
        <f t="shared" si="322"/>
        <v>-8853</v>
      </c>
      <c r="AE624" s="8">
        <v>231569</v>
      </c>
      <c r="AF624" s="8">
        <f t="shared" si="305"/>
        <v>11682</v>
      </c>
      <c r="AG624" s="8">
        <v>399785</v>
      </c>
      <c r="AH624" s="8">
        <f t="shared" si="306"/>
        <v>341</v>
      </c>
      <c r="AI624" s="8">
        <v>-168216</v>
      </c>
      <c r="AJ624" s="8">
        <f t="shared" si="307"/>
        <v>11341</v>
      </c>
      <c r="AK624" s="8">
        <v>118521</v>
      </c>
      <c r="AL624" s="8">
        <f t="shared" si="308"/>
        <v>9240</v>
      </c>
      <c r="AM624" s="8">
        <v>364285</v>
      </c>
      <c r="AN624" s="8">
        <f t="shared" si="309"/>
        <v>728</v>
      </c>
      <c r="AO624" s="8">
        <v>-245764</v>
      </c>
      <c r="AP624" s="8">
        <f t="shared" si="310"/>
        <v>8512</v>
      </c>
      <c r="AR624" s="8">
        <v>2406162</v>
      </c>
      <c r="AS624" s="8">
        <f t="shared" si="311"/>
        <v>43743</v>
      </c>
      <c r="AT624" s="8">
        <v>338307</v>
      </c>
      <c r="AU624" s="8">
        <f t="shared" si="312"/>
        <v>-5048</v>
      </c>
      <c r="AV624" s="8">
        <v>146635</v>
      </c>
      <c r="AW624" s="8">
        <f t="shared" si="313"/>
        <v>15172</v>
      </c>
      <c r="AX624" s="8">
        <f t="shared" si="288"/>
        <v>191672</v>
      </c>
      <c r="AY624" s="8">
        <f t="shared" si="314"/>
        <v>-20220</v>
      </c>
      <c r="AZ624" s="8">
        <v>945520</v>
      </c>
      <c r="BA624" s="8">
        <f t="shared" si="315"/>
        <v>17928</v>
      </c>
      <c r="BB624" s="8">
        <v>1203906</v>
      </c>
      <c r="BC624" s="8">
        <f t="shared" si="316"/>
        <v>467</v>
      </c>
      <c r="BD624" s="8">
        <f t="shared" si="289"/>
        <v>-258386</v>
      </c>
      <c r="BE624" s="8">
        <f t="shared" si="317"/>
        <v>17461</v>
      </c>
      <c r="BF624" s="8">
        <v>550479</v>
      </c>
      <c r="BG624" s="8">
        <f t="shared" si="318"/>
        <v>17362</v>
      </c>
      <c r="BH624" s="8">
        <v>1084996</v>
      </c>
      <c r="BI624" s="8">
        <f t="shared" si="319"/>
        <v>-1745</v>
      </c>
      <c r="BJ624" s="8">
        <f t="shared" si="290"/>
        <v>-534517</v>
      </c>
      <c r="BK624" s="8">
        <f t="shared" si="292"/>
        <v>19107</v>
      </c>
    </row>
    <row r="625" spans="1:63">
      <c r="A625" s="5">
        <f t="shared" si="320"/>
        <v>43242</v>
      </c>
      <c r="B625" s="8">
        <v>542209</v>
      </c>
      <c r="C625" s="8">
        <f t="shared" si="293"/>
        <v>5832</v>
      </c>
      <c r="D625" s="8">
        <v>68812</v>
      </c>
      <c r="E625" s="8">
        <f t="shared" si="294"/>
        <v>-2603</v>
      </c>
      <c r="F625" s="8">
        <v>116061</v>
      </c>
      <c r="G625" s="8">
        <f t="shared" si="295"/>
        <v>-10796</v>
      </c>
      <c r="H625" s="8">
        <v>-47249</v>
      </c>
      <c r="I625" s="8">
        <f t="shared" si="296"/>
        <v>8193</v>
      </c>
      <c r="J625" s="8">
        <v>228913</v>
      </c>
      <c r="K625" s="8">
        <f t="shared" si="297"/>
        <v>-658</v>
      </c>
      <c r="L625" s="8">
        <v>236360</v>
      </c>
      <c r="M625" s="8">
        <f t="shared" si="298"/>
        <v>12339</v>
      </c>
      <c r="N625" s="8">
        <v>-7447</v>
      </c>
      <c r="O625" s="8">
        <f t="shared" si="299"/>
        <v>-12997</v>
      </c>
      <c r="P625" s="8">
        <v>122510</v>
      </c>
      <c r="Q625" s="8">
        <f t="shared" si="300"/>
        <v>-1447</v>
      </c>
      <c r="R625" s="8">
        <v>217333</v>
      </c>
      <c r="S625" s="8">
        <f t="shared" si="301"/>
        <v>5365</v>
      </c>
      <c r="T625" s="8">
        <v>-94823</v>
      </c>
      <c r="U625" s="8">
        <f t="shared" si="302"/>
        <v>-6812</v>
      </c>
      <c r="W625" s="8">
        <v>584648</v>
      </c>
      <c r="X625" s="8">
        <f t="shared" si="303"/>
        <v>-3964</v>
      </c>
      <c r="Y625" s="8">
        <v>119092</v>
      </c>
      <c r="Z625" s="8">
        <f t="shared" si="304"/>
        <v>-5687</v>
      </c>
      <c r="AA625" s="8">
        <v>3796</v>
      </c>
      <c r="AB625" s="8">
        <f t="shared" si="321"/>
        <v>549</v>
      </c>
      <c r="AC625" s="8">
        <v>115296</v>
      </c>
      <c r="AD625" s="8">
        <f t="shared" si="322"/>
        <v>-6236</v>
      </c>
      <c r="AE625" s="8">
        <v>230149</v>
      </c>
      <c r="AF625" s="8">
        <f t="shared" si="305"/>
        <v>-1420</v>
      </c>
      <c r="AG625" s="8">
        <v>392555</v>
      </c>
      <c r="AH625" s="8">
        <f t="shared" si="306"/>
        <v>-7230</v>
      </c>
      <c r="AI625" s="8">
        <v>-162406</v>
      </c>
      <c r="AJ625" s="8">
        <f t="shared" si="307"/>
        <v>5810</v>
      </c>
      <c r="AK625" s="8">
        <v>119966</v>
      </c>
      <c r="AL625" s="8">
        <f t="shared" si="308"/>
        <v>1445</v>
      </c>
      <c r="AM625" s="8">
        <v>358495</v>
      </c>
      <c r="AN625" s="8">
        <f t="shared" si="309"/>
        <v>-5790</v>
      </c>
      <c r="AO625" s="8">
        <v>-238529</v>
      </c>
      <c r="AP625" s="8">
        <f t="shared" si="310"/>
        <v>7235</v>
      </c>
      <c r="AR625" s="8">
        <v>2488853</v>
      </c>
      <c r="AS625" s="8">
        <f t="shared" si="311"/>
        <v>82691</v>
      </c>
      <c r="AT625" s="8">
        <v>353430</v>
      </c>
      <c r="AU625" s="8">
        <f t="shared" si="312"/>
        <v>15123</v>
      </c>
      <c r="AV625" s="8">
        <v>153460</v>
      </c>
      <c r="AW625" s="8">
        <f t="shared" si="313"/>
        <v>6825</v>
      </c>
      <c r="AX625" s="8">
        <f t="shared" si="288"/>
        <v>199970</v>
      </c>
      <c r="AY625" s="8">
        <f t="shared" si="314"/>
        <v>8298</v>
      </c>
      <c r="AZ625" s="8">
        <v>959269</v>
      </c>
      <c r="BA625" s="8">
        <f t="shared" si="315"/>
        <v>13749</v>
      </c>
      <c r="BB625" s="8">
        <v>1226973</v>
      </c>
      <c r="BC625" s="8">
        <f t="shared" si="316"/>
        <v>23067</v>
      </c>
      <c r="BD625" s="8">
        <f t="shared" si="289"/>
        <v>-267704</v>
      </c>
      <c r="BE625" s="8">
        <f t="shared" si="317"/>
        <v>-9318</v>
      </c>
      <c r="BF625" s="8">
        <v>562382</v>
      </c>
      <c r="BG625" s="8">
        <f t="shared" si="318"/>
        <v>11903</v>
      </c>
      <c r="BH625" s="8">
        <v>1097097</v>
      </c>
      <c r="BI625" s="8">
        <f t="shared" si="319"/>
        <v>12101</v>
      </c>
      <c r="BJ625" s="8">
        <f t="shared" si="290"/>
        <v>-534715</v>
      </c>
      <c r="BK625" s="8">
        <f t="shared" si="292"/>
        <v>-198</v>
      </c>
    </row>
    <row r="626" spans="1:63">
      <c r="A626" s="5">
        <f t="shared" si="320"/>
        <v>43249</v>
      </c>
      <c r="B626" s="8">
        <v>536461</v>
      </c>
      <c r="C626" s="8">
        <f t="shared" si="293"/>
        <v>-5748</v>
      </c>
      <c r="D626" s="8">
        <v>67839</v>
      </c>
      <c r="E626" s="8">
        <f t="shared" si="294"/>
        <v>-973</v>
      </c>
      <c r="F626" s="8">
        <v>116814</v>
      </c>
      <c r="G626" s="8">
        <f t="shared" si="295"/>
        <v>753</v>
      </c>
      <c r="H626" s="8">
        <v>-48975</v>
      </c>
      <c r="I626" s="8">
        <f t="shared" si="296"/>
        <v>-1726</v>
      </c>
      <c r="J626" s="8">
        <v>225773</v>
      </c>
      <c r="K626" s="8">
        <f t="shared" si="297"/>
        <v>-3140</v>
      </c>
      <c r="L626" s="8">
        <v>231430</v>
      </c>
      <c r="M626" s="8">
        <f t="shared" si="298"/>
        <v>-4930</v>
      </c>
      <c r="N626" s="8">
        <v>-5657</v>
      </c>
      <c r="O626" s="8">
        <f t="shared" si="299"/>
        <v>1790</v>
      </c>
      <c r="P626" s="8">
        <v>117922</v>
      </c>
      <c r="Q626" s="8">
        <f t="shared" si="300"/>
        <v>-4588</v>
      </c>
      <c r="R626" s="8">
        <v>212114</v>
      </c>
      <c r="S626" s="8">
        <f t="shared" si="301"/>
        <v>-5219</v>
      </c>
      <c r="T626" s="8">
        <v>-94192</v>
      </c>
      <c r="U626" s="8">
        <f t="shared" si="302"/>
        <v>631</v>
      </c>
      <c r="W626" s="8">
        <v>591836</v>
      </c>
      <c r="X626" s="8">
        <f t="shared" si="303"/>
        <v>7188</v>
      </c>
      <c r="Y626" s="8">
        <v>118154</v>
      </c>
      <c r="Z626" s="8">
        <f t="shared" si="304"/>
        <v>-938</v>
      </c>
      <c r="AA626" s="8">
        <v>5366</v>
      </c>
      <c r="AB626" s="8">
        <f t="shared" si="321"/>
        <v>1570</v>
      </c>
      <c r="AC626" s="8">
        <v>112788</v>
      </c>
      <c r="AD626" s="8">
        <f t="shared" si="322"/>
        <v>-2508</v>
      </c>
      <c r="AE626" s="8">
        <v>234787</v>
      </c>
      <c r="AF626" s="8">
        <f t="shared" si="305"/>
        <v>4638</v>
      </c>
      <c r="AG626" s="8">
        <v>398857</v>
      </c>
      <c r="AH626" s="8">
        <f t="shared" si="306"/>
        <v>6302</v>
      </c>
      <c r="AI626" s="8">
        <v>-164070</v>
      </c>
      <c r="AJ626" s="8">
        <f t="shared" si="307"/>
        <v>-1664</v>
      </c>
      <c r="AK626" s="8">
        <v>121821</v>
      </c>
      <c r="AL626" s="8">
        <f t="shared" si="308"/>
        <v>1855</v>
      </c>
      <c r="AM626" s="8">
        <v>362607</v>
      </c>
      <c r="AN626" s="8">
        <f t="shared" si="309"/>
        <v>4112</v>
      </c>
      <c r="AO626" s="8">
        <v>-240786</v>
      </c>
      <c r="AP626" s="8">
        <f t="shared" si="310"/>
        <v>-2257</v>
      </c>
      <c r="AR626" s="8">
        <v>2511087</v>
      </c>
      <c r="AS626" s="8">
        <f t="shared" si="311"/>
        <v>22234</v>
      </c>
      <c r="AT626" s="8">
        <v>354067</v>
      </c>
      <c r="AU626" s="8">
        <f t="shared" si="312"/>
        <v>637</v>
      </c>
      <c r="AV626" s="8">
        <v>151640</v>
      </c>
      <c r="AW626" s="8">
        <f t="shared" si="313"/>
        <v>-1820</v>
      </c>
      <c r="AX626" s="8">
        <f t="shared" si="288"/>
        <v>202427</v>
      </c>
      <c r="AY626" s="8">
        <f t="shared" si="314"/>
        <v>2457</v>
      </c>
      <c r="AZ626" s="8">
        <v>1015142</v>
      </c>
      <c r="BA626" s="8">
        <f t="shared" si="315"/>
        <v>55873</v>
      </c>
      <c r="BB626" s="8">
        <v>1259838</v>
      </c>
      <c r="BC626" s="8">
        <f t="shared" si="316"/>
        <v>32865</v>
      </c>
      <c r="BD626" s="8">
        <f t="shared" si="289"/>
        <v>-244696</v>
      </c>
      <c r="BE626" s="8">
        <f t="shared" si="317"/>
        <v>23008</v>
      </c>
      <c r="BF626" s="8">
        <v>598138</v>
      </c>
      <c r="BG626" s="8">
        <f t="shared" si="318"/>
        <v>35756</v>
      </c>
      <c r="BH626" s="8">
        <v>1097550</v>
      </c>
      <c r="BI626" s="8">
        <f t="shared" si="319"/>
        <v>453</v>
      </c>
      <c r="BJ626" s="8">
        <f t="shared" si="290"/>
        <v>-499412</v>
      </c>
      <c r="BK626" s="8">
        <f t="shared" si="292"/>
        <v>35303</v>
      </c>
    </row>
    <row r="627" spans="1:63">
      <c r="A627" s="5">
        <f t="shared" si="320"/>
        <v>43256</v>
      </c>
      <c r="B627" s="8">
        <v>534745</v>
      </c>
      <c r="C627" s="8">
        <f t="shared" si="293"/>
        <v>-1716</v>
      </c>
      <c r="D627" s="8">
        <v>65993</v>
      </c>
      <c r="E627" s="8">
        <f t="shared" si="294"/>
        <v>-1846</v>
      </c>
      <c r="F627" s="8">
        <v>123603</v>
      </c>
      <c r="G627" s="8">
        <f t="shared" si="295"/>
        <v>6789</v>
      </c>
      <c r="H627" s="8">
        <v>-57610</v>
      </c>
      <c r="I627" s="8">
        <f t="shared" si="296"/>
        <v>-8635</v>
      </c>
      <c r="J627" s="8">
        <v>219932</v>
      </c>
      <c r="K627" s="8">
        <f t="shared" si="297"/>
        <v>-5841</v>
      </c>
      <c r="L627" s="8">
        <v>219887</v>
      </c>
      <c r="M627" s="8">
        <f t="shared" si="298"/>
        <v>-11543</v>
      </c>
      <c r="N627" s="8">
        <v>45</v>
      </c>
      <c r="O627" s="8">
        <f t="shared" si="299"/>
        <v>5702</v>
      </c>
      <c r="P627" s="8">
        <v>108927</v>
      </c>
      <c r="Q627" s="8">
        <f t="shared" si="300"/>
        <v>-8995</v>
      </c>
      <c r="R627" s="8">
        <v>199809</v>
      </c>
      <c r="S627" s="8">
        <f t="shared" si="301"/>
        <v>-12305</v>
      </c>
      <c r="T627" s="8">
        <v>-90882</v>
      </c>
      <c r="U627" s="8">
        <f t="shared" si="302"/>
        <v>3310</v>
      </c>
      <c r="W627" s="8">
        <v>578191</v>
      </c>
      <c r="X627" s="8">
        <f t="shared" si="303"/>
        <v>-13645</v>
      </c>
      <c r="Y627" s="8">
        <v>107849</v>
      </c>
      <c r="Z627" s="8">
        <f t="shared" si="304"/>
        <v>-10305</v>
      </c>
      <c r="AA627" s="8">
        <v>7003</v>
      </c>
      <c r="AB627" s="8">
        <f t="shared" si="321"/>
        <v>1637</v>
      </c>
      <c r="AC627" s="8">
        <v>100846</v>
      </c>
      <c r="AD627" s="8">
        <f t="shared" si="322"/>
        <v>-11942</v>
      </c>
      <c r="AE627" s="8">
        <v>231880</v>
      </c>
      <c r="AF627" s="8">
        <f t="shared" si="305"/>
        <v>-2907</v>
      </c>
      <c r="AG627" s="8">
        <v>377151</v>
      </c>
      <c r="AH627" s="8">
        <f t="shared" si="306"/>
        <v>-21706</v>
      </c>
      <c r="AI627" s="8">
        <v>-145271</v>
      </c>
      <c r="AJ627" s="8">
        <f t="shared" si="307"/>
        <v>18799</v>
      </c>
      <c r="AK627" s="8">
        <v>120630</v>
      </c>
      <c r="AL627" s="8">
        <f t="shared" si="308"/>
        <v>-1191</v>
      </c>
      <c r="AM627" s="8">
        <v>339494</v>
      </c>
      <c r="AN627" s="8">
        <f t="shared" si="309"/>
        <v>-23113</v>
      </c>
      <c r="AO627" s="8">
        <v>-218864</v>
      </c>
      <c r="AP627" s="8">
        <f t="shared" si="310"/>
        <v>21922</v>
      </c>
      <c r="AR627" s="8">
        <v>2558208</v>
      </c>
      <c r="AS627" s="8">
        <f t="shared" si="311"/>
        <v>47121</v>
      </c>
      <c r="AT627" s="8">
        <v>330382</v>
      </c>
      <c r="AU627" s="8">
        <f t="shared" si="312"/>
        <v>-23685</v>
      </c>
      <c r="AV627" s="8">
        <v>216783</v>
      </c>
      <c r="AW627" s="8">
        <f t="shared" si="313"/>
        <v>65143</v>
      </c>
      <c r="AX627" s="8">
        <f t="shared" si="288"/>
        <v>113599</v>
      </c>
      <c r="AY627" s="8">
        <f t="shared" si="314"/>
        <v>-88828</v>
      </c>
      <c r="AZ627" s="8">
        <v>1052794</v>
      </c>
      <c r="BA627" s="8">
        <f t="shared" si="315"/>
        <v>37652</v>
      </c>
      <c r="BB627" s="8">
        <v>1221453</v>
      </c>
      <c r="BC627" s="8">
        <f t="shared" si="316"/>
        <v>-38385</v>
      </c>
      <c r="BD627" s="8">
        <f t="shared" si="289"/>
        <v>-168659</v>
      </c>
      <c r="BE627" s="8">
        <f t="shared" si="317"/>
        <v>76037</v>
      </c>
      <c r="BF627" s="8">
        <v>629572</v>
      </c>
      <c r="BG627" s="8">
        <f t="shared" si="318"/>
        <v>31434</v>
      </c>
      <c r="BH627" s="8">
        <v>1035005</v>
      </c>
      <c r="BI627" s="8">
        <f t="shared" si="319"/>
        <v>-62545</v>
      </c>
      <c r="BJ627" s="8">
        <f t="shared" si="290"/>
        <v>-405433</v>
      </c>
      <c r="BK627" s="8">
        <f t="shared" si="292"/>
        <v>93979</v>
      </c>
    </row>
    <row r="628" spans="1:63">
      <c r="A628" s="5">
        <f t="shared" si="320"/>
        <v>43263</v>
      </c>
      <c r="B628" s="8">
        <v>533174</v>
      </c>
      <c r="C628" s="8">
        <f t="shared" si="293"/>
        <v>-1571</v>
      </c>
      <c r="D628" s="8">
        <v>62527</v>
      </c>
      <c r="E628" s="8">
        <f t="shared" si="294"/>
        <v>-3466</v>
      </c>
      <c r="F628" s="8">
        <v>136272</v>
      </c>
      <c r="G628" s="8">
        <f t="shared" si="295"/>
        <v>12669</v>
      </c>
      <c r="H628" s="8">
        <v>-73745</v>
      </c>
      <c r="I628" s="8">
        <f t="shared" si="296"/>
        <v>-16135</v>
      </c>
      <c r="J628" s="8">
        <v>229851</v>
      </c>
      <c r="K628" s="8">
        <f t="shared" si="297"/>
        <v>9919</v>
      </c>
      <c r="L628" s="8">
        <v>214923</v>
      </c>
      <c r="M628" s="8">
        <f t="shared" si="298"/>
        <v>-4964</v>
      </c>
      <c r="N628" s="8">
        <v>14928</v>
      </c>
      <c r="O628" s="8">
        <f t="shared" si="299"/>
        <v>14883</v>
      </c>
      <c r="P628" s="8">
        <v>114984</v>
      </c>
      <c r="Q628" s="8">
        <f t="shared" si="300"/>
        <v>6057</v>
      </c>
      <c r="R628" s="8">
        <v>192628</v>
      </c>
      <c r="S628" s="8">
        <f t="shared" si="301"/>
        <v>-7181</v>
      </c>
      <c r="T628" s="8">
        <v>-77644</v>
      </c>
      <c r="U628" s="8">
        <f t="shared" si="302"/>
        <v>13238</v>
      </c>
      <c r="W628" s="8">
        <v>580300</v>
      </c>
      <c r="X628" s="8">
        <f t="shared" si="303"/>
        <v>2109</v>
      </c>
      <c r="Y628" s="8">
        <v>100477</v>
      </c>
      <c r="Z628" s="8">
        <f t="shared" si="304"/>
        <v>-7372</v>
      </c>
      <c r="AA628" s="8">
        <v>10960</v>
      </c>
      <c r="AB628" s="8">
        <f t="shared" si="321"/>
        <v>3957</v>
      </c>
      <c r="AC628" s="8">
        <v>89517</v>
      </c>
      <c r="AD628" s="8">
        <f t="shared" si="322"/>
        <v>-11329</v>
      </c>
      <c r="AE628" s="8">
        <v>230218</v>
      </c>
      <c r="AF628" s="8">
        <f t="shared" si="305"/>
        <v>-1662</v>
      </c>
      <c r="AG628" s="8">
        <v>361623</v>
      </c>
      <c r="AH628" s="8">
        <f t="shared" si="306"/>
        <v>-15528</v>
      </c>
      <c r="AI628" s="8">
        <v>-131405</v>
      </c>
      <c r="AJ628" s="8">
        <f t="shared" si="307"/>
        <v>13866</v>
      </c>
      <c r="AK628" s="8">
        <v>116754</v>
      </c>
      <c r="AL628" s="8">
        <f t="shared" si="308"/>
        <v>-3876</v>
      </c>
      <c r="AM628" s="8">
        <v>320637</v>
      </c>
      <c r="AN628" s="8">
        <f t="shared" si="309"/>
        <v>-18857</v>
      </c>
      <c r="AO628" s="8">
        <v>-203883</v>
      </c>
      <c r="AP628" s="8">
        <f t="shared" si="310"/>
        <v>14981</v>
      </c>
      <c r="AR628" s="8">
        <v>2566347</v>
      </c>
      <c r="AS628" s="8">
        <f t="shared" si="311"/>
        <v>8139</v>
      </c>
      <c r="AT628" s="8">
        <v>323123</v>
      </c>
      <c r="AU628" s="8">
        <f t="shared" si="312"/>
        <v>-7259</v>
      </c>
      <c r="AV628" s="8">
        <v>286907</v>
      </c>
      <c r="AW628" s="8">
        <f t="shared" si="313"/>
        <v>70124</v>
      </c>
      <c r="AX628" s="8">
        <f t="shared" si="288"/>
        <v>36216</v>
      </c>
      <c r="AY628" s="8">
        <f t="shared" si="314"/>
        <v>-77383</v>
      </c>
      <c r="AZ628" s="8">
        <v>1048362</v>
      </c>
      <c r="BA628" s="8">
        <f t="shared" si="315"/>
        <v>-4432</v>
      </c>
      <c r="BB628" s="8">
        <v>1170245</v>
      </c>
      <c r="BC628" s="8">
        <f t="shared" si="316"/>
        <v>-51208</v>
      </c>
      <c r="BD628" s="8">
        <f t="shared" si="289"/>
        <v>-121883</v>
      </c>
      <c r="BE628" s="8">
        <f t="shared" si="317"/>
        <v>46776</v>
      </c>
      <c r="BF628" s="8">
        <v>655812</v>
      </c>
      <c r="BG628" s="8">
        <f t="shared" si="318"/>
        <v>26240</v>
      </c>
      <c r="BH628" s="8">
        <v>1000963</v>
      </c>
      <c r="BI628" s="8">
        <f t="shared" si="319"/>
        <v>-34042</v>
      </c>
      <c r="BJ628" s="8">
        <f t="shared" si="290"/>
        <v>-345151</v>
      </c>
      <c r="BK628" s="8">
        <f t="shared" si="292"/>
        <v>60282</v>
      </c>
    </row>
    <row r="629" spans="1:63">
      <c r="A629" s="5">
        <f t="shared" si="320"/>
        <v>43270</v>
      </c>
      <c r="B629" s="8">
        <v>562689</v>
      </c>
      <c r="C629" s="8">
        <f t="shared" si="293"/>
        <v>29515</v>
      </c>
      <c r="D629" s="8">
        <v>58871</v>
      </c>
      <c r="E629" s="8">
        <f t="shared" si="294"/>
        <v>-3656</v>
      </c>
      <c r="F629" s="8">
        <v>152010</v>
      </c>
      <c r="G629" s="8">
        <f t="shared" si="295"/>
        <v>15738</v>
      </c>
      <c r="H629" s="8">
        <v>-93139</v>
      </c>
      <c r="I629" s="8">
        <f t="shared" si="296"/>
        <v>-19394</v>
      </c>
      <c r="J629" s="8">
        <v>256194</v>
      </c>
      <c r="K629" s="8">
        <f t="shared" si="297"/>
        <v>26343</v>
      </c>
      <c r="L629" s="8">
        <v>213939</v>
      </c>
      <c r="M629" s="8">
        <f t="shared" si="298"/>
        <v>-984</v>
      </c>
      <c r="N629" s="8">
        <v>42255</v>
      </c>
      <c r="O629" s="8">
        <f t="shared" si="299"/>
        <v>27327</v>
      </c>
      <c r="P629" s="8">
        <v>129057</v>
      </c>
      <c r="Q629" s="8">
        <f t="shared" si="300"/>
        <v>14073</v>
      </c>
      <c r="R629" s="8">
        <v>188642</v>
      </c>
      <c r="S629" s="8">
        <f t="shared" si="301"/>
        <v>-3986</v>
      </c>
      <c r="T629" s="8">
        <v>-59585</v>
      </c>
      <c r="U629" s="8">
        <f t="shared" si="302"/>
        <v>18059</v>
      </c>
      <c r="W629" s="8">
        <v>594016</v>
      </c>
      <c r="X629" s="8">
        <f t="shared" si="303"/>
        <v>13716</v>
      </c>
      <c r="Y629" s="8">
        <v>98787</v>
      </c>
      <c r="Z629" s="8">
        <f t="shared" si="304"/>
        <v>-1690</v>
      </c>
      <c r="AA629" s="8">
        <v>15213</v>
      </c>
      <c r="AB629" s="8">
        <f t="shared" si="321"/>
        <v>4253</v>
      </c>
      <c r="AC629" s="8">
        <v>83574</v>
      </c>
      <c r="AD629" s="8">
        <f t="shared" si="322"/>
        <v>-5943</v>
      </c>
      <c r="AE629" s="8">
        <v>237788</v>
      </c>
      <c r="AF629" s="8">
        <f t="shared" si="305"/>
        <v>7570</v>
      </c>
      <c r="AG629" s="8">
        <v>366705</v>
      </c>
      <c r="AH629" s="8">
        <f t="shared" si="306"/>
        <v>5082</v>
      </c>
      <c r="AI629" s="8">
        <v>-128917</v>
      </c>
      <c r="AJ629" s="8">
        <f t="shared" si="307"/>
        <v>2488</v>
      </c>
      <c r="AK629" s="8">
        <v>120389</v>
      </c>
      <c r="AL629" s="8">
        <f t="shared" si="308"/>
        <v>3635</v>
      </c>
      <c r="AM629" s="8">
        <v>324651</v>
      </c>
      <c r="AN629" s="8">
        <f t="shared" si="309"/>
        <v>4014</v>
      </c>
      <c r="AO629" s="8">
        <v>-204262</v>
      </c>
      <c r="AP629" s="8">
        <f t="shared" si="310"/>
        <v>-379</v>
      </c>
      <c r="AR629" s="8">
        <v>2635956</v>
      </c>
      <c r="AS629" s="8">
        <f t="shared" si="311"/>
        <v>69609</v>
      </c>
      <c r="AT629" s="8">
        <v>313633</v>
      </c>
      <c r="AU629" s="8">
        <f t="shared" si="312"/>
        <v>-9490</v>
      </c>
      <c r="AV629" s="8">
        <v>327671</v>
      </c>
      <c r="AW629" s="8">
        <f t="shared" si="313"/>
        <v>40764</v>
      </c>
      <c r="AX629" s="8">
        <f t="shared" si="288"/>
        <v>-14038</v>
      </c>
      <c r="AY629" s="8">
        <f t="shared" si="314"/>
        <v>-50254</v>
      </c>
      <c r="AZ629" s="8">
        <v>1106530</v>
      </c>
      <c r="BA629" s="8">
        <f t="shared" si="315"/>
        <v>58168</v>
      </c>
      <c r="BB629" s="8">
        <v>1180523</v>
      </c>
      <c r="BC629" s="8">
        <f t="shared" si="316"/>
        <v>10278</v>
      </c>
      <c r="BD629" s="8">
        <f t="shared" si="289"/>
        <v>-73993</v>
      </c>
      <c r="BE629" s="8">
        <f t="shared" si="317"/>
        <v>47890</v>
      </c>
      <c r="BF629" s="8">
        <v>705000</v>
      </c>
      <c r="BG629" s="8">
        <f t="shared" si="318"/>
        <v>49188</v>
      </c>
      <c r="BH629" s="8">
        <v>1005064</v>
      </c>
      <c r="BI629" s="8">
        <f t="shared" si="319"/>
        <v>4101</v>
      </c>
      <c r="BJ629" s="8">
        <f t="shared" si="290"/>
        <v>-300064</v>
      </c>
      <c r="BK629" s="8">
        <f t="shared" si="292"/>
        <v>45087</v>
      </c>
    </row>
    <row r="630" spans="1:63">
      <c r="A630" s="5">
        <f t="shared" si="320"/>
        <v>43277</v>
      </c>
      <c r="B630" s="8">
        <v>524465</v>
      </c>
      <c r="C630" s="8">
        <f t="shared" si="293"/>
        <v>-38224</v>
      </c>
      <c r="D630" s="8">
        <v>62225</v>
      </c>
      <c r="E630" s="8">
        <f t="shared" si="294"/>
        <v>3354</v>
      </c>
      <c r="F630" s="8">
        <v>152405</v>
      </c>
      <c r="G630" s="8">
        <f t="shared" si="295"/>
        <v>395</v>
      </c>
      <c r="H630" s="8">
        <v>-90180</v>
      </c>
      <c r="I630" s="8">
        <f t="shared" si="296"/>
        <v>2959</v>
      </c>
      <c r="J630" s="8">
        <v>237175</v>
      </c>
      <c r="K630" s="8">
        <f t="shared" si="297"/>
        <v>-19019</v>
      </c>
      <c r="L630" s="8">
        <v>199760</v>
      </c>
      <c r="M630" s="8">
        <f t="shared" si="298"/>
        <v>-14179</v>
      </c>
      <c r="N630" s="8">
        <v>37415</v>
      </c>
      <c r="O630" s="8">
        <f t="shared" si="299"/>
        <v>-4840</v>
      </c>
      <c r="P630" s="8">
        <v>124314</v>
      </c>
      <c r="Q630" s="8">
        <f t="shared" si="300"/>
        <v>-4743</v>
      </c>
      <c r="R630" s="8">
        <v>185977</v>
      </c>
      <c r="S630" s="8">
        <f t="shared" si="301"/>
        <v>-2665</v>
      </c>
      <c r="T630" s="8">
        <v>-61663</v>
      </c>
      <c r="U630" s="8">
        <f t="shared" si="302"/>
        <v>-2078</v>
      </c>
      <c r="W630" s="8">
        <v>545769</v>
      </c>
      <c r="X630" s="8">
        <f t="shared" si="303"/>
        <v>-48247</v>
      </c>
      <c r="Y630" s="8">
        <v>85149</v>
      </c>
      <c r="Z630" s="8">
        <f t="shared" si="304"/>
        <v>-13638</v>
      </c>
      <c r="AA630" s="8">
        <v>22013</v>
      </c>
      <c r="AB630" s="8">
        <f t="shared" si="321"/>
        <v>6800</v>
      </c>
      <c r="AC630" s="8">
        <v>63136</v>
      </c>
      <c r="AD630" s="8">
        <f t="shared" si="322"/>
        <v>-20438</v>
      </c>
      <c r="AE630" s="8">
        <v>223364</v>
      </c>
      <c r="AF630" s="8">
        <f t="shared" si="305"/>
        <v>-14424</v>
      </c>
      <c r="AG630" s="8">
        <v>331752</v>
      </c>
      <c r="AH630" s="8">
        <f t="shared" si="306"/>
        <v>-34953</v>
      </c>
      <c r="AI630" s="8">
        <v>-108388</v>
      </c>
      <c r="AJ630" s="8">
        <f t="shared" si="307"/>
        <v>20529</v>
      </c>
      <c r="AK630" s="8">
        <v>108549</v>
      </c>
      <c r="AL630" s="8">
        <f t="shared" si="308"/>
        <v>-11840</v>
      </c>
      <c r="AM630" s="8">
        <v>299439</v>
      </c>
      <c r="AN630" s="8">
        <f t="shared" si="309"/>
        <v>-25212</v>
      </c>
      <c r="AO630" s="8">
        <v>-190890</v>
      </c>
      <c r="AP630" s="8">
        <f t="shared" si="310"/>
        <v>13372</v>
      </c>
      <c r="AR630" s="8">
        <v>2386393</v>
      </c>
      <c r="AS630" s="8">
        <f t="shared" si="311"/>
        <v>-249563</v>
      </c>
      <c r="AT630" s="8">
        <v>307459</v>
      </c>
      <c r="AU630" s="8">
        <f t="shared" si="312"/>
        <v>-6174</v>
      </c>
      <c r="AV630" s="8">
        <v>367778</v>
      </c>
      <c r="AW630" s="8">
        <f t="shared" si="313"/>
        <v>40107</v>
      </c>
      <c r="AX630" s="8">
        <f t="shared" si="288"/>
        <v>-60319</v>
      </c>
      <c r="AY630" s="8">
        <f t="shared" si="314"/>
        <v>-46281</v>
      </c>
      <c r="AZ630" s="8">
        <v>1024448</v>
      </c>
      <c r="BA630" s="8">
        <f t="shared" si="315"/>
        <v>-82082</v>
      </c>
      <c r="BB630" s="8">
        <v>1059091</v>
      </c>
      <c r="BC630" s="8">
        <f t="shared" si="316"/>
        <v>-121432</v>
      </c>
      <c r="BD630" s="8">
        <f t="shared" si="289"/>
        <v>-34643</v>
      </c>
      <c r="BE630" s="8">
        <f t="shared" si="317"/>
        <v>39350</v>
      </c>
      <c r="BF630" s="8">
        <v>652790</v>
      </c>
      <c r="BG630" s="8">
        <f t="shared" si="318"/>
        <v>-52210</v>
      </c>
      <c r="BH630" s="8">
        <v>907941</v>
      </c>
      <c r="BI630" s="8">
        <f t="shared" si="319"/>
        <v>-97123</v>
      </c>
      <c r="BJ630" s="8">
        <f t="shared" si="290"/>
        <v>-255151</v>
      </c>
      <c r="BK630" s="8">
        <f t="shared" si="292"/>
        <v>44913</v>
      </c>
    </row>
    <row r="631" spans="1:63">
      <c r="A631" s="5">
        <f t="shared" si="320"/>
        <v>43284</v>
      </c>
      <c r="B631" s="8">
        <v>520902</v>
      </c>
      <c r="C631" s="8">
        <f t="shared" si="293"/>
        <v>-3563</v>
      </c>
      <c r="D631" s="8">
        <v>62538</v>
      </c>
      <c r="E631" s="8">
        <f t="shared" si="294"/>
        <v>313</v>
      </c>
      <c r="F631" s="8">
        <v>151843</v>
      </c>
      <c r="G631" s="8">
        <f t="shared" si="295"/>
        <v>-562</v>
      </c>
      <c r="H631" s="8">
        <v>-89305</v>
      </c>
      <c r="I631" s="8">
        <f t="shared" si="296"/>
        <v>875</v>
      </c>
      <c r="J631" s="8">
        <v>243895</v>
      </c>
      <c r="K631" s="8">
        <f t="shared" si="297"/>
        <v>6720</v>
      </c>
      <c r="L631" s="8">
        <v>198252</v>
      </c>
      <c r="M631" s="8">
        <f t="shared" si="298"/>
        <v>-1508</v>
      </c>
      <c r="N631" s="8">
        <v>45643</v>
      </c>
      <c r="O631" s="8">
        <f t="shared" si="299"/>
        <v>8228</v>
      </c>
      <c r="P631" s="8">
        <v>129953</v>
      </c>
      <c r="Q631" s="8">
        <f t="shared" si="300"/>
        <v>5639</v>
      </c>
      <c r="R631" s="8">
        <v>183602</v>
      </c>
      <c r="S631" s="8">
        <f t="shared" si="301"/>
        <v>-2375</v>
      </c>
      <c r="T631" s="8">
        <v>-53649</v>
      </c>
      <c r="U631" s="8">
        <f t="shared" si="302"/>
        <v>8014</v>
      </c>
      <c r="W631" s="8">
        <v>565599</v>
      </c>
      <c r="X631" s="8">
        <f t="shared" si="303"/>
        <v>19830</v>
      </c>
      <c r="Y631" s="8">
        <v>79665</v>
      </c>
      <c r="Z631" s="8">
        <f t="shared" si="304"/>
        <v>-5484</v>
      </c>
      <c r="AA631" s="8">
        <v>23655</v>
      </c>
      <c r="AB631" s="8">
        <f t="shared" si="321"/>
        <v>1642</v>
      </c>
      <c r="AC631" s="8">
        <v>56010</v>
      </c>
      <c r="AD631" s="8">
        <f t="shared" si="322"/>
        <v>-7126</v>
      </c>
      <c r="AE631" s="8">
        <v>228376</v>
      </c>
      <c r="AF631" s="8">
        <f t="shared" si="305"/>
        <v>5012</v>
      </c>
      <c r="AG631" s="8">
        <v>331915</v>
      </c>
      <c r="AH631" s="8">
        <f t="shared" si="306"/>
        <v>163</v>
      </c>
      <c r="AI631" s="8">
        <v>-103539</v>
      </c>
      <c r="AJ631" s="8">
        <f t="shared" si="307"/>
        <v>4849</v>
      </c>
      <c r="AK631" s="8">
        <v>111981</v>
      </c>
      <c r="AL631" s="8">
        <f t="shared" si="308"/>
        <v>3432</v>
      </c>
      <c r="AM631" s="8">
        <v>297704</v>
      </c>
      <c r="AN631" s="8">
        <f t="shared" si="309"/>
        <v>-1735</v>
      </c>
      <c r="AO631" s="8">
        <v>-185723</v>
      </c>
      <c r="AP631" s="8">
        <f t="shared" si="310"/>
        <v>5167</v>
      </c>
      <c r="AR631" s="8">
        <v>2360868</v>
      </c>
      <c r="AS631" s="8">
        <f t="shared" si="311"/>
        <v>-25525</v>
      </c>
      <c r="AT631" s="8">
        <v>295137</v>
      </c>
      <c r="AU631" s="8">
        <f t="shared" si="312"/>
        <v>-12322</v>
      </c>
      <c r="AV631" s="8">
        <v>365947</v>
      </c>
      <c r="AW631" s="8">
        <f t="shared" si="313"/>
        <v>-1831</v>
      </c>
      <c r="AX631" s="8">
        <f t="shared" si="288"/>
        <v>-70810</v>
      </c>
      <c r="AY631" s="8">
        <f t="shared" si="314"/>
        <v>-10491</v>
      </c>
      <c r="AZ631" s="8">
        <v>1001782</v>
      </c>
      <c r="BA631" s="8">
        <f t="shared" si="315"/>
        <v>-22666</v>
      </c>
      <c r="BB631" s="8">
        <v>1016148</v>
      </c>
      <c r="BC631" s="8">
        <f t="shared" si="316"/>
        <v>-42943</v>
      </c>
      <c r="BD631" s="8">
        <f t="shared" si="289"/>
        <v>-14366</v>
      </c>
      <c r="BE631" s="8">
        <f t="shared" si="317"/>
        <v>20277</v>
      </c>
      <c r="BF631" s="8">
        <v>629757</v>
      </c>
      <c r="BG631" s="8">
        <f t="shared" si="318"/>
        <v>-23033</v>
      </c>
      <c r="BH631" s="8">
        <v>852297</v>
      </c>
      <c r="BI631" s="8">
        <f t="shared" si="319"/>
        <v>-55644</v>
      </c>
      <c r="BJ631" s="8">
        <f t="shared" si="290"/>
        <v>-222540</v>
      </c>
      <c r="BK631" s="8">
        <f t="shared" si="292"/>
        <v>32611</v>
      </c>
    </row>
    <row r="632" spans="1:63">
      <c r="A632" s="5">
        <f t="shared" si="320"/>
        <v>43291</v>
      </c>
      <c r="B632" s="8">
        <v>526870</v>
      </c>
      <c r="C632" s="8">
        <f t="shared" si="293"/>
        <v>5968</v>
      </c>
      <c r="D632" s="8">
        <v>61636</v>
      </c>
      <c r="E632" s="8">
        <f t="shared" si="294"/>
        <v>-902</v>
      </c>
      <c r="F632" s="8">
        <v>147001</v>
      </c>
      <c r="G632" s="8">
        <f t="shared" si="295"/>
        <v>-4842</v>
      </c>
      <c r="H632" s="8">
        <v>-85365</v>
      </c>
      <c r="I632" s="8">
        <f t="shared" si="296"/>
        <v>3940</v>
      </c>
      <c r="J632" s="8">
        <v>243356</v>
      </c>
      <c r="K632" s="8">
        <f t="shared" si="297"/>
        <v>-539</v>
      </c>
      <c r="L632" s="8">
        <v>202544</v>
      </c>
      <c r="M632" s="8">
        <f t="shared" si="298"/>
        <v>4292</v>
      </c>
      <c r="N632" s="8">
        <v>40812</v>
      </c>
      <c r="O632" s="8">
        <f t="shared" si="299"/>
        <v>-4831</v>
      </c>
      <c r="P632" s="8">
        <v>130279</v>
      </c>
      <c r="Q632" s="8">
        <f t="shared" si="300"/>
        <v>326</v>
      </c>
      <c r="R632" s="8">
        <v>185756</v>
      </c>
      <c r="S632" s="8">
        <f t="shared" si="301"/>
        <v>2154</v>
      </c>
      <c r="T632" s="8">
        <v>-55477</v>
      </c>
      <c r="U632" s="8">
        <f t="shared" si="302"/>
        <v>-1828</v>
      </c>
      <c r="W632" s="8">
        <v>573033</v>
      </c>
      <c r="X632" s="8">
        <f t="shared" si="303"/>
        <v>7434</v>
      </c>
      <c r="Y632" s="8">
        <v>77611</v>
      </c>
      <c r="Z632" s="8">
        <f t="shared" si="304"/>
        <v>-2054</v>
      </c>
      <c r="AA632" s="8">
        <v>26285</v>
      </c>
      <c r="AB632" s="8">
        <f t="shared" si="321"/>
        <v>2630</v>
      </c>
      <c r="AC632" s="8">
        <v>51326</v>
      </c>
      <c r="AD632" s="8">
        <f t="shared" si="322"/>
        <v>-4684</v>
      </c>
      <c r="AE632" s="8">
        <v>232072</v>
      </c>
      <c r="AF632" s="8">
        <f t="shared" si="305"/>
        <v>3696</v>
      </c>
      <c r="AG632" s="8">
        <v>332240</v>
      </c>
      <c r="AH632" s="8">
        <f t="shared" si="306"/>
        <v>325</v>
      </c>
      <c r="AI632" s="8">
        <v>-100168</v>
      </c>
      <c r="AJ632" s="8">
        <f t="shared" si="307"/>
        <v>3371</v>
      </c>
      <c r="AK632" s="8">
        <v>116223</v>
      </c>
      <c r="AL632" s="8">
        <f t="shared" si="308"/>
        <v>4242</v>
      </c>
      <c r="AM632" s="8">
        <v>296908</v>
      </c>
      <c r="AN632" s="8">
        <f t="shared" si="309"/>
        <v>-796</v>
      </c>
      <c r="AO632" s="8">
        <v>-180685</v>
      </c>
      <c r="AP632" s="8">
        <f t="shared" si="310"/>
        <v>5038</v>
      </c>
      <c r="AR632" s="8">
        <v>2352719</v>
      </c>
      <c r="AS632" s="8">
        <f t="shared" si="311"/>
        <v>-8149</v>
      </c>
      <c r="AT632" s="8">
        <v>280906</v>
      </c>
      <c r="AU632" s="8">
        <f t="shared" si="312"/>
        <v>-14231</v>
      </c>
      <c r="AV632" s="8">
        <v>385282</v>
      </c>
      <c r="AW632" s="8">
        <f t="shared" si="313"/>
        <v>19335</v>
      </c>
      <c r="AX632" s="8">
        <f t="shared" si="288"/>
        <v>-104376</v>
      </c>
      <c r="AY632" s="8">
        <f t="shared" si="314"/>
        <v>-33566</v>
      </c>
      <c r="AZ632" s="8">
        <v>1020410</v>
      </c>
      <c r="BA632" s="8">
        <f t="shared" si="315"/>
        <v>18628</v>
      </c>
      <c r="BB632" s="8">
        <v>990066</v>
      </c>
      <c r="BC632" s="8">
        <f t="shared" si="316"/>
        <v>-26082</v>
      </c>
      <c r="BD632" s="8">
        <f t="shared" si="289"/>
        <v>30344</v>
      </c>
      <c r="BE632" s="8">
        <f t="shared" si="317"/>
        <v>44710</v>
      </c>
      <c r="BF632" s="8">
        <v>648903</v>
      </c>
      <c r="BG632" s="8">
        <f t="shared" si="318"/>
        <v>19146</v>
      </c>
      <c r="BH632" s="8">
        <v>825211</v>
      </c>
      <c r="BI632" s="8">
        <f t="shared" si="319"/>
        <v>-27086</v>
      </c>
      <c r="BJ632" s="8">
        <f t="shared" si="290"/>
        <v>-176308</v>
      </c>
      <c r="BK632" s="8">
        <f t="shared" si="292"/>
        <v>46232</v>
      </c>
    </row>
    <row r="633" spans="1:63">
      <c r="A633" s="5">
        <f t="shared" si="320"/>
        <v>43298</v>
      </c>
      <c r="B633" s="8">
        <v>550453</v>
      </c>
      <c r="C633" s="8">
        <f t="shared" si="293"/>
        <v>23583</v>
      </c>
      <c r="D633" s="8">
        <v>62129</v>
      </c>
      <c r="E633" s="8">
        <f t="shared" si="294"/>
        <v>493</v>
      </c>
      <c r="F633" s="8">
        <v>152340</v>
      </c>
      <c r="G633" s="8">
        <f t="shared" si="295"/>
        <v>5339</v>
      </c>
      <c r="H633" s="8">
        <v>-90211</v>
      </c>
      <c r="I633" s="8">
        <f t="shared" si="296"/>
        <v>-4846</v>
      </c>
      <c r="J633" s="8">
        <v>260520</v>
      </c>
      <c r="K633" s="8">
        <f t="shared" si="297"/>
        <v>17164</v>
      </c>
      <c r="L633" s="8">
        <v>206202</v>
      </c>
      <c r="M633" s="8">
        <f t="shared" si="298"/>
        <v>3658</v>
      </c>
      <c r="N633" s="8">
        <v>54318</v>
      </c>
      <c r="O633" s="8">
        <f t="shared" si="299"/>
        <v>13506</v>
      </c>
      <c r="P633" s="8">
        <v>146176</v>
      </c>
      <c r="Q633" s="8">
        <f t="shared" si="300"/>
        <v>15897</v>
      </c>
      <c r="R633" s="8">
        <v>188652</v>
      </c>
      <c r="S633" s="8">
        <f t="shared" si="301"/>
        <v>2896</v>
      </c>
      <c r="T633" s="8">
        <v>-42476</v>
      </c>
      <c r="U633" s="8">
        <f t="shared" si="302"/>
        <v>13001</v>
      </c>
      <c r="W633" s="8">
        <v>585171</v>
      </c>
      <c r="X633" s="8">
        <f t="shared" si="303"/>
        <v>12138</v>
      </c>
      <c r="Y633" s="8">
        <v>79953</v>
      </c>
      <c r="Z633" s="8">
        <f t="shared" si="304"/>
        <v>2342</v>
      </c>
      <c r="AA633" s="8">
        <v>26575</v>
      </c>
      <c r="AB633" s="8">
        <f t="shared" si="321"/>
        <v>290</v>
      </c>
      <c r="AC633" s="8">
        <v>53378</v>
      </c>
      <c r="AD633" s="8">
        <f t="shared" si="322"/>
        <v>2052</v>
      </c>
      <c r="AE633" s="8">
        <v>236998</v>
      </c>
      <c r="AF633" s="8">
        <f t="shared" si="305"/>
        <v>4926</v>
      </c>
      <c r="AG633" s="8">
        <v>341841</v>
      </c>
      <c r="AH633" s="8">
        <f t="shared" si="306"/>
        <v>9601</v>
      </c>
      <c r="AI633" s="8">
        <v>-104843</v>
      </c>
      <c r="AJ633" s="8">
        <f t="shared" si="307"/>
        <v>-4675</v>
      </c>
      <c r="AK633" s="8">
        <v>123027</v>
      </c>
      <c r="AL633" s="8">
        <f t="shared" si="308"/>
        <v>6804</v>
      </c>
      <c r="AM633" s="8">
        <v>304373</v>
      </c>
      <c r="AN633" s="8">
        <f t="shared" si="309"/>
        <v>7465</v>
      </c>
      <c r="AO633" s="8">
        <v>-181346</v>
      </c>
      <c r="AP633" s="8">
        <f t="shared" si="310"/>
        <v>-661</v>
      </c>
      <c r="AR633" s="8">
        <v>2409890</v>
      </c>
      <c r="AS633" s="8">
        <f t="shared" si="311"/>
        <v>57171</v>
      </c>
      <c r="AT633" s="8">
        <v>268103</v>
      </c>
      <c r="AU633" s="8">
        <f t="shared" si="312"/>
        <v>-12803</v>
      </c>
      <c r="AV633" s="8">
        <v>397426</v>
      </c>
      <c r="AW633" s="8">
        <f t="shared" si="313"/>
        <v>12144</v>
      </c>
      <c r="AX633" s="8">
        <f t="shared" si="288"/>
        <v>-129323</v>
      </c>
      <c r="AY633" s="8">
        <f t="shared" si="314"/>
        <v>-24947</v>
      </c>
      <c r="AZ633" s="8">
        <v>1044097</v>
      </c>
      <c r="BA633" s="8">
        <f t="shared" si="315"/>
        <v>23687</v>
      </c>
      <c r="BB633" s="8">
        <v>991573</v>
      </c>
      <c r="BC633" s="8">
        <f t="shared" si="316"/>
        <v>1507</v>
      </c>
      <c r="BD633" s="8">
        <f t="shared" si="289"/>
        <v>52524</v>
      </c>
      <c r="BE633" s="8">
        <f t="shared" si="317"/>
        <v>22180</v>
      </c>
      <c r="BF633" s="8">
        <v>672258</v>
      </c>
      <c r="BG633" s="8">
        <f t="shared" si="318"/>
        <v>23355</v>
      </c>
      <c r="BH633" s="8">
        <v>823746</v>
      </c>
      <c r="BI633" s="8">
        <f t="shared" si="319"/>
        <v>-1465</v>
      </c>
      <c r="BJ633" s="8">
        <f t="shared" si="290"/>
        <v>-151488</v>
      </c>
      <c r="BK633" s="8">
        <f t="shared" si="292"/>
        <v>24820</v>
      </c>
    </row>
    <row r="634" spans="1:63">
      <c r="A634" s="5">
        <f t="shared" si="320"/>
        <v>43305</v>
      </c>
      <c r="B634" s="8">
        <v>565582</v>
      </c>
      <c r="C634" s="8">
        <f t="shared" si="293"/>
        <v>15129</v>
      </c>
      <c r="D634" s="8">
        <v>57750</v>
      </c>
      <c r="E634" s="8">
        <f t="shared" si="294"/>
        <v>-4379</v>
      </c>
      <c r="F634" s="8">
        <v>147702</v>
      </c>
      <c r="G634" s="8">
        <f t="shared" si="295"/>
        <v>-4638</v>
      </c>
      <c r="H634" s="8">
        <v>-89952</v>
      </c>
      <c r="I634" s="8">
        <f t="shared" si="296"/>
        <v>259</v>
      </c>
      <c r="J634" s="8">
        <v>268665</v>
      </c>
      <c r="K634" s="8">
        <f t="shared" si="297"/>
        <v>8145</v>
      </c>
      <c r="L634" s="8">
        <v>215820</v>
      </c>
      <c r="M634" s="8">
        <f t="shared" si="298"/>
        <v>9618</v>
      </c>
      <c r="N634" s="8">
        <v>52845</v>
      </c>
      <c r="O634" s="8">
        <f t="shared" si="299"/>
        <v>-1473</v>
      </c>
      <c r="P634" s="8">
        <v>150170</v>
      </c>
      <c r="Q634" s="8">
        <f t="shared" si="300"/>
        <v>3994</v>
      </c>
      <c r="R634" s="8">
        <v>195799</v>
      </c>
      <c r="S634" s="8">
        <f t="shared" si="301"/>
        <v>7147</v>
      </c>
      <c r="T634" s="8">
        <v>-45629</v>
      </c>
      <c r="U634" s="8">
        <f t="shared" si="302"/>
        <v>-3153</v>
      </c>
      <c r="W634" s="8">
        <v>584459</v>
      </c>
      <c r="X634" s="8">
        <f t="shared" si="303"/>
        <v>-712</v>
      </c>
      <c r="Y634" s="8">
        <v>79647</v>
      </c>
      <c r="Z634" s="8">
        <f t="shared" si="304"/>
        <v>-306</v>
      </c>
      <c r="AA634" s="8">
        <v>29707</v>
      </c>
      <c r="AB634" s="8">
        <f t="shared" si="321"/>
        <v>3132</v>
      </c>
      <c r="AC634" s="8">
        <v>49940</v>
      </c>
      <c r="AD634" s="8">
        <f t="shared" si="322"/>
        <v>-3438</v>
      </c>
      <c r="AE634" s="8">
        <v>236852</v>
      </c>
      <c r="AF634" s="8">
        <f t="shared" si="305"/>
        <v>-146</v>
      </c>
      <c r="AG634" s="8">
        <v>336529</v>
      </c>
      <c r="AH634" s="8">
        <f t="shared" si="306"/>
        <v>-5312</v>
      </c>
      <c r="AI634" s="8">
        <v>-99677</v>
      </c>
      <c r="AJ634" s="8">
        <f t="shared" si="307"/>
        <v>5166</v>
      </c>
      <c r="AK634" s="8">
        <v>124766</v>
      </c>
      <c r="AL634" s="8">
        <f t="shared" si="308"/>
        <v>1739</v>
      </c>
      <c r="AM634" s="8">
        <v>298805</v>
      </c>
      <c r="AN634" s="8">
        <f t="shared" si="309"/>
        <v>-5568</v>
      </c>
      <c r="AO634" s="8">
        <v>-174039</v>
      </c>
      <c r="AP634" s="8">
        <f t="shared" si="310"/>
        <v>7307</v>
      </c>
      <c r="AR634" s="8">
        <v>2470639</v>
      </c>
      <c r="AS634" s="8">
        <f t="shared" si="311"/>
        <v>60749</v>
      </c>
      <c r="AT634" s="8">
        <v>277329</v>
      </c>
      <c r="AU634" s="8">
        <f t="shared" si="312"/>
        <v>9226</v>
      </c>
      <c r="AV634" s="8">
        <v>407526</v>
      </c>
      <c r="AW634" s="8">
        <f t="shared" si="313"/>
        <v>10100</v>
      </c>
      <c r="AX634" s="8">
        <f t="shared" si="288"/>
        <v>-130197</v>
      </c>
      <c r="AY634" s="8">
        <f t="shared" si="314"/>
        <v>-874</v>
      </c>
      <c r="AZ634" s="8">
        <v>1057615</v>
      </c>
      <c r="BA634" s="8">
        <f t="shared" si="315"/>
        <v>13518</v>
      </c>
      <c r="BB634" s="8">
        <v>997959</v>
      </c>
      <c r="BC634" s="8">
        <f t="shared" si="316"/>
        <v>6386</v>
      </c>
      <c r="BD634" s="8">
        <f t="shared" si="289"/>
        <v>59656</v>
      </c>
      <c r="BE634" s="8">
        <f t="shared" si="317"/>
        <v>7132</v>
      </c>
      <c r="BF634" s="8">
        <v>682411</v>
      </c>
      <c r="BG634" s="8">
        <f t="shared" si="318"/>
        <v>10153</v>
      </c>
      <c r="BH634" s="8">
        <v>823209</v>
      </c>
      <c r="BI634" s="8">
        <f t="shared" si="319"/>
        <v>-537</v>
      </c>
      <c r="BJ634" s="8">
        <f t="shared" si="290"/>
        <v>-140798</v>
      </c>
      <c r="BK634" s="8">
        <f t="shared" si="292"/>
        <v>10690</v>
      </c>
    </row>
    <row r="635" spans="1:63">
      <c r="A635" s="5">
        <f t="shared" si="320"/>
        <v>43312</v>
      </c>
      <c r="B635" s="8">
        <v>542097</v>
      </c>
      <c r="C635" s="8">
        <f t="shared" si="293"/>
        <v>-23485</v>
      </c>
      <c r="D635" s="8">
        <v>54088</v>
      </c>
      <c r="E635" s="8">
        <f t="shared" si="294"/>
        <v>-3662</v>
      </c>
      <c r="F635" s="8">
        <v>145859</v>
      </c>
      <c r="G635" s="8">
        <f t="shared" si="295"/>
        <v>-1843</v>
      </c>
      <c r="H635" s="8">
        <v>-91771</v>
      </c>
      <c r="I635" s="8">
        <f t="shared" si="296"/>
        <v>-1819</v>
      </c>
      <c r="J635" s="8">
        <v>264266</v>
      </c>
      <c r="K635" s="8">
        <f t="shared" si="297"/>
        <v>-4399</v>
      </c>
      <c r="L635" s="8">
        <v>211769</v>
      </c>
      <c r="M635" s="8">
        <f t="shared" si="298"/>
        <v>-4051</v>
      </c>
      <c r="N635" s="8">
        <v>52497</v>
      </c>
      <c r="O635" s="8">
        <f t="shared" si="299"/>
        <v>-348</v>
      </c>
      <c r="P635" s="8">
        <v>145033</v>
      </c>
      <c r="Q635" s="8">
        <f t="shared" si="300"/>
        <v>-5137</v>
      </c>
      <c r="R635" s="8">
        <v>189138</v>
      </c>
      <c r="S635" s="8">
        <f t="shared" si="301"/>
        <v>-6661</v>
      </c>
      <c r="T635" s="8">
        <v>-44105</v>
      </c>
      <c r="U635" s="8">
        <f t="shared" si="302"/>
        <v>1524</v>
      </c>
      <c r="W635" s="8">
        <v>569042</v>
      </c>
      <c r="X635" s="8">
        <f t="shared" si="303"/>
        <v>-15417</v>
      </c>
      <c r="Y635" s="8">
        <v>82096</v>
      </c>
      <c r="Z635" s="8">
        <f t="shared" si="304"/>
        <v>2449</v>
      </c>
      <c r="AA635" s="8">
        <v>29489</v>
      </c>
      <c r="AB635" s="8">
        <f t="shared" si="321"/>
        <v>-218</v>
      </c>
      <c r="AC635" s="8">
        <v>52607</v>
      </c>
      <c r="AD635" s="8">
        <f t="shared" si="322"/>
        <v>2667</v>
      </c>
      <c r="AE635" s="8">
        <v>227306</v>
      </c>
      <c r="AF635" s="8">
        <f t="shared" si="305"/>
        <v>-9546</v>
      </c>
      <c r="AG635" s="8">
        <v>333837</v>
      </c>
      <c r="AH635" s="8">
        <f t="shared" si="306"/>
        <v>-2692</v>
      </c>
      <c r="AI635" s="8">
        <v>-106531</v>
      </c>
      <c r="AJ635" s="8">
        <f t="shared" si="307"/>
        <v>-6854</v>
      </c>
      <c r="AK635" s="8">
        <v>117387</v>
      </c>
      <c r="AL635" s="8">
        <f t="shared" si="308"/>
        <v>-7379</v>
      </c>
      <c r="AM635" s="8">
        <v>296078</v>
      </c>
      <c r="AN635" s="8">
        <f t="shared" si="309"/>
        <v>-2727</v>
      </c>
      <c r="AO635" s="8">
        <v>-178691</v>
      </c>
      <c r="AP635" s="8">
        <f t="shared" si="310"/>
        <v>-4652</v>
      </c>
      <c r="AR635" s="8">
        <v>2369980</v>
      </c>
      <c r="AS635" s="8">
        <f t="shared" si="311"/>
        <v>-100659</v>
      </c>
      <c r="AT635" s="8">
        <v>313213</v>
      </c>
      <c r="AU635" s="8">
        <f t="shared" si="312"/>
        <v>35884</v>
      </c>
      <c r="AV635" s="8">
        <v>365411</v>
      </c>
      <c r="AW635" s="8">
        <f t="shared" si="313"/>
        <v>-42115</v>
      </c>
      <c r="AX635" s="8">
        <f t="shared" si="288"/>
        <v>-52198</v>
      </c>
      <c r="AY635" s="8">
        <f t="shared" si="314"/>
        <v>77999</v>
      </c>
      <c r="AZ635" s="8">
        <v>982588</v>
      </c>
      <c r="BA635" s="8">
        <f t="shared" si="315"/>
        <v>-75027</v>
      </c>
      <c r="BB635" s="8">
        <v>1007394</v>
      </c>
      <c r="BC635" s="8">
        <f t="shared" si="316"/>
        <v>9435</v>
      </c>
      <c r="BD635" s="8">
        <f t="shared" si="289"/>
        <v>-24806</v>
      </c>
      <c r="BE635" s="8">
        <f t="shared" si="317"/>
        <v>-84462</v>
      </c>
      <c r="BF635" s="8">
        <v>632122</v>
      </c>
      <c r="BG635" s="8">
        <f t="shared" si="318"/>
        <v>-50289</v>
      </c>
      <c r="BH635" s="8">
        <v>850554</v>
      </c>
      <c r="BI635" s="8">
        <f t="shared" si="319"/>
        <v>27345</v>
      </c>
      <c r="BJ635" s="8">
        <f t="shared" si="290"/>
        <v>-218432</v>
      </c>
      <c r="BK635" s="8">
        <f t="shared" si="292"/>
        <v>-77634</v>
      </c>
    </row>
    <row r="636" spans="1:63">
      <c r="A636" s="5">
        <f t="shared" si="320"/>
        <v>43319</v>
      </c>
      <c r="B636" s="8">
        <v>552033</v>
      </c>
      <c r="C636" s="8">
        <f t="shared" si="293"/>
        <v>9936</v>
      </c>
      <c r="D636" s="8">
        <v>56106</v>
      </c>
      <c r="E636" s="8">
        <f t="shared" si="294"/>
        <v>2018</v>
      </c>
      <c r="F636" s="8">
        <v>147487</v>
      </c>
      <c r="G636" s="8">
        <f t="shared" si="295"/>
        <v>1628</v>
      </c>
      <c r="H636" s="8">
        <v>-91381</v>
      </c>
      <c r="I636" s="8">
        <f t="shared" si="296"/>
        <v>390</v>
      </c>
      <c r="J636" s="8">
        <v>258036</v>
      </c>
      <c r="K636" s="8">
        <f t="shared" si="297"/>
        <v>-6230</v>
      </c>
      <c r="L636" s="8">
        <v>207613</v>
      </c>
      <c r="M636" s="8">
        <f t="shared" si="298"/>
        <v>-4156</v>
      </c>
      <c r="N636" s="8">
        <v>50423</v>
      </c>
      <c r="O636" s="8">
        <f t="shared" si="299"/>
        <v>-2074</v>
      </c>
      <c r="P636" s="8">
        <v>144305</v>
      </c>
      <c r="Q636" s="8">
        <f t="shared" si="300"/>
        <v>-728</v>
      </c>
      <c r="R636" s="8">
        <v>184890</v>
      </c>
      <c r="S636" s="8">
        <f t="shared" si="301"/>
        <v>-4248</v>
      </c>
      <c r="T636" s="8">
        <v>-40585</v>
      </c>
      <c r="U636" s="8">
        <f t="shared" si="302"/>
        <v>3520</v>
      </c>
      <c r="W636" s="8">
        <v>559065</v>
      </c>
      <c r="X636" s="8">
        <f t="shared" si="303"/>
        <v>-9977</v>
      </c>
      <c r="Y636" s="8">
        <v>76788</v>
      </c>
      <c r="Z636" s="8">
        <f t="shared" si="304"/>
        <v>-5308</v>
      </c>
      <c r="AA636" s="8">
        <v>29988</v>
      </c>
      <c r="AB636" s="8">
        <f t="shared" si="321"/>
        <v>499</v>
      </c>
      <c r="AC636" s="8">
        <v>46800</v>
      </c>
      <c r="AD636" s="8">
        <f t="shared" si="322"/>
        <v>-5807</v>
      </c>
      <c r="AE636" s="8">
        <v>227830</v>
      </c>
      <c r="AF636" s="8">
        <f t="shared" si="305"/>
        <v>524</v>
      </c>
      <c r="AG636" s="8">
        <v>325742</v>
      </c>
      <c r="AH636" s="8">
        <f t="shared" si="306"/>
        <v>-8095</v>
      </c>
      <c r="AI636" s="8">
        <v>-97912</v>
      </c>
      <c r="AJ636" s="8">
        <f t="shared" si="307"/>
        <v>8619</v>
      </c>
      <c r="AK636" s="8">
        <v>117767</v>
      </c>
      <c r="AL636" s="8">
        <f t="shared" si="308"/>
        <v>380</v>
      </c>
      <c r="AM636" s="8">
        <v>288409</v>
      </c>
      <c r="AN636" s="8">
        <f t="shared" si="309"/>
        <v>-7669</v>
      </c>
      <c r="AO636" s="8">
        <v>-170642</v>
      </c>
      <c r="AP636" s="8">
        <f t="shared" si="310"/>
        <v>8049</v>
      </c>
      <c r="AR636" s="8">
        <v>2287244</v>
      </c>
      <c r="AS636" s="8">
        <f t="shared" si="311"/>
        <v>-82736</v>
      </c>
      <c r="AT636" s="8">
        <v>287516</v>
      </c>
      <c r="AU636" s="8">
        <f t="shared" si="312"/>
        <v>-25697</v>
      </c>
      <c r="AV636" s="8">
        <v>317221</v>
      </c>
      <c r="AW636" s="8">
        <f t="shared" si="313"/>
        <v>-48190</v>
      </c>
      <c r="AX636" s="8">
        <f t="shared" si="288"/>
        <v>-29705</v>
      </c>
      <c r="AY636" s="8">
        <f t="shared" si="314"/>
        <v>22493</v>
      </c>
      <c r="AZ636" s="8">
        <v>965745</v>
      </c>
      <c r="BA636" s="8">
        <f t="shared" si="315"/>
        <v>-16843</v>
      </c>
      <c r="BB636" s="8">
        <v>999078</v>
      </c>
      <c r="BC636" s="8">
        <f t="shared" si="316"/>
        <v>-8316</v>
      </c>
      <c r="BD636" s="8">
        <f t="shared" si="289"/>
        <v>-33333</v>
      </c>
      <c r="BE636" s="8">
        <f t="shared" si="317"/>
        <v>-8527</v>
      </c>
      <c r="BF636" s="8">
        <v>620440</v>
      </c>
      <c r="BG636" s="8">
        <f t="shared" si="318"/>
        <v>-11682</v>
      </c>
      <c r="BH636" s="8">
        <v>840781</v>
      </c>
      <c r="BI636" s="8">
        <f t="shared" si="319"/>
        <v>-9773</v>
      </c>
      <c r="BJ636" s="8">
        <f t="shared" si="290"/>
        <v>-220341</v>
      </c>
      <c r="BK636" s="8">
        <f t="shared" si="292"/>
        <v>-1909</v>
      </c>
    </row>
    <row r="637" spans="1:63">
      <c r="A637" s="5">
        <f t="shared" si="320"/>
        <v>43326</v>
      </c>
      <c r="B637" s="8">
        <v>571765</v>
      </c>
      <c r="C637" s="8">
        <f t="shared" si="293"/>
        <v>19732</v>
      </c>
      <c r="D637" s="8">
        <v>56422</v>
      </c>
      <c r="E637" s="8">
        <f t="shared" si="294"/>
        <v>316</v>
      </c>
      <c r="F637" s="8">
        <v>153546</v>
      </c>
      <c r="G637" s="8">
        <f t="shared" si="295"/>
        <v>6059</v>
      </c>
      <c r="H637" s="8">
        <v>-97124</v>
      </c>
      <c r="I637" s="8">
        <f t="shared" si="296"/>
        <v>-5743</v>
      </c>
      <c r="J637" s="8">
        <v>268617</v>
      </c>
      <c r="K637" s="8">
        <f t="shared" si="297"/>
        <v>10581</v>
      </c>
      <c r="L637" s="8">
        <v>210966</v>
      </c>
      <c r="M637" s="8">
        <f t="shared" si="298"/>
        <v>3353</v>
      </c>
      <c r="N637" s="8">
        <v>57651</v>
      </c>
      <c r="O637" s="8">
        <f t="shared" si="299"/>
        <v>7228</v>
      </c>
      <c r="P637" s="8">
        <v>156449</v>
      </c>
      <c r="Q637" s="8">
        <f t="shared" si="300"/>
        <v>12144</v>
      </c>
      <c r="R637" s="8">
        <v>192735</v>
      </c>
      <c r="S637" s="8">
        <f t="shared" si="301"/>
        <v>7845</v>
      </c>
      <c r="T637" s="8">
        <v>-36286</v>
      </c>
      <c r="U637" s="8">
        <f t="shared" si="302"/>
        <v>4299</v>
      </c>
      <c r="W637" s="8">
        <v>571753</v>
      </c>
      <c r="X637" s="8">
        <f t="shared" si="303"/>
        <v>12688</v>
      </c>
      <c r="Y637" s="8">
        <v>84861</v>
      </c>
      <c r="Z637" s="8">
        <f t="shared" si="304"/>
        <v>8073</v>
      </c>
      <c r="AA637" s="8">
        <v>27968</v>
      </c>
      <c r="AB637" s="8">
        <f t="shared" si="321"/>
        <v>-2020</v>
      </c>
      <c r="AC637" s="8">
        <v>56893</v>
      </c>
      <c r="AD637" s="8">
        <f t="shared" si="322"/>
        <v>10093</v>
      </c>
      <c r="AE637" s="8">
        <v>230509</v>
      </c>
      <c r="AF637" s="8">
        <f t="shared" si="305"/>
        <v>2679</v>
      </c>
      <c r="AG637" s="8">
        <v>341115</v>
      </c>
      <c r="AH637" s="8">
        <f t="shared" si="306"/>
        <v>15373</v>
      </c>
      <c r="AI637" s="8">
        <v>-110606</v>
      </c>
      <c r="AJ637" s="8">
        <f t="shared" si="307"/>
        <v>-12694</v>
      </c>
      <c r="AK637" s="8">
        <v>122622</v>
      </c>
      <c r="AL637" s="8">
        <f t="shared" si="308"/>
        <v>4855</v>
      </c>
      <c r="AM637" s="8">
        <v>306177</v>
      </c>
      <c r="AN637" s="8">
        <f t="shared" si="309"/>
        <v>17768</v>
      </c>
      <c r="AO637" s="8">
        <v>-183555</v>
      </c>
      <c r="AP637" s="8">
        <f t="shared" si="310"/>
        <v>-12913</v>
      </c>
      <c r="AR637" s="8">
        <v>2227303</v>
      </c>
      <c r="AS637" s="8">
        <f t="shared" si="311"/>
        <v>-59941</v>
      </c>
      <c r="AT637" s="8">
        <v>270190</v>
      </c>
      <c r="AU637" s="8">
        <f t="shared" si="312"/>
        <v>-17326</v>
      </c>
      <c r="AV637" s="8">
        <v>295152</v>
      </c>
      <c r="AW637" s="8">
        <f t="shared" si="313"/>
        <v>-22069</v>
      </c>
      <c r="AX637" s="8">
        <f t="shared" si="288"/>
        <v>-24962</v>
      </c>
      <c r="AY637" s="8">
        <f t="shared" si="314"/>
        <v>4743</v>
      </c>
      <c r="AZ637" s="8">
        <v>942963</v>
      </c>
      <c r="BA637" s="8">
        <f t="shared" si="315"/>
        <v>-22782</v>
      </c>
      <c r="BB637" s="8">
        <v>961851</v>
      </c>
      <c r="BC637" s="8">
        <f t="shared" si="316"/>
        <v>-37227</v>
      </c>
      <c r="BD637" s="8">
        <f t="shared" si="289"/>
        <v>-18888</v>
      </c>
      <c r="BE637" s="8">
        <f t="shared" si="317"/>
        <v>14445</v>
      </c>
      <c r="BF637" s="8">
        <v>626169</v>
      </c>
      <c r="BG637" s="8">
        <f t="shared" si="318"/>
        <v>5729</v>
      </c>
      <c r="BH637" s="8">
        <v>844404</v>
      </c>
      <c r="BI637" s="8">
        <f t="shared" si="319"/>
        <v>3623</v>
      </c>
      <c r="BJ637" s="8">
        <f t="shared" si="290"/>
        <v>-218235</v>
      </c>
      <c r="BK637" s="8">
        <f t="shared" si="292"/>
        <v>2106</v>
      </c>
    </row>
    <row r="638" spans="1:63">
      <c r="A638" s="5">
        <f t="shared" si="320"/>
        <v>43333</v>
      </c>
      <c r="B638" s="8">
        <v>572391</v>
      </c>
      <c r="C638" s="8">
        <f t="shared" si="293"/>
        <v>626</v>
      </c>
      <c r="D638" s="8">
        <v>54161</v>
      </c>
      <c r="E638" s="8">
        <f t="shared" si="294"/>
        <v>-2261</v>
      </c>
      <c r="F638" s="8">
        <v>149370</v>
      </c>
      <c r="G638" s="8">
        <f t="shared" si="295"/>
        <v>-4176</v>
      </c>
      <c r="H638" s="8">
        <v>-95209</v>
      </c>
      <c r="I638" s="8">
        <f t="shared" si="296"/>
        <v>1915</v>
      </c>
      <c r="J638" s="8">
        <v>267116</v>
      </c>
      <c r="K638" s="8">
        <f t="shared" si="297"/>
        <v>-1501</v>
      </c>
      <c r="L638" s="8">
        <v>209874</v>
      </c>
      <c r="M638" s="8">
        <f t="shared" si="298"/>
        <v>-1092</v>
      </c>
      <c r="N638" s="8">
        <v>57242</v>
      </c>
      <c r="O638" s="8">
        <f t="shared" si="299"/>
        <v>-409</v>
      </c>
      <c r="P638" s="8">
        <v>157525</v>
      </c>
      <c r="Q638" s="8">
        <f t="shared" si="300"/>
        <v>1076</v>
      </c>
      <c r="R638" s="8">
        <v>190985</v>
      </c>
      <c r="S638" s="8">
        <f t="shared" si="301"/>
        <v>-1750</v>
      </c>
      <c r="T638" s="8">
        <v>-33460</v>
      </c>
      <c r="U638" s="8">
        <f t="shared" si="302"/>
        <v>2826</v>
      </c>
      <c r="W638" s="8">
        <v>556148</v>
      </c>
      <c r="X638" s="8">
        <f t="shared" si="303"/>
        <v>-15605</v>
      </c>
      <c r="Y638" s="8">
        <v>80094</v>
      </c>
      <c r="Z638" s="8">
        <f t="shared" si="304"/>
        <v>-4767</v>
      </c>
      <c r="AA638" s="8">
        <v>27361</v>
      </c>
      <c r="AB638" s="8">
        <f t="shared" si="321"/>
        <v>-607</v>
      </c>
      <c r="AC638" s="8">
        <v>52733</v>
      </c>
      <c r="AD638" s="8">
        <f t="shared" si="322"/>
        <v>-4160</v>
      </c>
      <c r="AE638" s="8">
        <v>235718</v>
      </c>
      <c r="AF638" s="8">
        <f t="shared" si="305"/>
        <v>5209</v>
      </c>
      <c r="AG638" s="8">
        <v>341271</v>
      </c>
      <c r="AH638" s="8">
        <f t="shared" si="306"/>
        <v>156</v>
      </c>
      <c r="AI638" s="8">
        <v>-105553</v>
      </c>
      <c r="AJ638" s="8">
        <f t="shared" si="307"/>
        <v>5053</v>
      </c>
      <c r="AK638" s="8">
        <v>128246</v>
      </c>
      <c r="AL638" s="8">
        <f t="shared" si="308"/>
        <v>5624</v>
      </c>
      <c r="AM638" s="8">
        <v>305651</v>
      </c>
      <c r="AN638" s="8">
        <f t="shared" si="309"/>
        <v>-526</v>
      </c>
      <c r="AO638" s="8">
        <v>-177405</v>
      </c>
      <c r="AP638" s="8">
        <f t="shared" si="310"/>
        <v>6150</v>
      </c>
      <c r="AR638" s="8">
        <v>2207245</v>
      </c>
      <c r="AS638" s="8">
        <f t="shared" si="311"/>
        <v>-20058</v>
      </c>
      <c r="AT638" s="8">
        <v>267299</v>
      </c>
      <c r="AU638" s="8">
        <f t="shared" si="312"/>
        <v>-2891</v>
      </c>
      <c r="AV638" s="8">
        <v>282123</v>
      </c>
      <c r="AW638" s="8">
        <f t="shared" si="313"/>
        <v>-13029</v>
      </c>
      <c r="AX638" s="8">
        <f t="shared" si="288"/>
        <v>-14824</v>
      </c>
      <c r="AY638" s="8">
        <f t="shared" si="314"/>
        <v>10138</v>
      </c>
      <c r="AZ638" s="8">
        <v>952581</v>
      </c>
      <c r="BA638" s="8">
        <f t="shared" si="315"/>
        <v>9618</v>
      </c>
      <c r="BB638" s="8">
        <v>975264</v>
      </c>
      <c r="BC638" s="8">
        <f t="shared" si="316"/>
        <v>13413</v>
      </c>
      <c r="BD638" s="8">
        <f t="shared" si="289"/>
        <v>-22683</v>
      </c>
      <c r="BE638" s="8">
        <f t="shared" si="317"/>
        <v>-3795</v>
      </c>
      <c r="BF638" s="8">
        <v>627836</v>
      </c>
      <c r="BG638" s="8">
        <f t="shared" si="318"/>
        <v>1667</v>
      </c>
      <c r="BH638" s="8">
        <v>843798</v>
      </c>
      <c r="BI638" s="8">
        <f t="shared" si="319"/>
        <v>-606</v>
      </c>
      <c r="BJ638" s="8">
        <f t="shared" si="290"/>
        <v>-215962</v>
      </c>
      <c r="BK638" s="8">
        <f t="shared" si="292"/>
        <v>2273</v>
      </c>
    </row>
    <row r="639" spans="1:63">
      <c r="A639" s="5">
        <f t="shared" si="320"/>
        <v>43340</v>
      </c>
      <c r="B639" s="8">
        <v>558494</v>
      </c>
      <c r="C639" s="8">
        <f t="shared" si="293"/>
        <v>-13897</v>
      </c>
      <c r="D639" s="8">
        <v>58594</v>
      </c>
      <c r="E639" s="8">
        <f t="shared" si="294"/>
        <v>4433</v>
      </c>
      <c r="F639" s="8">
        <v>145079</v>
      </c>
      <c r="G639" s="8">
        <f t="shared" si="295"/>
        <v>-4291</v>
      </c>
      <c r="H639" s="8">
        <v>-86485</v>
      </c>
      <c r="I639" s="8">
        <f t="shared" si="296"/>
        <v>8724</v>
      </c>
      <c r="J639" s="8">
        <v>258531</v>
      </c>
      <c r="K639" s="8">
        <f t="shared" si="297"/>
        <v>-8585</v>
      </c>
      <c r="L639" s="8">
        <v>208697</v>
      </c>
      <c r="M639" s="8">
        <f t="shared" si="298"/>
        <v>-1177</v>
      </c>
      <c r="N639" s="8">
        <v>49834</v>
      </c>
      <c r="O639" s="8">
        <f t="shared" si="299"/>
        <v>-7408</v>
      </c>
      <c r="P639" s="8">
        <v>152356</v>
      </c>
      <c r="Q639" s="8">
        <f t="shared" si="300"/>
        <v>-5169</v>
      </c>
      <c r="R639" s="8">
        <v>189386</v>
      </c>
      <c r="S639" s="8">
        <f t="shared" si="301"/>
        <v>-1599</v>
      </c>
      <c r="T639" s="8">
        <v>-37030</v>
      </c>
      <c r="U639" s="8">
        <f t="shared" si="302"/>
        <v>-3570</v>
      </c>
      <c r="W639" s="8">
        <v>563031</v>
      </c>
      <c r="X639" s="8">
        <f t="shared" si="303"/>
        <v>6883</v>
      </c>
      <c r="Y639" s="8">
        <v>72525</v>
      </c>
      <c r="Z639" s="8">
        <f t="shared" si="304"/>
        <v>-7569</v>
      </c>
      <c r="AA639" s="8">
        <v>45076</v>
      </c>
      <c r="AB639" s="8">
        <f t="shared" si="321"/>
        <v>17715</v>
      </c>
      <c r="AC639" s="8">
        <v>27449</v>
      </c>
      <c r="AD639" s="8">
        <f t="shared" si="322"/>
        <v>-25284</v>
      </c>
      <c r="AE639" s="8">
        <v>256656</v>
      </c>
      <c r="AF639" s="8">
        <f t="shared" si="305"/>
        <v>20938</v>
      </c>
      <c r="AG639" s="8">
        <v>323714</v>
      </c>
      <c r="AH639" s="8">
        <f t="shared" si="306"/>
        <v>-17557</v>
      </c>
      <c r="AI639" s="8">
        <v>-67058</v>
      </c>
      <c r="AJ639" s="8">
        <f t="shared" si="307"/>
        <v>38495</v>
      </c>
      <c r="AK639" s="8">
        <v>144967</v>
      </c>
      <c r="AL639" s="8">
        <f t="shared" si="308"/>
        <v>16721</v>
      </c>
      <c r="AM639" s="8">
        <v>288836</v>
      </c>
      <c r="AN639" s="8">
        <f t="shared" si="309"/>
        <v>-16815</v>
      </c>
      <c r="AO639" s="8">
        <v>-143869</v>
      </c>
      <c r="AP639" s="8">
        <f t="shared" si="310"/>
        <v>33536</v>
      </c>
      <c r="AR639" s="8">
        <v>2049082</v>
      </c>
      <c r="AS639" s="8">
        <f t="shared" si="311"/>
        <v>-158163</v>
      </c>
      <c r="AT639" s="8">
        <v>256961</v>
      </c>
      <c r="AU639" s="8">
        <f t="shared" si="312"/>
        <v>-10338</v>
      </c>
      <c r="AV639" s="8">
        <v>313918</v>
      </c>
      <c r="AW639" s="8">
        <f t="shared" si="313"/>
        <v>31795</v>
      </c>
      <c r="AX639" s="8">
        <f t="shared" si="288"/>
        <v>-56957</v>
      </c>
      <c r="AY639" s="8">
        <f t="shared" si="314"/>
        <v>-42133</v>
      </c>
      <c r="AZ639" s="8">
        <v>898045</v>
      </c>
      <c r="BA639" s="8">
        <f t="shared" si="315"/>
        <v>-54536</v>
      </c>
      <c r="BB639" s="8">
        <v>874000</v>
      </c>
      <c r="BC639" s="8">
        <f t="shared" si="316"/>
        <v>-101264</v>
      </c>
      <c r="BD639" s="8">
        <f t="shared" si="289"/>
        <v>24045</v>
      </c>
      <c r="BE639" s="8">
        <f t="shared" si="317"/>
        <v>46728</v>
      </c>
      <c r="BF639" s="8">
        <v>591663</v>
      </c>
      <c r="BG639" s="8">
        <f t="shared" si="318"/>
        <v>-36173</v>
      </c>
      <c r="BH639" s="8">
        <v>776450</v>
      </c>
      <c r="BI639" s="8">
        <f t="shared" si="319"/>
        <v>-67348</v>
      </c>
      <c r="BJ639" s="8">
        <f t="shared" si="290"/>
        <v>-184787</v>
      </c>
      <c r="BK639" s="8">
        <f t="shared" si="292"/>
        <v>31175</v>
      </c>
    </row>
    <row r="640" spans="1:63">
      <c r="A640" s="5">
        <f t="shared" si="320"/>
        <v>43347</v>
      </c>
      <c r="B640" s="8">
        <v>556714</v>
      </c>
      <c r="C640" s="8">
        <f t="shared" si="293"/>
        <v>-1780</v>
      </c>
      <c r="D640" s="8">
        <v>57598</v>
      </c>
      <c r="E640" s="8">
        <f t="shared" si="294"/>
        <v>-996</v>
      </c>
      <c r="F640" s="8">
        <v>145627</v>
      </c>
      <c r="G640" s="8">
        <f t="shared" si="295"/>
        <v>548</v>
      </c>
      <c r="H640" s="8">
        <v>-88029</v>
      </c>
      <c r="I640" s="8">
        <f t="shared" si="296"/>
        <v>-1544</v>
      </c>
      <c r="J640" s="8">
        <v>263137</v>
      </c>
      <c r="K640" s="8">
        <f t="shared" si="297"/>
        <v>4606</v>
      </c>
      <c r="L640" s="8">
        <v>213169</v>
      </c>
      <c r="M640" s="8">
        <f t="shared" si="298"/>
        <v>4472</v>
      </c>
      <c r="N640" s="8">
        <v>49968</v>
      </c>
      <c r="O640" s="8">
        <f t="shared" si="299"/>
        <v>134</v>
      </c>
      <c r="P640" s="8">
        <v>153871</v>
      </c>
      <c r="Q640" s="8">
        <f t="shared" si="300"/>
        <v>1515</v>
      </c>
      <c r="R640" s="8">
        <v>195019</v>
      </c>
      <c r="S640" s="8">
        <f t="shared" si="301"/>
        <v>5633</v>
      </c>
      <c r="T640" s="8">
        <v>-41148</v>
      </c>
      <c r="U640" s="8">
        <f t="shared" si="302"/>
        <v>-4118</v>
      </c>
      <c r="W640" s="8">
        <v>576598</v>
      </c>
      <c r="X640" s="8">
        <f t="shared" si="303"/>
        <v>13567</v>
      </c>
      <c r="Y640" s="8">
        <v>70378</v>
      </c>
      <c r="Z640" s="8">
        <f t="shared" si="304"/>
        <v>-2147</v>
      </c>
      <c r="AA640" s="8">
        <v>48977</v>
      </c>
      <c r="AB640" s="8">
        <f t="shared" si="321"/>
        <v>3901</v>
      </c>
      <c r="AC640" s="8">
        <v>21401</v>
      </c>
      <c r="AD640" s="8">
        <f t="shared" si="322"/>
        <v>-6048</v>
      </c>
      <c r="AE640" s="8">
        <v>262463</v>
      </c>
      <c r="AF640" s="8">
        <f t="shared" si="305"/>
        <v>5807</v>
      </c>
      <c r="AG640" s="8">
        <v>325012</v>
      </c>
      <c r="AH640" s="8">
        <f t="shared" si="306"/>
        <v>1298</v>
      </c>
      <c r="AI640" s="8">
        <v>-62549</v>
      </c>
      <c r="AJ640" s="8">
        <f t="shared" si="307"/>
        <v>4509</v>
      </c>
      <c r="AK640" s="8">
        <v>150123</v>
      </c>
      <c r="AL640" s="8">
        <f t="shared" si="308"/>
        <v>5156</v>
      </c>
      <c r="AM640" s="8">
        <v>290714</v>
      </c>
      <c r="AN640" s="8">
        <f t="shared" si="309"/>
        <v>1878</v>
      </c>
      <c r="AO640" s="8">
        <v>-140591</v>
      </c>
      <c r="AP640" s="8">
        <f t="shared" si="310"/>
        <v>3278</v>
      </c>
      <c r="AR640" s="8">
        <v>2058661</v>
      </c>
      <c r="AS640" s="8">
        <f t="shared" si="311"/>
        <v>9579</v>
      </c>
      <c r="AT640" s="8">
        <v>275305</v>
      </c>
      <c r="AU640" s="8">
        <f t="shared" si="312"/>
        <v>18344</v>
      </c>
      <c r="AV640" s="8">
        <v>332189</v>
      </c>
      <c r="AW640" s="8">
        <f t="shared" si="313"/>
        <v>18271</v>
      </c>
      <c r="AX640" s="8">
        <f t="shared" si="288"/>
        <v>-56884</v>
      </c>
      <c r="AY640" s="8">
        <f t="shared" si="314"/>
        <v>73</v>
      </c>
      <c r="AZ640" s="8">
        <v>880084</v>
      </c>
      <c r="BA640" s="8">
        <f t="shared" si="315"/>
        <v>-17961</v>
      </c>
      <c r="BB640" s="8">
        <v>868477</v>
      </c>
      <c r="BC640" s="8">
        <f t="shared" si="316"/>
        <v>-5523</v>
      </c>
      <c r="BD640" s="8">
        <f t="shared" si="289"/>
        <v>11607</v>
      </c>
      <c r="BE640" s="8">
        <f t="shared" si="317"/>
        <v>-12438</v>
      </c>
      <c r="BF640" s="8">
        <v>571097</v>
      </c>
      <c r="BG640" s="8">
        <f t="shared" si="318"/>
        <v>-20566</v>
      </c>
      <c r="BH640" s="8">
        <v>764936</v>
      </c>
      <c r="BI640" s="8">
        <f t="shared" si="319"/>
        <v>-11514</v>
      </c>
      <c r="BJ640" s="8">
        <f t="shared" si="290"/>
        <v>-193839</v>
      </c>
      <c r="BK640" s="8">
        <f t="shared" si="292"/>
        <v>-9052</v>
      </c>
    </row>
    <row r="641" spans="1:63">
      <c r="A641" s="5">
        <f t="shared" si="320"/>
        <v>43354</v>
      </c>
      <c r="B641" s="8">
        <v>596612</v>
      </c>
      <c r="C641" s="8">
        <f t="shared" si="293"/>
        <v>39898</v>
      </c>
      <c r="D641" s="8">
        <v>53420</v>
      </c>
      <c r="E641" s="8">
        <f t="shared" si="294"/>
        <v>-4178</v>
      </c>
      <c r="F641" s="8">
        <v>150776</v>
      </c>
      <c r="G641" s="8">
        <f t="shared" si="295"/>
        <v>5149</v>
      </c>
      <c r="H641" s="8">
        <v>-97356</v>
      </c>
      <c r="I641" s="8">
        <f t="shared" si="296"/>
        <v>-9327</v>
      </c>
      <c r="J641" s="8">
        <v>290053</v>
      </c>
      <c r="K641" s="8">
        <f t="shared" si="297"/>
        <v>26916</v>
      </c>
      <c r="L641" s="8">
        <v>227718</v>
      </c>
      <c r="M641" s="8">
        <f t="shared" si="298"/>
        <v>14549</v>
      </c>
      <c r="N641" s="8">
        <v>62335</v>
      </c>
      <c r="O641" s="8">
        <f t="shared" si="299"/>
        <v>12367</v>
      </c>
      <c r="P641" s="8">
        <v>175041</v>
      </c>
      <c r="Q641" s="8">
        <f t="shared" si="300"/>
        <v>21170</v>
      </c>
      <c r="R641" s="8">
        <v>207233</v>
      </c>
      <c r="S641" s="8">
        <f t="shared" si="301"/>
        <v>12214</v>
      </c>
      <c r="T641" s="8">
        <v>-32192</v>
      </c>
      <c r="U641" s="8">
        <f t="shared" si="302"/>
        <v>8956</v>
      </c>
      <c r="W641" s="8">
        <v>583032</v>
      </c>
      <c r="X641" s="8">
        <f t="shared" si="303"/>
        <v>6434</v>
      </c>
      <c r="Y641" s="8">
        <v>72011</v>
      </c>
      <c r="Z641" s="8">
        <f t="shared" si="304"/>
        <v>1633</v>
      </c>
      <c r="AA641" s="8">
        <v>41877</v>
      </c>
      <c r="AB641" s="8">
        <f t="shared" si="321"/>
        <v>-7100</v>
      </c>
      <c r="AC641" s="8">
        <v>30134</v>
      </c>
      <c r="AD641" s="8">
        <f t="shared" si="322"/>
        <v>8733</v>
      </c>
      <c r="AE641" s="8">
        <v>264504</v>
      </c>
      <c r="AF641" s="8">
        <f t="shared" si="305"/>
        <v>2041</v>
      </c>
      <c r="AG641" s="8">
        <v>337807</v>
      </c>
      <c r="AH641" s="8">
        <f t="shared" si="306"/>
        <v>12795</v>
      </c>
      <c r="AI641" s="8">
        <v>-73303</v>
      </c>
      <c r="AJ641" s="8">
        <f t="shared" si="307"/>
        <v>-10754</v>
      </c>
      <c r="AK641" s="8">
        <v>150857</v>
      </c>
      <c r="AL641" s="8">
        <f t="shared" si="308"/>
        <v>734</v>
      </c>
      <c r="AM641" s="8">
        <v>305999</v>
      </c>
      <c r="AN641" s="8">
        <f t="shared" si="309"/>
        <v>15285</v>
      </c>
      <c r="AO641" s="8">
        <v>-155142</v>
      </c>
      <c r="AP641" s="8">
        <f t="shared" si="310"/>
        <v>-14551</v>
      </c>
      <c r="AR641" s="8">
        <v>2085115</v>
      </c>
      <c r="AS641" s="8">
        <f t="shared" si="311"/>
        <v>26454</v>
      </c>
      <c r="AT641" s="8">
        <v>265515</v>
      </c>
      <c r="AU641" s="8">
        <f t="shared" si="312"/>
        <v>-9790</v>
      </c>
      <c r="AV641" s="8">
        <v>328985</v>
      </c>
      <c r="AW641" s="8">
        <f t="shared" si="313"/>
        <v>-3204</v>
      </c>
      <c r="AX641" s="8">
        <f t="shared" si="288"/>
        <v>-63470</v>
      </c>
      <c r="AY641" s="8">
        <f t="shared" si="314"/>
        <v>-6586</v>
      </c>
      <c r="AZ641" s="8">
        <v>901212</v>
      </c>
      <c r="BA641" s="8">
        <f t="shared" si="315"/>
        <v>21128</v>
      </c>
      <c r="BB641" s="8">
        <v>886527</v>
      </c>
      <c r="BC641" s="8">
        <f t="shared" si="316"/>
        <v>18050</v>
      </c>
      <c r="BD641" s="8">
        <f t="shared" si="289"/>
        <v>14685</v>
      </c>
      <c r="BE641" s="8">
        <f t="shared" si="317"/>
        <v>3078</v>
      </c>
      <c r="BF641" s="8">
        <v>586678</v>
      </c>
      <c r="BG641" s="8">
        <f t="shared" si="318"/>
        <v>15581</v>
      </c>
      <c r="BH641" s="8">
        <v>780463</v>
      </c>
      <c r="BI641" s="8">
        <f t="shared" si="319"/>
        <v>15527</v>
      </c>
      <c r="BJ641" s="8">
        <f t="shared" si="290"/>
        <v>-193785</v>
      </c>
      <c r="BK641" s="8">
        <f t="shared" si="292"/>
        <v>54</v>
      </c>
    </row>
    <row r="642" spans="1:63">
      <c r="A642" s="5">
        <f t="shared" si="320"/>
        <v>43361</v>
      </c>
      <c r="B642" s="8">
        <v>638655</v>
      </c>
      <c r="C642" s="8">
        <f t="shared" si="293"/>
        <v>42043</v>
      </c>
      <c r="D642" s="8">
        <v>48941</v>
      </c>
      <c r="E642" s="8">
        <f t="shared" si="294"/>
        <v>-4479</v>
      </c>
      <c r="F642" s="8">
        <v>158891</v>
      </c>
      <c r="G642" s="8">
        <f t="shared" si="295"/>
        <v>8115</v>
      </c>
      <c r="H642" s="8">
        <v>-109950</v>
      </c>
      <c r="I642" s="8">
        <f t="shared" si="296"/>
        <v>-12594</v>
      </c>
      <c r="J642" s="8">
        <v>310687</v>
      </c>
      <c r="K642" s="8">
        <f t="shared" si="297"/>
        <v>20634</v>
      </c>
      <c r="L642" s="8">
        <v>238168</v>
      </c>
      <c r="M642" s="8">
        <f t="shared" si="298"/>
        <v>10450</v>
      </c>
      <c r="N642" s="8">
        <v>72519</v>
      </c>
      <c r="O642" s="8">
        <f t="shared" si="299"/>
        <v>10184</v>
      </c>
      <c r="P642" s="8">
        <v>188803</v>
      </c>
      <c r="Q642" s="8">
        <f t="shared" si="300"/>
        <v>13762</v>
      </c>
      <c r="R642" s="8">
        <v>211182</v>
      </c>
      <c r="S642" s="8">
        <f t="shared" si="301"/>
        <v>3949</v>
      </c>
      <c r="T642" s="8">
        <v>-22379</v>
      </c>
      <c r="U642" s="8">
        <f t="shared" si="302"/>
        <v>9813</v>
      </c>
      <c r="W642" s="8">
        <v>591453</v>
      </c>
      <c r="X642" s="8">
        <f t="shared" si="303"/>
        <v>8421</v>
      </c>
      <c r="Y642" s="8">
        <v>69952</v>
      </c>
      <c r="Z642" s="8">
        <f t="shared" si="304"/>
        <v>-2059</v>
      </c>
      <c r="AA642" s="8">
        <v>48063</v>
      </c>
      <c r="AB642" s="8">
        <f t="shared" si="321"/>
        <v>6186</v>
      </c>
      <c r="AC642" s="8">
        <v>21889</v>
      </c>
      <c r="AD642" s="8">
        <f t="shared" si="322"/>
        <v>-8245</v>
      </c>
      <c r="AE642" s="8">
        <v>280991</v>
      </c>
      <c r="AF642" s="8">
        <f t="shared" si="305"/>
        <v>16487</v>
      </c>
      <c r="AG642" s="8">
        <v>339200</v>
      </c>
      <c r="AH642" s="8">
        <f t="shared" si="306"/>
        <v>1393</v>
      </c>
      <c r="AI642" s="8">
        <v>-58209</v>
      </c>
      <c r="AJ642" s="8">
        <f t="shared" si="307"/>
        <v>15094</v>
      </c>
      <c r="AK642" s="8">
        <v>163177</v>
      </c>
      <c r="AL642" s="8">
        <f t="shared" si="308"/>
        <v>12320</v>
      </c>
      <c r="AM642" s="8">
        <v>304328</v>
      </c>
      <c r="AN642" s="8">
        <f t="shared" si="309"/>
        <v>-1671</v>
      </c>
      <c r="AO642" s="8">
        <v>-141151</v>
      </c>
      <c r="AP642" s="8">
        <f t="shared" si="310"/>
        <v>13991</v>
      </c>
      <c r="AR642" s="8">
        <v>2162153</v>
      </c>
      <c r="AS642" s="8">
        <f t="shared" si="311"/>
        <v>77038</v>
      </c>
      <c r="AT642" s="8">
        <v>237352</v>
      </c>
      <c r="AU642" s="8">
        <f t="shared" si="312"/>
        <v>-28163</v>
      </c>
      <c r="AV642" s="8">
        <v>378628</v>
      </c>
      <c r="AW642" s="8">
        <f t="shared" si="313"/>
        <v>49643</v>
      </c>
      <c r="AX642" s="8">
        <f t="shared" si="288"/>
        <v>-141276</v>
      </c>
      <c r="AY642" s="8">
        <f t="shared" si="314"/>
        <v>-77806</v>
      </c>
      <c r="AZ642" s="8">
        <v>960195</v>
      </c>
      <c r="BA642" s="8">
        <f t="shared" si="315"/>
        <v>58983</v>
      </c>
      <c r="BB642" s="8">
        <v>860305</v>
      </c>
      <c r="BC642" s="8">
        <f t="shared" si="316"/>
        <v>-26222</v>
      </c>
      <c r="BD642" s="8">
        <f t="shared" si="289"/>
        <v>99890</v>
      </c>
      <c r="BE642" s="8">
        <f t="shared" si="317"/>
        <v>85205</v>
      </c>
      <c r="BF642" s="8">
        <v>626482</v>
      </c>
      <c r="BG642" s="8">
        <f t="shared" si="318"/>
        <v>39804</v>
      </c>
      <c r="BH642" s="8">
        <v>747572</v>
      </c>
      <c r="BI642" s="8">
        <f t="shared" si="319"/>
        <v>-32891</v>
      </c>
      <c r="BJ642" s="8">
        <f t="shared" si="290"/>
        <v>-121090</v>
      </c>
      <c r="BK642" s="8">
        <f t="shared" si="292"/>
        <v>72695</v>
      </c>
    </row>
    <row r="643" spans="1:63">
      <c r="A643" s="5">
        <f t="shared" si="320"/>
        <v>43368</v>
      </c>
      <c r="B643" s="8">
        <v>617858</v>
      </c>
      <c r="C643" s="8">
        <f t="shared" si="293"/>
        <v>-20797</v>
      </c>
      <c r="D643" s="8">
        <v>53578</v>
      </c>
      <c r="E643" s="8">
        <f t="shared" si="294"/>
        <v>4637</v>
      </c>
      <c r="F643" s="8">
        <v>139360</v>
      </c>
      <c r="G643" s="8">
        <f t="shared" si="295"/>
        <v>-19531</v>
      </c>
      <c r="H643" s="8">
        <v>-85782</v>
      </c>
      <c r="I643" s="8">
        <f t="shared" si="296"/>
        <v>24168</v>
      </c>
      <c r="J643" s="8">
        <v>291033</v>
      </c>
      <c r="K643" s="8">
        <f t="shared" si="297"/>
        <v>-19654</v>
      </c>
      <c r="L643" s="8">
        <v>246980</v>
      </c>
      <c r="M643" s="8">
        <f t="shared" si="298"/>
        <v>8812</v>
      </c>
      <c r="N643" s="8">
        <v>44053</v>
      </c>
      <c r="O643" s="8">
        <f t="shared" si="299"/>
        <v>-28466</v>
      </c>
      <c r="P643" s="8">
        <v>162867</v>
      </c>
      <c r="Q643" s="8">
        <f t="shared" si="300"/>
        <v>-25936</v>
      </c>
      <c r="R643" s="8">
        <v>218627</v>
      </c>
      <c r="S643" s="8">
        <f t="shared" si="301"/>
        <v>7445</v>
      </c>
      <c r="T643" s="8">
        <v>-55760</v>
      </c>
      <c r="U643" s="8">
        <f t="shared" si="302"/>
        <v>-33381</v>
      </c>
      <c r="W643" s="8">
        <v>566081</v>
      </c>
      <c r="X643" s="8">
        <f t="shared" si="303"/>
        <v>-25372</v>
      </c>
      <c r="Y643" s="8">
        <v>65945</v>
      </c>
      <c r="Z643" s="8">
        <f t="shared" si="304"/>
        <v>-4007</v>
      </c>
      <c r="AA643" s="8">
        <v>44740</v>
      </c>
      <c r="AB643" s="8">
        <f t="shared" si="321"/>
        <v>-3323</v>
      </c>
      <c r="AC643" s="8">
        <v>21205</v>
      </c>
      <c r="AD643" s="8">
        <f t="shared" si="322"/>
        <v>-684</v>
      </c>
      <c r="AE643" s="8">
        <v>271854</v>
      </c>
      <c r="AF643" s="8">
        <f t="shared" si="305"/>
        <v>-9137</v>
      </c>
      <c r="AG643" s="8">
        <v>334547</v>
      </c>
      <c r="AH643" s="8">
        <f t="shared" si="306"/>
        <v>-4653</v>
      </c>
      <c r="AI643" s="8">
        <v>-62693</v>
      </c>
      <c r="AJ643" s="8">
        <f t="shared" si="307"/>
        <v>-4484</v>
      </c>
      <c r="AK643" s="8">
        <v>156805</v>
      </c>
      <c r="AL643" s="8">
        <f t="shared" si="308"/>
        <v>-6372</v>
      </c>
      <c r="AM643" s="8">
        <v>297703</v>
      </c>
      <c r="AN643" s="8">
        <f t="shared" si="309"/>
        <v>-6625</v>
      </c>
      <c r="AO643" s="8">
        <v>-140898</v>
      </c>
      <c r="AP643" s="8">
        <f t="shared" si="310"/>
        <v>253</v>
      </c>
      <c r="AR643" s="8">
        <v>2127915</v>
      </c>
      <c r="AS643" s="8">
        <f t="shared" si="311"/>
        <v>-34238</v>
      </c>
      <c r="AT643" s="8">
        <v>248399</v>
      </c>
      <c r="AU643" s="8">
        <f t="shared" si="312"/>
        <v>11047</v>
      </c>
      <c r="AV643" s="8">
        <v>361178</v>
      </c>
      <c r="AW643" s="8">
        <f t="shared" si="313"/>
        <v>-17450</v>
      </c>
      <c r="AX643" s="8">
        <f t="shared" si="288"/>
        <v>-112779</v>
      </c>
      <c r="AY643" s="8">
        <f t="shared" si="314"/>
        <v>28497</v>
      </c>
      <c r="AZ643" s="8">
        <v>938799</v>
      </c>
      <c r="BA643" s="8">
        <f t="shared" si="315"/>
        <v>-21396</v>
      </c>
      <c r="BB643" s="8">
        <v>879161</v>
      </c>
      <c r="BC643" s="8">
        <f t="shared" si="316"/>
        <v>18856</v>
      </c>
      <c r="BD643" s="8">
        <f t="shared" si="289"/>
        <v>59638</v>
      </c>
      <c r="BE643" s="8">
        <f t="shared" si="317"/>
        <v>-40252</v>
      </c>
      <c r="BF643" s="8">
        <v>608643</v>
      </c>
      <c r="BG643" s="8">
        <f t="shared" si="318"/>
        <v>-17839</v>
      </c>
      <c r="BH643" s="8">
        <v>765319</v>
      </c>
      <c r="BI643" s="8">
        <f t="shared" si="319"/>
        <v>17747</v>
      </c>
      <c r="BJ643" s="8">
        <f t="shared" si="290"/>
        <v>-156676</v>
      </c>
      <c r="BK643" s="8">
        <f t="shared" si="292"/>
        <v>-35586</v>
      </c>
    </row>
    <row r="644" spans="1:63">
      <c r="A644" s="5">
        <f t="shared" si="320"/>
        <v>43375</v>
      </c>
      <c r="B644" s="8">
        <v>587068</v>
      </c>
      <c r="C644" s="8">
        <f t="shared" si="293"/>
        <v>-30790</v>
      </c>
      <c r="D644" s="8">
        <v>61594</v>
      </c>
      <c r="E644" s="8">
        <f t="shared" si="294"/>
        <v>8016</v>
      </c>
      <c r="F644" s="8">
        <v>112925</v>
      </c>
      <c r="G644" s="8">
        <f t="shared" si="295"/>
        <v>-26435</v>
      </c>
      <c r="H644" s="8">
        <v>-51331</v>
      </c>
      <c r="I644" s="8">
        <f t="shared" si="296"/>
        <v>34451</v>
      </c>
      <c r="J644" s="8">
        <v>274799</v>
      </c>
      <c r="K644" s="8">
        <f t="shared" si="297"/>
        <v>-16234</v>
      </c>
      <c r="L644" s="8">
        <v>265590</v>
      </c>
      <c r="M644" s="8">
        <f t="shared" si="298"/>
        <v>18610</v>
      </c>
      <c r="N644" s="8">
        <v>9209</v>
      </c>
      <c r="O644" s="8">
        <f t="shared" si="299"/>
        <v>-34844</v>
      </c>
      <c r="P644" s="8">
        <v>142837</v>
      </c>
      <c r="Q644" s="8">
        <f t="shared" si="300"/>
        <v>-20030</v>
      </c>
      <c r="R644" s="8">
        <v>237913</v>
      </c>
      <c r="S644" s="8">
        <f t="shared" si="301"/>
        <v>19286</v>
      </c>
      <c r="T644" s="8">
        <v>-95076</v>
      </c>
      <c r="U644" s="8">
        <f t="shared" si="302"/>
        <v>-39316</v>
      </c>
      <c r="W644" s="8">
        <v>566182</v>
      </c>
      <c r="X644" s="8">
        <f t="shared" si="303"/>
        <v>101</v>
      </c>
      <c r="Y644" s="8">
        <v>72593</v>
      </c>
      <c r="Z644" s="8">
        <f t="shared" si="304"/>
        <v>6648</v>
      </c>
      <c r="AA644" s="8">
        <v>46250</v>
      </c>
      <c r="AB644" s="8">
        <f t="shared" si="321"/>
        <v>1510</v>
      </c>
      <c r="AC644" s="8">
        <v>26343</v>
      </c>
      <c r="AD644" s="8">
        <f t="shared" si="322"/>
        <v>5138</v>
      </c>
      <c r="AE644" s="8">
        <v>267495</v>
      </c>
      <c r="AF644" s="8">
        <f t="shared" si="305"/>
        <v>-4359</v>
      </c>
      <c r="AG644" s="8">
        <v>337456</v>
      </c>
      <c r="AH644" s="8">
        <f t="shared" si="306"/>
        <v>2909</v>
      </c>
      <c r="AI644" s="8">
        <v>-69961</v>
      </c>
      <c r="AJ644" s="8">
        <f t="shared" si="307"/>
        <v>-7268</v>
      </c>
      <c r="AK644" s="8">
        <v>151137</v>
      </c>
      <c r="AL644" s="8">
        <f t="shared" si="308"/>
        <v>-5668</v>
      </c>
      <c r="AM644" s="8">
        <v>298832</v>
      </c>
      <c r="AN644" s="8">
        <f t="shared" si="309"/>
        <v>1129</v>
      </c>
      <c r="AO644" s="8">
        <v>-147695</v>
      </c>
      <c r="AP644" s="8">
        <f t="shared" si="310"/>
        <v>-6797</v>
      </c>
      <c r="AR644" s="8">
        <v>2101050</v>
      </c>
      <c r="AS644" s="8">
        <f t="shared" si="311"/>
        <v>-26865</v>
      </c>
      <c r="AT644" s="8">
        <v>247873</v>
      </c>
      <c r="AU644" s="8">
        <f t="shared" si="312"/>
        <v>-526</v>
      </c>
      <c r="AV644" s="8">
        <v>305637</v>
      </c>
      <c r="AW644" s="8">
        <f t="shared" si="313"/>
        <v>-55541</v>
      </c>
      <c r="AX644" s="8">
        <f t="shared" ref="AX644:AX677" si="323">AT644-AV644</f>
        <v>-57764</v>
      </c>
      <c r="AY644" s="8">
        <f t="shared" si="314"/>
        <v>55015</v>
      </c>
      <c r="AZ644" s="8">
        <v>911756</v>
      </c>
      <c r="BA644" s="8">
        <f t="shared" si="315"/>
        <v>-27043</v>
      </c>
      <c r="BB644" s="8">
        <v>902954</v>
      </c>
      <c r="BC644" s="8">
        <f t="shared" si="316"/>
        <v>23793</v>
      </c>
      <c r="BD644" s="8">
        <f t="shared" ref="BD644:BD677" si="324">AZ644-BB644</f>
        <v>8802</v>
      </c>
      <c r="BE644" s="8">
        <f t="shared" si="317"/>
        <v>-50836</v>
      </c>
      <c r="BF644" s="8">
        <v>586256</v>
      </c>
      <c r="BG644" s="8">
        <f t="shared" si="318"/>
        <v>-22387</v>
      </c>
      <c r="BH644" s="8">
        <v>787792</v>
      </c>
      <c r="BI644" s="8">
        <f t="shared" si="319"/>
        <v>22473</v>
      </c>
      <c r="BJ644" s="8">
        <f t="shared" ref="BJ644:BJ677" si="325">BF644-BH644</f>
        <v>-201536</v>
      </c>
      <c r="BK644" s="8">
        <f t="shared" si="292"/>
        <v>-44860</v>
      </c>
    </row>
    <row r="645" spans="1:63">
      <c r="A645" s="5">
        <f t="shared" si="320"/>
        <v>43382</v>
      </c>
      <c r="B645" s="8">
        <v>569608</v>
      </c>
      <c r="C645" s="8">
        <f t="shared" si="293"/>
        <v>-17460</v>
      </c>
      <c r="D645" s="8">
        <v>59271</v>
      </c>
      <c r="E645" s="8">
        <f t="shared" si="294"/>
        <v>-2323</v>
      </c>
      <c r="F645" s="8">
        <v>100389</v>
      </c>
      <c r="G645" s="8">
        <f t="shared" si="295"/>
        <v>-12536</v>
      </c>
      <c r="H645" s="8">
        <v>-41118</v>
      </c>
      <c r="I645" s="8">
        <f t="shared" si="296"/>
        <v>10213</v>
      </c>
      <c r="J645" s="8">
        <v>268333</v>
      </c>
      <c r="K645" s="8">
        <f t="shared" si="297"/>
        <v>-6466</v>
      </c>
      <c r="L645" s="8">
        <v>267959</v>
      </c>
      <c r="M645" s="8">
        <f t="shared" si="298"/>
        <v>2369</v>
      </c>
      <c r="N645" s="8">
        <v>374</v>
      </c>
      <c r="O645" s="8">
        <f t="shared" si="299"/>
        <v>-8835</v>
      </c>
      <c r="P645" s="8">
        <v>137996</v>
      </c>
      <c r="Q645" s="8">
        <f t="shared" si="300"/>
        <v>-4841</v>
      </c>
      <c r="R645" s="8">
        <v>242136</v>
      </c>
      <c r="S645" s="8">
        <f t="shared" si="301"/>
        <v>4223</v>
      </c>
      <c r="T645" s="8">
        <v>-104140</v>
      </c>
      <c r="U645" s="8">
        <f t="shared" si="302"/>
        <v>-9064</v>
      </c>
      <c r="W645" s="8">
        <v>572200</v>
      </c>
      <c r="X645" s="8">
        <f t="shared" si="303"/>
        <v>6018</v>
      </c>
      <c r="Y645" s="8">
        <v>77230</v>
      </c>
      <c r="Z645" s="8">
        <f t="shared" si="304"/>
        <v>4637</v>
      </c>
      <c r="AA645" s="8">
        <v>38467</v>
      </c>
      <c r="AB645" s="8">
        <f t="shared" si="321"/>
        <v>-7783</v>
      </c>
      <c r="AC645" s="8">
        <v>38763</v>
      </c>
      <c r="AD645" s="8">
        <f t="shared" si="322"/>
        <v>12420</v>
      </c>
      <c r="AE645" s="8">
        <v>259746</v>
      </c>
      <c r="AF645" s="8">
        <f t="shared" si="305"/>
        <v>-7749</v>
      </c>
      <c r="AG645" s="8">
        <v>344577</v>
      </c>
      <c r="AH645" s="8">
        <f t="shared" si="306"/>
        <v>7121</v>
      </c>
      <c r="AI645" s="8">
        <v>-84831</v>
      </c>
      <c r="AJ645" s="8">
        <f t="shared" si="307"/>
        <v>-14870</v>
      </c>
      <c r="AK645" s="8">
        <v>147372</v>
      </c>
      <c r="AL645" s="8">
        <f t="shared" si="308"/>
        <v>-3765</v>
      </c>
      <c r="AM645" s="8">
        <v>307129</v>
      </c>
      <c r="AN645" s="8">
        <f t="shared" si="309"/>
        <v>8297</v>
      </c>
      <c r="AO645" s="8">
        <v>-159757</v>
      </c>
      <c r="AP645" s="8">
        <f t="shared" si="310"/>
        <v>-12062</v>
      </c>
      <c r="AR645" s="8">
        <v>2069913</v>
      </c>
      <c r="AS645" s="8">
        <f t="shared" si="311"/>
        <v>-31137</v>
      </c>
      <c r="AT645" s="8">
        <v>250237</v>
      </c>
      <c r="AU645" s="8">
        <f t="shared" si="312"/>
        <v>2364</v>
      </c>
      <c r="AV645" s="8">
        <v>284269</v>
      </c>
      <c r="AW645" s="8">
        <f t="shared" si="313"/>
        <v>-21368</v>
      </c>
      <c r="AX645" s="8">
        <f t="shared" si="323"/>
        <v>-34032</v>
      </c>
      <c r="AY645" s="8">
        <f t="shared" si="314"/>
        <v>23732</v>
      </c>
      <c r="AZ645" s="8">
        <v>896856</v>
      </c>
      <c r="BA645" s="8">
        <f t="shared" si="315"/>
        <v>-14900</v>
      </c>
      <c r="BB645" s="8">
        <v>897297</v>
      </c>
      <c r="BC645" s="8">
        <f t="shared" si="316"/>
        <v>-5657</v>
      </c>
      <c r="BD645" s="8">
        <f t="shared" si="324"/>
        <v>-441</v>
      </c>
      <c r="BE645" s="8">
        <f t="shared" si="317"/>
        <v>-9243</v>
      </c>
      <c r="BF645" s="8">
        <v>567338</v>
      </c>
      <c r="BG645" s="8">
        <f t="shared" si="318"/>
        <v>-18918</v>
      </c>
      <c r="BH645" s="8">
        <v>776663</v>
      </c>
      <c r="BI645" s="8">
        <f t="shared" si="319"/>
        <v>-11129</v>
      </c>
      <c r="BJ645" s="8">
        <f t="shared" si="325"/>
        <v>-209325</v>
      </c>
      <c r="BK645" s="8">
        <f t="shared" ref="BK645:BK708" si="326">BJ645-BJ644</f>
        <v>-7789</v>
      </c>
    </row>
    <row r="646" spans="1:63">
      <c r="A646" s="5">
        <f t="shared" si="320"/>
        <v>43389</v>
      </c>
      <c r="B646" s="8">
        <v>565711</v>
      </c>
      <c r="C646" s="8">
        <f t="shared" si="293"/>
        <v>-3897</v>
      </c>
      <c r="D646" s="8">
        <v>61063</v>
      </c>
      <c r="E646" s="8">
        <f t="shared" si="294"/>
        <v>1792</v>
      </c>
      <c r="F646" s="8">
        <v>94169</v>
      </c>
      <c r="G646" s="8">
        <f t="shared" si="295"/>
        <v>-6220</v>
      </c>
      <c r="H646" s="8">
        <v>-33106</v>
      </c>
      <c r="I646" s="8">
        <f t="shared" si="296"/>
        <v>8012</v>
      </c>
      <c r="J646" s="8">
        <v>266675</v>
      </c>
      <c r="K646" s="8">
        <f t="shared" si="297"/>
        <v>-1658</v>
      </c>
      <c r="L646" s="8">
        <v>271524</v>
      </c>
      <c r="M646" s="8">
        <f t="shared" si="298"/>
        <v>3565</v>
      </c>
      <c r="N646" s="8">
        <v>-4849</v>
      </c>
      <c r="O646" s="8">
        <f t="shared" si="299"/>
        <v>-5223</v>
      </c>
      <c r="P646" s="8">
        <v>133653</v>
      </c>
      <c r="Q646" s="8">
        <f t="shared" si="300"/>
        <v>-4343</v>
      </c>
      <c r="R646" s="8">
        <v>245215</v>
      </c>
      <c r="S646" s="8">
        <f t="shared" si="301"/>
        <v>3079</v>
      </c>
      <c r="T646" s="8">
        <v>-111562</v>
      </c>
      <c r="U646" s="8">
        <f t="shared" si="302"/>
        <v>-7422</v>
      </c>
      <c r="W646" s="8">
        <v>581835</v>
      </c>
      <c r="X646" s="8">
        <f t="shared" si="303"/>
        <v>9635</v>
      </c>
      <c r="Y646" s="8">
        <v>76849</v>
      </c>
      <c r="Z646" s="8">
        <f t="shared" si="304"/>
        <v>-381</v>
      </c>
      <c r="AA646" s="8">
        <v>34859</v>
      </c>
      <c r="AB646" s="8">
        <f t="shared" si="321"/>
        <v>-3608</v>
      </c>
      <c r="AC646" s="8">
        <v>41990</v>
      </c>
      <c r="AD646" s="8">
        <f t="shared" si="322"/>
        <v>3227</v>
      </c>
      <c r="AE646" s="8">
        <v>259562</v>
      </c>
      <c r="AF646" s="8">
        <f t="shared" si="305"/>
        <v>-184</v>
      </c>
      <c r="AG646" s="8">
        <v>350468</v>
      </c>
      <c r="AH646" s="8">
        <f t="shared" si="306"/>
        <v>5891</v>
      </c>
      <c r="AI646" s="8">
        <v>-90906</v>
      </c>
      <c r="AJ646" s="8">
        <f t="shared" si="307"/>
        <v>-6075</v>
      </c>
      <c r="AK646" s="8">
        <v>146287</v>
      </c>
      <c r="AL646" s="8">
        <f t="shared" si="308"/>
        <v>-1085</v>
      </c>
      <c r="AM646" s="8">
        <v>312622</v>
      </c>
      <c r="AN646" s="8">
        <f t="shared" si="309"/>
        <v>5493</v>
      </c>
      <c r="AO646" s="8">
        <v>-166335</v>
      </c>
      <c r="AP646" s="8">
        <f t="shared" si="310"/>
        <v>-6578</v>
      </c>
      <c r="AR646" s="8">
        <v>2063836</v>
      </c>
      <c r="AS646" s="8">
        <f t="shared" si="311"/>
        <v>-6077</v>
      </c>
      <c r="AT646" s="8">
        <v>253569</v>
      </c>
      <c r="AU646" s="8">
        <f t="shared" si="312"/>
        <v>3332</v>
      </c>
      <c r="AV646" s="8">
        <v>233415</v>
      </c>
      <c r="AW646" s="8">
        <f t="shared" si="313"/>
        <v>-50854</v>
      </c>
      <c r="AX646" s="8">
        <f t="shared" si="323"/>
        <v>20154</v>
      </c>
      <c r="AY646" s="8">
        <f t="shared" si="314"/>
        <v>54186</v>
      </c>
      <c r="AZ646" s="8">
        <v>879177</v>
      </c>
      <c r="BA646" s="8">
        <f t="shared" si="315"/>
        <v>-17679</v>
      </c>
      <c r="BB646" s="8">
        <v>940579</v>
      </c>
      <c r="BC646" s="8">
        <f t="shared" si="316"/>
        <v>43282</v>
      </c>
      <c r="BD646" s="8">
        <f t="shared" si="324"/>
        <v>-61402</v>
      </c>
      <c r="BE646" s="8">
        <f t="shared" si="317"/>
        <v>-60961</v>
      </c>
      <c r="BF646" s="8">
        <v>546799</v>
      </c>
      <c r="BG646" s="8">
        <f t="shared" si="318"/>
        <v>-20539</v>
      </c>
      <c r="BH646" s="8">
        <v>815822</v>
      </c>
      <c r="BI646" s="8">
        <f t="shared" si="319"/>
        <v>39159</v>
      </c>
      <c r="BJ646" s="8">
        <f t="shared" si="325"/>
        <v>-269023</v>
      </c>
      <c r="BK646" s="8">
        <f t="shared" si="326"/>
        <v>-59698</v>
      </c>
    </row>
    <row r="647" spans="1:63">
      <c r="A647" s="5">
        <f t="shared" si="320"/>
        <v>43396</v>
      </c>
      <c r="B647" s="8">
        <v>564666</v>
      </c>
      <c r="C647" s="8">
        <f t="shared" si="293"/>
        <v>-1045</v>
      </c>
      <c r="D647" s="8">
        <v>63235</v>
      </c>
      <c r="E647" s="8">
        <f t="shared" si="294"/>
        <v>2172</v>
      </c>
      <c r="F647" s="8">
        <v>94783</v>
      </c>
      <c r="G647" s="8">
        <f t="shared" si="295"/>
        <v>614</v>
      </c>
      <c r="H647" s="8">
        <v>-31548</v>
      </c>
      <c r="I647" s="8">
        <f t="shared" si="296"/>
        <v>1558</v>
      </c>
      <c r="J647" s="8">
        <v>268166</v>
      </c>
      <c r="K647" s="8">
        <f t="shared" si="297"/>
        <v>1491</v>
      </c>
      <c r="L647" s="8">
        <v>271102</v>
      </c>
      <c r="M647" s="8">
        <f t="shared" si="298"/>
        <v>-422</v>
      </c>
      <c r="N647" s="8">
        <v>-2936</v>
      </c>
      <c r="O647" s="8">
        <f t="shared" si="299"/>
        <v>1913</v>
      </c>
      <c r="P647" s="8">
        <v>139427</v>
      </c>
      <c r="Q647" s="8">
        <f t="shared" si="300"/>
        <v>5774</v>
      </c>
      <c r="R647" s="8">
        <v>245762</v>
      </c>
      <c r="S647" s="8">
        <f t="shared" si="301"/>
        <v>547</v>
      </c>
      <c r="T647" s="8">
        <v>-106335</v>
      </c>
      <c r="U647" s="8">
        <f t="shared" si="302"/>
        <v>5227</v>
      </c>
      <c r="W647" s="8">
        <v>581101</v>
      </c>
      <c r="X647" s="8">
        <f t="shared" si="303"/>
        <v>-734</v>
      </c>
      <c r="Y647" s="8">
        <v>72858</v>
      </c>
      <c r="Z647" s="8">
        <f t="shared" si="304"/>
        <v>-3991</v>
      </c>
      <c r="AA647" s="8">
        <v>36303</v>
      </c>
      <c r="AB647" s="8">
        <f t="shared" si="321"/>
        <v>1444</v>
      </c>
      <c r="AC647" s="8">
        <v>36555</v>
      </c>
      <c r="AD647" s="8">
        <f t="shared" si="322"/>
        <v>-5435</v>
      </c>
      <c r="AE647" s="8">
        <v>263268</v>
      </c>
      <c r="AF647" s="8">
        <f t="shared" si="305"/>
        <v>3706</v>
      </c>
      <c r="AG647" s="8">
        <v>345547</v>
      </c>
      <c r="AH647" s="8">
        <f t="shared" si="306"/>
        <v>-4921</v>
      </c>
      <c r="AI647" s="8">
        <v>-82279</v>
      </c>
      <c r="AJ647" s="8">
        <f t="shared" si="307"/>
        <v>8627</v>
      </c>
      <c r="AK647" s="8">
        <v>151206</v>
      </c>
      <c r="AL647" s="8">
        <f t="shared" si="308"/>
        <v>4919</v>
      </c>
      <c r="AM647" s="8">
        <v>312433</v>
      </c>
      <c r="AN647" s="8">
        <f t="shared" si="309"/>
        <v>-189</v>
      </c>
      <c r="AO647" s="8">
        <v>-161227</v>
      </c>
      <c r="AP647" s="8">
        <f t="shared" si="310"/>
        <v>5108</v>
      </c>
      <c r="AR647" s="8">
        <v>2080617</v>
      </c>
      <c r="AS647" s="8">
        <f t="shared" si="311"/>
        <v>16781</v>
      </c>
      <c r="AT647" s="8">
        <v>252969</v>
      </c>
      <c r="AU647" s="8">
        <f t="shared" si="312"/>
        <v>-600</v>
      </c>
      <c r="AV647" s="8">
        <v>227588</v>
      </c>
      <c r="AW647" s="8">
        <f t="shared" si="313"/>
        <v>-5827</v>
      </c>
      <c r="AX647" s="8">
        <f t="shared" si="323"/>
        <v>25381</v>
      </c>
      <c r="AY647" s="8">
        <f t="shared" si="314"/>
        <v>5227</v>
      </c>
      <c r="AZ647" s="8">
        <v>887878</v>
      </c>
      <c r="BA647" s="8">
        <f t="shared" si="315"/>
        <v>8701</v>
      </c>
      <c r="BB647" s="8">
        <v>941912</v>
      </c>
      <c r="BC647" s="8">
        <f t="shared" si="316"/>
        <v>1333</v>
      </c>
      <c r="BD647" s="8">
        <f t="shared" si="324"/>
        <v>-54034</v>
      </c>
      <c r="BE647" s="8">
        <f t="shared" si="317"/>
        <v>7368</v>
      </c>
      <c r="BF647" s="8">
        <v>553151</v>
      </c>
      <c r="BG647" s="8">
        <f t="shared" si="318"/>
        <v>6352</v>
      </c>
      <c r="BH647" s="8">
        <v>823861</v>
      </c>
      <c r="BI647" s="8">
        <f t="shared" si="319"/>
        <v>8039</v>
      </c>
      <c r="BJ647" s="8">
        <f t="shared" si="325"/>
        <v>-270710</v>
      </c>
      <c r="BK647" s="8">
        <f t="shared" si="326"/>
        <v>-1687</v>
      </c>
    </row>
    <row r="648" spans="1:63">
      <c r="A648" s="5">
        <f t="shared" si="320"/>
        <v>43403</v>
      </c>
      <c r="B648" s="8">
        <v>579309</v>
      </c>
      <c r="C648" s="8">
        <f t="shared" ref="C648:C711" si="327">B648-B647</f>
        <v>14643</v>
      </c>
      <c r="D648" s="8">
        <v>57340</v>
      </c>
      <c r="E648" s="8">
        <f t="shared" ref="E648:E711" si="328">D648-D647</f>
        <v>-5895</v>
      </c>
      <c r="F648" s="8">
        <v>112339</v>
      </c>
      <c r="G648" s="8">
        <f t="shared" ref="G648:G711" si="329">F648-F647</f>
        <v>17556</v>
      </c>
      <c r="H648" s="8">
        <v>-54999</v>
      </c>
      <c r="I648" s="8">
        <f t="shared" ref="I648:I711" si="330">H648-H647</f>
        <v>-23451</v>
      </c>
      <c r="J648" s="8">
        <v>281772</v>
      </c>
      <c r="K648" s="8">
        <f t="shared" ref="K648:K711" si="331">J648-J647</f>
        <v>13606</v>
      </c>
      <c r="L648" s="8">
        <v>267416</v>
      </c>
      <c r="M648" s="8">
        <f t="shared" ref="M648:M711" si="332">L648-L647</f>
        <v>-3686</v>
      </c>
      <c r="N648" s="8">
        <v>14356</v>
      </c>
      <c r="O648" s="8">
        <f t="shared" ref="O648:O711" si="333">N648-N647</f>
        <v>17292</v>
      </c>
      <c r="P648" s="8">
        <v>150385</v>
      </c>
      <c r="Q648" s="8">
        <f t="shared" ref="Q648:Q711" si="334">P648-P647</f>
        <v>10958</v>
      </c>
      <c r="R648" s="8">
        <v>241349</v>
      </c>
      <c r="S648" s="8">
        <f t="shared" ref="S648:S711" si="335">R648-R647</f>
        <v>-4413</v>
      </c>
      <c r="T648" s="8">
        <v>-90964</v>
      </c>
      <c r="U648" s="8">
        <f t="shared" ref="U648:U711" si="336">T648-T647</f>
        <v>15371</v>
      </c>
      <c r="W648" s="8">
        <v>593252</v>
      </c>
      <c r="X648" s="8">
        <f t="shared" ref="X648:X711" si="337">W648-W647</f>
        <v>12151</v>
      </c>
      <c r="Y648" s="8">
        <v>69608</v>
      </c>
      <c r="Z648" s="8">
        <f t="shared" ref="Z648:Z711" si="338">Y648-Y647</f>
        <v>-3250</v>
      </c>
      <c r="AA648" s="8">
        <v>45709</v>
      </c>
      <c r="AB648" s="8">
        <f t="shared" si="321"/>
        <v>9406</v>
      </c>
      <c r="AC648" s="8">
        <v>23899</v>
      </c>
      <c r="AD648" s="8">
        <f t="shared" si="322"/>
        <v>-12656</v>
      </c>
      <c r="AE648" s="8">
        <v>276334</v>
      </c>
      <c r="AF648" s="8">
        <f t="shared" ref="AF648:AF711" si="339">AE648-AE647</f>
        <v>13066</v>
      </c>
      <c r="AG648" s="8">
        <v>343872</v>
      </c>
      <c r="AH648" s="8">
        <f t="shared" ref="AH648:AH711" si="340">AG648-AG647</f>
        <v>-1675</v>
      </c>
      <c r="AI648" s="8">
        <v>-67538</v>
      </c>
      <c r="AJ648" s="8">
        <f t="shared" ref="AJ648:AJ711" si="341">AI648-AI647</f>
        <v>14741</v>
      </c>
      <c r="AK648" s="8">
        <v>160258</v>
      </c>
      <c r="AL648" s="8">
        <f t="shared" ref="AL648:AL711" si="342">AK648-AK647</f>
        <v>9052</v>
      </c>
      <c r="AM648" s="8">
        <v>304316</v>
      </c>
      <c r="AN648" s="8">
        <f t="shared" ref="AN648:AN711" si="343">AM648-AM647</f>
        <v>-8117</v>
      </c>
      <c r="AO648" s="8">
        <v>-144058</v>
      </c>
      <c r="AP648" s="8">
        <f t="shared" ref="AP648:AP711" si="344">AO648-AO647</f>
        <v>17169</v>
      </c>
      <c r="AR648" s="8">
        <v>2069827</v>
      </c>
      <c r="AS648" s="8">
        <f t="shared" ref="AS648:AS711" si="345">AR648-AR647</f>
        <v>-10790</v>
      </c>
      <c r="AT648" s="8">
        <v>243097</v>
      </c>
      <c r="AU648" s="8">
        <f t="shared" ref="AU648:AU711" si="346">AT648-AT647</f>
        <v>-9872</v>
      </c>
      <c r="AV648" s="8">
        <v>228828</v>
      </c>
      <c r="AW648" s="8">
        <f t="shared" ref="AW648:AW711" si="347">AV648-AV647</f>
        <v>1240</v>
      </c>
      <c r="AX648" s="8">
        <f t="shared" si="323"/>
        <v>14269</v>
      </c>
      <c r="AY648" s="8">
        <f t="shared" ref="AY648:AY678" si="348">AX648-AX647</f>
        <v>-11112</v>
      </c>
      <c r="AZ648" s="8">
        <v>901249</v>
      </c>
      <c r="BA648" s="8">
        <f t="shared" ref="BA648:BA711" si="349">AZ648-AZ647</f>
        <v>13371</v>
      </c>
      <c r="BB648" s="8">
        <v>938295</v>
      </c>
      <c r="BC648" s="8">
        <f t="shared" ref="BC648:BC711" si="350">BB648-BB647</f>
        <v>-3617</v>
      </c>
      <c r="BD648" s="8">
        <f t="shared" si="324"/>
        <v>-37046</v>
      </c>
      <c r="BE648" s="8">
        <f t="shared" ref="BE648:BE711" si="351">BD648-BD647</f>
        <v>16988</v>
      </c>
      <c r="BF648" s="8">
        <v>558233</v>
      </c>
      <c r="BG648" s="8">
        <f t="shared" ref="BG648:BG711" si="352">BF648-BF647</f>
        <v>5082</v>
      </c>
      <c r="BH648" s="8">
        <v>809666</v>
      </c>
      <c r="BI648" s="8">
        <f t="shared" ref="BI648:BI711" si="353">BH648-BH647</f>
        <v>-14195</v>
      </c>
      <c r="BJ648" s="8">
        <f t="shared" si="325"/>
        <v>-251433</v>
      </c>
      <c r="BK648" s="8">
        <f t="shared" si="326"/>
        <v>19277</v>
      </c>
    </row>
    <row r="649" spans="1:63">
      <c r="A649" s="5">
        <f t="shared" si="320"/>
        <v>43410</v>
      </c>
      <c r="B649" s="8">
        <v>590032</v>
      </c>
      <c r="C649" s="8">
        <f t="shared" si="327"/>
        <v>10723</v>
      </c>
      <c r="D649" s="8">
        <v>53242</v>
      </c>
      <c r="E649" s="8">
        <f t="shared" si="328"/>
        <v>-4098</v>
      </c>
      <c r="F649" s="8">
        <v>112408</v>
      </c>
      <c r="G649" s="8">
        <f t="shared" si="329"/>
        <v>69</v>
      </c>
      <c r="H649" s="8">
        <v>-59166</v>
      </c>
      <c r="I649" s="8">
        <f t="shared" si="330"/>
        <v>-4167</v>
      </c>
      <c r="J649" s="8">
        <v>280142</v>
      </c>
      <c r="K649" s="8">
        <f t="shared" si="331"/>
        <v>-1630</v>
      </c>
      <c r="L649" s="8">
        <v>264961</v>
      </c>
      <c r="M649" s="8">
        <f t="shared" si="332"/>
        <v>-2455</v>
      </c>
      <c r="N649" s="8">
        <v>15181</v>
      </c>
      <c r="O649" s="8">
        <f t="shared" si="333"/>
        <v>825</v>
      </c>
      <c r="P649" s="8">
        <v>156695</v>
      </c>
      <c r="Q649" s="8">
        <f t="shared" si="334"/>
        <v>6310</v>
      </c>
      <c r="R649" s="8">
        <v>235806</v>
      </c>
      <c r="S649" s="8">
        <f t="shared" si="335"/>
        <v>-5543</v>
      </c>
      <c r="T649" s="8">
        <v>-79111</v>
      </c>
      <c r="U649" s="8">
        <f t="shared" si="336"/>
        <v>11853</v>
      </c>
      <c r="W649" s="8">
        <v>568861</v>
      </c>
      <c r="X649" s="8">
        <f t="shared" si="337"/>
        <v>-24391</v>
      </c>
      <c r="Y649" s="8">
        <v>62542</v>
      </c>
      <c r="Z649" s="8">
        <f t="shared" si="338"/>
        <v>-7066</v>
      </c>
      <c r="AA649" s="8">
        <v>43021</v>
      </c>
      <c r="AB649" s="8">
        <f t="shared" si="321"/>
        <v>-2688</v>
      </c>
      <c r="AC649" s="8">
        <v>19521</v>
      </c>
      <c r="AD649" s="8">
        <f t="shared" si="322"/>
        <v>-4378</v>
      </c>
      <c r="AE649" s="8">
        <v>266314</v>
      </c>
      <c r="AF649" s="8">
        <f t="shared" si="339"/>
        <v>-10020</v>
      </c>
      <c r="AG649" s="8">
        <v>335177</v>
      </c>
      <c r="AH649" s="8">
        <f t="shared" si="340"/>
        <v>-8695</v>
      </c>
      <c r="AI649" s="8">
        <v>-68863</v>
      </c>
      <c r="AJ649" s="8">
        <f t="shared" si="341"/>
        <v>-1325</v>
      </c>
      <c r="AK649" s="8">
        <v>153126</v>
      </c>
      <c r="AL649" s="8">
        <f t="shared" si="342"/>
        <v>-7132</v>
      </c>
      <c r="AM649" s="8">
        <v>294678</v>
      </c>
      <c r="AN649" s="8">
        <f t="shared" si="343"/>
        <v>-9638</v>
      </c>
      <c r="AO649" s="8">
        <v>-141552</v>
      </c>
      <c r="AP649" s="8">
        <f t="shared" si="344"/>
        <v>2506</v>
      </c>
      <c r="AR649" s="8">
        <v>2139071</v>
      </c>
      <c r="AS649" s="8">
        <f t="shared" si="345"/>
        <v>69244</v>
      </c>
      <c r="AT649" s="8">
        <v>247727</v>
      </c>
      <c r="AU649" s="8">
        <f t="shared" si="346"/>
        <v>4630</v>
      </c>
      <c r="AV649" s="8">
        <v>221098</v>
      </c>
      <c r="AW649" s="8">
        <f t="shared" si="347"/>
        <v>-7730</v>
      </c>
      <c r="AX649" s="8">
        <f t="shared" si="323"/>
        <v>26629</v>
      </c>
      <c r="AY649" s="8">
        <f t="shared" si="348"/>
        <v>12360</v>
      </c>
      <c r="AZ649" s="8">
        <v>903169</v>
      </c>
      <c r="BA649" s="8">
        <f t="shared" si="349"/>
        <v>1920</v>
      </c>
      <c r="BB649" s="8">
        <v>970362</v>
      </c>
      <c r="BC649" s="8">
        <f t="shared" si="350"/>
        <v>32067</v>
      </c>
      <c r="BD649" s="8">
        <f t="shared" si="324"/>
        <v>-67193</v>
      </c>
      <c r="BE649" s="8">
        <f t="shared" si="351"/>
        <v>-30147</v>
      </c>
      <c r="BF649" s="8">
        <v>560930</v>
      </c>
      <c r="BG649" s="8">
        <f t="shared" si="352"/>
        <v>2697</v>
      </c>
      <c r="BH649" s="8">
        <v>830431</v>
      </c>
      <c r="BI649" s="8">
        <f t="shared" si="353"/>
        <v>20765</v>
      </c>
      <c r="BJ649" s="8">
        <f t="shared" si="325"/>
        <v>-269501</v>
      </c>
      <c r="BK649" s="8">
        <f t="shared" si="326"/>
        <v>-18068</v>
      </c>
    </row>
    <row r="650" spans="1:63">
      <c r="A650" s="5">
        <f t="shared" si="320"/>
        <v>43417</v>
      </c>
      <c r="B650" s="8">
        <v>610322</v>
      </c>
      <c r="C650" s="8">
        <f t="shared" si="327"/>
        <v>20290</v>
      </c>
      <c r="D650" s="8">
        <v>52107</v>
      </c>
      <c r="E650" s="8">
        <f t="shared" si="328"/>
        <v>-1135</v>
      </c>
      <c r="F650" s="8">
        <v>122263</v>
      </c>
      <c r="G650" s="8">
        <f t="shared" si="329"/>
        <v>9855</v>
      </c>
      <c r="H650" s="8">
        <v>-70156</v>
      </c>
      <c r="I650" s="8">
        <f t="shared" si="330"/>
        <v>-10990</v>
      </c>
      <c r="J650" s="8">
        <v>292274</v>
      </c>
      <c r="K650" s="8">
        <f t="shared" si="331"/>
        <v>12132</v>
      </c>
      <c r="L650" s="8">
        <v>263239</v>
      </c>
      <c r="M650" s="8">
        <f t="shared" si="332"/>
        <v>-1722</v>
      </c>
      <c r="N650" s="8">
        <v>29035</v>
      </c>
      <c r="O650" s="8">
        <f t="shared" si="333"/>
        <v>13854</v>
      </c>
      <c r="P650" s="8">
        <v>169615</v>
      </c>
      <c r="Q650" s="8">
        <f t="shared" si="334"/>
        <v>12920</v>
      </c>
      <c r="R650" s="8">
        <v>233382</v>
      </c>
      <c r="S650" s="8">
        <f t="shared" si="335"/>
        <v>-2424</v>
      </c>
      <c r="T650" s="8">
        <v>-63767</v>
      </c>
      <c r="U650" s="8">
        <f t="shared" si="336"/>
        <v>15344</v>
      </c>
      <c r="W650" s="8">
        <v>559928</v>
      </c>
      <c r="X650" s="8">
        <f t="shared" si="337"/>
        <v>-8933</v>
      </c>
      <c r="Y650" s="8">
        <v>55071</v>
      </c>
      <c r="Z650" s="8">
        <f t="shared" si="338"/>
        <v>-7471</v>
      </c>
      <c r="AA650" s="8">
        <v>53036</v>
      </c>
      <c r="AB650" s="8">
        <f t="shared" si="321"/>
        <v>10015</v>
      </c>
      <c r="AC650" s="8">
        <v>2035</v>
      </c>
      <c r="AD650" s="8">
        <f t="shared" si="322"/>
        <v>-17486</v>
      </c>
      <c r="AE650" s="8">
        <v>266253</v>
      </c>
      <c r="AF650" s="8">
        <f t="shared" si="339"/>
        <v>-61</v>
      </c>
      <c r="AG650" s="8">
        <v>315921</v>
      </c>
      <c r="AH650" s="8">
        <f t="shared" si="340"/>
        <v>-19256</v>
      </c>
      <c r="AI650" s="8">
        <v>-49668</v>
      </c>
      <c r="AJ650" s="8">
        <f t="shared" si="341"/>
        <v>19195</v>
      </c>
      <c r="AK650" s="8">
        <v>157483</v>
      </c>
      <c r="AL650" s="8">
        <f t="shared" si="342"/>
        <v>4357</v>
      </c>
      <c r="AM650" s="8">
        <v>276395</v>
      </c>
      <c r="AN650" s="8">
        <f t="shared" si="343"/>
        <v>-18283</v>
      </c>
      <c r="AO650" s="8">
        <v>-118912</v>
      </c>
      <c r="AP650" s="8">
        <f t="shared" si="344"/>
        <v>22640</v>
      </c>
      <c r="AR650" s="8">
        <v>2154088</v>
      </c>
      <c r="AS650" s="8">
        <f t="shared" si="345"/>
        <v>15017</v>
      </c>
      <c r="AT650" s="8">
        <v>238615</v>
      </c>
      <c r="AU650" s="8">
        <f t="shared" si="346"/>
        <v>-9112</v>
      </c>
      <c r="AV650" s="8">
        <v>220634</v>
      </c>
      <c r="AW650" s="8">
        <f t="shared" si="347"/>
        <v>-464</v>
      </c>
      <c r="AX650" s="8">
        <f t="shared" si="323"/>
        <v>17981</v>
      </c>
      <c r="AY650" s="8">
        <f t="shared" si="348"/>
        <v>-8648</v>
      </c>
      <c r="AZ650" s="8">
        <v>937601</v>
      </c>
      <c r="BA650" s="8">
        <f t="shared" si="349"/>
        <v>34432</v>
      </c>
      <c r="BB650" s="8">
        <v>989338</v>
      </c>
      <c r="BC650" s="8">
        <f t="shared" si="350"/>
        <v>18976</v>
      </c>
      <c r="BD650" s="8">
        <f t="shared" si="324"/>
        <v>-51737</v>
      </c>
      <c r="BE650" s="8">
        <f t="shared" si="351"/>
        <v>15456</v>
      </c>
      <c r="BF650" s="8">
        <v>588932</v>
      </c>
      <c r="BG650" s="8">
        <f t="shared" si="352"/>
        <v>28002</v>
      </c>
      <c r="BH650" s="8">
        <v>841866</v>
      </c>
      <c r="BI650" s="8">
        <f t="shared" si="353"/>
        <v>11435</v>
      </c>
      <c r="BJ650" s="8">
        <f t="shared" si="325"/>
        <v>-252934</v>
      </c>
      <c r="BK650" s="8">
        <f t="shared" si="326"/>
        <v>16567</v>
      </c>
    </row>
    <row r="651" spans="1:63">
      <c r="A651" s="5">
        <f t="shared" si="320"/>
        <v>43424</v>
      </c>
      <c r="B651" s="8">
        <v>611161</v>
      </c>
      <c r="C651" s="8">
        <f t="shared" si="327"/>
        <v>839</v>
      </c>
      <c r="D651" s="8">
        <v>50610</v>
      </c>
      <c r="E651" s="8">
        <f t="shared" si="328"/>
        <v>-1497</v>
      </c>
      <c r="F651" s="8">
        <v>129855</v>
      </c>
      <c r="G651" s="8">
        <f t="shared" si="329"/>
        <v>7592</v>
      </c>
      <c r="H651" s="8">
        <v>-79245</v>
      </c>
      <c r="I651" s="8">
        <f t="shared" si="330"/>
        <v>-9089</v>
      </c>
      <c r="J651" s="8">
        <v>283686</v>
      </c>
      <c r="K651" s="8">
        <f t="shared" si="331"/>
        <v>-8588</v>
      </c>
      <c r="L651" s="8">
        <v>246277</v>
      </c>
      <c r="M651" s="8">
        <f t="shared" si="332"/>
        <v>-16962</v>
      </c>
      <c r="N651" s="8">
        <v>37409</v>
      </c>
      <c r="O651" s="8">
        <f t="shared" si="333"/>
        <v>8374</v>
      </c>
      <c r="P651" s="8">
        <v>171195</v>
      </c>
      <c r="Q651" s="8">
        <f t="shared" si="334"/>
        <v>1580</v>
      </c>
      <c r="R651" s="8">
        <v>223605</v>
      </c>
      <c r="S651" s="8">
        <f t="shared" si="335"/>
        <v>-9777</v>
      </c>
      <c r="T651" s="8">
        <v>-52410</v>
      </c>
      <c r="U651" s="8">
        <f t="shared" si="336"/>
        <v>11357</v>
      </c>
      <c r="W651" s="8">
        <v>554804</v>
      </c>
      <c r="X651" s="8">
        <f t="shared" si="337"/>
        <v>-5124</v>
      </c>
      <c r="Y651" s="8">
        <v>52988</v>
      </c>
      <c r="Z651" s="8">
        <f t="shared" si="338"/>
        <v>-2083</v>
      </c>
      <c r="AA651" s="8">
        <v>52114</v>
      </c>
      <c r="AB651" s="8">
        <f t="shared" si="321"/>
        <v>-922</v>
      </c>
      <c r="AC651" s="8">
        <v>874</v>
      </c>
      <c r="AD651" s="8">
        <f t="shared" si="322"/>
        <v>-1161</v>
      </c>
      <c r="AE651" s="8">
        <v>263531</v>
      </c>
      <c r="AF651" s="8">
        <f t="shared" si="339"/>
        <v>-2722</v>
      </c>
      <c r="AG651" s="8">
        <v>313316</v>
      </c>
      <c r="AH651" s="8">
        <f t="shared" si="340"/>
        <v>-2605</v>
      </c>
      <c r="AI651" s="8">
        <v>-49785</v>
      </c>
      <c r="AJ651" s="8">
        <f t="shared" si="341"/>
        <v>-117</v>
      </c>
      <c r="AK651" s="8">
        <v>156540</v>
      </c>
      <c r="AL651" s="8">
        <f t="shared" si="342"/>
        <v>-943</v>
      </c>
      <c r="AM651" s="8">
        <v>273399</v>
      </c>
      <c r="AN651" s="8">
        <f t="shared" si="343"/>
        <v>-2996</v>
      </c>
      <c r="AO651" s="8">
        <v>-116859</v>
      </c>
      <c r="AP651" s="8">
        <f t="shared" si="344"/>
        <v>2053</v>
      </c>
      <c r="AR651" s="8">
        <v>2138019</v>
      </c>
      <c r="AS651" s="8">
        <f t="shared" si="345"/>
        <v>-16069</v>
      </c>
      <c r="AT651" s="8">
        <v>219280</v>
      </c>
      <c r="AU651" s="8">
        <f t="shared" si="346"/>
        <v>-19335</v>
      </c>
      <c r="AV651" s="8">
        <v>227125</v>
      </c>
      <c r="AW651" s="8">
        <f t="shared" si="347"/>
        <v>6491</v>
      </c>
      <c r="AX651" s="8">
        <f t="shared" si="323"/>
        <v>-7845</v>
      </c>
      <c r="AY651" s="8">
        <f t="shared" si="348"/>
        <v>-25826</v>
      </c>
      <c r="AZ651" s="8">
        <v>968271</v>
      </c>
      <c r="BA651" s="8">
        <f t="shared" si="349"/>
        <v>30670</v>
      </c>
      <c r="BB651" s="8">
        <v>1004112</v>
      </c>
      <c r="BC651" s="8">
        <f t="shared" si="350"/>
        <v>14774</v>
      </c>
      <c r="BD651" s="8">
        <f t="shared" si="324"/>
        <v>-35841</v>
      </c>
      <c r="BE651" s="8">
        <f t="shared" si="351"/>
        <v>15896</v>
      </c>
      <c r="BF651" s="8">
        <v>615279</v>
      </c>
      <c r="BG651" s="8">
        <f t="shared" si="352"/>
        <v>26347</v>
      </c>
      <c r="BH651" s="8">
        <v>849258</v>
      </c>
      <c r="BI651" s="8">
        <f t="shared" si="353"/>
        <v>7392</v>
      </c>
      <c r="BJ651" s="8">
        <f t="shared" si="325"/>
        <v>-233979</v>
      </c>
      <c r="BK651" s="8">
        <f t="shared" si="326"/>
        <v>18955</v>
      </c>
    </row>
    <row r="652" spans="1:63">
      <c r="A652" s="5">
        <f t="shared" si="320"/>
        <v>43431</v>
      </c>
      <c r="B652" s="8">
        <v>565612</v>
      </c>
      <c r="C652" s="8">
        <f t="shared" si="327"/>
        <v>-45549</v>
      </c>
      <c r="D652" s="8">
        <v>50792</v>
      </c>
      <c r="E652" s="8">
        <f t="shared" si="328"/>
        <v>182</v>
      </c>
      <c r="F652" s="8">
        <v>131166</v>
      </c>
      <c r="G652" s="8">
        <f t="shared" si="329"/>
        <v>1311</v>
      </c>
      <c r="H652" s="8">
        <v>-80374</v>
      </c>
      <c r="I652" s="8">
        <f t="shared" si="330"/>
        <v>-1129</v>
      </c>
      <c r="J652" s="8">
        <v>272871</v>
      </c>
      <c r="K652" s="8">
        <f t="shared" si="331"/>
        <v>-10815</v>
      </c>
      <c r="L652" s="8">
        <v>236193</v>
      </c>
      <c r="M652" s="8">
        <f t="shared" si="332"/>
        <v>-10084</v>
      </c>
      <c r="N652" s="8">
        <v>36678</v>
      </c>
      <c r="O652" s="8">
        <f t="shared" si="333"/>
        <v>-731</v>
      </c>
      <c r="P652" s="8">
        <v>170366</v>
      </c>
      <c r="Q652" s="8">
        <f t="shared" si="334"/>
        <v>-829</v>
      </c>
      <c r="R652" s="8">
        <v>217210</v>
      </c>
      <c r="S652" s="8">
        <f t="shared" si="335"/>
        <v>-6395</v>
      </c>
      <c r="T652" s="8">
        <v>-46844</v>
      </c>
      <c r="U652" s="8">
        <f t="shared" si="336"/>
        <v>5566</v>
      </c>
      <c r="W652" s="8">
        <v>511839</v>
      </c>
      <c r="X652" s="8">
        <f t="shared" si="337"/>
        <v>-42965</v>
      </c>
      <c r="Y652" s="8">
        <v>49438</v>
      </c>
      <c r="Z652" s="8">
        <f t="shared" si="338"/>
        <v>-3550</v>
      </c>
      <c r="AA652" s="8">
        <v>57242</v>
      </c>
      <c r="AB652" s="8">
        <f t="shared" si="321"/>
        <v>5128</v>
      </c>
      <c r="AC652" s="8">
        <v>-7804</v>
      </c>
      <c r="AD652" s="8">
        <f t="shared" si="322"/>
        <v>-8678</v>
      </c>
      <c r="AE652" s="8">
        <v>253968</v>
      </c>
      <c r="AF652" s="8">
        <f t="shared" si="339"/>
        <v>-9563</v>
      </c>
      <c r="AG652" s="8">
        <v>292436</v>
      </c>
      <c r="AH652" s="8">
        <f t="shared" si="340"/>
        <v>-20880</v>
      </c>
      <c r="AI652" s="8">
        <v>-38468</v>
      </c>
      <c r="AJ652" s="8">
        <f t="shared" si="341"/>
        <v>11317</v>
      </c>
      <c r="AK652" s="8">
        <v>148703</v>
      </c>
      <c r="AL652" s="8">
        <f t="shared" si="342"/>
        <v>-7837</v>
      </c>
      <c r="AM652" s="8">
        <v>250514</v>
      </c>
      <c r="AN652" s="8">
        <f t="shared" si="343"/>
        <v>-22885</v>
      </c>
      <c r="AO652" s="8">
        <v>-101811</v>
      </c>
      <c r="AP652" s="8">
        <f t="shared" si="344"/>
        <v>15048</v>
      </c>
      <c r="AR652" s="8">
        <v>1918320</v>
      </c>
      <c r="AS652" s="8">
        <f t="shared" si="345"/>
        <v>-219699</v>
      </c>
      <c r="AT652" s="8">
        <v>221361</v>
      </c>
      <c r="AU652" s="8">
        <f t="shared" si="346"/>
        <v>2081</v>
      </c>
      <c r="AV652" s="8">
        <v>243509</v>
      </c>
      <c r="AW652" s="8">
        <f t="shared" si="347"/>
        <v>16384</v>
      </c>
      <c r="AX652" s="8">
        <f t="shared" si="323"/>
        <v>-22148</v>
      </c>
      <c r="AY652" s="8">
        <f t="shared" si="348"/>
        <v>-14303</v>
      </c>
      <c r="AZ652" s="8">
        <v>893632</v>
      </c>
      <c r="BA652" s="8">
        <f t="shared" si="349"/>
        <v>-74639</v>
      </c>
      <c r="BB652" s="8">
        <v>919989</v>
      </c>
      <c r="BC652" s="8">
        <f t="shared" si="350"/>
        <v>-84123</v>
      </c>
      <c r="BD652" s="8">
        <f t="shared" si="324"/>
        <v>-26357</v>
      </c>
      <c r="BE652" s="8">
        <f t="shared" si="351"/>
        <v>9484</v>
      </c>
      <c r="BF652" s="8">
        <v>599364</v>
      </c>
      <c r="BG652" s="8">
        <f t="shared" si="352"/>
        <v>-15915</v>
      </c>
      <c r="BH652" s="8">
        <v>806938</v>
      </c>
      <c r="BI652" s="8">
        <f t="shared" si="353"/>
        <v>-42320</v>
      </c>
      <c r="BJ652" s="8">
        <f t="shared" si="325"/>
        <v>-207574</v>
      </c>
      <c r="BK652" s="8">
        <f t="shared" si="326"/>
        <v>26405</v>
      </c>
    </row>
    <row r="653" spans="1:63">
      <c r="A653" s="5">
        <f t="shared" si="320"/>
        <v>43438</v>
      </c>
      <c r="B653" s="8">
        <v>554819</v>
      </c>
      <c r="C653" s="8">
        <f t="shared" si="327"/>
        <v>-10793</v>
      </c>
      <c r="D653" s="8">
        <v>57940</v>
      </c>
      <c r="E653" s="8">
        <f t="shared" si="328"/>
        <v>7148</v>
      </c>
      <c r="F653" s="8">
        <v>117891</v>
      </c>
      <c r="G653" s="8">
        <f t="shared" si="329"/>
        <v>-13275</v>
      </c>
      <c r="H653" s="8">
        <v>-59951</v>
      </c>
      <c r="I653" s="8">
        <f t="shared" si="330"/>
        <v>20423</v>
      </c>
      <c r="J653" s="8">
        <v>254544</v>
      </c>
      <c r="K653" s="8">
        <f t="shared" si="331"/>
        <v>-18327</v>
      </c>
      <c r="L653" s="8">
        <v>240143</v>
      </c>
      <c r="M653" s="8">
        <f t="shared" si="332"/>
        <v>3950</v>
      </c>
      <c r="N653" s="8">
        <v>14401</v>
      </c>
      <c r="O653" s="8">
        <f t="shared" si="333"/>
        <v>-22277</v>
      </c>
      <c r="P653" s="8">
        <v>147199</v>
      </c>
      <c r="Q653" s="8">
        <f t="shared" si="334"/>
        <v>-23167</v>
      </c>
      <c r="R653" s="8">
        <v>217897</v>
      </c>
      <c r="S653" s="8">
        <f t="shared" si="335"/>
        <v>687</v>
      </c>
      <c r="T653" s="8">
        <v>-70698</v>
      </c>
      <c r="U653" s="8">
        <f t="shared" si="336"/>
        <v>-23854</v>
      </c>
      <c r="W653" s="8">
        <v>497877</v>
      </c>
      <c r="X653" s="8">
        <f t="shared" si="337"/>
        <v>-13962</v>
      </c>
      <c r="Y653" s="8">
        <v>49659</v>
      </c>
      <c r="Z653" s="8">
        <f t="shared" si="338"/>
        <v>221</v>
      </c>
      <c r="AA653" s="8">
        <v>52621</v>
      </c>
      <c r="AB653" s="8">
        <f t="shared" si="321"/>
        <v>-4621</v>
      </c>
      <c r="AC653" s="8">
        <v>-2962</v>
      </c>
      <c r="AD653" s="8">
        <f t="shared" si="322"/>
        <v>4842</v>
      </c>
      <c r="AE653" s="8">
        <v>238549</v>
      </c>
      <c r="AF653" s="8">
        <f t="shared" si="339"/>
        <v>-15419</v>
      </c>
      <c r="AG653" s="8">
        <v>281354</v>
      </c>
      <c r="AH653" s="8">
        <f t="shared" si="340"/>
        <v>-11082</v>
      </c>
      <c r="AI653" s="8">
        <v>-42805</v>
      </c>
      <c r="AJ653" s="8">
        <f t="shared" si="341"/>
        <v>-4337</v>
      </c>
      <c r="AK653" s="8">
        <v>132452</v>
      </c>
      <c r="AL653" s="8">
        <f t="shared" si="342"/>
        <v>-16251</v>
      </c>
      <c r="AM653" s="8">
        <v>246537</v>
      </c>
      <c r="AN653" s="8">
        <f t="shared" si="343"/>
        <v>-3977</v>
      </c>
      <c r="AO653" s="8">
        <v>-114085</v>
      </c>
      <c r="AP653" s="8">
        <f t="shared" si="344"/>
        <v>-12274</v>
      </c>
      <c r="AR653" s="8">
        <v>1883246</v>
      </c>
      <c r="AS653" s="8">
        <f t="shared" si="345"/>
        <v>-35074</v>
      </c>
      <c r="AT653" s="8">
        <v>275973</v>
      </c>
      <c r="AU653" s="8">
        <f t="shared" si="346"/>
        <v>54612</v>
      </c>
      <c r="AV653" s="8">
        <v>222228</v>
      </c>
      <c r="AW653" s="8">
        <f t="shared" si="347"/>
        <v>-21281</v>
      </c>
      <c r="AX653" s="8">
        <f t="shared" si="323"/>
        <v>53745</v>
      </c>
      <c r="AY653" s="8">
        <f t="shared" si="348"/>
        <v>75893</v>
      </c>
      <c r="AZ653" s="8">
        <v>812134</v>
      </c>
      <c r="BA653" s="8">
        <f t="shared" si="349"/>
        <v>-81498</v>
      </c>
      <c r="BB653" s="8">
        <v>921066</v>
      </c>
      <c r="BC653" s="8">
        <f t="shared" si="350"/>
        <v>1077</v>
      </c>
      <c r="BD653" s="8">
        <f t="shared" si="324"/>
        <v>-108932</v>
      </c>
      <c r="BE653" s="8">
        <f t="shared" si="351"/>
        <v>-82575</v>
      </c>
      <c r="BF653" s="8">
        <v>517552</v>
      </c>
      <c r="BG653" s="8">
        <f t="shared" si="352"/>
        <v>-81812</v>
      </c>
      <c r="BH653" s="8">
        <v>806891</v>
      </c>
      <c r="BI653" s="8">
        <f t="shared" si="353"/>
        <v>-47</v>
      </c>
      <c r="BJ653" s="8">
        <f t="shared" si="325"/>
        <v>-289339</v>
      </c>
      <c r="BK653" s="8">
        <f t="shared" si="326"/>
        <v>-81765</v>
      </c>
    </row>
    <row r="654" spans="1:63">
      <c r="A654" s="5">
        <f t="shared" si="320"/>
        <v>43445</v>
      </c>
      <c r="B654" s="8">
        <v>533381</v>
      </c>
      <c r="C654" s="8">
        <f t="shared" si="327"/>
        <v>-21438</v>
      </c>
      <c r="D654" s="8">
        <v>58284</v>
      </c>
      <c r="E654" s="8">
        <f t="shared" si="328"/>
        <v>344</v>
      </c>
      <c r="F654" s="8">
        <v>104905</v>
      </c>
      <c r="G654" s="8">
        <f t="shared" si="329"/>
        <v>-12986</v>
      </c>
      <c r="H654" s="8">
        <v>-46621</v>
      </c>
      <c r="I654" s="8">
        <f t="shared" si="330"/>
        <v>13330</v>
      </c>
      <c r="J654" s="8">
        <v>235998</v>
      </c>
      <c r="K654" s="8">
        <f t="shared" si="331"/>
        <v>-18546</v>
      </c>
      <c r="L654" s="8">
        <v>236901</v>
      </c>
      <c r="M654" s="8">
        <f t="shared" si="332"/>
        <v>-3242</v>
      </c>
      <c r="N654" s="8">
        <v>-903</v>
      </c>
      <c r="O654" s="8">
        <f t="shared" si="333"/>
        <v>-15304</v>
      </c>
      <c r="P654" s="8">
        <v>133789</v>
      </c>
      <c r="Q654" s="8">
        <f t="shared" si="334"/>
        <v>-13410</v>
      </c>
      <c r="R654" s="8">
        <v>218850</v>
      </c>
      <c r="S654" s="8">
        <f t="shared" si="335"/>
        <v>953</v>
      </c>
      <c r="T654" s="8">
        <v>-85061</v>
      </c>
      <c r="U654" s="8">
        <f t="shared" si="336"/>
        <v>-14363</v>
      </c>
      <c r="W654" s="8">
        <v>488389</v>
      </c>
      <c r="X654" s="8">
        <f t="shared" si="337"/>
        <v>-9488</v>
      </c>
      <c r="Y654" s="8">
        <v>47417</v>
      </c>
      <c r="Z654" s="8">
        <f t="shared" si="338"/>
        <v>-2242</v>
      </c>
      <c r="AA654" s="8">
        <v>55257</v>
      </c>
      <c r="AB654" s="8">
        <f t="shared" si="321"/>
        <v>2636</v>
      </c>
      <c r="AC654" s="8">
        <v>-7840</v>
      </c>
      <c r="AD654" s="8">
        <f t="shared" si="322"/>
        <v>-4878</v>
      </c>
      <c r="AE654" s="8">
        <v>235333</v>
      </c>
      <c r="AF654" s="8">
        <f t="shared" si="339"/>
        <v>-3216</v>
      </c>
      <c r="AG654" s="8">
        <v>269502</v>
      </c>
      <c r="AH654" s="8">
        <f t="shared" si="340"/>
        <v>-11852</v>
      </c>
      <c r="AI654" s="8">
        <v>-34169</v>
      </c>
      <c r="AJ654" s="8">
        <f t="shared" si="341"/>
        <v>8636</v>
      </c>
      <c r="AK654" s="8">
        <v>130380</v>
      </c>
      <c r="AL654" s="8">
        <f t="shared" si="342"/>
        <v>-2072</v>
      </c>
      <c r="AM654" s="8">
        <v>238567</v>
      </c>
      <c r="AN654" s="8">
        <f t="shared" si="343"/>
        <v>-7970</v>
      </c>
      <c r="AO654" s="8">
        <v>-108187</v>
      </c>
      <c r="AP654" s="8">
        <f t="shared" si="344"/>
        <v>5898</v>
      </c>
      <c r="AR654" s="8">
        <v>1900969</v>
      </c>
      <c r="AS654" s="8">
        <f t="shared" si="345"/>
        <v>17723</v>
      </c>
      <c r="AT654" s="8">
        <v>277727</v>
      </c>
      <c r="AU654" s="8">
        <f t="shared" si="346"/>
        <v>1754</v>
      </c>
      <c r="AV654" s="8">
        <v>179110</v>
      </c>
      <c r="AW654" s="8">
        <f t="shared" si="347"/>
        <v>-43118</v>
      </c>
      <c r="AX654" s="8">
        <f t="shared" si="323"/>
        <v>98617</v>
      </c>
      <c r="AY654" s="8">
        <f t="shared" si="348"/>
        <v>44872</v>
      </c>
      <c r="AZ654" s="8">
        <v>821951</v>
      </c>
      <c r="BA654" s="8">
        <f t="shared" si="349"/>
        <v>9817</v>
      </c>
      <c r="BB654" s="8">
        <v>973620</v>
      </c>
      <c r="BC654" s="8">
        <f t="shared" si="350"/>
        <v>52554</v>
      </c>
      <c r="BD654" s="8">
        <f t="shared" si="324"/>
        <v>-151669</v>
      </c>
      <c r="BE654" s="8">
        <f t="shared" si="351"/>
        <v>-42737</v>
      </c>
      <c r="BF654" s="8">
        <v>522645</v>
      </c>
      <c r="BG654" s="8">
        <f t="shared" si="352"/>
        <v>5093</v>
      </c>
      <c r="BH654" s="8">
        <v>855414</v>
      </c>
      <c r="BI654" s="8">
        <f t="shared" si="353"/>
        <v>48523</v>
      </c>
      <c r="BJ654" s="8">
        <f t="shared" si="325"/>
        <v>-332769</v>
      </c>
      <c r="BK654" s="8">
        <f t="shared" si="326"/>
        <v>-43430</v>
      </c>
    </row>
    <row r="655" spans="1:63">
      <c r="A655" s="5">
        <f t="shared" si="320"/>
        <v>43452</v>
      </c>
      <c r="B655" s="8">
        <v>508126</v>
      </c>
      <c r="C655" s="8">
        <f t="shared" si="327"/>
        <v>-25255</v>
      </c>
      <c r="D655" s="8">
        <v>55161</v>
      </c>
      <c r="E655" s="8">
        <f t="shared" si="328"/>
        <v>-3123</v>
      </c>
      <c r="F655" s="8">
        <v>102959</v>
      </c>
      <c r="G655" s="8">
        <f t="shared" si="329"/>
        <v>-1946</v>
      </c>
      <c r="H655" s="8">
        <v>-47798</v>
      </c>
      <c r="I655" s="8">
        <f t="shared" si="330"/>
        <v>-1177</v>
      </c>
      <c r="J655" s="8">
        <v>225503</v>
      </c>
      <c r="K655" s="8">
        <f t="shared" si="331"/>
        <v>-10495</v>
      </c>
      <c r="L655" s="8">
        <v>223479</v>
      </c>
      <c r="M655" s="8">
        <f t="shared" si="332"/>
        <v>-13422</v>
      </c>
      <c r="N655" s="8">
        <v>2024</v>
      </c>
      <c r="O655" s="8">
        <f t="shared" si="333"/>
        <v>2927</v>
      </c>
      <c r="P655" s="8">
        <v>129463</v>
      </c>
      <c r="Q655" s="8">
        <f t="shared" si="334"/>
        <v>-4326</v>
      </c>
      <c r="R655" s="8">
        <v>212773</v>
      </c>
      <c r="S655" s="8">
        <f t="shared" si="335"/>
        <v>-6077</v>
      </c>
      <c r="T655" s="8">
        <v>-83310</v>
      </c>
      <c r="U655" s="8">
        <f t="shared" si="336"/>
        <v>1751</v>
      </c>
      <c r="W655" s="8">
        <v>470693</v>
      </c>
      <c r="X655" s="8">
        <f t="shared" si="337"/>
        <v>-17696</v>
      </c>
      <c r="Y655" s="8">
        <v>47098</v>
      </c>
      <c r="Z655" s="8">
        <f t="shared" si="338"/>
        <v>-319</v>
      </c>
      <c r="AA655" s="8">
        <v>51514</v>
      </c>
      <c r="AB655" s="8">
        <f t="shared" si="321"/>
        <v>-3743</v>
      </c>
      <c r="AC655" s="8">
        <v>-4416</v>
      </c>
      <c r="AD655" s="8">
        <f t="shared" si="322"/>
        <v>3424</v>
      </c>
      <c r="AE655" s="8">
        <v>228933</v>
      </c>
      <c r="AF655" s="8">
        <f t="shared" si="339"/>
        <v>-6400</v>
      </c>
      <c r="AG655" s="8">
        <v>267252</v>
      </c>
      <c r="AH655" s="8">
        <f t="shared" si="340"/>
        <v>-2250</v>
      </c>
      <c r="AI655" s="8">
        <v>-38319</v>
      </c>
      <c r="AJ655" s="8">
        <f t="shared" si="341"/>
        <v>-4150</v>
      </c>
      <c r="AK655" s="8">
        <v>127535</v>
      </c>
      <c r="AL655" s="8">
        <f t="shared" si="342"/>
        <v>-2845</v>
      </c>
      <c r="AM655" s="8">
        <v>239246</v>
      </c>
      <c r="AN655" s="8">
        <f t="shared" si="343"/>
        <v>679</v>
      </c>
      <c r="AO655" s="8">
        <v>-111711</v>
      </c>
      <c r="AP655" s="8">
        <f t="shared" si="344"/>
        <v>-3524</v>
      </c>
      <c r="AR655" s="8">
        <v>1903441</v>
      </c>
      <c r="AS655" s="8">
        <f t="shared" si="345"/>
        <v>2472</v>
      </c>
      <c r="AT655" s="8">
        <v>293035</v>
      </c>
      <c r="AU655" s="8">
        <f t="shared" si="346"/>
        <v>15308</v>
      </c>
      <c r="AV655" s="8">
        <v>164858</v>
      </c>
      <c r="AW655" s="8">
        <f t="shared" si="347"/>
        <v>-14252</v>
      </c>
      <c r="AX655" s="8">
        <f t="shared" si="323"/>
        <v>128177</v>
      </c>
      <c r="AY655" s="8">
        <f t="shared" si="348"/>
        <v>29560</v>
      </c>
      <c r="AZ655" s="8">
        <v>810009</v>
      </c>
      <c r="BA655" s="8">
        <f t="shared" si="349"/>
        <v>-11942</v>
      </c>
      <c r="BB655" s="8">
        <v>986558</v>
      </c>
      <c r="BC655" s="8">
        <f t="shared" si="350"/>
        <v>12938</v>
      </c>
      <c r="BD655" s="8">
        <f t="shared" si="324"/>
        <v>-176549</v>
      </c>
      <c r="BE655" s="8">
        <f t="shared" si="351"/>
        <v>-24880</v>
      </c>
      <c r="BF655" s="8">
        <v>508612</v>
      </c>
      <c r="BG655" s="8">
        <f t="shared" si="352"/>
        <v>-14033</v>
      </c>
      <c r="BH655" s="8">
        <v>870426</v>
      </c>
      <c r="BI655" s="8">
        <f t="shared" si="353"/>
        <v>15012</v>
      </c>
      <c r="BJ655" s="8">
        <f t="shared" si="325"/>
        <v>-361814</v>
      </c>
      <c r="BK655" s="8">
        <f t="shared" si="326"/>
        <v>-29045</v>
      </c>
    </row>
    <row r="656" spans="1:63">
      <c r="A656" s="5">
        <f t="shared" si="320"/>
        <v>43459</v>
      </c>
      <c r="B656" s="8">
        <v>492960</v>
      </c>
      <c r="C656" s="8">
        <f t="shared" si="327"/>
        <v>-15166</v>
      </c>
      <c r="D656" s="8">
        <v>50515</v>
      </c>
      <c r="E656" s="8">
        <f t="shared" si="328"/>
        <v>-4646</v>
      </c>
      <c r="F656" s="8">
        <v>102017</v>
      </c>
      <c r="G656" s="8">
        <f t="shared" si="329"/>
        <v>-942</v>
      </c>
      <c r="H656" s="8">
        <v>-51502</v>
      </c>
      <c r="I656" s="8">
        <f t="shared" si="330"/>
        <v>-3704</v>
      </c>
      <c r="J656" s="8">
        <v>227129</v>
      </c>
      <c r="K656" s="8">
        <f t="shared" si="331"/>
        <v>1626</v>
      </c>
      <c r="L656" s="8">
        <v>221456</v>
      </c>
      <c r="M656" s="8">
        <f t="shared" si="332"/>
        <v>-2023</v>
      </c>
      <c r="N656" s="8">
        <v>5673</v>
      </c>
      <c r="O656" s="8">
        <f t="shared" si="333"/>
        <v>3649</v>
      </c>
      <c r="P656" s="8">
        <v>131373</v>
      </c>
      <c r="Q656" s="8">
        <f t="shared" si="334"/>
        <v>1910</v>
      </c>
      <c r="R656" s="8">
        <v>212598</v>
      </c>
      <c r="S656" s="8">
        <f t="shared" si="335"/>
        <v>-175</v>
      </c>
      <c r="T656" s="8">
        <v>-81225</v>
      </c>
      <c r="U656" s="8">
        <f t="shared" si="336"/>
        <v>2085</v>
      </c>
      <c r="W656" s="8">
        <v>462030</v>
      </c>
      <c r="X656" s="8">
        <f t="shared" si="337"/>
        <v>-8663</v>
      </c>
      <c r="Y656" s="8">
        <v>49258</v>
      </c>
      <c r="Z656" s="8">
        <f t="shared" si="338"/>
        <v>2160</v>
      </c>
      <c r="AA656" s="8">
        <v>49872</v>
      </c>
      <c r="AB656" s="8">
        <f t="shared" si="321"/>
        <v>-1642</v>
      </c>
      <c r="AC656" s="8">
        <v>-614</v>
      </c>
      <c r="AD656" s="8">
        <f t="shared" si="322"/>
        <v>3802</v>
      </c>
      <c r="AE656" s="8">
        <v>223630</v>
      </c>
      <c r="AF656" s="8">
        <f t="shared" si="339"/>
        <v>-5303</v>
      </c>
      <c r="AG656" s="8">
        <v>264670</v>
      </c>
      <c r="AH656" s="8">
        <f t="shared" si="340"/>
        <v>-2582</v>
      </c>
      <c r="AI656" s="8">
        <v>-41040</v>
      </c>
      <c r="AJ656" s="8">
        <f t="shared" si="341"/>
        <v>-2721</v>
      </c>
      <c r="AK656" s="8">
        <v>127744</v>
      </c>
      <c r="AL656" s="8">
        <f t="shared" si="342"/>
        <v>209</v>
      </c>
      <c r="AM656" s="8">
        <v>239474</v>
      </c>
      <c r="AN656" s="8">
        <f t="shared" si="343"/>
        <v>228</v>
      </c>
      <c r="AO656" s="8">
        <v>-111730</v>
      </c>
      <c r="AP656" s="8">
        <f t="shared" si="344"/>
        <v>-19</v>
      </c>
      <c r="AR656" s="8">
        <v>1856868</v>
      </c>
      <c r="AS656" s="8">
        <f t="shared" si="345"/>
        <v>-46573</v>
      </c>
      <c r="AT656" s="8">
        <v>271253</v>
      </c>
      <c r="AU656" s="8">
        <f t="shared" si="346"/>
        <v>-21782</v>
      </c>
      <c r="AV656" s="8">
        <v>173441</v>
      </c>
      <c r="AW656" s="8">
        <f t="shared" si="347"/>
        <v>8583</v>
      </c>
      <c r="AX656" s="8">
        <f t="shared" si="323"/>
        <v>97812</v>
      </c>
      <c r="AY656" s="8">
        <f t="shared" si="348"/>
        <v>-30365</v>
      </c>
      <c r="AZ656" s="8">
        <v>801211</v>
      </c>
      <c r="BA656" s="8">
        <f t="shared" si="349"/>
        <v>-8798</v>
      </c>
      <c r="BB656" s="8">
        <v>940663</v>
      </c>
      <c r="BC656" s="8">
        <f t="shared" si="350"/>
        <v>-45895</v>
      </c>
      <c r="BD656" s="8">
        <f t="shared" si="324"/>
        <v>-139452</v>
      </c>
      <c r="BE656" s="8">
        <f t="shared" si="351"/>
        <v>37097</v>
      </c>
      <c r="BF656" s="8">
        <v>500630</v>
      </c>
      <c r="BG656" s="8">
        <f t="shared" si="352"/>
        <v>-7982</v>
      </c>
      <c r="BH656" s="8">
        <v>820224</v>
      </c>
      <c r="BI656" s="8">
        <f t="shared" si="353"/>
        <v>-50202</v>
      </c>
      <c r="BJ656" s="8">
        <f t="shared" si="325"/>
        <v>-319594</v>
      </c>
      <c r="BK656" s="8">
        <f t="shared" si="326"/>
        <v>42220</v>
      </c>
    </row>
    <row r="657" spans="1:63">
      <c r="A657" s="5">
        <f t="shared" si="320"/>
        <v>43466</v>
      </c>
      <c r="B657" s="8">
        <v>497575</v>
      </c>
      <c r="C657" s="8">
        <f t="shared" si="327"/>
        <v>4615</v>
      </c>
      <c r="D657" s="8">
        <v>49288</v>
      </c>
      <c r="E657" s="8">
        <f t="shared" si="328"/>
        <v>-1227</v>
      </c>
      <c r="F657" s="8">
        <v>109360</v>
      </c>
      <c r="G657" s="8">
        <f t="shared" si="329"/>
        <v>7343</v>
      </c>
      <c r="H657" s="8">
        <v>-60072</v>
      </c>
      <c r="I657" s="8">
        <f t="shared" si="330"/>
        <v>-8570</v>
      </c>
      <c r="J657" s="8">
        <v>229142</v>
      </c>
      <c r="K657" s="8">
        <f t="shared" si="331"/>
        <v>2013</v>
      </c>
      <c r="L657" s="8">
        <v>220528</v>
      </c>
      <c r="M657" s="8">
        <f t="shared" si="332"/>
        <v>-928</v>
      </c>
      <c r="N657" s="8">
        <v>8614</v>
      </c>
      <c r="O657" s="8">
        <f t="shared" si="333"/>
        <v>2941</v>
      </c>
      <c r="P657" s="8">
        <v>132652</v>
      </c>
      <c r="Q657" s="8">
        <f t="shared" si="334"/>
        <v>1279</v>
      </c>
      <c r="R657" s="8">
        <v>213497</v>
      </c>
      <c r="S657" s="8">
        <f t="shared" si="335"/>
        <v>899</v>
      </c>
      <c r="T657" s="8">
        <v>-80845</v>
      </c>
      <c r="U657" s="8">
        <f t="shared" si="336"/>
        <v>380</v>
      </c>
      <c r="W657" s="8">
        <v>453318</v>
      </c>
      <c r="X657" s="8">
        <f t="shared" si="337"/>
        <v>-8712</v>
      </c>
      <c r="Y657" s="8">
        <v>48989</v>
      </c>
      <c r="Z657" s="8">
        <f t="shared" si="338"/>
        <v>-269</v>
      </c>
      <c r="AA657" s="8">
        <v>43486</v>
      </c>
      <c r="AB657" s="8">
        <f t="shared" si="321"/>
        <v>-6386</v>
      </c>
      <c r="AC657" s="8">
        <v>5503</v>
      </c>
      <c r="AD657" s="8">
        <f t="shared" si="322"/>
        <v>6117</v>
      </c>
      <c r="AE657" s="8">
        <v>214932</v>
      </c>
      <c r="AF657" s="8">
        <f t="shared" si="339"/>
        <v>-8698</v>
      </c>
      <c r="AG657" s="8">
        <v>262256</v>
      </c>
      <c r="AH657" s="8">
        <f t="shared" si="340"/>
        <v>-2414</v>
      </c>
      <c r="AI657" s="8">
        <v>-47324</v>
      </c>
      <c r="AJ657" s="8">
        <f t="shared" si="341"/>
        <v>-6284</v>
      </c>
      <c r="AK657" s="8">
        <v>120689</v>
      </c>
      <c r="AL657" s="8">
        <f t="shared" si="342"/>
        <v>-7055</v>
      </c>
      <c r="AM657" s="8">
        <v>237967</v>
      </c>
      <c r="AN657" s="8">
        <f t="shared" si="343"/>
        <v>-1507</v>
      </c>
      <c r="AO657" s="8">
        <v>-117278</v>
      </c>
      <c r="AP657" s="8">
        <f t="shared" si="344"/>
        <v>-5548</v>
      </c>
      <c r="AR657" s="8">
        <v>1880756</v>
      </c>
      <c r="AS657" s="8">
        <f t="shared" si="345"/>
        <v>23888</v>
      </c>
      <c r="AT657" s="8">
        <v>255007</v>
      </c>
      <c r="AU657" s="8">
        <f t="shared" si="346"/>
        <v>-16246</v>
      </c>
      <c r="AV657" s="8">
        <v>198941</v>
      </c>
      <c r="AW657" s="8">
        <f t="shared" si="347"/>
        <v>25500</v>
      </c>
      <c r="AX657" s="8">
        <f t="shared" si="323"/>
        <v>56066</v>
      </c>
      <c r="AY657" s="8">
        <f t="shared" si="348"/>
        <v>-41746</v>
      </c>
      <c r="AZ657" s="8">
        <v>812247</v>
      </c>
      <c r="BA657" s="8">
        <f t="shared" si="349"/>
        <v>11036</v>
      </c>
      <c r="BB657" s="8">
        <v>922659</v>
      </c>
      <c r="BC657" s="8">
        <f t="shared" si="350"/>
        <v>-18004</v>
      </c>
      <c r="BD657" s="8">
        <f t="shared" si="324"/>
        <v>-110412</v>
      </c>
      <c r="BE657" s="8">
        <f t="shared" si="351"/>
        <v>29040</v>
      </c>
      <c r="BF657" s="8">
        <v>509866</v>
      </c>
      <c r="BG657" s="8">
        <f t="shared" si="352"/>
        <v>9236</v>
      </c>
      <c r="BH657" s="8">
        <v>801965</v>
      </c>
      <c r="BI657" s="8">
        <f t="shared" si="353"/>
        <v>-18259</v>
      </c>
      <c r="BJ657" s="8">
        <f t="shared" si="325"/>
        <v>-292099</v>
      </c>
      <c r="BK657" s="8">
        <f t="shared" si="326"/>
        <v>27495</v>
      </c>
    </row>
    <row r="658" spans="1:63">
      <c r="A658" s="5">
        <f t="shared" si="320"/>
        <v>43473</v>
      </c>
      <c r="B658" s="8">
        <v>500053</v>
      </c>
      <c r="C658" s="8">
        <f t="shared" si="327"/>
        <v>2478</v>
      </c>
      <c r="D658" s="8">
        <v>49979</v>
      </c>
      <c r="E658" s="8">
        <f t="shared" si="328"/>
        <v>691</v>
      </c>
      <c r="F658" s="8">
        <v>100160</v>
      </c>
      <c r="G658" s="8">
        <f t="shared" si="329"/>
        <v>-9200</v>
      </c>
      <c r="H658" s="8">
        <v>-50181</v>
      </c>
      <c r="I658" s="8">
        <f t="shared" si="330"/>
        <v>9891</v>
      </c>
      <c r="J658" s="8">
        <v>222853</v>
      </c>
      <c r="K658" s="8">
        <f t="shared" si="331"/>
        <v>-6289</v>
      </c>
      <c r="L658" s="8">
        <v>226836</v>
      </c>
      <c r="M658" s="8">
        <f t="shared" si="332"/>
        <v>6308</v>
      </c>
      <c r="N658" s="8">
        <v>-3983</v>
      </c>
      <c r="O658" s="8">
        <f t="shared" si="333"/>
        <v>-12597</v>
      </c>
      <c r="P658" s="8">
        <v>119729</v>
      </c>
      <c r="Q658" s="8">
        <f t="shared" si="334"/>
        <v>-12923</v>
      </c>
      <c r="R658" s="8">
        <v>218962</v>
      </c>
      <c r="S658" s="8">
        <f t="shared" si="335"/>
        <v>5465</v>
      </c>
      <c r="T658" s="8">
        <v>-99233</v>
      </c>
      <c r="U658" s="8">
        <f t="shared" si="336"/>
        <v>-18388</v>
      </c>
      <c r="W658" s="8">
        <v>475402</v>
      </c>
      <c r="X658" s="8">
        <f t="shared" si="337"/>
        <v>22084</v>
      </c>
      <c r="Y658" s="8">
        <v>57247</v>
      </c>
      <c r="Z658" s="8">
        <f t="shared" si="338"/>
        <v>8258</v>
      </c>
      <c r="AA658" s="8">
        <v>31237</v>
      </c>
      <c r="AB658" s="8">
        <f t="shared" si="321"/>
        <v>-12249</v>
      </c>
      <c r="AC658" s="8">
        <v>26010</v>
      </c>
      <c r="AD658" s="8">
        <f t="shared" si="322"/>
        <v>20507</v>
      </c>
      <c r="AE658" s="8">
        <v>208909</v>
      </c>
      <c r="AF658" s="8">
        <f t="shared" si="339"/>
        <v>-6023</v>
      </c>
      <c r="AG658" s="8">
        <v>285419</v>
      </c>
      <c r="AH658" s="8">
        <f t="shared" si="340"/>
        <v>23163</v>
      </c>
      <c r="AI658" s="8">
        <v>-76510</v>
      </c>
      <c r="AJ658" s="8">
        <f t="shared" si="341"/>
        <v>-29186</v>
      </c>
      <c r="AK658" s="8">
        <v>111205</v>
      </c>
      <c r="AL658" s="8">
        <f t="shared" si="342"/>
        <v>-9484</v>
      </c>
      <c r="AM658" s="8">
        <v>261659</v>
      </c>
      <c r="AN658" s="8">
        <f t="shared" si="343"/>
        <v>23692</v>
      </c>
      <c r="AO658" s="8">
        <v>-150454</v>
      </c>
      <c r="AP658" s="8">
        <f t="shared" si="344"/>
        <v>-33176</v>
      </c>
      <c r="AR658" s="8">
        <v>1923679</v>
      </c>
      <c r="AS658" s="8">
        <f t="shared" si="345"/>
        <v>42923</v>
      </c>
      <c r="AT658" s="8">
        <v>265315</v>
      </c>
      <c r="AU658" s="8">
        <f t="shared" si="346"/>
        <v>10308</v>
      </c>
      <c r="AV658" s="8">
        <v>190121</v>
      </c>
      <c r="AW658" s="8">
        <f t="shared" si="347"/>
        <v>-8820</v>
      </c>
      <c r="AX658" s="8">
        <f t="shared" si="323"/>
        <v>75194</v>
      </c>
      <c r="AY658" s="8">
        <f t="shared" si="348"/>
        <v>19128</v>
      </c>
      <c r="AZ658" s="8">
        <v>792152</v>
      </c>
      <c r="BA658" s="8">
        <f t="shared" si="349"/>
        <v>-20095</v>
      </c>
      <c r="BB658" s="8">
        <v>926350</v>
      </c>
      <c r="BC658" s="8">
        <f t="shared" si="350"/>
        <v>3691</v>
      </c>
      <c r="BD658" s="8">
        <f t="shared" si="324"/>
        <v>-134198</v>
      </c>
      <c r="BE658" s="8">
        <f t="shared" si="351"/>
        <v>-23786</v>
      </c>
      <c r="BF658" s="8">
        <v>494637</v>
      </c>
      <c r="BG658" s="8">
        <f t="shared" si="352"/>
        <v>-15229</v>
      </c>
      <c r="BH658" s="8">
        <v>803796</v>
      </c>
      <c r="BI658" s="8">
        <f t="shared" si="353"/>
        <v>1831</v>
      </c>
      <c r="BJ658" s="8">
        <f t="shared" si="325"/>
        <v>-309159</v>
      </c>
      <c r="BK658" s="8">
        <f t="shared" si="326"/>
        <v>-17060</v>
      </c>
    </row>
    <row r="659" spans="1:63">
      <c r="A659" s="5">
        <f t="shared" si="320"/>
        <v>43480</v>
      </c>
      <c r="B659" s="8">
        <v>514594</v>
      </c>
      <c r="C659" s="8">
        <f t="shared" si="327"/>
        <v>14541</v>
      </c>
      <c r="D659" s="8">
        <v>53067</v>
      </c>
      <c r="E659" s="8">
        <f t="shared" si="328"/>
        <v>3088</v>
      </c>
      <c r="F659" s="8">
        <v>101229</v>
      </c>
      <c r="G659" s="8">
        <f t="shared" si="329"/>
        <v>1069</v>
      </c>
      <c r="H659" s="8">
        <v>-48162</v>
      </c>
      <c r="I659" s="8">
        <f t="shared" si="330"/>
        <v>2019</v>
      </c>
      <c r="J659" s="8">
        <v>224974</v>
      </c>
      <c r="K659" s="8">
        <f t="shared" si="331"/>
        <v>2121</v>
      </c>
      <c r="L659" s="8">
        <v>229742</v>
      </c>
      <c r="M659" s="8">
        <f t="shared" si="332"/>
        <v>2906</v>
      </c>
      <c r="N659" s="8">
        <v>-4768</v>
      </c>
      <c r="O659" s="8">
        <f t="shared" si="333"/>
        <v>-785</v>
      </c>
      <c r="P659" s="8">
        <v>115665</v>
      </c>
      <c r="Q659" s="8">
        <f t="shared" si="334"/>
        <v>-4064</v>
      </c>
      <c r="R659" s="8">
        <v>221594</v>
      </c>
      <c r="S659" s="8">
        <f t="shared" si="335"/>
        <v>2632</v>
      </c>
      <c r="T659" s="8">
        <v>-105929</v>
      </c>
      <c r="U659" s="8">
        <f t="shared" si="336"/>
        <v>-6696</v>
      </c>
      <c r="W659" s="8">
        <v>478760</v>
      </c>
      <c r="X659" s="8">
        <f t="shared" si="337"/>
        <v>3358</v>
      </c>
      <c r="Y659" s="8">
        <v>51214</v>
      </c>
      <c r="Z659" s="8">
        <f t="shared" si="338"/>
        <v>-6033</v>
      </c>
      <c r="AA659" s="8">
        <v>40456</v>
      </c>
      <c r="AB659" s="8">
        <f t="shared" si="321"/>
        <v>9219</v>
      </c>
      <c r="AC659" s="8">
        <v>10758</v>
      </c>
      <c r="AD659" s="8">
        <f t="shared" si="322"/>
        <v>-15252</v>
      </c>
      <c r="AE659" s="8">
        <v>218531</v>
      </c>
      <c r="AF659" s="8">
        <f t="shared" si="339"/>
        <v>9622</v>
      </c>
      <c r="AG659" s="8">
        <v>277362</v>
      </c>
      <c r="AH659" s="8">
        <f t="shared" si="340"/>
        <v>-8057</v>
      </c>
      <c r="AI659" s="8">
        <v>-58831</v>
      </c>
      <c r="AJ659" s="8">
        <f t="shared" si="341"/>
        <v>17679</v>
      </c>
      <c r="AK659" s="8">
        <v>116347</v>
      </c>
      <c r="AL659" s="8">
        <f t="shared" si="342"/>
        <v>5142</v>
      </c>
      <c r="AM659" s="8">
        <v>250728</v>
      </c>
      <c r="AN659" s="8">
        <f t="shared" si="343"/>
        <v>-10931</v>
      </c>
      <c r="AO659" s="8">
        <v>-134381</v>
      </c>
      <c r="AP659" s="8">
        <f t="shared" si="344"/>
        <v>16073</v>
      </c>
      <c r="AR659" s="8">
        <v>1958642</v>
      </c>
      <c r="AS659" s="8">
        <f t="shared" si="345"/>
        <v>34963</v>
      </c>
      <c r="AT659" s="8">
        <v>242736</v>
      </c>
      <c r="AU659" s="8">
        <f t="shared" si="346"/>
        <v>-22579</v>
      </c>
      <c r="AV659" s="8">
        <v>215277</v>
      </c>
      <c r="AW659" s="8">
        <f t="shared" si="347"/>
        <v>25156</v>
      </c>
      <c r="AX659" s="8">
        <f t="shared" si="323"/>
        <v>27459</v>
      </c>
      <c r="AY659" s="8">
        <f t="shared" si="348"/>
        <v>-47735</v>
      </c>
      <c r="AZ659" s="8">
        <v>810716</v>
      </c>
      <c r="BA659" s="8">
        <f t="shared" si="349"/>
        <v>18564</v>
      </c>
      <c r="BB659" s="8">
        <v>900735</v>
      </c>
      <c r="BC659" s="8">
        <f t="shared" si="350"/>
        <v>-25615</v>
      </c>
      <c r="BD659" s="8">
        <f t="shared" si="324"/>
        <v>-90019</v>
      </c>
      <c r="BE659" s="8">
        <f t="shared" si="351"/>
        <v>44179</v>
      </c>
      <c r="BF659" s="8">
        <v>524859</v>
      </c>
      <c r="BG659" s="8">
        <f t="shared" si="352"/>
        <v>30222</v>
      </c>
      <c r="BH659" s="8">
        <v>774637</v>
      </c>
      <c r="BI659" s="8">
        <f t="shared" si="353"/>
        <v>-29159</v>
      </c>
      <c r="BJ659" s="8">
        <f t="shared" si="325"/>
        <v>-249778</v>
      </c>
      <c r="BK659" s="8">
        <f t="shared" si="326"/>
        <v>59381</v>
      </c>
    </row>
    <row r="660" spans="1:63">
      <c r="A660" s="5">
        <f t="shared" si="320"/>
        <v>43487</v>
      </c>
      <c r="B660" s="8">
        <v>532892</v>
      </c>
      <c r="C660" s="8">
        <f t="shared" si="327"/>
        <v>18298</v>
      </c>
      <c r="D660" s="8">
        <v>57701</v>
      </c>
      <c r="E660" s="8">
        <f t="shared" si="328"/>
        <v>4634</v>
      </c>
      <c r="F660" s="8">
        <v>89067</v>
      </c>
      <c r="G660" s="8">
        <f t="shared" si="329"/>
        <v>-12162</v>
      </c>
      <c r="H660" s="8">
        <v>-31366</v>
      </c>
      <c r="I660" s="8">
        <f t="shared" si="330"/>
        <v>16796</v>
      </c>
      <c r="J660" s="8">
        <v>226287</v>
      </c>
      <c r="K660" s="8">
        <f t="shared" si="331"/>
        <v>1313</v>
      </c>
      <c r="L660" s="8">
        <v>250702</v>
      </c>
      <c r="M660" s="8">
        <f t="shared" si="332"/>
        <v>20960</v>
      </c>
      <c r="N660" s="8">
        <v>-24415</v>
      </c>
      <c r="O660" s="8">
        <f t="shared" si="333"/>
        <v>-19647</v>
      </c>
      <c r="P660" s="8">
        <v>111435</v>
      </c>
      <c r="Q660" s="8">
        <f t="shared" si="334"/>
        <v>-4230</v>
      </c>
      <c r="R660" s="8">
        <v>239846</v>
      </c>
      <c r="S660" s="8">
        <f t="shared" si="335"/>
        <v>18252</v>
      </c>
      <c r="T660" s="8">
        <v>-128411</v>
      </c>
      <c r="U660" s="8">
        <f t="shared" si="336"/>
        <v>-22482</v>
      </c>
      <c r="W660" s="8">
        <v>487546</v>
      </c>
      <c r="X660" s="8">
        <f t="shared" si="337"/>
        <v>8786</v>
      </c>
      <c r="Y660" s="8">
        <v>50162</v>
      </c>
      <c r="Z660" s="8">
        <f t="shared" si="338"/>
        <v>-1052</v>
      </c>
      <c r="AA660" s="8">
        <v>43270</v>
      </c>
      <c r="AB660" s="8">
        <f t="shared" si="321"/>
        <v>2814</v>
      </c>
      <c r="AC660" s="8">
        <v>6892</v>
      </c>
      <c r="AD660" s="8">
        <f t="shared" si="322"/>
        <v>-3866</v>
      </c>
      <c r="AE660" s="8">
        <v>219723</v>
      </c>
      <c r="AF660" s="8">
        <f t="shared" si="339"/>
        <v>1192</v>
      </c>
      <c r="AG660" s="8">
        <v>277011</v>
      </c>
      <c r="AH660" s="8">
        <f t="shared" si="340"/>
        <v>-351</v>
      </c>
      <c r="AI660" s="8">
        <v>-57288</v>
      </c>
      <c r="AJ660" s="8">
        <f t="shared" si="341"/>
        <v>1543</v>
      </c>
      <c r="AK660" s="8">
        <v>115493</v>
      </c>
      <c r="AL660" s="8">
        <f t="shared" si="342"/>
        <v>-854</v>
      </c>
      <c r="AM660" s="8">
        <v>247998</v>
      </c>
      <c r="AN660" s="8">
        <f t="shared" si="343"/>
        <v>-2730</v>
      </c>
      <c r="AO660" s="8">
        <v>-132505</v>
      </c>
      <c r="AP660" s="8">
        <f t="shared" si="344"/>
        <v>1876</v>
      </c>
      <c r="AR660" s="8">
        <v>1989188</v>
      </c>
      <c r="AS660" s="8">
        <f t="shared" si="345"/>
        <v>30546</v>
      </c>
      <c r="AT660" s="8">
        <v>240887</v>
      </c>
      <c r="AU660" s="8">
        <f t="shared" si="346"/>
        <v>-1849</v>
      </c>
      <c r="AV660" s="8">
        <v>196529</v>
      </c>
      <c r="AW660" s="8">
        <f t="shared" si="347"/>
        <v>-18748</v>
      </c>
      <c r="AX660" s="8">
        <f t="shared" si="323"/>
        <v>44358</v>
      </c>
      <c r="AY660" s="8">
        <f t="shared" si="348"/>
        <v>16899</v>
      </c>
      <c r="AZ660" s="8">
        <v>811174</v>
      </c>
      <c r="BA660" s="8">
        <f t="shared" si="349"/>
        <v>458</v>
      </c>
      <c r="BB660" s="8">
        <v>916127</v>
      </c>
      <c r="BC660" s="8">
        <f t="shared" si="350"/>
        <v>15392</v>
      </c>
      <c r="BD660" s="8">
        <f t="shared" si="324"/>
        <v>-104953</v>
      </c>
      <c r="BE660" s="8">
        <f t="shared" si="351"/>
        <v>-14934</v>
      </c>
      <c r="BF660" s="8">
        <v>520978</v>
      </c>
      <c r="BG660" s="8">
        <f t="shared" si="352"/>
        <v>-3881</v>
      </c>
      <c r="BH660" s="8">
        <v>796513</v>
      </c>
      <c r="BI660" s="8">
        <f t="shared" si="353"/>
        <v>21876</v>
      </c>
      <c r="BJ660" s="8">
        <f t="shared" si="325"/>
        <v>-275535</v>
      </c>
      <c r="BK660" s="8">
        <f t="shared" si="326"/>
        <v>-25757</v>
      </c>
    </row>
    <row r="661" spans="1:63">
      <c r="A661" s="5">
        <f t="shared" si="320"/>
        <v>43494</v>
      </c>
      <c r="B661" s="8">
        <v>526650</v>
      </c>
      <c r="C661" s="8">
        <f t="shared" si="327"/>
        <v>-6242</v>
      </c>
      <c r="D661" s="8">
        <v>69161</v>
      </c>
      <c r="E661" s="8">
        <f t="shared" si="328"/>
        <v>11460</v>
      </c>
      <c r="F661" s="8">
        <v>65967</v>
      </c>
      <c r="G661" s="8">
        <f t="shared" si="329"/>
        <v>-23100</v>
      </c>
      <c r="H661" s="8">
        <v>3194</v>
      </c>
      <c r="I661" s="8">
        <f t="shared" si="330"/>
        <v>34560</v>
      </c>
      <c r="J661" s="8">
        <v>215031</v>
      </c>
      <c r="K661" s="8">
        <f t="shared" si="331"/>
        <v>-11256</v>
      </c>
      <c r="L661" s="8">
        <v>271370</v>
      </c>
      <c r="M661" s="8">
        <f t="shared" si="332"/>
        <v>20668</v>
      </c>
      <c r="N661" s="8">
        <v>-56339</v>
      </c>
      <c r="O661" s="8">
        <f t="shared" si="333"/>
        <v>-31924</v>
      </c>
      <c r="P661" s="8">
        <v>99953</v>
      </c>
      <c r="Q661" s="8">
        <f t="shared" si="334"/>
        <v>-11482</v>
      </c>
      <c r="R661" s="8">
        <v>258138</v>
      </c>
      <c r="S661" s="8">
        <f t="shared" si="335"/>
        <v>18292</v>
      </c>
      <c r="T661" s="8">
        <v>-158185</v>
      </c>
      <c r="U661" s="8">
        <f t="shared" si="336"/>
        <v>-29774</v>
      </c>
      <c r="W661" s="8">
        <v>494047</v>
      </c>
      <c r="X661" s="8">
        <f t="shared" si="337"/>
        <v>6501</v>
      </c>
      <c r="Y661" s="8">
        <v>49281</v>
      </c>
      <c r="Z661" s="8">
        <f t="shared" si="338"/>
        <v>-881</v>
      </c>
      <c r="AA661" s="8">
        <v>48174</v>
      </c>
      <c r="AB661" s="8">
        <f t="shared" si="321"/>
        <v>4904</v>
      </c>
      <c r="AC661" s="8">
        <v>1107</v>
      </c>
      <c r="AD661" s="8">
        <f t="shared" si="322"/>
        <v>-5785</v>
      </c>
      <c r="AE661" s="8">
        <v>224354</v>
      </c>
      <c r="AF661" s="8">
        <f t="shared" si="339"/>
        <v>4631</v>
      </c>
      <c r="AG661" s="8">
        <v>273983</v>
      </c>
      <c r="AH661" s="8">
        <f t="shared" si="340"/>
        <v>-3028</v>
      </c>
      <c r="AI661" s="8">
        <v>-49629</v>
      </c>
      <c r="AJ661" s="8">
        <f t="shared" si="341"/>
        <v>7659</v>
      </c>
      <c r="AK661" s="8">
        <v>116057</v>
      </c>
      <c r="AL661" s="8">
        <f t="shared" si="342"/>
        <v>564</v>
      </c>
      <c r="AM661" s="8">
        <v>241801</v>
      </c>
      <c r="AN661" s="8">
        <f t="shared" si="343"/>
        <v>-6197</v>
      </c>
      <c r="AO661" s="8">
        <v>-125744</v>
      </c>
      <c r="AP661" s="8">
        <f t="shared" si="344"/>
        <v>6761</v>
      </c>
      <c r="AR661" s="8">
        <v>2018548</v>
      </c>
      <c r="AS661" s="8">
        <f t="shared" si="345"/>
        <v>29360</v>
      </c>
      <c r="AT661" s="8">
        <v>215859</v>
      </c>
      <c r="AU661" s="8">
        <f t="shared" si="346"/>
        <v>-25028</v>
      </c>
      <c r="AV661" s="8">
        <v>209598</v>
      </c>
      <c r="AW661" s="8">
        <f t="shared" si="347"/>
        <v>13069</v>
      </c>
      <c r="AX661" s="8">
        <f t="shared" si="323"/>
        <v>6261</v>
      </c>
      <c r="AY661" s="8">
        <f t="shared" si="348"/>
        <v>-38097</v>
      </c>
      <c r="AZ661" s="8">
        <v>838863</v>
      </c>
      <c r="BA661" s="8">
        <f t="shared" si="349"/>
        <v>27689</v>
      </c>
      <c r="BB661" s="8">
        <v>910517</v>
      </c>
      <c r="BC661" s="8">
        <f t="shared" si="350"/>
        <v>-5610</v>
      </c>
      <c r="BD661" s="8">
        <f t="shared" si="324"/>
        <v>-71654</v>
      </c>
      <c r="BE661" s="8">
        <f t="shared" si="351"/>
        <v>33299</v>
      </c>
      <c r="BF661" s="8">
        <v>535821</v>
      </c>
      <c r="BG661" s="8">
        <f t="shared" si="352"/>
        <v>14843</v>
      </c>
      <c r="BH661" s="8">
        <v>779258</v>
      </c>
      <c r="BI661" s="8">
        <f t="shared" si="353"/>
        <v>-17255</v>
      </c>
      <c r="BJ661" s="8">
        <f t="shared" si="325"/>
        <v>-243437</v>
      </c>
      <c r="BK661" s="8">
        <f t="shared" si="326"/>
        <v>32098</v>
      </c>
    </row>
    <row r="662" spans="1:63">
      <c r="A662" s="5">
        <f t="shared" si="320"/>
        <v>43501</v>
      </c>
      <c r="B662" s="8">
        <v>535293</v>
      </c>
      <c r="C662" s="8">
        <f t="shared" si="327"/>
        <v>8643</v>
      </c>
      <c r="D662" s="8">
        <v>79607</v>
      </c>
      <c r="E662" s="8">
        <f t="shared" si="328"/>
        <v>10446</v>
      </c>
      <c r="F662" s="8">
        <v>51047</v>
      </c>
      <c r="G662" s="8">
        <f t="shared" si="329"/>
        <v>-14920</v>
      </c>
      <c r="H662" s="8">
        <v>28560</v>
      </c>
      <c r="I662" s="8">
        <f t="shared" si="330"/>
        <v>25366</v>
      </c>
      <c r="J662" s="8">
        <v>217349</v>
      </c>
      <c r="K662" s="8">
        <f t="shared" si="331"/>
        <v>2318</v>
      </c>
      <c r="L662" s="8">
        <v>293574</v>
      </c>
      <c r="M662" s="8">
        <f t="shared" si="332"/>
        <v>22204</v>
      </c>
      <c r="N662" s="8">
        <v>-76225</v>
      </c>
      <c r="O662" s="8">
        <f t="shared" si="333"/>
        <v>-19886</v>
      </c>
      <c r="P662" s="8">
        <v>96860</v>
      </c>
      <c r="Q662" s="8">
        <f t="shared" si="334"/>
        <v>-3093</v>
      </c>
      <c r="R662" s="8">
        <v>276845</v>
      </c>
      <c r="S662" s="8">
        <f t="shared" si="335"/>
        <v>18707</v>
      </c>
      <c r="T662" s="8">
        <v>-179985</v>
      </c>
      <c r="U662" s="8">
        <f t="shared" si="336"/>
        <v>-21800</v>
      </c>
      <c r="W662" s="8">
        <v>499270</v>
      </c>
      <c r="X662" s="8">
        <f t="shared" si="337"/>
        <v>5223</v>
      </c>
      <c r="Y662" s="8">
        <v>43246</v>
      </c>
      <c r="Z662" s="8">
        <f t="shared" si="338"/>
        <v>-6035</v>
      </c>
      <c r="AA662" s="8">
        <v>57996</v>
      </c>
      <c r="AB662" s="8">
        <f t="shared" si="321"/>
        <v>9822</v>
      </c>
      <c r="AC662" s="8">
        <v>-14750</v>
      </c>
      <c r="AD662" s="8">
        <f t="shared" si="322"/>
        <v>-15857</v>
      </c>
      <c r="AE662" s="8">
        <v>227370</v>
      </c>
      <c r="AF662" s="8">
        <f t="shared" si="339"/>
        <v>3016</v>
      </c>
      <c r="AG662" s="8">
        <v>264760</v>
      </c>
      <c r="AH662" s="8">
        <f t="shared" si="340"/>
        <v>-9223</v>
      </c>
      <c r="AI662" s="8">
        <v>-37390</v>
      </c>
      <c r="AJ662" s="8">
        <f t="shared" si="341"/>
        <v>12239</v>
      </c>
      <c r="AK662" s="8">
        <v>124614</v>
      </c>
      <c r="AL662" s="8">
        <f t="shared" si="342"/>
        <v>8557</v>
      </c>
      <c r="AM662" s="8">
        <v>233667</v>
      </c>
      <c r="AN662" s="8">
        <f t="shared" si="343"/>
        <v>-8134</v>
      </c>
      <c r="AO662" s="8">
        <v>-109053</v>
      </c>
      <c r="AP662" s="8">
        <f t="shared" si="344"/>
        <v>16691</v>
      </c>
      <c r="AR662" s="8">
        <v>2070787</v>
      </c>
      <c r="AS662" s="8">
        <f t="shared" si="345"/>
        <v>52239</v>
      </c>
      <c r="AT662" s="8">
        <v>226093</v>
      </c>
      <c r="AU662" s="8">
        <f t="shared" si="346"/>
        <v>10234</v>
      </c>
      <c r="AV662" s="8">
        <v>211723</v>
      </c>
      <c r="AW662" s="8">
        <f t="shared" si="347"/>
        <v>2125</v>
      </c>
      <c r="AX662" s="8">
        <f t="shared" si="323"/>
        <v>14370</v>
      </c>
      <c r="AY662" s="8">
        <f t="shared" si="348"/>
        <v>8109</v>
      </c>
      <c r="AZ662" s="8">
        <v>842579</v>
      </c>
      <c r="BA662" s="8">
        <f t="shared" si="349"/>
        <v>3716</v>
      </c>
      <c r="BB662" s="8">
        <v>922903</v>
      </c>
      <c r="BC662" s="8">
        <f t="shared" si="350"/>
        <v>12386</v>
      </c>
      <c r="BD662" s="8">
        <f t="shared" si="324"/>
        <v>-80324</v>
      </c>
      <c r="BE662" s="8">
        <f t="shared" si="351"/>
        <v>-8670</v>
      </c>
      <c r="BF662" s="8">
        <v>539016</v>
      </c>
      <c r="BG662" s="8">
        <f t="shared" si="352"/>
        <v>3195</v>
      </c>
      <c r="BH662" s="8">
        <v>777002</v>
      </c>
      <c r="BI662" s="8">
        <f t="shared" si="353"/>
        <v>-2256</v>
      </c>
      <c r="BJ662" s="8">
        <f t="shared" si="325"/>
        <v>-237986</v>
      </c>
      <c r="BK662" s="8">
        <f t="shared" si="326"/>
        <v>5451</v>
      </c>
    </row>
    <row r="663" spans="1:63">
      <c r="A663" s="5">
        <f t="shared" si="320"/>
        <v>43508</v>
      </c>
      <c r="B663" s="8">
        <v>554377</v>
      </c>
      <c r="C663" s="8">
        <f t="shared" si="327"/>
        <v>19084</v>
      </c>
      <c r="D663" s="8">
        <v>83593</v>
      </c>
      <c r="E663" s="8">
        <f t="shared" si="328"/>
        <v>3986</v>
      </c>
      <c r="F663" s="8">
        <v>49134</v>
      </c>
      <c r="G663" s="8">
        <f t="shared" si="329"/>
        <v>-1913</v>
      </c>
      <c r="H663" s="8">
        <v>34459</v>
      </c>
      <c r="I663" s="8">
        <f t="shared" si="330"/>
        <v>5899</v>
      </c>
      <c r="J663" s="8">
        <v>220654</v>
      </c>
      <c r="K663" s="8">
        <f t="shared" si="331"/>
        <v>3305</v>
      </c>
      <c r="L663" s="8">
        <v>294615</v>
      </c>
      <c r="M663" s="8">
        <f t="shared" si="332"/>
        <v>1041</v>
      </c>
      <c r="N663" s="8">
        <v>-73961</v>
      </c>
      <c r="O663" s="8">
        <f t="shared" si="333"/>
        <v>2264</v>
      </c>
      <c r="P663" s="8">
        <v>98420</v>
      </c>
      <c r="Q663" s="8">
        <f t="shared" si="334"/>
        <v>1560</v>
      </c>
      <c r="R663" s="8">
        <v>276871</v>
      </c>
      <c r="S663" s="8">
        <f t="shared" si="335"/>
        <v>26</v>
      </c>
      <c r="T663" s="8">
        <v>-178451</v>
      </c>
      <c r="U663" s="8">
        <f t="shared" si="336"/>
        <v>1534</v>
      </c>
      <c r="W663" s="8">
        <v>498296</v>
      </c>
      <c r="X663" s="8">
        <f t="shared" si="337"/>
        <v>-974</v>
      </c>
      <c r="Y663" s="8">
        <v>41044</v>
      </c>
      <c r="Z663" s="8">
        <f t="shared" si="338"/>
        <v>-2202</v>
      </c>
      <c r="AA663" s="8">
        <v>70673</v>
      </c>
      <c r="AB663" s="8">
        <f t="shared" si="321"/>
        <v>12677</v>
      </c>
      <c r="AC663" s="8">
        <v>-29629</v>
      </c>
      <c r="AD663" s="8">
        <f t="shared" si="322"/>
        <v>-14879</v>
      </c>
      <c r="AE663" s="8">
        <v>229470</v>
      </c>
      <c r="AF663" s="8">
        <f t="shared" si="339"/>
        <v>2100</v>
      </c>
      <c r="AG663" s="8">
        <v>248352</v>
      </c>
      <c r="AH663" s="8">
        <f t="shared" si="340"/>
        <v>-16408</v>
      </c>
      <c r="AI663" s="8">
        <v>-18882</v>
      </c>
      <c r="AJ663" s="8">
        <f t="shared" si="341"/>
        <v>18508</v>
      </c>
      <c r="AK663" s="8">
        <v>133356</v>
      </c>
      <c r="AL663" s="8">
        <f t="shared" si="342"/>
        <v>8742</v>
      </c>
      <c r="AM663" s="8">
        <v>222136</v>
      </c>
      <c r="AN663" s="8">
        <f t="shared" si="343"/>
        <v>-11531</v>
      </c>
      <c r="AO663" s="8">
        <v>-88780</v>
      </c>
      <c r="AP663" s="8">
        <f t="shared" si="344"/>
        <v>20273</v>
      </c>
      <c r="AR663" s="8">
        <v>2104872</v>
      </c>
      <c r="AS663" s="8">
        <f t="shared" si="345"/>
        <v>34085</v>
      </c>
      <c r="AT663" s="8">
        <v>230451</v>
      </c>
      <c r="AU663" s="8">
        <f t="shared" si="346"/>
        <v>4358</v>
      </c>
      <c r="AV663" s="8">
        <v>245144</v>
      </c>
      <c r="AW663" s="8">
        <f t="shared" si="347"/>
        <v>33421</v>
      </c>
      <c r="AX663" s="8">
        <f t="shared" si="323"/>
        <v>-14693</v>
      </c>
      <c r="AY663" s="8">
        <f t="shared" si="348"/>
        <v>-29063</v>
      </c>
      <c r="AZ663" s="8">
        <v>892839</v>
      </c>
      <c r="BA663" s="8">
        <f t="shared" si="349"/>
        <v>50260</v>
      </c>
      <c r="BB663" s="8">
        <v>933878</v>
      </c>
      <c r="BC663" s="8">
        <f t="shared" si="350"/>
        <v>10975</v>
      </c>
      <c r="BD663" s="8">
        <f t="shared" si="324"/>
        <v>-41039</v>
      </c>
      <c r="BE663" s="8">
        <f t="shared" si="351"/>
        <v>39285</v>
      </c>
      <c r="BF663" s="8">
        <v>592523</v>
      </c>
      <c r="BG663" s="8">
        <f t="shared" si="352"/>
        <v>53507</v>
      </c>
      <c r="BH663" s="8">
        <v>783140</v>
      </c>
      <c r="BI663" s="8">
        <f t="shared" si="353"/>
        <v>6138</v>
      </c>
      <c r="BJ663" s="8">
        <f t="shared" si="325"/>
        <v>-190617</v>
      </c>
      <c r="BK663" s="8">
        <f t="shared" si="326"/>
        <v>47369</v>
      </c>
    </row>
    <row r="664" spans="1:63">
      <c r="A664" s="5">
        <f t="shared" si="320"/>
        <v>43515</v>
      </c>
      <c r="B664" s="8">
        <v>545501</v>
      </c>
      <c r="C664" s="8">
        <f t="shared" si="327"/>
        <v>-8876</v>
      </c>
      <c r="D664" s="8">
        <v>80405</v>
      </c>
      <c r="E664" s="8">
        <f t="shared" si="328"/>
        <v>-3188</v>
      </c>
      <c r="F664" s="8">
        <v>50538</v>
      </c>
      <c r="G664" s="8">
        <f t="shared" si="329"/>
        <v>1404</v>
      </c>
      <c r="H664" s="8">
        <v>29867</v>
      </c>
      <c r="I664" s="8">
        <f t="shared" si="330"/>
        <v>-4592</v>
      </c>
      <c r="J664" s="8">
        <v>227187</v>
      </c>
      <c r="K664" s="8">
        <f t="shared" si="331"/>
        <v>6533</v>
      </c>
      <c r="L664" s="8">
        <v>292211</v>
      </c>
      <c r="M664" s="8">
        <f t="shared" si="332"/>
        <v>-2404</v>
      </c>
      <c r="N664" s="8">
        <v>-65024</v>
      </c>
      <c r="O664" s="8">
        <f t="shared" si="333"/>
        <v>8937</v>
      </c>
      <c r="P664" s="8">
        <v>107248</v>
      </c>
      <c r="Q664" s="8">
        <f t="shared" si="334"/>
        <v>8828</v>
      </c>
      <c r="R664" s="8">
        <v>276981</v>
      </c>
      <c r="S664" s="8">
        <f t="shared" si="335"/>
        <v>110</v>
      </c>
      <c r="T664" s="8">
        <v>-169733</v>
      </c>
      <c r="U664" s="8">
        <f t="shared" si="336"/>
        <v>8718</v>
      </c>
      <c r="W664" s="8">
        <v>499100</v>
      </c>
      <c r="X664" s="8">
        <f t="shared" si="337"/>
        <v>804</v>
      </c>
      <c r="Y664" s="8">
        <v>42918</v>
      </c>
      <c r="Z664" s="8">
        <f t="shared" si="338"/>
        <v>1874</v>
      </c>
      <c r="AA664" s="8">
        <v>82877</v>
      </c>
      <c r="AB664" s="8">
        <f t="shared" si="321"/>
        <v>12204</v>
      </c>
      <c r="AC664" s="8">
        <v>-39959</v>
      </c>
      <c r="AD664" s="8">
        <f t="shared" si="322"/>
        <v>-10330</v>
      </c>
      <c r="AE664" s="8">
        <v>242754</v>
      </c>
      <c r="AF664" s="8">
        <f t="shared" si="339"/>
        <v>13284</v>
      </c>
      <c r="AG664" s="8">
        <v>243960</v>
      </c>
      <c r="AH664" s="8">
        <f t="shared" si="340"/>
        <v>-4392</v>
      </c>
      <c r="AI664" s="8">
        <v>-1206</v>
      </c>
      <c r="AJ664" s="8">
        <f t="shared" si="341"/>
        <v>17676</v>
      </c>
      <c r="AK664" s="8">
        <v>146954</v>
      </c>
      <c r="AL664" s="8">
        <f t="shared" si="342"/>
        <v>13598</v>
      </c>
      <c r="AM664" s="8">
        <v>218683</v>
      </c>
      <c r="AN664" s="8">
        <f t="shared" si="343"/>
        <v>-3453</v>
      </c>
      <c r="AO664" s="8">
        <v>-71729</v>
      </c>
      <c r="AP664" s="8">
        <f t="shared" si="344"/>
        <v>17051</v>
      </c>
      <c r="AR664" s="8">
        <v>2145138</v>
      </c>
      <c r="AS664" s="8">
        <f t="shared" si="345"/>
        <v>40266</v>
      </c>
      <c r="AT664" s="8">
        <v>211462</v>
      </c>
      <c r="AU664" s="8">
        <f t="shared" si="346"/>
        <v>-18989</v>
      </c>
      <c r="AV664" s="8">
        <v>297737</v>
      </c>
      <c r="AW664" s="8">
        <f t="shared" si="347"/>
        <v>52593</v>
      </c>
      <c r="AX664" s="8">
        <f t="shared" si="323"/>
        <v>-86275</v>
      </c>
      <c r="AY664" s="8">
        <f t="shared" si="348"/>
        <v>-71582</v>
      </c>
      <c r="AZ664" s="8">
        <v>933073</v>
      </c>
      <c r="BA664" s="8">
        <f t="shared" si="349"/>
        <v>40234</v>
      </c>
      <c r="BB664" s="8">
        <v>903929</v>
      </c>
      <c r="BC664" s="8">
        <f t="shared" si="350"/>
        <v>-29949</v>
      </c>
      <c r="BD664" s="8">
        <f t="shared" si="324"/>
        <v>29144</v>
      </c>
      <c r="BE664" s="8">
        <f t="shared" si="351"/>
        <v>70183</v>
      </c>
      <c r="BF664" s="8">
        <v>636551</v>
      </c>
      <c r="BG664" s="8">
        <f t="shared" si="352"/>
        <v>44028</v>
      </c>
      <c r="BH664" s="8">
        <v>766222</v>
      </c>
      <c r="BI664" s="8">
        <f t="shared" si="353"/>
        <v>-16918</v>
      </c>
      <c r="BJ664" s="8">
        <f t="shared" si="325"/>
        <v>-129671</v>
      </c>
      <c r="BK664" s="8">
        <f t="shared" si="326"/>
        <v>60946</v>
      </c>
    </row>
    <row r="665" spans="1:63">
      <c r="A665" s="5">
        <f t="shared" si="320"/>
        <v>43522</v>
      </c>
      <c r="B665" s="8">
        <v>511919</v>
      </c>
      <c r="C665" s="8">
        <f t="shared" si="327"/>
        <v>-33582</v>
      </c>
      <c r="D665" s="8">
        <v>75017</v>
      </c>
      <c r="E665" s="8">
        <f t="shared" si="328"/>
        <v>-5388</v>
      </c>
      <c r="F665" s="8">
        <v>51736</v>
      </c>
      <c r="G665" s="8">
        <f t="shared" si="329"/>
        <v>1198</v>
      </c>
      <c r="H665" s="8">
        <v>23281</v>
      </c>
      <c r="I665" s="8">
        <f t="shared" si="330"/>
        <v>-6586</v>
      </c>
      <c r="J665" s="8">
        <v>205652</v>
      </c>
      <c r="K665" s="8">
        <f t="shared" si="331"/>
        <v>-21535</v>
      </c>
      <c r="L665" s="8">
        <v>263027</v>
      </c>
      <c r="M665" s="8">
        <f t="shared" si="332"/>
        <v>-29184</v>
      </c>
      <c r="N665" s="8">
        <v>-57375</v>
      </c>
      <c r="O665" s="8">
        <f t="shared" si="333"/>
        <v>7649</v>
      </c>
      <c r="P665" s="8">
        <v>90956</v>
      </c>
      <c r="Q665" s="8">
        <f t="shared" si="334"/>
        <v>-16292</v>
      </c>
      <c r="R665" s="8">
        <v>250789</v>
      </c>
      <c r="S665" s="8">
        <f t="shared" si="335"/>
        <v>-26192</v>
      </c>
      <c r="T665" s="8">
        <v>-159833</v>
      </c>
      <c r="U665" s="8">
        <f t="shared" si="336"/>
        <v>9900</v>
      </c>
      <c r="W665" s="8">
        <v>475375</v>
      </c>
      <c r="X665" s="8">
        <f t="shared" si="337"/>
        <v>-23725</v>
      </c>
      <c r="Y665" s="8">
        <v>40228</v>
      </c>
      <c r="Z665" s="8">
        <f t="shared" si="338"/>
        <v>-2690</v>
      </c>
      <c r="AA665" s="8">
        <v>88844</v>
      </c>
      <c r="AB665" s="8">
        <f t="shared" si="321"/>
        <v>5967</v>
      </c>
      <c r="AC665" s="8">
        <v>-48616</v>
      </c>
      <c r="AD665" s="8">
        <f t="shared" si="322"/>
        <v>-8657</v>
      </c>
      <c r="AE665" s="8">
        <v>240427</v>
      </c>
      <c r="AF665" s="8">
        <f t="shared" si="339"/>
        <v>-2327</v>
      </c>
      <c r="AG665" s="8">
        <v>226823</v>
      </c>
      <c r="AH665" s="8">
        <f t="shared" si="340"/>
        <v>-17137</v>
      </c>
      <c r="AI665" s="8">
        <v>13604</v>
      </c>
      <c r="AJ665" s="8">
        <f t="shared" si="341"/>
        <v>14810</v>
      </c>
      <c r="AK665" s="8">
        <v>147347</v>
      </c>
      <c r="AL665" s="8">
        <f t="shared" si="342"/>
        <v>393</v>
      </c>
      <c r="AM665" s="8">
        <v>195214</v>
      </c>
      <c r="AN665" s="8">
        <f t="shared" si="343"/>
        <v>-23469</v>
      </c>
      <c r="AO665" s="8">
        <v>-47867</v>
      </c>
      <c r="AP665" s="8">
        <f t="shared" si="344"/>
        <v>23862</v>
      </c>
      <c r="AR665" s="8">
        <v>1973341</v>
      </c>
      <c r="AS665" s="8">
        <f t="shared" si="345"/>
        <v>-171797</v>
      </c>
      <c r="AT665" s="8">
        <v>224514</v>
      </c>
      <c r="AU665" s="8">
        <f t="shared" si="346"/>
        <v>13052</v>
      </c>
      <c r="AV665" s="8">
        <v>328973</v>
      </c>
      <c r="AW665" s="8">
        <f t="shared" si="347"/>
        <v>31236</v>
      </c>
      <c r="AX665" s="8">
        <f t="shared" si="323"/>
        <v>-104459</v>
      </c>
      <c r="AY665" s="8">
        <f t="shared" si="348"/>
        <v>-18184</v>
      </c>
      <c r="AZ665" s="8">
        <v>821183</v>
      </c>
      <c r="BA665" s="8">
        <f t="shared" si="349"/>
        <v>-111890</v>
      </c>
      <c r="BB665" s="8">
        <v>813108</v>
      </c>
      <c r="BC665" s="8">
        <f t="shared" si="350"/>
        <v>-90821</v>
      </c>
      <c r="BD665" s="8">
        <f t="shared" si="324"/>
        <v>8075</v>
      </c>
      <c r="BE665" s="8">
        <f t="shared" si="351"/>
        <v>-21069</v>
      </c>
      <c r="BF665" s="8">
        <v>563561</v>
      </c>
      <c r="BG665" s="8">
        <f t="shared" si="352"/>
        <v>-72990</v>
      </c>
      <c r="BH665" s="8">
        <v>715383</v>
      </c>
      <c r="BI665" s="8">
        <f t="shared" si="353"/>
        <v>-50839</v>
      </c>
      <c r="BJ665" s="8">
        <f t="shared" si="325"/>
        <v>-151822</v>
      </c>
      <c r="BK665" s="8">
        <f t="shared" si="326"/>
        <v>-22151</v>
      </c>
    </row>
    <row r="666" spans="1:63">
      <c r="A666" s="5">
        <f t="shared" si="320"/>
        <v>43529</v>
      </c>
      <c r="B666" s="8">
        <v>515328</v>
      </c>
      <c r="C666" s="8">
        <f t="shared" si="327"/>
        <v>3409</v>
      </c>
      <c r="D666" s="8">
        <v>73929</v>
      </c>
      <c r="E666" s="8">
        <f t="shared" si="328"/>
        <v>-1088</v>
      </c>
      <c r="F666" s="8">
        <v>52891</v>
      </c>
      <c r="G666" s="8">
        <f t="shared" si="329"/>
        <v>1155</v>
      </c>
      <c r="H666" s="8">
        <v>21038</v>
      </c>
      <c r="I666" s="8">
        <f t="shared" si="330"/>
        <v>-2243</v>
      </c>
      <c r="J666" s="8">
        <v>207140</v>
      </c>
      <c r="K666" s="8">
        <f t="shared" si="331"/>
        <v>1488</v>
      </c>
      <c r="L666" s="8">
        <v>259746</v>
      </c>
      <c r="M666" s="8">
        <f t="shared" si="332"/>
        <v>-3281</v>
      </c>
      <c r="N666" s="8">
        <v>-52606</v>
      </c>
      <c r="O666" s="8">
        <f t="shared" si="333"/>
        <v>4769</v>
      </c>
      <c r="P666" s="8">
        <v>93173</v>
      </c>
      <c r="Q666" s="8">
        <f t="shared" si="334"/>
        <v>2217</v>
      </c>
      <c r="R666" s="8">
        <v>244443</v>
      </c>
      <c r="S666" s="8">
        <f t="shared" si="335"/>
        <v>-6346</v>
      </c>
      <c r="T666" s="8">
        <v>-151270</v>
      </c>
      <c r="U666" s="8">
        <f t="shared" si="336"/>
        <v>8563</v>
      </c>
      <c r="W666" s="8">
        <v>472620</v>
      </c>
      <c r="X666" s="8">
        <f t="shared" si="337"/>
        <v>-2755</v>
      </c>
      <c r="Y666" s="8">
        <v>46122</v>
      </c>
      <c r="Z666" s="8">
        <f t="shared" si="338"/>
        <v>5894</v>
      </c>
      <c r="AA666" s="8">
        <v>88322</v>
      </c>
      <c r="AB666" s="8">
        <f t="shared" si="321"/>
        <v>-522</v>
      </c>
      <c r="AC666" s="8">
        <v>-42200</v>
      </c>
      <c r="AD666" s="8">
        <f t="shared" si="322"/>
        <v>6416</v>
      </c>
      <c r="AE666" s="8">
        <v>236324</v>
      </c>
      <c r="AF666" s="8">
        <f t="shared" si="339"/>
        <v>-4103</v>
      </c>
      <c r="AG666" s="8">
        <v>231306</v>
      </c>
      <c r="AH666" s="8">
        <f t="shared" si="340"/>
        <v>4483</v>
      </c>
      <c r="AI666" s="8">
        <v>5018</v>
      </c>
      <c r="AJ666" s="8">
        <f t="shared" si="341"/>
        <v>-8586</v>
      </c>
      <c r="AK666" s="8">
        <v>143071</v>
      </c>
      <c r="AL666" s="8">
        <f t="shared" si="342"/>
        <v>-4276</v>
      </c>
      <c r="AM666" s="8">
        <v>196327</v>
      </c>
      <c r="AN666" s="8">
        <f t="shared" si="343"/>
        <v>1113</v>
      </c>
      <c r="AO666" s="8">
        <v>-53256</v>
      </c>
      <c r="AP666" s="8">
        <f t="shared" si="344"/>
        <v>-5389</v>
      </c>
      <c r="AR666" s="8">
        <v>2011395</v>
      </c>
      <c r="AS666" s="8">
        <f t="shared" si="345"/>
        <v>38054</v>
      </c>
      <c r="AT666" s="8">
        <v>216988</v>
      </c>
      <c r="AU666" s="8">
        <f t="shared" si="346"/>
        <v>-7526</v>
      </c>
      <c r="AV666" s="8">
        <v>393765</v>
      </c>
      <c r="AW666" s="8">
        <f t="shared" si="347"/>
        <v>64792</v>
      </c>
      <c r="AX666" s="8">
        <f t="shared" si="323"/>
        <v>-176777</v>
      </c>
      <c r="AY666" s="8">
        <f t="shared" si="348"/>
        <v>-72318</v>
      </c>
      <c r="AZ666" s="8">
        <v>826686</v>
      </c>
      <c r="BA666" s="8">
        <f t="shared" si="349"/>
        <v>5503</v>
      </c>
      <c r="BB666" s="8">
        <v>752901</v>
      </c>
      <c r="BC666" s="8">
        <f t="shared" si="350"/>
        <v>-60207</v>
      </c>
      <c r="BD666" s="8">
        <f t="shared" si="324"/>
        <v>73785</v>
      </c>
      <c r="BE666" s="8">
        <f t="shared" si="351"/>
        <v>65710</v>
      </c>
      <c r="BF666" s="8">
        <v>572245</v>
      </c>
      <c r="BG666" s="8">
        <f t="shared" si="352"/>
        <v>8684</v>
      </c>
      <c r="BH666" s="8">
        <v>648994</v>
      </c>
      <c r="BI666" s="8">
        <f t="shared" si="353"/>
        <v>-66389</v>
      </c>
      <c r="BJ666" s="8">
        <f t="shared" si="325"/>
        <v>-76749</v>
      </c>
      <c r="BK666" s="8">
        <f t="shared" si="326"/>
        <v>75073</v>
      </c>
    </row>
    <row r="667" spans="1:63">
      <c r="A667" s="5">
        <f t="shared" si="320"/>
        <v>43536</v>
      </c>
      <c r="B667" s="8">
        <v>500032</v>
      </c>
      <c r="C667" s="8">
        <f t="shared" si="327"/>
        <v>-15296</v>
      </c>
      <c r="D667" s="8">
        <v>76288</v>
      </c>
      <c r="E667" s="8">
        <f t="shared" si="328"/>
        <v>2359</v>
      </c>
      <c r="F667" s="8">
        <v>57326</v>
      </c>
      <c r="G667" s="8">
        <f t="shared" si="329"/>
        <v>4435</v>
      </c>
      <c r="H667" s="8">
        <v>18962</v>
      </c>
      <c r="I667" s="8">
        <f t="shared" si="330"/>
        <v>-2076</v>
      </c>
      <c r="J667" s="8">
        <v>198564</v>
      </c>
      <c r="K667" s="8">
        <f t="shared" si="331"/>
        <v>-8576</v>
      </c>
      <c r="L667" s="8">
        <v>252469</v>
      </c>
      <c r="M667" s="8">
        <f t="shared" si="332"/>
        <v>-7277</v>
      </c>
      <c r="N667" s="8">
        <v>-53905</v>
      </c>
      <c r="O667" s="8">
        <f t="shared" si="333"/>
        <v>-1299</v>
      </c>
      <c r="P667" s="8">
        <v>86656</v>
      </c>
      <c r="Q667" s="8">
        <f t="shared" si="334"/>
        <v>-6517</v>
      </c>
      <c r="R667" s="8">
        <v>238269</v>
      </c>
      <c r="S667" s="8">
        <f t="shared" si="335"/>
        <v>-6174</v>
      </c>
      <c r="T667" s="8">
        <v>-151613</v>
      </c>
      <c r="U667" s="8">
        <f t="shared" si="336"/>
        <v>-343</v>
      </c>
      <c r="W667" s="8">
        <v>486153</v>
      </c>
      <c r="X667" s="8">
        <f t="shared" si="337"/>
        <v>13533</v>
      </c>
      <c r="Y667" s="8">
        <v>47197</v>
      </c>
      <c r="Z667" s="8">
        <f t="shared" si="338"/>
        <v>1075</v>
      </c>
      <c r="AA667" s="8">
        <v>91740</v>
      </c>
      <c r="AB667" s="8">
        <f t="shared" si="321"/>
        <v>3418</v>
      </c>
      <c r="AC667" s="8">
        <v>-44543</v>
      </c>
      <c r="AD667" s="8">
        <f t="shared" si="322"/>
        <v>-2343</v>
      </c>
      <c r="AE667" s="8">
        <v>244473</v>
      </c>
      <c r="AF667" s="8">
        <f t="shared" si="339"/>
        <v>8149</v>
      </c>
      <c r="AG667" s="8">
        <v>235070</v>
      </c>
      <c r="AH667" s="8">
        <f t="shared" si="340"/>
        <v>3764</v>
      </c>
      <c r="AI667" s="8">
        <v>9403</v>
      </c>
      <c r="AJ667" s="8">
        <f t="shared" si="341"/>
        <v>4385</v>
      </c>
      <c r="AK667" s="8">
        <v>149496</v>
      </c>
      <c r="AL667" s="8">
        <f t="shared" si="342"/>
        <v>6425</v>
      </c>
      <c r="AM667" s="8">
        <v>197954</v>
      </c>
      <c r="AN667" s="8">
        <f t="shared" si="343"/>
        <v>1627</v>
      </c>
      <c r="AO667" s="8">
        <v>-48458</v>
      </c>
      <c r="AP667" s="8">
        <f t="shared" si="344"/>
        <v>4798</v>
      </c>
      <c r="AR667" s="8">
        <v>2150365</v>
      </c>
      <c r="AS667" s="8">
        <f t="shared" si="345"/>
        <v>138970</v>
      </c>
      <c r="AT667" s="8">
        <v>204451</v>
      </c>
      <c r="AU667" s="8">
        <f t="shared" si="346"/>
        <v>-12537</v>
      </c>
      <c r="AV667" s="8">
        <v>462416</v>
      </c>
      <c r="AW667" s="8">
        <f t="shared" si="347"/>
        <v>68651</v>
      </c>
      <c r="AX667" s="8">
        <f t="shared" si="323"/>
        <v>-257965</v>
      </c>
      <c r="AY667" s="8">
        <f t="shared" si="348"/>
        <v>-81188</v>
      </c>
      <c r="AZ667" s="8">
        <v>878377</v>
      </c>
      <c r="BA667" s="8">
        <f t="shared" si="349"/>
        <v>51691</v>
      </c>
      <c r="BB667" s="8">
        <v>743341</v>
      </c>
      <c r="BC667" s="8">
        <f t="shared" si="350"/>
        <v>-9560</v>
      </c>
      <c r="BD667" s="8">
        <f t="shared" si="324"/>
        <v>135036</v>
      </c>
      <c r="BE667" s="8">
        <f t="shared" si="351"/>
        <v>61251</v>
      </c>
      <c r="BF667" s="8">
        <v>621079</v>
      </c>
      <c r="BG667" s="8">
        <f t="shared" si="352"/>
        <v>48834</v>
      </c>
      <c r="BH667" s="8">
        <v>631692</v>
      </c>
      <c r="BI667" s="8">
        <f t="shared" si="353"/>
        <v>-17302</v>
      </c>
      <c r="BJ667" s="8">
        <f t="shared" si="325"/>
        <v>-10613</v>
      </c>
      <c r="BK667" s="8">
        <f t="shared" si="326"/>
        <v>66136</v>
      </c>
    </row>
    <row r="668" spans="1:63">
      <c r="A668" s="5">
        <f t="shared" si="320"/>
        <v>43543</v>
      </c>
      <c r="B668" s="8">
        <v>510093</v>
      </c>
      <c r="C668" s="8">
        <f t="shared" si="327"/>
        <v>10061</v>
      </c>
      <c r="D668" s="8">
        <v>73898</v>
      </c>
      <c r="E668" s="8">
        <f t="shared" si="328"/>
        <v>-2390</v>
      </c>
      <c r="F668" s="8">
        <v>63522</v>
      </c>
      <c r="G668" s="8">
        <f t="shared" si="329"/>
        <v>6196</v>
      </c>
      <c r="H668" s="8">
        <v>10376</v>
      </c>
      <c r="I668" s="8">
        <f t="shared" si="330"/>
        <v>-8586</v>
      </c>
      <c r="J668" s="8">
        <v>212121</v>
      </c>
      <c r="K668" s="8">
        <f t="shared" si="331"/>
        <v>13557</v>
      </c>
      <c r="L668" s="8">
        <v>244077</v>
      </c>
      <c r="M668" s="8">
        <f t="shared" si="332"/>
        <v>-8392</v>
      </c>
      <c r="N668" s="8">
        <v>-31956</v>
      </c>
      <c r="O668" s="8">
        <f t="shared" si="333"/>
        <v>21949</v>
      </c>
      <c r="P668" s="8">
        <v>97169</v>
      </c>
      <c r="Q668" s="8">
        <f t="shared" si="334"/>
        <v>10513</v>
      </c>
      <c r="R668" s="8">
        <v>229579</v>
      </c>
      <c r="S668" s="8">
        <f t="shared" si="335"/>
        <v>-8690</v>
      </c>
      <c r="T668" s="8">
        <v>-132410</v>
      </c>
      <c r="U668" s="8">
        <f t="shared" si="336"/>
        <v>19203</v>
      </c>
      <c r="W668" s="8">
        <v>484657</v>
      </c>
      <c r="X668" s="8">
        <f t="shared" si="337"/>
        <v>-1496</v>
      </c>
      <c r="Y668" s="8">
        <v>48850</v>
      </c>
      <c r="Z668" s="8">
        <f t="shared" si="338"/>
        <v>1653</v>
      </c>
      <c r="AA668" s="8">
        <v>78695</v>
      </c>
      <c r="AB668" s="8">
        <f t="shared" si="321"/>
        <v>-13045</v>
      </c>
      <c r="AC668" s="8">
        <v>-29845</v>
      </c>
      <c r="AD668" s="8">
        <f t="shared" si="322"/>
        <v>14698</v>
      </c>
      <c r="AE668" s="8">
        <v>237998</v>
      </c>
      <c r="AF668" s="8">
        <f t="shared" si="339"/>
        <v>-6475</v>
      </c>
      <c r="AG668" s="8">
        <v>247662</v>
      </c>
      <c r="AH668" s="8">
        <f t="shared" si="340"/>
        <v>12592</v>
      </c>
      <c r="AI668" s="8">
        <v>-9664</v>
      </c>
      <c r="AJ668" s="8">
        <f t="shared" si="341"/>
        <v>-19067</v>
      </c>
      <c r="AK668" s="8">
        <v>145046</v>
      </c>
      <c r="AL668" s="8">
        <f t="shared" si="342"/>
        <v>-4450</v>
      </c>
      <c r="AM668" s="8">
        <v>211585</v>
      </c>
      <c r="AN668" s="8">
        <f t="shared" si="343"/>
        <v>13631</v>
      </c>
      <c r="AO668" s="8">
        <v>-66539</v>
      </c>
      <c r="AP668" s="8">
        <f t="shared" si="344"/>
        <v>-18081</v>
      </c>
      <c r="AR668" s="8">
        <v>2223346</v>
      </c>
      <c r="AS668" s="8">
        <f t="shared" si="345"/>
        <v>72981</v>
      </c>
      <c r="AT668" s="8">
        <v>199328</v>
      </c>
      <c r="AU668" s="8">
        <f t="shared" si="346"/>
        <v>-5123</v>
      </c>
      <c r="AV668" s="8">
        <v>460654</v>
      </c>
      <c r="AW668" s="8">
        <f t="shared" si="347"/>
        <v>-1762</v>
      </c>
      <c r="AX668" s="8">
        <f t="shared" si="323"/>
        <v>-261326</v>
      </c>
      <c r="AY668" s="8">
        <f t="shared" si="348"/>
        <v>-3361</v>
      </c>
      <c r="AZ668" s="8">
        <v>906904</v>
      </c>
      <c r="BA668" s="8">
        <f t="shared" si="349"/>
        <v>28527</v>
      </c>
      <c r="BB668" s="8">
        <v>779121</v>
      </c>
      <c r="BC668" s="8">
        <f t="shared" si="350"/>
        <v>35780</v>
      </c>
      <c r="BD668" s="8">
        <f t="shared" si="324"/>
        <v>127783</v>
      </c>
      <c r="BE668" s="8">
        <f t="shared" si="351"/>
        <v>-7253</v>
      </c>
      <c r="BF668" s="8">
        <v>642398</v>
      </c>
      <c r="BG668" s="8">
        <f t="shared" si="352"/>
        <v>21319</v>
      </c>
      <c r="BH668" s="8">
        <v>648218</v>
      </c>
      <c r="BI668" s="8">
        <f t="shared" si="353"/>
        <v>16526</v>
      </c>
      <c r="BJ668" s="8">
        <f t="shared" si="325"/>
        <v>-5820</v>
      </c>
      <c r="BK668" s="8">
        <f t="shared" si="326"/>
        <v>4793</v>
      </c>
    </row>
    <row r="669" spans="1:63">
      <c r="A669" s="5">
        <f t="shared" si="320"/>
        <v>43550</v>
      </c>
      <c r="B669" s="8">
        <v>512043</v>
      </c>
      <c r="C669" s="8">
        <f t="shared" si="327"/>
        <v>1950</v>
      </c>
      <c r="D669" s="8">
        <v>69677</v>
      </c>
      <c r="E669" s="8">
        <f t="shared" si="328"/>
        <v>-4221</v>
      </c>
      <c r="F669" s="8">
        <v>77997</v>
      </c>
      <c r="G669" s="8">
        <f t="shared" si="329"/>
        <v>14475</v>
      </c>
      <c r="H669" s="8">
        <v>-8320</v>
      </c>
      <c r="I669" s="8">
        <f t="shared" si="330"/>
        <v>-18696</v>
      </c>
      <c r="J669" s="8">
        <v>216668</v>
      </c>
      <c r="K669" s="8">
        <f t="shared" si="331"/>
        <v>4547</v>
      </c>
      <c r="L669" s="8">
        <v>231741</v>
      </c>
      <c r="M669" s="8">
        <f t="shared" si="332"/>
        <v>-12336</v>
      </c>
      <c r="N669" s="8">
        <v>-15073</v>
      </c>
      <c r="O669" s="8">
        <f t="shared" si="333"/>
        <v>16883</v>
      </c>
      <c r="P669" s="8">
        <v>106632</v>
      </c>
      <c r="Q669" s="8">
        <f t="shared" si="334"/>
        <v>9463</v>
      </c>
      <c r="R669" s="8">
        <v>217842</v>
      </c>
      <c r="S669" s="8">
        <f t="shared" si="335"/>
        <v>-11737</v>
      </c>
      <c r="T669" s="8">
        <v>-111210</v>
      </c>
      <c r="U669" s="8">
        <f t="shared" si="336"/>
        <v>21200</v>
      </c>
      <c r="W669" s="8">
        <v>488264</v>
      </c>
      <c r="X669" s="8">
        <f t="shared" si="337"/>
        <v>3607</v>
      </c>
      <c r="Y669" s="8">
        <v>53447</v>
      </c>
      <c r="Z669" s="8">
        <f t="shared" si="338"/>
        <v>4597</v>
      </c>
      <c r="AA669" s="8">
        <v>65510</v>
      </c>
      <c r="AB669" s="8">
        <f t="shared" si="321"/>
        <v>-13185</v>
      </c>
      <c r="AC669" s="8">
        <v>-12063</v>
      </c>
      <c r="AD669" s="8">
        <f t="shared" si="322"/>
        <v>17782</v>
      </c>
      <c r="AE669" s="8">
        <v>233414</v>
      </c>
      <c r="AF669" s="8">
        <f t="shared" si="339"/>
        <v>-4584</v>
      </c>
      <c r="AG669" s="8">
        <v>262960</v>
      </c>
      <c r="AH669" s="8">
        <f t="shared" si="340"/>
        <v>15298</v>
      </c>
      <c r="AI669" s="8">
        <v>-29546</v>
      </c>
      <c r="AJ669" s="8">
        <f t="shared" si="341"/>
        <v>-19882</v>
      </c>
      <c r="AK669" s="8">
        <v>140260</v>
      </c>
      <c r="AL669" s="8">
        <f t="shared" si="342"/>
        <v>-4786</v>
      </c>
      <c r="AM669" s="8">
        <v>227435</v>
      </c>
      <c r="AN669" s="8">
        <f t="shared" si="343"/>
        <v>15850</v>
      </c>
      <c r="AO669" s="8">
        <v>-87175</v>
      </c>
      <c r="AP669" s="8">
        <f t="shared" si="344"/>
        <v>-20636</v>
      </c>
      <c r="AR669" s="8">
        <v>2202441</v>
      </c>
      <c r="AS669" s="8">
        <f t="shared" si="345"/>
        <v>-20905</v>
      </c>
      <c r="AT669" s="8">
        <v>201979</v>
      </c>
      <c r="AU669" s="8">
        <f t="shared" si="346"/>
        <v>2651</v>
      </c>
      <c r="AV669" s="8">
        <v>405393</v>
      </c>
      <c r="AW669" s="8">
        <f t="shared" si="347"/>
        <v>-55261</v>
      </c>
      <c r="AX669" s="8">
        <f t="shared" si="323"/>
        <v>-203414</v>
      </c>
      <c r="AY669" s="8">
        <f t="shared" si="348"/>
        <v>57912</v>
      </c>
      <c r="AZ669" s="8">
        <v>890589</v>
      </c>
      <c r="BA669" s="8">
        <f t="shared" si="349"/>
        <v>-16315</v>
      </c>
      <c r="BB669" s="8">
        <v>830593</v>
      </c>
      <c r="BC669" s="8">
        <f t="shared" si="350"/>
        <v>51472</v>
      </c>
      <c r="BD669" s="8">
        <f t="shared" si="324"/>
        <v>59996</v>
      </c>
      <c r="BE669" s="8">
        <f t="shared" si="351"/>
        <v>-67787</v>
      </c>
      <c r="BF669" s="8">
        <v>619441</v>
      </c>
      <c r="BG669" s="8">
        <f t="shared" si="352"/>
        <v>-22957</v>
      </c>
      <c r="BH669" s="8">
        <v>690849</v>
      </c>
      <c r="BI669" s="8">
        <f t="shared" si="353"/>
        <v>42631</v>
      </c>
      <c r="BJ669" s="8">
        <f t="shared" si="325"/>
        <v>-71408</v>
      </c>
      <c r="BK669" s="8">
        <f t="shared" si="326"/>
        <v>-65588</v>
      </c>
    </row>
    <row r="670" spans="1:63">
      <c r="A670" s="5">
        <f>A669+7</f>
        <v>43557</v>
      </c>
      <c r="B670" s="8">
        <v>511357</v>
      </c>
      <c r="C670" s="8">
        <f t="shared" si="327"/>
        <v>-686</v>
      </c>
      <c r="D670" s="8">
        <v>64012</v>
      </c>
      <c r="E670" s="8">
        <f t="shared" si="328"/>
        <v>-5665</v>
      </c>
      <c r="F670" s="8">
        <v>90973</v>
      </c>
      <c r="G670" s="8">
        <f t="shared" si="329"/>
        <v>12976</v>
      </c>
      <c r="H670" s="8">
        <v>-26961</v>
      </c>
      <c r="I670" s="8">
        <f t="shared" si="330"/>
        <v>-18641</v>
      </c>
      <c r="J670" s="8">
        <v>228757</v>
      </c>
      <c r="K670" s="8">
        <f t="shared" si="331"/>
        <v>12089</v>
      </c>
      <c r="L670" s="8">
        <v>225087</v>
      </c>
      <c r="M670" s="8">
        <f t="shared" si="332"/>
        <v>-6654</v>
      </c>
      <c r="N670" s="8">
        <v>3670</v>
      </c>
      <c r="O670" s="8">
        <f t="shared" si="333"/>
        <v>18743</v>
      </c>
      <c r="P670" s="8">
        <v>121091</v>
      </c>
      <c r="Q670" s="8">
        <f t="shared" si="334"/>
        <v>14459</v>
      </c>
      <c r="R670" s="8">
        <v>207654</v>
      </c>
      <c r="S670" s="8">
        <f t="shared" si="335"/>
        <v>-10188</v>
      </c>
      <c r="T670" s="8">
        <v>-86563</v>
      </c>
      <c r="U670" s="8">
        <f t="shared" si="336"/>
        <v>24647</v>
      </c>
      <c r="W670" s="8">
        <v>486026</v>
      </c>
      <c r="X670" s="8">
        <f t="shared" si="337"/>
        <v>-2238</v>
      </c>
      <c r="Y670" s="8">
        <v>51436</v>
      </c>
      <c r="Z670" s="8">
        <f t="shared" si="338"/>
        <v>-2011</v>
      </c>
      <c r="AA670" s="8">
        <v>63853</v>
      </c>
      <c r="AB670" s="8">
        <f t="shared" si="321"/>
        <v>-1657</v>
      </c>
      <c r="AC670" s="8">
        <v>-12417</v>
      </c>
      <c r="AD670" s="8">
        <f t="shared" si="322"/>
        <v>-354</v>
      </c>
      <c r="AE670" s="8">
        <v>237290</v>
      </c>
      <c r="AF670" s="8">
        <f t="shared" si="339"/>
        <v>3876</v>
      </c>
      <c r="AG670" s="8">
        <v>253942</v>
      </c>
      <c r="AH670" s="8">
        <f t="shared" si="340"/>
        <v>-9018</v>
      </c>
      <c r="AI670" s="8">
        <v>-16652</v>
      </c>
      <c r="AJ670" s="8">
        <f t="shared" si="341"/>
        <v>12894</v>
      </c>
      <c r="AK670" s="8">
        <v>141446</v>
      </c>
      <c r="AL670" s="8">
        <f t="shared" si="342"/>
        <v>1186</v>
      </c>
      <c r="AM670" s="8">
        <v>216680</v>
      </c>
      <c r="AN670" s="8">
        <f t="shared" si="343"/>
        <v>-10755</v>
      </c>
      <c r="AO670" s="8">
        <v>-75234</v>
      </c>
      <c r="AP670" s="8">
        <f t="shared" si="344"/>
        <v>11941</v>
      </c>
      <c r="AR670" s="8">
        <v>2217004</v>
      </c>
      <c r="AS670" s="8">
        <f t="shared" si="345"/>
        <v>14563</v>
      </c>
      <c r="AT670" s="8">
        <v>184886</v>
      </c>
      <c r="AU670" s="8">
        <f t="shared" si="346"/>
        <v>-17093</v>
      </c>
      <c r="AV670" s="8">
        <v>431621</v>
      </c>
      <c r="AW670" s="8">
        <f t="shared" si="347"/>
        <v>26228</v>
      </c>
      <c r="AX670" s="8">
        <f t="shared" si="323"/>
        <v>-246735</v>
      </c>
      <c r="AY670" s="8">
        <f t="shared" si="348"/>
        <v>-43321</v>
      </c>
      <c r="AZ670" s="8">
        <v>918776</v>
      </c>
      <c r="BA670" s="8">
        <f t="shared" si="349"/>
        <v>28187</v>
      </c>
      <c r="BB670" s="8">
        <v>810235</v>
      </c>
      <c r="BC670" s="8">
        <f t="shared" si="350"/>
        <v>-20358</v>
      </c>
      <c r="BD670" s="8">
        <f t="shared" si="324"/>
        <v>108541</v>
      </c>
      <c r="BE670" s="8">
        <f t="shared" si="351"/>
        <v>48545</v>
      </c>
      <c r="BF670" s="8">
        <v>637511</v>
      </c>
      <c r="BG670" s="8">
        <f t="shared" si="352"/>
        <v>18070</v>
      </c>
      <c r="BH670" s="8">
        <v>663865</v>
      </c>
      <c r="BI670" s="8">
        <f t="shared" si="353"/>
        <v>-26984</v>
      </c>
      <c r="BJ670" s="8">
        <f t="shared" si="325"/>
        <v>-26354</v>
      </c>
      <c r="BK670" s="8">
        <f t="shared" si="326"/>
        <v>45054</v>
      </c>
    </row>
    <row r="671" spans="1:63">
      <c r="A671" s="5">
        <f t="shared" si="320"/>
        <v>43564</v>
      </c>
      <c r="B671" s="8">
        <v>511702</v>
      </c>
      <c r="C671" s="8">
        <f t="shared" si="327"/>
        <v>345</v>
      </c>
      <c r="D671" s="8">
        <v>67566</v>
      </c>
      <c r="E671" s="8">
        <f t="shared" si="328"/>
        <v>3554</v>
      </c>
      <c r="F671" s="8">
        <v>99175</v>
      </c>
      <c r="G671" s="8">
        <f t="shared" si="329"/>
        <v>8202</v>
      </c>
      <c r="H671" s="8">
        <v>-31609</v>
      </c>
      <c r="I671" s="8">
        <f t="shared" si="330"/>
        <v>-4648</v>
      </c>
      <c r="J671" s="8">
        <v>225820</v>
      </c>
      <c r="K671" s="8">
        <f t="shared" si="331"/>
        <v>-2937</v>
      </c>
      <c r="L671" s="8">
        <v>222610</v>
      </c>
      <c r="M671" s="8">
        <f t="shared" si="332"/>
        <v>-2477</v>
      </c>
      <c r="N671" s="8">
        <v>3210</v>
      </c>
      <c r="O671" s="8">
        <f t="shared" si="333"/>
        <v>-460</v>
      </c>
      <c r="P671" s="8">
        <v>124054</v>
      </c>
      <c r="Q671" s="8">
        <f t="shared" si="334"/>
        <v>2963</v>
      </c>
      <c r="R671" s="8">
        <v>208659</v>
      </c>
      <c r="S671" s="8">
        <f t="shared" si="335"/>
        <v>1005</v>
      </c>
      <c r="T671" s="8">
        <v>-84605</v>
      </c>
      <c r="U671" s="8">
        <f t="shared" si="336"/>
        <v>1958</v>
      </c>
      <c r="W671" s="8">
        <v>477077</v>
      </c>
      <c r="X671" s="8">
        <f t="shared" si="337"/>
        <v>-8949</v>
      </c>
      <c r="Y671" s="8">
        <v>52597</v>
      </c>
      <c r="Z671" s="8">
        <f t="shared" si="338"/>
        <v>1161</v>
      </c>
      <c r="AA671" s="8">
        <v>61212</v>
      </c>
      <c r="AB671" s="8">
        <f t="shared" si="321"/>
        <v>-2641</v>
      </c>
      <c r="AC671" s="8">
        <v>-8615</v>
      </c>
      <c r="AD671" s="8">
        <f t="shared" si="322"/>
        <v>3802</v>
      </c>
      <c r="AE671" s="8">
        <v>220932</v>
      </c>
      <c r="AF671" s="8">
        <f t="shared" si="339"/>
        <v>-16358</v>
      </c>
      <c r="AG671" s="8">
        <v>244149</v>
      </c>
      <c r="AH671" s="8">
        <f t="shared" si="340"/>
        <v>-9793</v>
      </c>
      <c r="AI671" s="8">
        <v>-23217</v>
      </c>
      <c r="AJ671" s="8">
        <f t="shared" si="341"/>
        <v>-6565</v>
      </c>
      <c r="AK671" s="8">
        <v>135146</v>
      </c>
      <c r="AL671" s="8">
        <f t="shared" si="342"/>
        <v>-6300</v>
      </c>
      <c r="AM671" s="8">
        <v>216278</v>
      </c>
      <c r="AN671" s="8">
        <f t="shared" si="343"/>
        <v>-402</v>
      </c>
      <c r="AO671" s="8">
        <v>-81132</v>
      </c>
      <c r="AP671" s="8">
        <f t="shared" si="344"/>
        <v>-5898</v>
      </c>
      <c r="AR671" s="8">
        <v>2165129</v>
      </c>
      <c r="AS671" s="8">
        <f t="shared" si="345"/>
        <v>-51875</v>
      </c>
      <c r="AT671" s="8">
        <v>181710</v>
      </c>
      <c r="AU671" s="8">
        <f t="shared" si="346"/>
        <v>-3176</v>
      </c>
      <c r="AV671" s="8">
        <v>453456</v>
      </c>
      <c r="AW671" s="8">
        <f t="shared" si="347"/>
        <v>21835</v>
      </c>
      <c r="AX671" s="8">
        <f t="shared" si="323"/>
        <v>-271746</v>
      </c>
      <c r="AY671" s="8">
        <f t="shared" si="348"/>
        <v>-25011</v>
      </c>
      <c r="AZ671" s="8">
        <v>912024</v>
      </c>
      <c r="BA671" s="8">
        <f t="shared" si="349"/>
        <v>-6752</v>
      </c>
      <c r="BB671" s="8">
        <v>771967</v>
      </c>
      <c r="BC671" s="8">
        <f t="shared" si="350"/>
        <v>-38268</v>
      </c>
      <c r="BD671" s="8">
        <f t="shared" si="324"/>
        <v>140057</v>
      </c>
      <c r="BE671" s="8">
        <f t="shared" si="351"/>
        <v>31516</v>
      </c>
      <c r="BF671" s="8">
        <v>666417</v>
      </c>
      <c r="BG671" s="8">
        <f t="shared" si="352"/>
        <v>28906</v>
      </c>
      <c r="BH671" s="8">
        <v>663981</v>
      </c>
      <c r="BI671" s="8">
        <f t="shared" si="353"/>
        <v>116</v>
      </c>
      <c r="BJ671" s="8">
        <f t="shared" si="325"/>
        <v>2436</v>
      </c>
      <c r="BK671" s="8">
        <f t="shared" si="326"/>
        <v>28790</v>
      </c>
    </row>
    <row r="672" spans="1:63">
      <c r="A672" s="5">
        <f t="shared" si="320"/>
        <v>43571</v>
      </c>
      <c r="B672" s="8">
        <v>505393</v>
      </c>
      <c r="C672" s="8">
        <f t="shared" si="327"/>
        <v>-6309</v>
      </c>
      <c r="D672" s="8">
        <v>66470</v>
      </c>
      <c r="E672" s="8">
        <f t="shared" si="328"/>
        <v>-1096</v>
      </c>
      <c r="F672" s="8">
        <v>100390</v>
      </c>
      <c r="G672" s="8">
        <f t="shared" si="329"/>
        <v>1215</v>
      </c>
      <c r="H672" s="8">
        <v>-33920</v>
      </c>
      <c r="I672" s="8">
        <f t="shared" si="330"/>
        <v>-2311</v>
      </c>
      <c r="J672" s="8">
        <v>235756</v>
      </c>
      <c r="K672" s="8">
        <f t="shared" si="331"/>
        <v>9936</v>
      </c>
      <c r="L672" s="8">
        <v>225608</v>
      </c>
      <c r="M672" s="8">
        <f t="shared" si="332"/>
        <v>2998</v>
      </c>
      <c r="N672" s="8">
        <v>10148</v>
      </c>
      <c r="O672" s="8">
        <f t="shared" si="333"/>
        <v>6938</v>
      </c>
      <c r="P672" s="8">
        <v>131278</v>
      </c>
      <c r="Q672" s="8">
        <f t="shared" si="334"/>
        <v>7224</v>
      </c>
      <c r="R672" s="8">
        <v>212473</v>
      </c>
      <c r="S672" s="8">
        <f t="shared" si="335"/>
        <v>3814</v>
      </c>
      <c r="T672" s="8">
        <v>-81195</v>
      </c>
      <c r="U672" s="8">
        <f t="shared" si="336"/>
        <v>3410</v>
      </c>
      <c r="W672" s="8">
        <v>477608</v>
      </c>
      <c r="X672" s="8">
        <f t="shared" si="337"/>
        <v>531</v>
      </c>
      <c r="Y672" s="8">
        <v>53363</v>
      </c>
      <c r="Z672" s="8">
        <f t="shared" si="338"/>
        <v>766</v>
      </c>
      <c r="AA672" s="8">
        <v>64897</v>
      </c>
      <c r="AB672" s="8">
        <f t="shared" si="321"/>
        <v>3685</v>
      </c>
      <c r="AC672" s="8">
        <v>-11534</v>
      </c>
      <c r="AD672" s="8">
        <f t="shared" si="322"/>
        <v>-2919</v>
      </c>
      <c r="AE672" s="8">
        <v>225855</v>
      </c>
      <c r="AF672" s="8">
        <f t="shared" si="339"/>
        <v>4923</v>
      </c>
      <c r="AG672" s="8">
        <v>245894</v>
      </c>
      <c r="AH672" s="8">
        <f t="shared" si="340"/>
        <v>1745</v>
      </c>
      <c r="AI672" s="8">
        <v>-20039</v>
      </c>
      <c r="AJ672" s="8">
        <f t="shared" si="341"/>
        <v>3178</v>
      </c>
      <c r="AK672" s="8">
        <v>136165</v>
      </c>
      <c r="AL672" s="8">
        <f t="shared" si="342"/>
        <v>1019</v>
      </c>
      <c r="AM672" s="8">
        <v>216482</v>
      </c>
      <c r="AN672" s="8">
        <f t="shared" si="343"/>
        <v>204</v>
      </c>
      <c r="AO672" s="8">
        <v>-80317</v>
      </c>
      <c r="AP672" s="8">
        <f t="shared" si="344"/>
        <v>815</v>
      </c>
      <c r="AR672" s="8">
        <v>2233832</v>
      </c>
      <c r="AS672" s="8">
        <f t="shared" si="345"/>
        <v>68703</v>
      </c>
      <c r="AT672" s="8">
        <v>184184</v>
      </c>
      <c r="AU672" s="8">
        <f t="shared" si="346"/>
        <v>2474</v>
      </c>
      <c r="AV672" s="8">
        <v>491713</v>
      </c>
      <c r="AW672" s="8">
        <f t="shared" si="347"/>
        <v>38257</v>
      </c>
      <c r="AX672" s="8">
        <f t="shared" si="323"/>
        <v>-307529</v>
      </c>
      <c r="AY672" s="8">
        <f t="shared" si="348"/>
        <v>-35783</v>
      </c>
      <c r="AZ672" s="8">
        <v>948922</v>
      </c>
      <c r="BA672" s="8">
        <f t="shared" si="349"/>
        <v>36898</v>
      </c>
      <c r="BB672" s="8">
        <v>782446</v>
      </c>
      <c r="BC672" s="8">
        <f t="shared" si="350"/>
        <v>10479</v>
      </c>
      <c r="BD672" s="8">
        <f t="shared" si="324"/>
        <v>166476</v>
      </c>
      <c r="BE672" s="8">
        <f t="shared" si="351"/>
        <v>26419</v>
      </c>
      <c r="BF672" s="8">
        <v>696868</v>
      </c>
      <c r="BG672" s="8">
        <f t="shared" si="352"/>
        <v>30451</v>
      </c>
      <c r="BH672" s="8">
        <v>668859</v>
      </c>
      <c r="BI672" s="8">
        <f t="shared" si="353"/>
        <v>4878</v>
      </c>
      <c r="BJ672" s="8">
        <f t="shared" si="325"/>
        <v>28009</v>
      </c>
      <c r="BK672" s="8">
        <f t="shared" si="326"/>
        <v>25573</v>
      </c>
    </row>
    <row r="673" spans="1:63">
      <c r="A673" s="5">
        <f t="shared" si="320"/>
        <v>43578</v>
      </c>
      <c r="B673" s="8">
        <v>522949</v>
      </c>
      <c r="C673" s="8">
        <f t="shared" si="327"/>
        <v>17556</v>
      </c>
      <c r="D673" s="8">
        <v>63856</v>
      </c>
      <c r="E673" s="8">
        <f t="shared" si="328"/>
        <v>-2614</v>
      </c>
      <c r="F673" s="8">
        <v>114493</v>
      </c>
      <c r="G673" s="8">
        <f t="shared" si="329"/>
        <v>14103</v>
      </c>
      <c r="H673" s="8">
        <v>-50637</v>
      </c>
      <c r="I673" s="8">
        <f t="shared" si="330"/>
        <v>-16717</v>
      </c>
      <c r="J673" s="8">
        <v>243479</v>
      </c>
      <c r="K673" s="8">
        <f t="shared" si="331"/>
        <v>7723</v>
      </c>
      <c r="L673" s="8">
        <v>220727</v>
      </c>
      <c r="M673" s="8">
        <f t="shared" si="332"/>
        <v>-4881</v>
      </c>
      <c r="N673" s="8">
        <v>22752</v>
      </c>
      <c r="O673" s="8">
        <f t="shared" si="333"/>
        <v>12604</v>
      </c>
      <c r="P673" s="8">
        <v>139434</v>
      </c>
      <c r="Q673" s="8">
        <f t="shared" si="334"/>
        <v>8156</v>
      </c>
      <c r="R673" s="8">
        <v>208390</v>
      </c>
      <c r="S673" s="8">
        <f t="shared" si="335"/>
        <v>-4083</v>
      </c>
      <c r="T673" s="8">
        <v>-68956</v>
      </c>
      <c r="U673" s="8">
        <f t="shared" si="336"/>
        <v>12239</v>
      </c>
      <c r="W673" s="8">
        <v>482766</v>
      </c>
      <c r="X673" s="8">
        <f t="shared" si="337"/>
        <v>5158</v>
      </c>
      <c r="Y673" s="8">
        <v>54853</v>
      </c>
      <c r="Z673" s="8">
        <f t="shared" si="338"/>
        <v>1490</v>
      </c>
      <c r="AA673" s="8">
        <v>74282</v>
      </c>
      <c r="AB673" s="8">
        <f t="shared" si="321"/>
        <v>9385</v>
      </c>
      <c r="AC673" s="8">
        <v>-19429</v>
      </c>
      <c r="AD673" s="8">
        <f t="shared" si="322"/>
        <v>-7895</v>
      </c>
      <c r="AE673" s="8">
        <v>228812</v>
      </c>
      <c r="AF673" s="8">
        <f t="shared" si="339"/>
        <v>2957</v>
      </c>
      <c r="AG673" s="8">
        <v>244563</v>
      </c>
      <c r="AH673" s="8">
        <f t="shared" si="340"/>
        <v>-1331</v>
      </c>
      <c r="AI673" s="8">
        <v>-15751</v>
      </c>
      <c r="AJ673" s="8">
        <f t="shared" si="341"/>
        <v>4288</v>
      </c>
      <c r="AK673" s="8">
        <v>139459</v>
      </c>
      <c r="AL673" s="8">
        <f t="shared" si="342"/>
        <v>3294</v>
      </c>
      <c r="AM673" s="8">
        <v>215224</v>
      </c>
      <c r="AN673" s="8">
        <f t="shared" si="343"/>
        <v>-1258</v>
      </c>
      <c r="AO673" s="8">
        <v>-75765</v>
      </c>
      <c r="AP673" s="8">
        <f t="shared" si="344"/>
        <v>4552</v>
      </c>
      <c r="AR673" s="8">
        <v>2294839</v>
      </c>
      <c r="AS673" s="8">
        <f t="shared" si="345"/>
        <v>61007</v>
      </c>
      <c r="AT673" s="8">
        <v>184240</v>
      </c>
      <c r="AU673" s="8">
        <f t="shared" si="346"/>
        <v>56</v>
      </c>
      <c r="AV673" s="8">
        <v>506455</v>
      </c>
      <c r="AW673" s="8">
        <f t="shared" si="347"/>
        <v>14742</v>
      </c>
      <c r="AX673" s="8">
        <f t="shared" si="323"/>
        <v>-322215</v>
      </c>
      <c r="AY673" s="8">
        <f t="shared" si="348"/>
        <v>-14686</v>
      </c>
      <c r="AZ673" s="8">
        <v>991199</v>
      </c>
      <c r="BA673" s="8">
        <f t="shared" si="349"/>
        <v>42277</v>
      </c>
      <c r="BB673" s="8">
        <v>801094</v>
      </c>
      <c r="BC673" s="8">
        <f t="shared" si="350"/>
        <v>18648</v>
      </c>
      <c r="BD673" s="8">
        <f t="shared" si="324"/>
        <v>190105</v>
      </c>
      <c r="BE673" s="8">
        <f t="shared" si="351"/>
        <v>23629</v>
      </c>
      <c r="BF673" s="8">
        <v>730832</v>
      </c>
      <c r="BG673" s="8">
        <f t="shared" si="352"/>
        <v>33964</v>
      </c>
      <c r="BH673" s="8">
        <v>683735</v>
      </c>
      <c r="BI673" s="8">
        <f t="shared" si="353"/>
        <v>14876</v>
      </c>
      <c r="BJ673" s="8">
        <f t="shared" si="325"/>
        <v>47097</v>
      </c>
      <c r="BK673" s="8">
        <f t="shared" si="326"/>
        <v>19088</v>
      </c>
    </row>
    <row r="674" spans="1:63">
      <c r="A674" s="5">
        <f t="shared" si="320"/>
        <v>43585</v>
      </c>
      <c r="B674" s="8">
        <v>509696</v>
      </c>
      <c r="C674" s="8">
        <f t="shared" si="327"/>
        <v>-13253</v>
      </c>
      <c r="D674" s="8">
        <v>64716</v>
      </c>
      <c r="E674" s="8">
        <f t="shared" si="328"/>
        <v>860</v>
      </c>
      <c r="F674" s="8">
        <v>122788</v>
      </c>
      <c r="G674" s="8">
        <f t="shared" si="329"/>
        <v>8295</v>
      </c>
      <c r="H674" s="8">
        <v>-58072</v>
      </c>
      <c r="I674" s="8">
        <f t="shared" si="330"/>
        <v>-7435</v>
      </c>
      <c r="J674" s="8">
        <v>241994</v>
      </c>
      <c r="K674" s="8">
        <f t="shared" si="331"/>
        <v>-1485</v>
      </c>
      <c r="L674" s="8">
        <v>210171</v>
      </c>
      <c r="M674" s="8">
        <f t="shared" si="332"/>
        <v>-10556</v>
      </c>
      <c r="N674" s="8">
        <v>31823</v>
      </c>
      <c r="O674" s="8">
        <f t="shared" si="333"/>
        <v>9071</v>
      </c>
      <c r="P674" s="8">
        <v>138272</v>
      </c>
      <c r="Q674" s="8">
        <f t="shared" si="334"/>
        <v>-1162</v>
      </c>
      <c r="R674" s="8">
        <v>195005</v>
      </c>
      <c r="S674" s="8">
        <f t="shared" si="335"/>
        <v>-13385</v>
      </c>
      <c r="T674" s="8">
        <v>-56733</v>
      </c>
      <c r="U674" s="8">
        <f t="shared" si="336"/>
        <v>12223</v>
      </c>
      <c r="W674" s="8">
        <v>491543</v>
      </c>
      <c r="X674" s="8">
        <f t="shared" si="337"/>
        <v>8777</v>
      </c>
      <c r="Y674" s="8">
        <v>56255</v>
      </c>
      <c r="Z674" s="8">
        <f t="shared" si="338"/>
        <v>1402</v>
      </c>
      <c r="AA674" s="8">
        <v>71854</v>
      </c>
      <c r="AB674" s="8">
        <f t="shared" si="321"/>
        <v>-2428</v>
      </c>
      <c r="AC674" s="8">
        <v>-15599</v>
      </c>
      <c r="AD674" s="8">
        <f t="shared" si="322"/>
        <v>3830</v>
      </c>
      <c r="AE674" s="8">
        <v>232782</v>
      </c>
      <c r="AF674" s="8">
        <f t="shared" si="339"/>
        <v>3970</v>
      </c>
      <c r="AG674" s="8">
        <v>251804</v>
      </c>
      <c r="AH674" s="8">
        <f t="shared" si="340"/>
        <v>7241</v>
      </c>
      <c r="AI674" s="8">
        <v>-19022</v>
      </c>
      <c r="AJ674" s="8">
        <f t="shared" si="341"/>
        <v>-3271</v>
      </c>
      <c r="AK674" s="8">
        <v>141922</v>
      </c>
      <c r="AL674" s="8">
        <f t="shared" si="342"/>
        <v>2463</v>
      </c>
      <c r="AM674" s="8">
        <v>224851</v>
      </c>
      <c r="AN674" s="8">
        <f t="shared" si="343"/>
        <v>9627</v>
      </c>
      <c r="AO674" s="8">
        <v>-82929</v>
      </c>
      <c r="AP674" s="8">
        <f t="shared" si="344"/>
        <v>-7164</v>
      </c>
      <c r="AR674" s="8">
        <v>2025935</v>
      </c>
      <c r="AS674" s="8">
        <f t="shared" si="345"/>
        <v>-268904</v>
      </c>
      <c r="AT674" s="8">
        <v>193669</v>
      </c>
      <c r="AU674" s="8">
        <f t="shared" si="346"/>
        <v>9429</v>
      </c>
      <c r="AV674" s="8">
        <v>500368</v>
      </c>
      <c r="AW674" s="8">
        <f t="shared" si="347"/>
        <v>-6087</v>
      </c>
      <c r="AX674" s="8">
        <f t="shared" si="323"/>
        <v>-306699</v>
      </c>
      <c r="AY674" s="8">
        <f t="shared" si="348"/>
        <v>15516</v>
      </c>
      <c r="AZ674" s="8">
        <v>850183</v>
      </c>
      <c r="BA674" s="8">
        <f t="shared" si="349"/>
        <v>-141016</v>
      </c>
      <c r="BB674" s="8">
        <v>678860</v>
      </c>
      <c r="BC674" s="8">
        <f t="shared" si="350"/>
        <v>-122234</v>
      </c>
      <c r="BD674" s="8">
        <f t="shared" si="324"/>
        <v>171323</v>
      </c>
      <c r="BE674" s="8">
        <f t="shared" si="351"/>
        <v>-18782</v>
      </c>
      <c r="BF674" s="8">
        <v>590149</v>
      </c>
      <c r="BG674" s="8">
        <f t="shared" si="352"/>
        <v>-140683</v>
      </c>
      <c r="BH674" s="8">
        <v>577622</v>
      </c>
      <c r="BI674" s="8">
        <f t="shared" si="353"/>
        <v>-106113</v>
      </c>
      <c r="BJ674" s="8">
        <f t="shared" si="325"/>
        <v>12527</v>
      </c>
      <c r="BK674" s="8">
        <f t="shared" si="326"/>
        <v>-34570</v>
      </c>
    </row>
    <row r="675" spans="1:63">
      <c r="A675" s="5">
        <f t="shared" si="320"/>
        <v>43592</v>
      </c>
      <c r="B675" s="8">
        <v>536990</v>
      </c>
      <c r="C675" s="8">
        <f t="shared" si="327"/>
        <v>27294</v>
      </c>
      <c r="D675" s="8">
        <v>64509</v>
      </c>
      <c r="E675" s="8">
        <f t="shared" si="328"/>
        <v>-207</v>
      </c>
      <c r="F675" s="8">
        <v>135359</v>
      </c>
      <c r="G675" s="8">
        <f t="shared" si="329"/>
        <v>12571</v>
      </c>
      <c r="H675" s="8">
        <v>-70850</v>
      </c>
      <c r="I675" s="8">
        <f t="shared" si="330"/>
        <v>-12778</v>
      </c>
      <c r="J675" s="8">
        <v>252705</v>
      </c>
      <c r="K675" s="8">
        <f t="shared" si="331"/>
        <v>10711</v>
      </c>
      <c r="L675" s="8">
        <v>211228</v>
      </c>
      <c r="M675" s="8">
        <f t="shared" si="332"/>
        <v>1057</v>
      </c>
      <c r="N675" s="8">
        <v>41477</v>
      </c>
      <c r="O675" s="8">
        <f t="shared" si="333"/>
        <v>9654</v>
      </c>
      <c r="P675" s="8">
        <v>145232</v>
      </c>
      <c r="Q675" s="8">
        <f t="shared" si="334"/>
        <v>6960</v>
      </c>
      <c r="R675" s="8">
        <v>196389</v>
      </c>
      <c r="S675" s="8">
        <f t="shared" si="335"/>
        <v>1384</v>
      </c>
      <c r="T675" s="8">
        <v>-51157</v>
      </c>
      <c r="U675" s="8">
        <f t="shared" si="336"/>
        <v>5576</v>
      </c>
      <c r="W675" s="8">
        <v>515579</v>
      </c>
      <c r="X675" s="8">
        <f t="shared" si="337"/>
        <v>24036</v>
      </c>
      <c r="Y675" s="8">
        <v>54484</v>
      </c>
      <c r="Z675" s="8">
        <f t="shared" si="338"/>
        <v>-1771</v>
      </c>
      <c r="AA675" s="8">
        <v>87619</v>
      </c>
      <c r="AB675" s="8">
        <f t="shared" si="321"/>
        <v>15765</v>
      </c>
      <c r="AC675" s="8">
        <v>-33135</v>
      </c>
      <c r="AD675" s="8">
        <f t="shared" si="322"/>
        <v>-17536</v>
      </c>
      <c r="AE675" s="8">
        <v>250326</v>
      </c>
      <c r="AF675" s="8">
        <f t="shared" si="339"/>
        <v>17544</v>
      </c>
      <c r="AG675" s="8">
        <v>246744</v>
      </c>
      <c r="AH675" s="8">
        <f t="shared" si="340"/>
        <v>-5060</v>
      </c>
      <c r="AI675" s="8">
        <v>3582</v>
      </c>
      <c r="AJ675" s="8">
        <f t="shared" si="341"/>
        <v>22604</v>
      </c>
      <c r="AK675" s="8">
        <v>157622</v>
      </c>
      <c r="AL675" s="8">
        <f t="shared" si="342"/>
        <v>15700</v>
      </c>
      <c r="AM675" s="8">
        <v>217492</v>
      </c>
      <c r="AN675" s="8">
        <f t="shared" si="343"/>
        <v>-7359</v>
      </c>
      <c r="AO675" s="8">
        <v>-59870</v>
      </c>
      <c r="AP675" s="8">
        <f t="shared" si="344"/>
        <v>23059</v>
      </c>
      <c r="AR675" s="8">
        <v>2033686</v>
      </c>
      <c r="AS675" s="8">
        <f t="shared" si="345"/>
        <v>7751</v>
      </c>
      <c r="AT675" s="8">
        <v>199907</v>
      </c>
      <c r="AU675" s="8">
        <f t="shared" si="346"/>
        <v>6238</v>
      </c>
      <c r="AV675" s="8">
        <v>482234</v>
      </c>
      <c r="AW675" s="8">
        <f t="shared" si="347"/>
        <v>-18134</v>
      </c>
      <c r="AX675" s="8">
        <f t="shared" si="323"/>
        <v>-282327</v>
      </c>
      <c r="AY675" s="8">
        <f t="shared" si="348"/>
        <v>24372</v>
      </c>
      <c r="AZ675" s="8">
        <v>832850</v>
      </c>
      <c r="BA675" s="8">
        <f t="shared" si="349"/>
        <v>-17333</v>
      </c>
      <c r="BB675" s="8">
        <v>692317</v>
      </c>
      <c r="BC675" s="8">
        <f t="shared" si="350"/>
        <v>13457</v>
      </c>
      <c r="BD675" s="8">
        <f t="shared" si="324"/>
        <v>140533</v>
      </c>
      <c r="BE675" s="8">
        <f t="shared" si="351"/>
        <v>-30790</v>
      </c>
      <c r="BF675" s="8">
        <v>566962</v>
      </c>
      <c r="BG675" s="8">
        <f t="shared" si="352"/>
        <v>-23187</v>
      </c>
      <c r="BH675" s="8">
        <v>583302</v>
      </c>
      <c r="BI675" s="8">
        <f t="shared" si="353"/>
        <v>5680</v>
      </c>
      <c r="BJ675" s="8">
        <f t="shared" si="325"/>
        <v>-16340</v>
      </c>
      <c r="BK675" s="8">
        <f t="shared" si="326"/>
        <v>-28867</v>
      </c>
    </row>
    <row r="676" spans="1:63">
      <c r="A676" s="5">
        <f t="shared" si="320"/>
        <v>43599</v>
      </c>
      <c r="B676" s="8">
        <v>580896</v>
      </c>
      <c r="C676" s="8">
        <f t="shared" si="327"/>
        <v>43906</v>
      </c>
      <c r="D676" s="8">
        <v>65361</v>
      </c>
      <c r="E676" s="8">
        <f t="shared" si="328"/>
        <v>852</v>
      </c>
      <c r="F676" s="8">
        <v>145767</v>
      </c>
      <c r="G676" s="8">
        <f t="shared" si="329"/>
        <v>10408</v>
      </c>
      <c r="H676" s="8">
        <v>-80406</v>
      </c>
      <c r="I676" s="8">
        <f t="shared" si="330"/>
        <v>-9556</v>
      </c>
      <c r="J676" s="8">
        <v>270571</v>
      </c>
      <c r="K676" s="8">
        <f t="shared" si="331"/>
        <v>17866</v>
      </c>
      <c r="L676" s="8">
        <v>226488</v>
      </c>
      <c r="M676" s="8">
        <f t="shared" si="332"/>
        <v>15260</v>
      </c>
      <c r="N676" s="8">
        <v>44083</v>
      </c>
      <c r="O676" s="8">
        <f t="shared" si="333"/>
        <v>2606</v>
      </c>
      <c r="P676" s="8">
        <v>155907</v>
      </c>
      <c r="Q676" s="8">
        <f t="shared" si="334"/>
        <v>10675</v>
      </c>
      <c r="R676" s="8">
        <v>208652</v>
      </c>
      <c r="S676" s="8">
        <f t="shared" si="335"/>
        <v>12263</v>
      </c>
      <c r="T676" s="8">
        <v>-52745</v>
      </c>
      <c r="U676" s="8">
        <f t="shared" si="336"/>
        <v>-1588</v>
      </c>
      <c r="W676" s="8">
        <v>535203</v>
      </c>
      <c r="X676" s="8">
        <f t="shared" si="337"/>
        <v>19624</v>
      </c>
      <c r="Y676" s="8">
        <v>54243</v>
      </c>
      <c r="Z676" s="8">
        <f t="shared" si="338"/>
        <v>-241</v>
      </c>
      <c r="AA676" s="8">
        <v>93876</v>
      </c>
      <c r="AB676" s="8">
        <f t="shared" si="321"/>
        <v>6257</v>
      </c>
      <c r="AC676" s="8">
        <v>-39633</v>
      </c>
      <c r="AD676" s="8">
        <f t="shared" si="322"/>
        <v>-6498</v>
      </c>
      <c r="AE676" s="8">
        <v>260159</v>
      </c>
      <c r="AF676" s="8">
        <f t="shared" si="339"/>
        <v>9833</v>
      </c>
      <c r="AG676" s="8">
        <v>253955</v>
      </c>
      <c r="AH676" s="8">
        <f t="shared" si="340"/>
        <v>7211</v>
      </c>
      <c r="AI676" s="8">
        <v>6204</v>
      </c>
      <c r="AJ676" s="8">
        <f t="shared" si="341"/>
        <v>2622</v>
      </c>
      <c r="AK676" s="8">
        <v>161350</v>
      </c>
      <c r="AL676" s="8">
        <f t="shared" si="342"/>
        <v>3728</v>
      </c>
      <c r="AM676" s="8">
        <v>221603</v>
      </c>
      <c r="AN676" s="8">
        <f t="shared" si="343"/>
        <v>4111</v>
      </c>
      <c r="AO676" s="8">
        <v>-60253</v>
      </c>
      <c r="AP676" s="8">
        <f t="shared" si="344"/>
        <v>-383</v>
      </c>
      <c r="AR676" s="8">
        <v>2117253</v>
      </c>
      <c r="AS676" s="8">
        <f t="shared" si="345"/>
        <v>83567</v>
      </c>
      <c r="AT676" s="8">
        <v>194694</v>
      </c>
      <c r="AU676" s="8">
        <f t="shared" si="346"/>
        <v>-5213</v>
      </c>
      <c r="AV676" s="8">
        <v>477612</v>
      </c>
      <c r="AW676" s="8">
        <f t="shared" si="347"/>
        <v>-4622</v>
      </c>
      <c r="AX676" s="8">
        <f t="shared" si="323"/>
        <v>-282918</v>
      </c>
      <c r="AY676" s="8">
        <f t="shared" si="348"/>
        <v>-591</v>
      </c>
      <c r="AZ676" s="8">
        <v>886129</v>
      </c>
      <c r="BA676" s="8">
        <f t="shared" si="349"/>
        <v>53279</v>
      </c>
      <c r="BB676" s="8">
        <v>755957</v>
      </c>
      <c r="BC676" s="8">
        <f t="shared" si="350"/>
        <v>63640</v>
      </c>
      <c r="BD676" s="8">
        <f t="shared" si="324"/>
        <v>130172</v>
      </c>
      <c r="BE676" s="8">
        <f t="shared" si="351"/>
        <v>-10361</v>
      </c>
      <c r="BF676" s="8">
        <v>602674</v>
      </c>
      <c r="BG676" s="8">
        <f t="shared" si="352"/>
        <v>35712</v>
      </c>
      <c r="BH676" s="8">
        <v>607190</v>
      </c>
      <c r="BI676" s="8">
        <f t="shared" si="353"/>
        <v>23888</v>
      </c>
      <c r="BJ676" s="8">
        <f t="shared" si="325"/>
        <v>-4516</v>
      </c>
      <c r="BK676" s="8">
        <f t="shared" si="326"/>
        <v>11824</v>
      </c>
    </row>
    <row r="677" spans="1:63">
      <c r="A677" s="5">
        <f t="shared" si="320"/>
        <v>43606</v>
      </c>
      <c r="B677" s="8">
        <v>586552</v>
      </c>
      <c r="C677" s="8">
        <f t="shared" si="327"/>
        <v>5656</v>
      </c>
      <c r="D677" s="8">
        <v>70516</v>
      </c>
      <c r="E677" s="8">
        <f t="shared" si="328"/>
        <v>5155</v>
      </c>
      <c r="F677" s="8">
        <v>139456</v>
      </c>
      <c r="G677" s="8">
        <f t="shared" si="329"/>
        <v>-6311</v>
      </c>
      <c r="H677" s="8">
        <v>-68940</v>
      </c>
      <c r="I677" s="8">
        <f t="shared" si="330"/>
        <v>11466</v>
      </c>
      <c r="J677" s="8">
        <v>271293</v>
      </c>
      <c r="K677" s="8">
        <f t="shared" si="331"/>
        <v>722</v>
      </c>
      <c r="L677" s="8">
        <v>240691</v>
      </c>
      <c r="M677" s="8">
        <f t="shared" si="332"/>
        <v>14203</v>
      </c>
      <c r="N677" s="8">
        <v>30602</v>
      </c>
      <c r="O677" s="8">
        <f t="shared" si="333"/>
        <v>-13481</v>
      </c>
      <c r="P677" s="8">
        <v>152272</v>
      </c>
      <c r="Q677" s="8">
        <f t="shared" si="334"/>
        <v>-3635</v>
      </c>
      <c r="R677" s="8">
        <v>221462</v>
      </c>
      <c r="S677" s="8">
        <f t="shared" si="335"/>
        <v>12810</v>
      </c>
      <c r="T677" s="8">
        <v>-69190</v>
      </c>
      <c r="U677" s="8">
        <f t="shared" si="336"/>
        <v>-16445</v>
      </c>
      <c r="W677" s="8">
        <v>543303</v>
      </c>
      <c r="X677" s="8">
        <f t="shared" si="337"/>
        <v>8100</v>
      </c>
      <c r="Y677" s="8">
        <v>49275</v>
      </c>
      <c r="Z677" s="8">
        <f t="shared" si="338"/>
        <v>-4968</v>
      </c>
      <c r="AA677" s="8">
        <v>84289</v>
      </c>
      <c r="AB677" s="8">
        <f t="shared" si="321"/>
        <v>-9587</v>
      </c>
      <c r="AC677" s="8">
        <v>-35014</v>
      </c>
      <c r="AD677" s="8">
        <f t="shared" si="322"/>
        <v>4619</v>
      </c>
      <c r="AE677" s="8">
        <v>260435</v>
      </c>
      <c r="AF677" s="8">
        <f t="shared" si="339"/>
        <v>276</v>
      </c>
      <c r="AG677" s="8">
        <v>263481</v>
      </c>
      <c r="AH677" s="8">
        <f t="shared" si="340"/>
        <v>9526</v>
      </c>
      <c r="AI677" s="8">
        <v>-3046</v>
      </c>
      <c r="AJ677" s="8">
        <f t="shared" si="341"/>
        <v>-9250</v>
      </c>
      <c r="AK677" s="8">
        <v>159254</v>
      </c>
      <c r="AL677" s="8">
        <f t="shared" si="342"/>
        <v>-2096</v>
      </c>
      <c r="AM677" s="8">
        <v>228437</v>
      </c>
      <c r="AN677" s="8">
        <f t="shared" si="343"/>
        <v>6834</v>
      </c>
      <c r="AO677" s="8">
        <v>-69183</v>
      </c>
      <c r="AP677" s="8">
        <f t="shared" si="344"/>
        <v>-8930</v>
      </c>
      <c r="AR677" s="8">
        <v>2361019</v>
      </c>
      <c r="AS677" s="8">
        <f t="shared" si="345"/>
        <v>243766</v>
      </c>
      <c r="AT677" s="8">
        <v>225444</v>
      </c>
      <c r="AU677" s="8">
        <f t="shared" si="346"/>
        <v>30750</v>
      </c>
      <c r="AV677" s="8">
        <v>342173</v>
      </c>
      <c r="AW677" s="8">
        <f t="shared" si="347"/>
        <v>-135439</v>
      </c>
      <c r="AX677" s="8">
        <f t="shared" si="323"/>
        <v>-116729</v>
      </c>
      <c r="AY677" s="8">
        <f t="shared" si="348"/>
        <v>166189</v>
      </c>
      <c r="AZ677" s="8">
        <v>935660</v>
      </c>
      <c r="BA677" s="8">
        <f t="shared" si="349"/>
        <v>49531</v>
      </c>
      <c r="BB677" s="8">
        <v>994610</v>
      </c>
      <c r="BC677" s="8">
        <f t="shared" si="350"/>
        <v>238653</v>
      </c>
      <c r="BD677" s="8">
        <f t="shared" si="324"/>
        <v>-58950</v>
      </c>
      <c r="BE677" s="8">
        <f t="shared" si="351"/>
        <v>-189122</v>
      </c>
      <c r="BF677" s="8">
        <v>656304</v>
      </c>
      <c r="BG677" s="8">
        <f t="shared" si="352"/>
        <v>53630</v>
      </c>
      <c r="BH677" s="8">
        <v>820598</v>
      </c>
      <c r="BI677" s="8">
        <f t="shared" si="353"/>
        <v>213408</v>
      </c>
      <c r="BJ677" s="8">
        <f t="shared" si="325"/>
        <v>-164294</v>
      </c>
      <c r="BK677" s="8">
        <f t="shared" si="326"/>
        <v>-159778</v>
      </c>
    </row>
    <row r="678" spans="1:63">
      <c r="A678" s="5">
        <f t="shared" si="320"/>
        <v>43613</v>
      </c>
      <c r="B678" s="8">
        <v>581773</v>
      </c>
      <c r="C678" s="8">
        <f t="shared" si="327"/>
        <v>-4779</v>
      </c>
      <c r="D678" s="8">
        <v>69296</v>
      </c>
      <c r="E678" s="8">
        <f t="shared" si="328"/>
        <v>-1220</v>
      </c>
      <c r="F678" s="8">
        <v>131520</v>
      </c>
      <c r="G678" s="8">
        <f t="shared" si="329"/>
        <v>-7936</v>
      </c>
      <c r="H678" s="8">
        <v>-62224</v>
      </c>
      <c r="I678" s="8">
        <f t="shared" si="330"/>
        <v>6716</v>
      </c>
      <c r="J678" s="8">
        <v>269291</v>
      </c>
      <c r="K678" s="8">
        <f t="shared" si="331"/>
        <v>-2002</v>
      </c>
      <c r="L678" s="8">
        <v>250931</v>
      </c>
      <c r="M678" s="8">
        <f t="shared" si="332"/>
        <v>10240</v>
      </c>
      <c r="N678" s="8">
        <v>18360</v>
      </c>
      <c r="O678" s="8">
        <f t="shared" si="333"/>
        <v>-12242</v>
      </c>
      <c r="P678" s="8">
        <v>149309</v>
      </c>
      <c r="Q678" s="8">
        <f t="shared" si="334"/>
        <v>-2963</v>
      </c>
      <c r="R678" s="8">
        <v>230113</v>
      </c>
      <c r="S678" s="8">
        <f t="shared" si="335"/>
        <v>8651</v>
      </c>
      <c r="T678" s="8">
        <v>-80804</v>
      </c>
      <c r="U678" s="8">
        <f t="shared" si="336"/>
        <v>-11614</v>
      </c>
      <c r="W678" s="8">
        <v>537445</v>
      </c>
      <c r="X678" s="8">
        <f t="shared" si="337"/>
        <v>-5858</v>
      </c>
      <c r="Y678" s="8">
        <v>52606</v>
      </c>
      <c r="Z678" s="8">
        <f t="shared" si="338"/>
        <v>3331</v>
      </c>
      <c r="AA678" s="8">
        <v>72967</v>
      </c>
      <c r="AB678" s="8">
        <f t="shared" si="321"/>
        <v>-11322</v>
      </c>
      <c r="AC678" s="8">
        <v>-20361</v>
      </c>
      <c r="AD678" s="8">
        <f t="shared" si="322"/>
        <v>14653</v>
      </c>
      <c r="AE678" s="8">
        <v>257450</v>
      </c>
      <c r="AF678" s="8">
        <f t="shared" si="339"/>
        <v>-2985</v>
      </c>
      <c r="AG678" s="8">
        <v>281466</v>
      </c>
      <c r="AH678" s="8">
        <f t="shared" si="340"/>
        <v>17985</v>
      </c>
      <c r="AI678" s="8">
        <v>-24016</v>
      </c>
      <c r="AJ678" s="8">
        <f t="shared" si="341"/>
        <v>-20970</v>
      </c>
      <c r="AK678" s="8">
        <v>155200</v>
      </c>
      <c r="AL678" s="8">
        <f t="shared" si="342"/>
        <v>-4054</v>
      </c>
      <c r="AM678" s="8">
        <v>242378</v>
      </c>
      <c r="AN678" s="8">
        <f t="shared" si="343"/>
        <v>13941</v>
      </c>
      <c r="AO678" s="8">
        <v>-87178</v>
      </c>
      <c r="AP678" s="8">
        <f t="shared" si="344"/>
        <v>-17995</v>
      </c>
      <c r="AR678" s="8">
        <v>2495825</v>
      </c>
      <c r="AS678" s="8">
        <f t="shared" si="345"/>
        <v>134806</v>
      </c>
      <c r="AT678" s="8">
        <v>236138</v>
      </c>
      <c r="AU678" s="8">
        <f t="shared" si="346"/>
        <v>10694</v>
      </c>
      <c r="AV678" s="8">
        <v>256874</v>
      </c>
      <c r="AW678" s="8">
        <f t="shared" si="347"/>
        <v>-85299</v>
      </c>
      <c r="AX678" s="8">
        <v>-20736</v>
      </c>
      <c r="AY678" s="8">
        <f t="shared" si="348"/>
        <v>95993</v>
      </c>
      <c r="AZ678" s="8">
        <v>949488</v>
      </c>
      <c r="BA678" s="8">
        <f t="shared" si="349"/>
        <v>13828</v>
      </c>
      <c r="BB678" s="8">
        <v>1127814</v>
      </c>
      <c r="BC678" s="8">
        <f t="shared" si="350"/>
        <v>133204</v>
      </c>
      <c r="BD678" s="8">
        <v>-178326</v>
      </c>
      <c r="BE678" s="8">
        <f t="shared" si="351"/>
        <v>-119376</v>
      </c>
      <c r="BF678" s="8">
        <v>668995</v>
      </c>
      <c r="BG678" s="8">
        <f t="shared" si="352"/>
        <v>12691</v>
      </c>
      <c r="BH678" s="8">
        <v>931341</v>
      </c>
      <c r="BI678" s="8">
        <f t="shared" si="353"/>
        <v>110743</v>
      </c>
      <c r="BJ678" s="8">
        <v>-262346</v>
      </c>
      <c r="BK678" s="8">
        <f t="shared" si="326"/>
        <v>-98052</v>
      </c>
    </row>
    <row r="679" spans="1:63">
      <c r="A679" s="5">
        <f t="shared" si="320"/>
        <v>43620</v>
      </c>
      <c r="B679" s="8">
        <v>550353</v>
      </c>
      <c r="C679" s="8">
        <f t="shared" si="327"/>
        <v>-31420</v>
      </c>
      <c r="D679" s="8">
        <v>68613</v>
      </c>
      <c r="E679" s="8">
        <f t="shared" si="328"/>
        <v>-683</v>
      </c>
      <c r="F679" s="8">
        <v>124424</v>
      </c>
      <c r="G679" s="8">
        <f t="shared" si="329"/>
        <v>-7096</v>
      </c>
      <c r="H679" s="8">
        <v>-55811</v>
      </c>
      <c r="I679" s="8">
        <f t="shared" si="330"/>
        <v>6413</v>
      </c>
      <c r="J679" s="8">
        <v>257452</v>
      </c>
      <c r="K679" s="8">
        <f t="shared" si="331"/>
        <v>-11839</v>
      </c>
      <c r="L679" s="8">
        <v>246916</v>
      </c>
      <c r="M679" s="8">
        <f t="shared" si="332"/>
        <v>-4015</v>
      </c>
      <c r="N679" s="8">
        <v>10536</v>
      </c>
      <c r="O679" s="8">
        <f t="shared" si="333"/>
        <v>-7824</v>
      </c>
      <c r="P679" s="8">
        <v>135890</v>
      </c>
      <c r="Q679" s="8">
        <f t="shared" si="334"/>
        <v>-13419</v>
      </c>
      <c r="R679" s="8">
        <v>231711</v>
      </c>
      <c r="S679" s="8">
        <f t="shared" si="335"/>
        <v>1598</v>
      </c>
      <c r="T679" s="8">
        <v>-95821</v>
      </c>
      <c r="U679" s="8">
        <f t="shared" si="336"/>
        <v>-15017</v>
      </c>
      <c r="W679" s="8">
        <v>529467</v>
      </c>
      <c r="X679" s="8">
        <f t="shared" si="337"/>
        <v>-7978</v>
      </c>
      <c r="Y679" s="8">
        <v>49706</v>
      </c>
      <c r="Z679" s="8">
        <f t="shared" si="338"/>
        <v>-2900</v>
      </c>
      <c r="AA679" s="8">
        <v>47543</v>
      </c>
      <c r="AB679" s="8">
        <f t="shared" si="321"/>
        <v>-25424</v>
      </c>
      <c r="AC679" s="8">
        <v>2163</v>
      </c>
      <c r="AD679" s="8">
        <f t="shared" si="322"/>
        <v>22524</v>
      </c>
      <c r="AE679" s="8">
        <v>254255</v>
      </c>
      <c r="AF679" s="8">
        <f t="shared" si="339"/>
        <v>-3195</v>
      </c>
      <c r="AG679" s="8">
        <v>300493</v>
      </c>
      <c r="AH679" s="8">
        <f t="shared" si="340"/>
        <v>19027</v>
      </c>
      <c r="AI679" s="8">
        <v>-46238</v>
      </c>
      <c r="AJ679" s="8">
        <f t="shared" si="341"/>
        <v>-22222</v>
      </c>
      <c r="AK679" s="8">
        <v>152166</v>
      </c>
      <c r="AL679" s="8">
        <f t="shared" si="342"/>
        <v>-3034</v>
      </c>
      <c r="AM679" s="8">
        <v>259664</v>
      </c>
      <c r="AN679" s="8">
        <f t="shared" si="343"/>
        <v>17286</v>
      </c>
      <c r="AO679" s="8">
        <v>-107498</v>
      </c>
      <c r="AP679" s="8">
        <f t="shared" si="344"/>
        <v>-20320</v>
      </c>
      <c r="AR679" s="8">
        <v>2549467</v>
      </c>
      <c r="AS679" s="8">
        <f t="shared" si="345"/>
        <v>53642</v>
      </c>
      <c r="AT679" s="8">
        <v>240884</v>
      </c>
      <c r="AU679" s="8">
        <f t="shared" si="346"/>
        <v>4746</v>
      </c>
      <c r="AV679" s="8">
        <v>153641</v>
      </c>
      <c r="AW679" s="8">
        <f t="shared" si="347"/>
        <v>-103233</v>
      </c>
      <c r="AX679" s="8">
        <v>87243</v>
      </c>
      <c r="AY679" s="8">
        <f>AX679-AX678</f>
        <v>107979</v>
      </c>
      <c r="AZ679" s="8">
        <v>961203</v>
      </c>
      <c r="BA679" s="8">
        <f t="shared" si="349"/>
        <v>11715</v>
      </c>
      <c r="BB679" s="8">
        <v>1234412</v>
      </c>
      <c r="BC679" s="8">
        <f t="shared" si="350"/>
        <v>106598</v>
      </c>
      <c r="BD679" s="8">
        <v>-273209</v>
      </c>
      <c r="BE679" s="8">
        <f t="shared" si="351"/>
        <v>-94883</v>
      </c>
      <c r="BF679" s="8">
        <v>678665</v>
      </c>
      <c r="BG679" s="8">
        <f t="shared" si="352"/>
        <v>9670</v>
      </c>
      <c r="BH679" s="8">
        <v>1029401</v>
      </c>
      <c r="BI679" s="8">
        <f t="shared" si="353"/>
        <v>98060</v>
      </c>
      <c r="BJ679" s="8">
        <v>-350736</v>
      </c>
      <c r="BK679" s="8">
        <f t="shared" si="326"/>
        <v>-88390</v>
      </c>
    </row>
    <row r="680" spans="1:63">
      <c r="A680" s="5">
        <f t="shared" ref="A680:A743" si="354">A679+7</f>
        <v>43627</v>
      </c>
      <c r="B680" s="8">
        <v>520712</v>
      </c>
      <c r="C680" s="8">
        <f t="shared" si="327"/>
        <v>-29641</v>
      </c>
      <c r="D680" s="8">
        <v>65810</v>
      </c>
      <c r="E680" s="8">
        <f t="shared" si="328"/>
        <v>-2803</v>
      </c>
      <c r="F680" s="8">
        <v>119613</v>
      </c>
      <c r="G680" s="8">
        <f t="shared" si="329"/>
        <v>-4811</v>
      </c>
      <c r="H680" s="8">
        <v>-53803</v>
      </c>
      <c r="I680" s="8">
        <f t="shared" si="330"/>
        <v>2008</v>
      </c>
      <c r="J680" s="8">
        <v>248698</v>
      </c>
      <c r="K680" s="8">
        <f t="shared" si="331"/>
        <v>-8754</v>
      </c>
      <c r="L680" s="8">
        <v>238049</v>
      </c>
      <c r="M680" s="8">
        <f t="shared" si="332"/>
        <v>-8867</v>
      </c>
      <c r="N680" s="8">
        <v>10649</v>
      </c>
      <c r="O680" s="8">
        <f t="shared" si="333"/>
        <v>113</v>
      </c>
      <c r="P680" s="8">
        <v>125390</v>
      </c>
      <c r="Q680" s="8">
        <f t="shared" si="334"/>
        <v>-10500</v>
      </c>
      <c r="R680" s="8">
        <v>224411</v>
      </c>
      <c r="S680" s="8">
        <f t="shared" si="335"/>
        <v>-7300</v>
      </c>
      <c r="T680" s="8">
        <v>-99021</v>
      </c>
      <c r="U680" s="8">
        <f t="shared" si="336"/>
        <v>-3200</v>
      </c>
      <c r="W680" s="8">
        <v>523342</v>
      </c>
      <c r="X680" s="8">
        <f t="shared" si="337"/>
        <v>-6125</v>
      </c>
      <c r="Y680" s="8">
        <v>48393</v>
      </c>
      <c r="Z680" s="8">
        <f t="shared" si="338"/>
        <v>-1313</v>
      </c>
      <c r="AA680" s="8">
        <v>43728</v>
      </c>
      <c r="AB680" s="8">
        <f t="shared" si="321"/>
        <v>-3815</v>
      </c>
      <c r="AC680" s="8">
        <v>4665</v>
      </c>
      <c r="AD680" s="8">
        <f t="shared" si="322"/>
        <v>2502</v>
      </c>
      <c r="AE680" s="8">
        <v>249719</v>
      </c>
      <c r="AF680" s="8">
        <f t="shared" si="339"/>
        <v>-4536</v>
      </c>
      <c r="AG680" s="8">
        <v>293280</v>
      </c>
      <c r="AH680" s="8">
        <f t="shared" si="340"/>
        <v>-7213</v>
      </c>
      <c r="AI680" s="8">
        <v>-43561</v>
      </c>
      <c r="AJ680" s="8">
        <f t="shared" si="341"/>
        <v>2677</v>
      </c>
      <c r="AK680" s="8">
        <v>150129</v>
      </c>
      <c r="AL680" s="8">
        <f t="shared" si="342"/>
        <v>-2037</v>
      </c>
      <c r="AM680" s="8">
        <v>261068</v>
      </c>
      <c r="AN680" s="8">
        <f t="shared" si="343"/>
        <v>1404</v>
      </c>
      <c r="AO680" s="8">
        <v>-110939</v>
      </c>
      <c r="AP680" s="8">
        <f t="shared" si="344"/>
        <v>-3441</v>
      </c>
      <c r="AR680" s="8">
        <v>2573005</v>
      </c>
      <c r="AS680" s="8">
        <f t="shared" si="345"/>
        <v>23538</v>
      </c>
      <c r="AT680" s="8">
        <v>243843</v>
      </c>
      <c r="AU680" s="8">
        <f t="shared" si="346"/>
        <v>2959</v>
      </c>
      <c r="AV680" s="8">
        <v>132631</v>
      </c>
      <c r="AW680" s="8">
        <f t="shared" si="347"/>
        <v>-21010</v>
      </c>
      <c r="AX680" s="8">
        <v>111212</v>
      </c>
      <c r="AY680" s="8">
        <f>AX680-AX679</f>
        <v>23969</v>
      </c>
      <c r="AZ680" s="8">
        <v>961366</v>
      </c>
      <c r="BA680" s="8">
        <f t="shared" si="349"/>
        <v>163</v>
      </c>
      <c r="BB680" s="8">
        <v>1247056</v>
      </c>
      <c r="BC680" s="8">
        <f t="shared" si="350"/>
        <v>12644</v>
      </c>
      <c r="BD680" s="8">
        <v>-285690</v>
      </c>
      <c r="BE680" s="8">
        <f t="shared" si="351"/>
        <v>-12481</v>
      </c>
      <c r="BF680" s="8">
        <v>680381</v>
      </c>
      <c r="BG680" s="8">
        <f t="shared" si="352"/>
        <v>1716</v>
      </c>
      <c r="BH680" s="8">
        <v>1052891</v>
      </c>
      <c r="BI680" s="8">
        <f t="shared" si="353"/>
        <v>23490</v>
      </c>
      <c r="BJ680" s="8">
        <v>-372510</v>
      </c>
      <c r="BK680" s="8">
        <f t="shared" si="326"/>
        <v>-21774</v>
      </c>
    </row>
    <row r="681" spans="1:63">
      <c r="A681" s="5">
        <f t="shared" si="354"/>
        <v>43634</v>
      </c>
      <c r="B681" s="8">
        <v>500234</v>
      </c>
      <c r="C681" s="8">
        <f t="shared" si="327"/>
        <v>-20478</v>
      </c>
      <c r="D681" s="8">
        <v>61260</v>
      </c>
      <c r="E681" s="8">
        <f t="shared" si="328"/>
        <v>-4550</v>
      </c>
      <c r="F681" s="8">
        <v>104006</v>
      </c>
      <c r="G681" s="8">
        <f t="shared" si="329"/>
        <v>-15607</v>
      </c>
      <c r="H681" s="8">
        <v>-42746</v>
      </c>
      <c r="I681" s="8">
        <f t="shared" si="330"/>
        <v>11057</v>
      </c>
      <c r="J681" s="8">
        <v>233510</v>
      </c>
      <c r="K681" s="8">
        <f t="shared" si="331"/>
        <v>-15188</v>
      </c>
      <c r="L681" s="8">
        <v>234330</v>
      </c>
      <c r="M681" s="8">
        <f t="shared" si="332"/>
        <v>-3719</v>
      </c>
      <c r="N681" s="8">
        <v>-820</v>
      </c>
      <c r="O681" s="8">
        <f t="shared" si="333"/>
        <v>-11469</v>
      </c>
      <c r="P681" s="8">
        <v>114413</v>
      </c>
      <c r="Q681" s="8">
        <f t="shared" si="334"/>
        <v>-10977</v>
      </c>
      <c r="R681" s="8">
        <v>221633</v>
      </c>
      <c r="S681" s="8">
        <f t="shared" si="335"/>
        <v>-2778</v>
      </c>
      <c r="T681" s="8">
        <v>-107220</v>
      </c>
      <c r="U681" s="8">
        <f t="shared" si="336"/>
        <v>-8199</v>
      </c>
      <c r="W681" s="8">
        <v>537428</v>
      </c>
      <c r="X681" s="8">
        <f t="shared" si="337"/>
        <v>14086</v>
      </c>
      <c r="Y681" s="8">
        <v>42008</v>
      </c>
      <c r="Z681" s="8">
        <f t="shared" si="338"/>
        <v>-6385</v>
      </c>
      <c r="AA681" s="8">
        <v>41990</v>
      </c>
      <c r="AB681" s="8">
        <f t="shared" si="321"/>
        <v>-1738</v>
      </c>
      <c r="AC681" s="8">
        <v>18</v>
      </c>
      <c r="AD681" s="8">
        <f t="shared" si="322"/>
        <v>-4647</v>
      </c>
      <c r="AE681" s="8">
        <v>249399</v>
      </c>
      <c r="AF681" s="8">
        <f t="shared" si="339"/>
        <v>-320</v>
      </c>
      <c r="AG681" s="8">
        <v>289374</v>
      </c>
      <c r="AH681" s="8">
        <f t="shared" si="340"/>
        <v>-3906</v>
      </c>
      <c r="AI681" s="8">
        <v>-39975</v>
      </c>
      <c r="AJ681" s="8">
        <f t="shared" si="341"/>
        <v>3586</v>
      </c>
      <c r="AK681" s="8">
        <v>150249</v>
      </c>
      <c r="AL681" s="8">
        <f t="shared" si="342"/>
        <v>120</v>
      </c>
      <c r="AM681" s="8">
        <v>260222</v>
      </c>
      <c r="AN681" s="8">
        <f t="shared" si="343"/>
        <v>-846</v>
      </c>
      <c r="AO681" s="8">
        <v>-109973</v>
      </c>
      <c r="AP681" s="8">
        <f t="shared" si="344"/>
        <v>966</v>
      </c>
      <c r="AR681" s="8">
        <v>2708872</v>
      </c>
      <c r="AS681" s="8">
        <f t="shared" si="345"/>
        <v>135867</v>
      </c>
      <c r="AT681" s="8">
        <v>254850</v>
      </c>
      <c r="AU681" s="8">
        <f t="shared" si="346"/>
        <v>11007</v>
      </c>
      <c r="AV681" s="8">
        <v>111335</v>
      </c>
      <c r="AW681" s="8">
        <f t="shared" si="347"/>
        <v>-21296</v>
      </c>
      <c r="AX681" s="8">
        <v>143515</v>
      </c>
      <c r="AY681" s="8">
        <f>AX681-AX680</f>
        <v>32303</v>
      </c>
      <c r="AZ681" s="8">
        <v>1010855</v>
      </c>
      <c r="BA681" s="8">
        <f t="shared" si="349"/>
        <v>49489</v>
      </c>
      <c r="BB681" s="8">
        <v>1348108</v>
      </c>
      <c r="BC681" s="8">
        <f t="shared" si="350"/>
        <v>101052</v>
      </c>
      <c r="BD681" s="8">
        <v>-337253</v>
      </c>
      <c r="BE681" s="8">
        <f t="shared" si="351"/>
        <v>-51563</v>
      </c>
      <c r="BF681" s="8">
        <v>708757</v>
      </c>
      <c r="BG681" s="8">
        <f t="shared" si="352"/>
        <v>28376</v>
      </c>
      <c r="BH681" s="8">
        <v>1145142</v>
      </c>
      <c r="BI681" s="8">
        <f t="shared" si="353"/>
        <v>92251</v>
      </c>
      <c r="BJ681" s="8">
        <v>-436385</v>
      </c>
      <c r="BK681" s="8">
        <f t="shared" si="326"/>
        <v>-63875</v>
      </c>
    </row>
    <row r="682" spans="1:63">
      <c r="A682" s="5">
        <f t="shared" si="354"/>
        <v>43641</v>
      </c>
      <c r="B682" s="8">
        <v>453669</v>
      </c>
      <c r="C682" s="8">
        <f t="shared" si="327"/>
        <v>-46565</v>
      </c>
      <c r="D682" s="8">
        <v>62651</v>
      </c>
      <c r="E682" s="8">
        <f t="shared" si="328"/>
        <v>1391</v>
      </c>
      <c r="F682" s="8">
        <v>98620</v>
      </c>
      <c r="G682" s="8">
        <f t="shared" si="329"/>
        <v>-5386</v>
      </c>
      <c r="H682" s="8">
        <v>-35969</v>
      </c>
      <c r="I682" s="8">
        <f t="shared" si="330"/>
        <v>6777</v>
      </c>
      <c r="J682" s="8">
        <v>217993</v>
      </c>
      <c r="K682" s="8">
        <f t="shared" si="331"/>
        <v>-15517</v>
      </c>
      <c r="L682" s="8">
        <v>217517</v>
      </c>
      <c r="M682" s="8">
        <f t="shared" si="332"/>
        <v>-16813</v>
      </c>
      <c r="N682" s="8">
        <v>476</v>
      </c>
      <c r="O682" s="8">
        <f t="shared" si="333"/>
        <v>1296</v>
      </c>
      <c r="P682" s="8">
        <v>106009</v>
      </c>
      <c r="Q682" s="8">
        <f t="shared" si="334"/>
        <v>-8404</v>
      </c>
      <c r="R682" s="8">
        <v>207719</v>
      </c>
      <c r="S682" s="8">
        <f t="shared" si="335"/>
        <v>-13914</v>
      </c>
      <c r="T682" s="8">
        <v>-101710</v>
      </c>
      <c r="U682" s="8">
        <f t="shared" si="336"/>
        <v>5510</v>
      </c>
      <c r="W682" s="8">
        <v>492270</v>
      </c>
      <c r="X682" s="8">
        <f t="shared" si="337"/>
        <v>-45158</v>
      </c>
      <c r="Y682" s="8">
        <v>39988</v>
      </c>
      <c r="Z682" s="8">
        <f t="shared" si="338"/>
        <v>-2020</v>
      </c>
      <c r="AA682" s="8">
        <v>40898</v>
      </c>
      <c r="AB682" s="8">
        <f t="shared" si="321"/>
        <v>-1092</v>
      </c>
      <c r="AC682" s="8">
        <v>-910</v>
      </c>
      <c r="AD682" s="8">
        <f t="shared" si="322"/>
        <v>-928</v>
      </c>
      <c r="AE682" s="8">
        <v>232709</v>
      </c>
      <c r="AF682" s="8">
        <f t="shared" si="339"/>
        <v>-16690</v>
      </c>
      <c r="AG682" s="8">
        <v>270113</v>
      </c>
      <c r="AH682" s="8">
        <f t="shared" si="340"/>
        <v>-19261</v>
      </c>
      <c r="AI682" s="8">
        <v>-37404</v>
      </c>
      <c r="AJ682" s="8">
        <f t="shared" si="341"/>
        <v>2571</v>
      </c>
      <c r="AK682" s="8">
        <v>137619</v>
      </c>
      <c r="AL682" s="8">
        <f t="shared" si="342"/>
        <v>-12630</v>
      </c>
      <c r="AM682" s="8">
        <v>241545</v>
      </c>
      <c r="AN682" s="8">
        <f t="shared" si="343"/>
        <v>-18677</v>
      </c>
      <c r="AO682" s="8">
        <v>-103926</v>
      </c>
      <c r="AP682" s="8">
        <f t="shared" si="344"/>
        <v>6047</v>
      </c>
      <c r="AR682" s="8">
        <v>2379990</v>
      </c>
      <c r="AS682" s="8">
        <f t="shared" si="345"/>
        <v>-328882</v>
      </c>
      <c r="AT682" s="8">
        <v>284249</v>
      </c>
      <c r="AU682" s="8">
        <f t="shared" si="346"/>
        <v>29399</v>
      </c>
      <c r="AV682" s="8">
        <v>96320</v>
      </c>
      <c r="AW682" s="8">
        <f t="shared" si="347"/>
        <v>-15015</v>
      </c>
      <c r="AX682" s="8">
        <v>187929</v>
      </c>
      <c r="AY682" s="8">
        <f t="shared" ref="AY682:AY745" si="355">AX682-AX681</f>
        <v>44414</v>
      </c>
      <c r="AZ682" s="8">
        <v>894618</v>
      </c>
      <c r="BA682" s="8">
        <f t="shared" si="349"/>
        <v>-116237</v>
      </c>
      <c r="BB682" s="8">
        <v>1274979</v>
      </c>
      <c r="BC682" s="8">
        <f t="shared" si="350"/>
        <v>-73129</v>
      </c>
      <c r="BD682" s="8">
        <v>-380361</v>
      </c>
      <c r="BE682" s="8">
        <f t="shared" si="351"/>
        <v>-43108</v>
      </c>
      <c r="BF682" s="8">
        <v>635681</v>
      </c>
      <c r="BG682" s="8">
        <f t="shared" si="352"/>
        <v>-73076</v>
      </c>
      <c r="BH682" s="8">
        <v>1111217</v>
      </c>
      <c r="BI682" s="8">
        <f t="shared" si="353"/>
        <v>-33925</v>
      </c>
      <c r="BJ682" s="8">
        <v>-475536</v>
      </c>
      <c r="BK682" s="8">
        <f t="shared" si="326"/>
        <v>-39151</v>
      </c>
    </row>
    <row r="683" spans="1:63">
      <c r="A683" s="5">
        <f t="shared" si="354"/>
        <v>43648</v>
      </c>
      <c r="B683" s="8">
        <v>439117</v>
      </c>
      <c r="C683" s="8">
        <f t="shared" si="327"/>
        <v>-14552</v>
      </c>
      <c r="D683" s="8">
        <v>63863</v>
      </c>
      <c r="E683" s="8">
        <f t="shared" si="328"/>
        <v>1212</v>
      </c>
      <c r="F683" s="8">
        <v>100146</v>
      </c>
      <c r="G683" s="8">
        <f t="shared" si="329"/>
        <v>1526</v>
      </c>
      <c r="H683" s="8">
        <v>-36283</v>
      </c>
      <c r="I683" s="8">
        <f t="shared" si="330"/>
        <v>-314</v>
      </c>
      <c r="J683" s="8">
        <v>209482</v>
      </c>
      <c r="K683" s="8">
        <f t="shared" si="331"/>
        <v>-8511</v>
      </c>
      <c r="L683" s="8">
        <v>204155</v>
      </c>
      <c r="M683" s="8">
        <f t="shared" si="332"/>
        <v>-13362</v>
      </c>
      <c r="N683" s="8">
        <v>5327</v>
      </c>
      <c r="O683" s="8">
        <f t="shared" si="333"/>
        <v>4851</v>
      </c>
      <c r="P683" s="8">
        <v>96556</v>
      </c>
      <c r="Q683" s="8">
        <f t="shared" si="334"/>
        <v>-9453</v>
      </c>
      <c r="R683" s="8">
        <v>192640</v>
      </c>
      <c r="S683" s="8">
        <f t="shared" si="335"/>
        <v>-15079</v>
      </c>
      <c r="T683" s="8">
        <v>-96084</v>
      </c>
      <c r="U683" s="8">
        <f t="shared" si="336"/>
        <v>5626</v>
      </c>
      <c r="W683" s="8">
        <v>467675</v>
      </c>
      <c r="X683" s="8">
        <f t="shared" si="337"/>
        <v>-24595</v>
      </c>
      <c r="Y683" s="8">
        <v>37962</v>
      </c>
      <c r="Z683" s="8">
        <f t="shared" si="338"/>
        <v>-2026</v>
      </c>
      <c r="AA683" s="8">
        <v>52612</v>
      </c>
      <c r="AB683" s="8">
        <f t="shared" ref="AB683:AB746" si="356">AA683-AA682</f>
        <v>11714</v>
      </c>
      <c r="AC683" s="8">
        <v>-14650</v>
      </c>
      <c r="AD683" s="8">
        <f t="shared" ref="AD683:AD746" si="357">AC683-AC682</f>
        <v>-13740</v>
      </c>
      <c r="AE683" s="8">
        <v>226055</v>
      </c>
      <c r="AF683" s="8">
        <f t="shared" si="339"/>
        <v>-6654</v>
      </c>
      <c r="AG683" s="8">
        <v>248911</v>
      </c>
      <c r="AH683" s="8">
        <f t="shared" si="340"/>
        <v>-21202</v>
      </c>
      <c r="AI683" s="8">
        <v>-22856</v>
      </c>
      <c r="AJ683" s="8">
        <f t="shared" si="341"/>
        <v>14548</v>
      </c>
      <c r="AK683" s="8">
        <v>133196</v>
      </c>
      <c r="AL683" s="8">
        <f t="shared" si="342"/>
        <v>-4423</v>
      </c>
      <c r="AM683" s="8">
        <v>221698</v>
      </c>
      <c r="AN683" s="8">
        <f t="shared" si="343"/>
        <v>-19847</v>
      </c>
      <c r="AO683" s="8">
        <v>-88502</v>
      </c>
      <c r="AP683" s="8">
        <f t="shared" si="344"/>
        <v>15424</v>
      </c>
      <c r="AR683" s="8">
        <v>2319482</v>
      </c>
      <c r="AS683" s="8">
        <f t="shared" si="345"/>
        <v>-60508</v>
      </c>
      <c r="AT683" s="8">
        <v>284974</v>
      </c>
      <c r="AU683" s="8">
        <f t="shared" si="346"/>
        <v>725</v>
      </c>
      <c r="AV683" s="8">
        <v>103326</v>
      </c>
      <c r="AW683" s="8">
        <f t="shared" si="347"/>
        <v>7006</v>
      </c>
      <c r="AX683" s="8">
        <v>181648</v>
      </c>
      <c r="AY683" s="8">
        <f t="shared" si="355"/>
        <v>-6281</v>
      </c>
      <c r="AZ683" s="8">
        <v>860766</v>
      </c>
      <c r="BA683" s="8">
        <f t="shared" si="349"/>
        <v>-33852</v>
      </c>
      <c r="BB683" s="8">
        <v>1231156</v>
      </c>
      <c r="BC683" s="8">
        <f t="shared" si="350"/>
        <v>-43823</v>
      </c>
      <c r="BD683" s="8">
        <v>-370390</v>
      </c>
      <c r="BE683" s="8">
        <f t="shared" si="351"/>
        <v>9971</v>
      </c>
      <c r="BF683" s="8">
        <v>600384</v>
      </c>
      <c r="BG683" s="8">
        <f t="shared" si="352"/>
        <v>-35297</v>
      </c>
      <c r="BH683" s="8">
        <v>1084493</v>
      </c>
      <c r="BI683" s="8">
        <f t="shared" si="353"/>
        <v>-26724</v>
      </c>
      <c r="BJ683" s="8">
        <v>-484109</v>
      </c>
      <c r="BK683" s="8">
        <f t="shared" si="326"/>
        <v>-8573</v>
      </c>
    </row>
    <row r="684" spans="1:63">
      <c r="A684" s="5">
        <f t="shared" si="354"/>
        <v>43655</v>
      </c>
      <c r="B684" s="8">
        <v>446962</v>
      </c>
      <c r="C684" s="8">
        <f t="shared" si="327"/>
        <v>7845</v>
      </c>
      <c r="D684" s="8">
        <v>64131</v>
      </c>
      <c r="E684" s="8">
        <f t="shared" si="328"/>
        <v>268</v>
      </c>
      <c r="F684" s="8">
        <v>94800</v>
      </c>
      <c r="G684" s="8">
        <f t="shared" si="329"/>
        <v>-5346</v>
      </c>
      <c r="H684" s="8">
        <v>-30669</v>
      </c>
      <c r="I684" s="8">
        <f t="shared" si="330"/>
        <v>5614</v>
      </c>
      <c r="J684" s="8">
        <v>207726</v>
      </c>
      <c r="K684" s="8">
        <f t="shared" si="331"/>
        <v>-1756</v>
      </c>
      <c r="L684" s="8">
        <v>208592</v>
      </c>
      <c r="M684" s="8">
        <f t="shared" si="332"/>
        <v>4437</v>
      </c>
      <c r="N684" s="8">
        <v>-866</v>
      </c>
      <c r="O684" s="8">
        <f t="shared" si="333"/>
        <v>-6193</v>
      </c>
      <c r="P684" s="8">
        <v>99157</v>
      </c>
      <c r="Q684" s="8">
        <f t="shared" si="334"/>
        <v>2601</v>
      </c>
      <c r="R684" s="8">
        <v>199806</v>
      </c>
      <c r="S684" s="8">
        <f t="shared" si="335"/>
        <v>7166</v>
      </c>
      <c r="T684" s="8">
        <v>-100649</v>
      </c>
      <c r="U684" s="8">
        <f t="shared" si="336"/>
        <v>-4565</v>
      </c>
      <c r="W684" s="8">
        <v>471835</v>
      </c>
      <c r="X684" s="8">
        <f t="shared" si="337"/>
        <v>4160</v>
      </c>
      <c r="Y684" s="8">
        <v>38905</v>
      </c>
      <c r="Z684" s="8">
        <f t="shared" si="338"/>
        <v>943</v>
      </c>
      <c r="AA684" s="8">
        <v>59352</v>
      </c>
      <c r="AB684" s="8">
        <f t="shared" si="356"/>
        <v>6740</v>
      </c>
      <c r="AC684" s="8">
        <v>-20447</v>
      </c>
      <c r="AD684" s="8">
        <f t="shared" si="357"/>
        <v>-5797</v>
      </c>
      <c r="AE684" s="8">
        <v>230075</v>
      </c>
      <c r="AF684" s="8">
        <f t="shared" si="339"/>
        <v>4020</v>
      </c>
      <c r="AG684" s="8">
        <v>246792</v>
      </c>
      <c r="AH684" s="8">
        <f t="shared" si="340"/>
        <v>-2119</v>
      </c>
      <c r="AI684" s="8">
        <v>-16717</v>
      </c>
      <c r="AJ684" s="8">
        <f t="shared" si="341"/>
        <v>6139</v>
      </c>
      <c r="AK684" s="8">
        <v>138618</v>
      </c>
      <c r="AL684" s="8">
        <f t="shared" si="342"/>
        <v>5422</v>
      </c>
      <c r="AM684" s="8">
        <v>218312</v>
      </c>
      <c r="AN684" s="8">
        <f t="shared" si="343"/>
        <v>-3386</v>
      </c>
      <c r="AO684" s="8">
        <v>-79694</v>
      </c>
      <c r="AP684" s="8">
        <f t="shared" si="344"/>
        <v>8808</v>
      </c>
      <c r="AR684" s="8">
        <v>2382235</v>
      </c>
      <c r="AS684" s="8">
        <f t="shared" si="345"/>
        <v>62753</v>
      </c>
      <c r="AT684" s="8">
        <v>289991</v>
      </c>
      <c r="AU684" s="8">
        <f t="shared" si="346"/>
        <v>5017</v>
      </c>
      <c r="AV684" s="8">
        <v>102823</v>
      </c>
      <c r="AW684" s="8">
        <f t="shared" si="347"/>
        <v>-503</v>
      </c>
      <c r="AX684" s="8">
        <v>187168</v>
      </c>
      <c r="AY684" s="8">
        <f t="shared" si="355"/>
        <v>5520</v>
      </c>
      <c r="AZ684" s="8">
        <v>882632</v>
      </c>
      <c r="BA684" s="8">
        <f t="shared" si="349"/>
        <v>21866</v>
      </c>
      <c r="BB684" s="8">
        <v>1263637</v>
      </c>
      <c r="BC684" s="8">
        <f t="shared" si="350"/>
        <v>32481</v>
      </c>
      <c r="BD684" s="8">
        <v>-381005</v>
      </c>
      <c r="BE684" s="8">
        <f t="shared" si="351"/>
        <v>-10615</v>
      </c>
      <c r="BF684" s="8">
        <v>604858</v>
      </c>
      <c r="BG684" s="8">
        <f t="shared" si="352"/>
        <v>4474</v>
      </c>
      <c r="BH684" s="8">
        <v>1106837</v>
      </c>
      <c r="BI684" s="8">
        <f t="shared" si="353"/>
        <v>22344</v>
      </c>
      <c r="BJ684" s="8">
        <v>-501979</v>
      </c>
      <c r="BK684" s="8">
        <f t="shared" si="326"/>
        <v>-17870</v>
      </c>
    </row>
    <row r="685" spans="1:63">
      <c r="A685" s="5">
        <f t="shared" si="354"/>
        <v>43662</v>
      </c>
      <c r="B685" s="8">
        <v>457869</v>
      </c>
      <c r="C685" s="8">
        <f t="shared" si="327"/>
        <v>10907</v>
      </c>
      <c r="D685" s="8">
        <v>65484</v>
      </c>
      <c r="E685" s="8">
        <f t="shared" si="328"/>
        <v>1353</v>
      </c>
      <c r="F685" s="8">
        <v>96678</v>
      </c>
      <c r="G685" s="8">
        <f t="shared" si="329"/>
        <v>1878</v>
      </c>
      <c r="H685" s="8">
        <v>-31194</v>
      </c>
      <c r="I685" s="8">
        <f t="shared" si="330"/>
        <v>-525</v>
      </c>
      <c r="J685" s="8">
        <v>213688</v>
      </c>
      <c r="K685" s="8">
        <f t="shared" si="331"/>
        <v>5962</v>
      </c>
      <c r="L685" s="8">
        <v>213053</v>
      </c>
      <c r="M685" s="8">
        <f t="shared" si="332"/>
        <v>4461</v>
      </c>
      <c r="N685" s="8">
        <v>635</v>
      </c>
      <c r="O685" s="8">
        <f t="shared" si="333"/>
        <v>1501</v>
      </c>
      <c r="P685" s="8">
        <v>99794</v>
      </c>
      <c r="Q685" s="8">
        <f t="shared" si="334"/>
        <v>637</v>
      </c>
      <c r="R685" s="8">
        <v>204963</v>
      </c>
      <c r="S685" s="8">
        <f t="shared" si="335"/>
        <v>5157</v>
      </c>
      <c r="T685" s="8">
        <v>-105169</v>
      </c>
      <c r="U685" s="8">
        <f t="shared" si="336"/>
        <v>-4520</v>
      </c>
      <c r="W685" s="8">
        <v>476053</v>
      </c>
      <c r="X685" s="8">
        <f t="shared" si="337"/>
        <v>4218</v>
      </c>
      <c r="Y685" s="8">
        <v>39529</v>
      </c>
      <c r="Z685" s="8">
        <f t="shared" si="338"/>
        <v>624</v>
      </c>
      <c r="AA685" s="8">
        <v>60543</v>
      </c>
      <c r="AB685" s="8">
        <f t="shared" si="356"/>
        <v>1191</v>
      </c>
      <c r="AC685" s="8">
        <v>-21014</v>
      </c>
      <c r="AD685" s="8">
        <f t="shared" si="357"/>
        <v>-567</v>
      </c>
      <c r="AE685" s="8">
        <v>232420</v>
      </c>
      <c r="AF685" s="8">
        <f t="shared" si="339"/>
        <v>2345</v>
      </c>
      <c r="AG685" s="8">
        <v>245804</v>
      </c>
      <c r="AH685" s="8">
        <f t="shared" si="340"/>
        <v>-988</v>
      </c>
      <c r="AI685" s="8">
        <v>-13384</v>
      </c>
      <c r="AJ685" s="8">
        <f t="shared" si="341"/>
        <v>3333</v>
      </c>
      <c r="AK685" s="8">
        <v>139542</v>
      </c>
      <c r="AL685" s="8">
        <f t="shared" si="342"/>
        <v>924</v>
      </c>
      <c r="AM685" s="8">
        <v>217141</v>
      </c>
      <c r="AN685" s="8">
        <f t="shared" si="343"/>
        <v>-1171</v>
      </c>
      <c r="AO685" s="8">
        <v>-77599</v>
      </c>
      <c r="AP685" s="8">
        <f t="shared" si="344"/>
        <v>2095</v>
      </c>
      <c r="AR685" s="8">
        <v>2424021</v>
      </c>
      <c r="AS685" s="8">
        <f t="shared" si="345"/>
        <v>41786</v>
      </c>
      <c r="AT685" s="8">
        <v>284799</v>
      </c>
      <c r="AU685" s="8">
        <f t="shared" si="346"/>
        <v>-5192</v>
      </c>
      <c r="AV685" s="8">
        <v>97539</v>
      </c>
      <c r="AW685" s="8">
        <f t="shared" si="347"/>
        <v>-5284</v>
      </c>
      <c r="AX685" s="8">
        <v>187260</v>
      </c>
      <c r="AY685" s="8">
        <f t="shared" si="355"/>
        <v>92</v>
      </c>
      <c r="AZ685" s="8">
        <v>903805</v>
      </c>
      <c r="BA685" s="8">
        <f t="shared" si="349"/>
        <v>21173</v>
      </c>
      <c r="BB685" s="8">
        <v>1294749</v>
      </c>
      <c r="BC685" s="8">
        <f t="shared" si="350"/>
        <v>31112</v>
      </c>
      <c r="BD685" s="8">
        <v>-390944</v>
      </c>
      <c r="BE685" s="8">
        <f t="shared" si="351"/>
        <v>-9939</v>
      </c>
      <c r="BF685" s="8">
        <v>612385</v>
      </c>
      <c r="BG685" s="8">
        <f t="shared" si="352"/>
        <v>7527</v>
      </c>
      <c r="BH685" s="8">
        <v>1134910</v>
      </c>
      <c r="BI685" s="8">
        <f t="shared" si="353"/>
        <v>28073</v>
      </c>
      <c r="BJ685" s="8">
        <v>-522525</v>
      </c>
      <c r="BK685" s="8">
        <f t="shared" si="326"/>
        <v>-20546</v>
      </c>
    </row>
    <row r="686" spans="1:63">
      <c r="A686" s="5">
        <v>43669</v>
      </c>
      <c r="B686" s="8">
        <v>469660</v>
      </c>
      <c r="C686" s="8">
        <f t="shared" si="327"/>
        <v>11791</v>
      </c>
      <c r="D686" s="8">
        <v>63699</v>
      </c>
      <c r="E686" s="8">
        <f t="shared" si="328"/>
        <v>-1785</v>
      </c>
      <c r="F686" s="8">
        <v>102874</v>
      </c>
      <c r="G686" s="8">
        <f t="shared" si="329"/>
        <v>6196</v>
      </c>
      <c r="H686" s="8">
        <v>-39175</v>
      </c>
      <c r="I686" s="8">
        <f t="shared" si="330"/>
        <v>-7981</v>
      </c>
      <c r="J686" s="8">
        <v>218837</v>
      </c>
      <c r="K686" s="8">
        <f t="shared" si="331"/>
        <v>5149</v>
      </c>
      <c r="L686" s="8">
        <v>209746</v>
      </c>
      <c r="M686" s="8">
        <f t="shared" si="332"/>
        <v>-3307</v>
      </c>
      <c r="N686" s="8">
        <v>9091</v>
      </c>
      <c r="O686" s="8">
        <f t="shared" si="333"/>
        <v>8456</v>
      </c>
      <c r="P686" s="8">
        <v>104949</v>
      </c>
      <c r="Q686" s="8">
        <f t="shared" si="334"/>
        <v>5155</v>
      </c>
      <c r="R686" s="8">
        <v>201760</v>
      </c>
      <c r="S686" s="8">
        <f t="shared" si="335"/>
        <v>-3203</v>
      </c>
      <c r="T686" s="8">
        <v>-96811</v>
      </c>
      <c r="U686" s="8">
        <f t="shared" si="336"/>
        <v>8358</v>
      </c>
      <c r="W686" s="8">
        <v>484809</v>
      </c>
      <c r="X686" s="8">
        <f t="shared" si="337"/>
        <v>8756</v>
      </c>
      <c r="Y686" s="8">
        <v>38531</v>
      </c>
      <c r="Z686" s="8">
        <f t="shared" si="338"/>
        <v>-998</v>
      </c>
      <c r="AA686" s="8">
        <v>64210</v>
      </c>
      <c r="AB686" s="8">
        <f t="shared" si="356"/>
        <v>3667</v>
      </c>
      <c r="AC686" s="8">
        <v>-25679</v>
      </c>
      <c r="AD686" s="8">
        <f t="shared" si="357"/>
        <v>-4665</v>
      </c>
      <c r="AE686" s="8">
        <v>236444</v>
      </c>
      <c r="AF686" s="8">
        <f t="shared" si="339"/>
        <v>4024</v>
      </c>
      <c r="AG686" s="8">
        <v>245258</v>
      </c>
      <c r="AH686" s="8">
        <f t="shared" si="340"/>
        <v>-546</v>
      </c>
      <c r="AI686" s="8">
        <v>-8814</v>
      </c>
      <c r="AJ686" s="8">
        <f t="shared" si="341"/>
        <v>4570</v>
      </c>
      <c r="AK686" s="8">
        <v>145670</v>
      </c>
      <c r="AL686" s="8">
        <f t="shared" si="342"/>
        <v>6128</v>
      </c>
      <c r="AM686" s="8">
        <v>217636</v>
      </c>
      <c r="AN686" s="8">
        <f t="shared" si="343"/>
        <v>495</v>
      </c>
      <c r="AO686" s="8">
        <v>-71966</v>
      </c>
      <c r="AP686" s="8">
        <f t="shared" si="344"/>
        <v>5633</v>
      </c>
      <c r="AR686" s="8">
        <v>2399315</v>
      </c>
      <c r="AS686" s="8">
        <f t="shared" si="345"/>
        <v>-24706</v>
      </c>
      <c r="AT686" s="8">
        <v>267288</v>
      </c>
      <c r="AU686" s="8">
        <f t="shared" si="346"/>
        <v>-17511</v>
      </c>
      <c r="AV686" s="8">
        <v>114072</v>
      </c>
      <c r="AW686" s="8">
        <f t="shared" si="347"/>
        <v>16533</v>
      </c>
      <c r="AX686" s="8">
        <v>153216</v>
      </c>
      <c r="AY686" s="8">
        <f t="shared" si="355"/>
        <v>-34044</v>
      </c>
      <c r="AZ686" s="8">
        <v>901575</v>
      </c>
      <c r="BA686" s="8">
        <f t="shared" si="349"/>
        <v>-2230</v>
      </c>
      <c r="BB686" s="8">
        <v>1250494</v>
      </c>
      <c r="BC686" s="8">
        <f t="shared" si="350"/>
        <v>-44255</v>
      </c>
      <c r="BD686" s="8">
        <v>-348919</v>
      </c>
      <c r="BE686" s="8">
        <f t="shared" si="351"/>
        <v>42025</v>
      </c>
      <c r="BF686" s="8">
        <v>602901</v>
      </c>
      <c r="BG686" s="8">
        <f t="shared" si="352"/>
        <v>-9484</v>
      </c>
      <c r="BH686" s="8">
        <v>1094621</v>
      </c>
      <c r="BI686" s="8">
        <f t="shared" si="353"/>
        <v>-40289</v>
      </c>
      <c r="BJ686" s="8">
        <v>-491720</v>
      </c>
      <c r="BK686" s="8">
        <f t="shared" si="326"/>
        <v>30805</v>
      </c>
    </row>
    <row r="687" spans="1:63">
      <c r="A687" s="5">
        <f t="shared" si="354"/>
        <v>43676</v>
      </c>
      <c r="B687" s="8">
        <v>450640</v>
      </c>
      <c r="C687" s="8">
        <f t="shared" si="327"/>
        <v>-19020</v>
      </c>
      <c r="D687" s="8">
        <v>65316</v>
      </c>
      <c r="E687" s="8">
        <f t="shared" si="328"/>
        <v>1617</v>
      </c>
      <c r="F687" s="8">
        <v>89719</v>
      </c>
      <c r="G687" s="8">
        <f t="shared" si="329"/>
        <v>-13155</v>
      </c>
      <c r="H687" s="8">
        <v>-24403</v>
      </c>
      <c r="I687" s="8">
        <f t="shared" si="330"/>
        <v>14772</v>
      </c>
      <c r="J687" s="8">
        <v>209769</v>
      </c>
      <c r="K687" s="8">
        <f t="shared" si="331"/>
        <v>-9068</v>
      </c>
      <c r="L687" s="8">
        <v>211286</v>
      </c>
      <c r="M687" s="8">
        <f t="shared" si="332"/>
        <v>1540</v>
      </c>
      <c r="N687" s="8">
        <v>-1517</v>
      </c>
      <c r="O687" s="8">
        <f t="shared" si="333"/>
        <v>-10608</v>
      </c>
      <c r="P687" s="8">
        <v>94062</v>
      </c>
      <c r="Q687" s="8">
        <f t="shared" si="334"/>
        <v>-10887</v>
      </c>
      <c r="R687" s="8">
        <v>202049</v>
      </c>
      <c r="S687" s="8">
        <f t="shared" si="335"/>
        <v>289</v>
      </c>
      <c r="T687" s="8">
        <v>-107987</v>
      </c>
      <c r="U687" s="8">
        <f t="shared" si="336"/>
        <v>-11176</v>
      </c>
      <c r="W687" s="8">
        <v>455791</v>
      </c>
      <c r="X687" s="8">
        <f t="shared" si="337"/>
        <v>-29018</v>
      </c>
      <c r="Y687" s="8">
        <v>38764</v>
      </c>
      <c r="Z687" s="8">
        <f t="shared" si="338"/>
        <v>233</v>
      </c>
      <c r="AA687" s="8">
        <v>71058</v>
      </c>
      <c r="AB687" s="8">
        <f t="shared" si="356"/>
        <v>6848</v>
      </c>
      <c r="AC687" s="8">
        <v>-32294</v>
      </c>
      <c r="AD687" s="8">
        <f t="shared" si="357"/>
        <v>-6615</v>
      </c>
      <c r="AE687" s="8">
        <v>219224</v>
      </c>
      <c r="AF687" s="8">
        <f t="shared" si="339"/>
        <v>-17220</v>
      </c>
      <c r="AG687" s="8">
        <v>220104</v>
      </c>
      <c r="AH687" s="8">
        <f t="shared" si="340"/>
        <v>-25154</v>
      </c>
      <c r="AI687" s="8">
        <v>-880</v>
      </c>
      <c r="AJ687" s="8">
        <f t="shared" si="341"/>
        <v>7934</v>
      </c>
      <c r="AK687" s="8">
        <v>129991</v>
      </c>
      <c r="AL687" s="8">
        <f t="shared" si="342"/>
        <v>-15679</v>
      </c>
      <c r="AM687" s="8">
        <v>194631</v>
      </c>
      <c r="AN687" s="8">
        <f t="shared" si="343"/>
        <v>-23005</v>
      </c>
      <c r="AO687" s="8">
        <v>-64640</v>
      </c>
      <c r="AP687" s="8">
        <f t="shared" si="344"/>
        <v>7326</v>
      </c>
      <c r="AR687" s="8">
        <v>2295213</v>
      </c>
      <c r="AS687" s="8">
        <f t="shared" si="345"/>
        <v>-104102</v>
      </c>
      <c r="AT687" s="8">
        <v>246009</v>
      </c>
      <c r="AU687" s="8">
        <f t="shared" si="346"/>
        <v>-21279</v>
      </c>
      <c r="AV687" s="8">
        <v>134057</v>
      </c>
      <c r="AW687" s="8">
        <f t="shared" si="347"/>
        <v>19985</v>
      </c>
      <c r="AX687" s="8">
        <v>111952</v>
      </c>
      <c r="AY687" s="8">
        <f t="shared" si="355"/>
        <v>-41264</v>
      </c>
      <c r="AZ687" s="8">
        <v>880280</v>
      </c>
      <c r="BA687" s="8">
        <f t="shared" si="349"/>
        <v>-21295</v>
      </c>
      <c r="BB687" s="8">
        <v>1197651</v>
      </c>
      <c r="BC687" s="8">
        <f t="shared" si="350"/>
        <v>-52843</v>
      </c>
      <c r="BD687" s="8">
        <v>-317371</v>
      </c>
      <c r="BE687" s="8">
        <f t="shared" si="351"/>
        <v>31548</v>
      </c>
      <c r="BF687" s="8">
        <v>583915</v>
      </c>
      <c r="BG687" s="8">
        <f t="shared" si="352"/>
        <v>-18986</v>
      </c>
      <c r="BH687" s="8">
        <v>1046269</v>
      </c>
      <c r="BI687" s="8">
        <f t="shared" si="353"/>
        <v>-48352</v>
      </c>
      <c r="BJ687" s="8">
        <v>-462354</v>
      </c>
      <c r="BK687" s="8">
        <f t="shared" si="326"/>
        <v>29366</v>
      </c>
    </row>
    <row r="688" spans="1:63">
      <c r="A688" s="5">
        <f t="shared" si="354"/>
        <v>43683</v>
      </c>
      <c r="B688" s="8">
        <v>468719</v>
      </c>
      <c r="C688" s="8">
        <f t="shared" si="327"/>
        <v>18079</v>
      </c>
      <c r="D688" s="8">
        <v>64560</v>
      </c>
      <c r="E688" s="8">
        <f t="shared" si="328"/>
        <v>-756</v>
      </c>
      <c r="F688" s="8">
        <v>101635</v>
      </c>
      <c r="G688" s="8">
        <f t="shared" si="329"/>
        <v>11916</v>
      </c>
      <c r="H688" s="8">
        <v>-37075</v>
      </c>
      <c r="I688" s="8">
        <f t="shared" si="330"/>
        <v>-12672</v>
      </c>
      <c r="J688" s="8">
        <v>219880</v>
      </c>
      <c r="K688" s="8">
        <f t="shared" si="331"/>
        <v>10111</v>
      </c>
      <c r="L688" s="8">
        <v>213261</v>
      </c>
      <c r="M688" s="8">
        <f t="shared" si="332"/>
        <v>1975</v>
      </c>
      <c r="N688" s="8">
        <v>6619</v>
      </c>
      <c r="O688" s="8">
        <f t="shared" si="333"/>
        <v>8136</v>
      </c>
      <c r="P688" s="8">
        <v>102691</v>
      </c>
      <c r="Q688" s="8">
        <f t="shared" si="334"/>
        <v>8629</v>
      </c>
      <c r="R688" s="8">
        <v>202602</v>
      </c>
      <c r="S688" s="8">
        <f t="shared" si="335"/>
        <v>553</v>
      </c>
      <c r="T688" s="8">
        <v>-99911</v>
      </c>
      <c r="U688" s="8">
        <f t="shared" si="336"/>
        <v>8076</v>
      </c>
      <c r="W688" s="8">
        <v>475751</v>
      </c>
      <c r="X688" s="8">
        <f t="shared" si="337"/>
        <v>19960</v>
      </c>
      <c r="Y688" s="8">
        <v>42014</v>
      </c>
      <c r="Z688" s="8">
        <f t="shared" si="338"/>
        <v>3250</v>
      </c>
      <c r="AA688" s="8">
        <v>81077</v>
      </c>
      <c r="AB688" s="8">
        <f t="shared" si="356"/>
        <v>10019</v>
      </c>
      <c r="AC688" s="8">
        <v>-39063</v>
      </c>
      <c r="AD688" s="8">
        <f t="shared" si="357"/>
        <v>-6769</v>
      </c>
      <c r="AE688" s="8">
        <v>226129</v>
      </c>
      <c r="AF688" s="8">
        <f t="shared" si="339"/>
        <v>6905</v>
      </c>
      <c r="AG688" s="8">
        <v>223987</v>
      </c>
      <c r="AH688" s="8">
        <f t="shared" si="340"/>
        <v>3883</v>
      </c>
      <c r="AI688" s="8">
        <v>2142</v>
      </c>
      <c r="AJ688" s="8">
        <f t="shared" si="341"/>
        <v>3022</v>
      </c>
      <c r="AK688" s="8">
        <v>136292</v>
      </c>
      <c r="AL688" s="8">
        <f t="shared" si="342"/>
        <v>6301</v>
      </c>
      <c r="AM688" s="8">
        <v>199573</v>
      </c>
      <c r="AN688" s="8">
        <f t="shared" si="343"/>
        <v>4942</v>
      </c>
      <c r="AO688" s="8">
        <v>-63281</v>
      </c>
      <c r="AP688" s="8">
        <f t="shared" si="344"/>
        <v>1359</v>
      </c>
      <c r="AR688" s="8">
        <v>2348072</v>
      </c>
      <c r="AS688" s="8">
        <f t="shared" si="345"/>
        <v>52859</v>
      </c>
      <c r="AT688" s="8">
        <v>228926</v>
      </c>
      <c r="AU688" s="8">
        <f t="shared" si="346"/>
        <v>-17083</v>
      </c>
      <c r="AV688" s="8">
        <v>149419</v>
      </c>
      <c r="AW688" s="8">
        <f t="shared" si="347"/>
        <v>15362</v>
      </c>
      <c r="AX688" s="8">
        <v>79507</v>
      </c>
      <c r="AY688" s="8">
        <f t="shared" si="355"/>
        <v>-32445</v>
      </c>
      <c r="AZ688" s="8">
        <v>925759</v>
      </c>
      <c r="BA688" s="8">
        <f t="shared" si="349"/>
        <v>45479</v>
      </c>
      <c r="BB688" s="8">
        <v>1220791</v>
      </c>
      <c r="BC688" s="8">
        <f t="shared" si="350"/>
        <v>23140</v>
      </c>
      <c r="BD688" s="8">
        <v>-295032</v>
      </c>
      <c r="BE688" s="8">
        <f t="shared" si="351"/>
        <v>22339</v>
      </c>
      <c r="BF688" s="8">
        <v>634075</v>
      </c>
      <c r="BG688" s="8">
        <f t="shared" si="352"/>
        <v>50160</v>
      </c>
      <c r="BH688" s="8">
        <v>1063958</v>
      </c>
      <c r="BI688" s="8">
        <f t="shared" si="353"/>
        <v>17689</v>
      </c>
      <c r="BJ688" s="8">
        <v>-429883</v>
      </c>
      <c r="BK688" s="8">
        <f t="shared" si="326"/>
        <v>32471</v>
      </c>
    </row>
    <row r="689" spans="1:63">
      <c r="A689" s="5">
        <f t="shared" si="354"/>
        <v>43690</v>
      </c>
      <c r="B689" s="8">
        <v>485712</v>
      </c>
      <c r="C689" s="8">
        <f t="shared" si="327"/>
        <v>16993</v>
      </c>
      <c r="D689" s="8">
        <v>72788</v>
      </c>
      <c r="E689" s="8">
        <f t="shared" si="328"/>
        <v>8228</v>
      </c>
      <c r="F689" s="8">
        <v>62459</v>
      </c>
      <c r="G689" s="8">
        <f t="shared" si="329"/>
        <v>-39176</v>
      </c>
      <c r="H689" s="8">
        <v>10329</v>
      </c>
      <c r="I689" s="8">
        <f t="shared" si="330"/>
        <v>47404</v>
      </c>
      <c r="J689" s="8">
        <v>215344</v>
      </c>
      <c r="K689" s="8">
        <f t="shared" si="331"/>
        <v>-4536</v>
      </c>
      <c r="L689" s="8">
        <v>263407</v>
      </c>
      <c r="M689" s="8">
        <f t="shared" si="332"/>
        <v>50146</v>
      </c>
      <c r="N689" s="8">
        <v>-48063</v>
      </c>
      <c r="O689" s="8">
        <f t="shared" si="333"/>
        <v>-54682</v>
      </c>
      <c r="P689" s="8">
        <v>98448</v>
      </c>
      <c r="Q689" s="8">
        <f t="shared" si="334"/>
        <v>-4243</v>
      </c>
      <c r="R689" s="8">
        <v>252498</v>
      </c>
      <c r="S689" s="8">
        <f t="shared" si="335"/>
        <v>49896</v>
      </c>
      <c r="T689" s="8">
        <v>-154050</v>
      </c>
      <c r="U689" s="8">
        <f t="shared" si="336"/>
        <v>-54139</v>
      </c>
      <c r="W689" s="8">
        <v>476971</v>
      </c>
      <c r="X689" s="8">
        <f t="shared" si="337"/>
        <v>1220</v>
      </c>
      <c r="Y689" s="8">
        <v>43956</v>
      </c>
      <c r="Z689" s="8">
        <f t="shared" si="338"/>
        <v>1942</v>
      </c>
      <c r="AA689" s="8">
        <v>80380</v>
      </c>
      <c r="AB689" s="8">
        <f t="shared" si="356"/>
        <v>-697</v>
      </c>
      <c r="AC689" s="8">
        <v>-36424</v>
      </c>
      <c r="AD689" s="8">
        <f t="shared" si="357"/>
        <v>2639</v>
      </c>
      <c r="AE689" s="8">
        <v>229302</v>
      </c>
      <c r="AF689" s="8">
        <f t="shared" si="339"/>
        <v>3173</v>
      </c>
      <c r="AG689" s="8">
        <v>233543</v>
      </c>
      <c r="AH689" s="8">
        <f t="shared" si="340"/>
        <v>9556</v>
      </c>
      <c r="AI689" s="8">
        <v>-4241</v>
      </c>
      <c r="AJ689" s="8">
        <f t="shared" si="341"/>
        <v>-6383</v>
      </c>
      <c r="AK689" s="8">
        <v>138512</v>
      </c>
      <c r="AL689" s="8">
        <f t="shared" si="342"/>
        <v>2220</v>
      </c>
      <c r="AM689" s="8">
        <v>207541</v>
      </c>
      <c r="AN689" s="8">
        <f t="shared" si="343"/>
        <v>7968</v>
      </c>
      <c r="AO689" s="8">
        <v>-69029</v>
      </c>
      <c r="AP689" s="8">
        <f t="shared" si="344"/>
        <v>-5748</v>
      </c>
      <c r="AR689" s="8">
        <v>2351921</v>
      </c>
      <c r="AS689" s="8">
        <f t="shared" si="345"/>
        <v>3849</v>
      </c>
      <c r="AT689" s="8">
        <v>210926</v>
      </c>
      <c r="AU689" s="8">
        <f t="shared" si="346"/>
        <v>-18000</v>
      </c>
      <c r="AV689" s="8">
        <v>166413</v>
      </c>
      <c r="AW689" s="8">
        <f t="shared" si="347"/>
        <v>16994</v>
      </c>
      <c r="AX689" s="8">
        <v>44513</v>
      </c>
      <c r="AY689" s="8">
        <f t="shared" si="355"/>
        <v>-34994</v>
      </c>
      <c r="AZ689" s="8">
        <v>946830</v>
      </c>
      <c r="BA689" s="8">
        <f t="shared" si="349"/>
        <v>21071</v>
      </c>
      <c r="BB689" s="8">
        <v>1164457</v>
      </c>
      <c r="BC689" s="8">
        <f t="shared" si="350"/>
        <v>-56334</v>
      </c>
      <c r="BD689" s="8">
        <v>-217627</v>
      </c>
      <c r="BE689" s="8">
        <f t="shared" si="351"/>
        <v>77405</v>
      </c>
      <c r="BF689" s="8">
        <v>678737</v>
      </c>
      <c r="BG689" s="8">
        <f t="shared" si="352"/>
        <v>44662</v>
      </c>
      <c r="BH689" s="8">
        <v>1071204</v>
      </c>
      <c r="BI689" s="8">
        <f t="shared" si="353"/>
        <v>7246</v>
      </c>
      <c r="BJ689" s="8">
        <v>-392467</v>
      </c>
      <c r="BK689" s="8">
        <f t="shared" si="326"/>
        <v>37416</v>
      </c>
    </row>
    <row r="690" spans="1:63">
      <c r="A690" s="5">
        <f t="shared" si="354"/>
        <v>43697</v>
      </c>
      <c r="B690" s="8">
        <v>500135</v>
      </c>
      <c r="C690" s="8">
        <f t="shared" si="327"/>
        <v>14423</v>
      </c>
      <c r="D690" s="8">
        <v>70689</v>
      </c>
      <c r="E690" s="8">
        <f t="shared" si="328"/>
        <v>-2099</v>
      </c>
      <c r="F690" s="8">
        <v>67707</v>
      </c>
      <c r="G690" s="8">
        <f t="shared" si="329"/>
        <v>5248</v>
      </c>
      <c r="H690" s="8">
        <v>2982</v>
      </c>
      <c r="I690" s="8">
        <f t="shared" si="330"/>
        <v>-7347</v>
      </c>
      <c r="J690" s="8">
        <v>219034</v>
      </c>
      <c r="K690" s="8">
        <f t="shared" si="331"/>
        <v>3690</v>
      </c>
      <c r="L690" s="8">
        <v>261927</v>
      </c>
      <c r="M690" s="8">
        <f t="shared" si="332"/>
        <v>-1480</v>
      </c>
      <c r="N690" s="8">
        <v>-42893</v>
      </c>
      <c r="O690" s="8">
        <f t="shared" si="333"/>
        <v>5170</v>
      </c>
      <c r="P690" s="8">
        <v>100976</v>
      </c>
      <c r="Q690" s="8">
        <f t="shared" si="334"/>
        <v>2528</v>
      </c>
      <c r="R690" s="8">
        <v>250725</v>
      </c>
      <c r="S690" s="8">
        <f t="shared" si="335"/>
        <v>-1773</v>
      </c>
      <c r="T690" s="8">
        <v>-149749</v>
      </c>
      <c r="U690" s="8">
        <f t="shared" si="336"/>
        <v>4301</v>
      </c>
      <c r="W690" s="8">
        <v>481674</v>
      </c>
      <c r="X690" s="8">
        <f t="shared" si="337"/>
        <v>4703</v>
      </c>
      <c r="Y690" s="8">
        <v>42633</v>
      </c>
      <c r="Z690" s="8">
        <f t="shared" si="338"/>
        <v>-1323</v>
      </c>
      <c r="AA690" s="8">
        <v>78795</v>
      </c>
      <c r="AB690" s="8">
        <f t="shared" si="356"/>
        <v>-1585</v>
      </c>
      <c r="AC690" s="8">
        <v>-36162</v>
      </c>
      <c r="AD690" s="8">
        <f t="shared" si="357"/>
        <v>262</v>
      </c>
      <c r="AE690" s="8">
        <v>233902</v>
      </c>
      <c r="AF690" s="8">
        <f t="shared" si="339"/>
        <v>4600</v>
      </c>
      <c r="AG690" s="8">
        <v>237358</v>
      </c>
      <c r="AH690" s="8">
        <f t="shared" si="340"/>
        <v>3815</v>
      </c>
      <c r="AI690" s="8">
        <v>-3456</v>
      </c>
      <c r="AJ690" s="8">
        <f t="shared" si="341"/>
        <v>785</v>
      </c>
      <c r="AK690" s="8">
        <v>141831</v>
      </c>
      <c r="AL690" s="8">
        <f t="shared" si="342"/>
        <v>3319</v>
      </c>
      <c r="AM690" s="8">
        <v>208314</v>
      </c>
      <c r="AN690" s="8">
        <f t="shared" si="343"/>
        <v>773</v>
      </c>
      <c r="AO690" s="8">
        <v>-66483</v>
      </c>
      <c r="AP690" s="8">
        <f t="shared" si="344"/>
        <v>2546</v>
      </c>
      <c r="AR690" s="8">
        <v>2327438</v>
      </c>
      <c r="AS690" s="8">
        <f t="shared" si="345"/>
        <v>-24483</v>
      </c>
      <c r="AT690" s="8">
        <v>180200</v>
      </c>
      <c r="AU690" s="8">
        <f t="shared" si="346"/>
        <v>-30726</v>
      </c>
      <c r="AV690" s="8">
        <v>236641</v>
      </c>
      <c r="AW690" s="8">
        <f t="shared" si="347"/>
        <v>70228</v>
      </c>
      <c r="AX690" s="8">
        <v>-56441</v>
      </c>
      <c r="AY690" s="8">
        <f t="shared" si="355"/>
        <v>-100954</v>
      </c>
      <c r="AZ690" s="8">
        <v>952555</v>
      </c>
      <c r="BA690" s="8">
        <f t="shared" si="349"/>
        <v>5725</v>
      </c>
      <c r="BB690" s="8">
        <v>1091356</v>
      </c>
      <c r="BC690" s="8">
        <f t="shared" si="350"/>
        <v>-73101</v>
      </c>
      <c r="BD690" s="8">
        <v>-138801</v>
      </c>
      <c r="BE690" s="8">
        <f t="shared" si="351"/>
        <v>78826</v>
      </c>
      <c r="BF690" s="8">
        <v>680785</v>
      </c>
      <c r="BG690" s="8">
        <f t="shared" si="352"/>
        <v>2048</v>
      </c>
      <c r="BH690" s="8">
        <v>993054</v>
      </c>
      <c r="BI690" s="8">
        <f t="shared" si="353"/>
        <v>-78150</v>
      </c>
      <c r="BJ690" s="8">
        <v>-312269</v>
      </c>
      <c r="BK690" s="8">
        <f t="shared" si="326"/>
        <v>80198</v>
      </c>
    </row>
    <row r="691" spans="1:63">
      <c r="A691" s="5">
        <f t="shared" si="354"/>
        <v>43704</v>
      </c>
      <c r="B691" s="8">
        <v>496033</v>
      </c>
      <c r="C691" s="8">
        <f t="shared" si="327"/>
        <v>-4102</v>
      </c>
      <c r="D691" s="8">
        <v>64658</v>
      </c>
      <c r="E691" s="8">
        <f t="shared" si="328"/>
        <v>-6031</v>
      </c>
      <c r="F691" s="8">
        <v>79181</v>
      </c>
      <c r="G691" s="8">
        <f t="shared" si="329"/>
        <v>11474</v>
      </c>
      <c r="H691" s="8">
        <v>-14523</v>
      </c>
      <c r="I691" s="8">
        <f t="shared" si="330"/>
        <v>-17505</v>
      </c>
      <c r="J691" s="8">
        <v>228095</v>
      </c>
      <c r="K691" s="8">
        <f t="shared" si="331"/>
        <v>9061</v>
      </c>
      <c r="L691" s="8">
        <v>255351</v>
      </c>
      <c r="M691" s="8">
        <f t="shared" si="332"/>
        <v>-6576</v>
      </c>
      <c r="N691" s="8">
        <v>-27256</v>
      </c>
      <c r="O691" s="8">
        <f t="shared" si="333"/>
        <v>15637</v>
      </c>
      <c r="P691" s="8">
        <v>107069</v>
      </c>
      <c r="Q691" s="8">
        <f t="shared" si="334"/>
        <v>6093</v>
      </c>
      <c r="R691" s="8">
        <v>242997</v>
      </c>
      <c r="S691" s="8">
        <f t="shared" si="335"/>
        <v>-7728</v>
      </c>
      <c r="T691" s="8">
        <v>-135928</v>
      </c>
      <c r="U691" s="8">
        <f t="shared" si="336"/>
        <v>13821</v>
      </c>
      <c r="W691" s="8">
        <v>474296</v>
      </c>
      <c r="X691" s="8">
        <f t="shared" si="337"/>
        <v>-7378</v>
      </c>
      <c r="Y691" s="8">
        <v>42834</v>
      </c>
      <c r="Z691" s="8">
        <f t="shared" si="338"/>
        <v>201</v>
      </c>
      <c r="AA691" s="8">
        <v>77851</v>
      </c>
      <c r="AB691" s="8">
        <f t="shared" si="356"/>
        <v>-944</v>
      </c>
      <c r="AC691" s="8">
        <v>-35017</v>
      </c>
      <c r="AD691" s="8">
        <f t="shared" si="357"/>
        <v>1145</v>
      </c>
      <c r="AE691" s="8">
        <v>236360</v>
      </c>
      <c r="AF691" s="8">
        <f t="shared" si="339"/>
        <v>2458</v>
      </c>
      <c r="AG691" s="8">
        <v>238727</v>
      </c>
      <c r="AH691" s="8">
        <f t="shared" si="340"/>
        <v>1369</v>
      </c>
      <c r="AI691" s="8">
        <v>-2367</v>
      </c>
      <c r="AJ691" s="8">
        <f t="shared" si="341"/>
        <v>1089</v>
      </c>
      <c r="AK691" s="8">
        <v>144933</v>
      </c>
      <c r="AL691" s="8">
        <f t="shared" si="342"/>
        <v>3102</v>
      </c>
      <c r="AM691" s="8">
        <v>211144</v>
      </c>
      <c r="AN691" s="8">
        <f t="shared" si="343"/>
        <v>2830</v>
      </c>
      <c r="AO691" s="8">
        <v>-66211</v>
      </c>
      <c r="AP691" s="8">
        <f t="shared" si="344"/>
        <v>272</v>
      </c>
      <c r="AR691" s="8">
        <v>2032700</v>
      </c>
      <c r="AS691" s="8">
        <f t="shared" si="345"/>
        <v>-294738</v>
      </c>
      <c r="AT691" s="8">
        <v>170237</v>
      </c>
      <c r="AU691" s="8">
        <f t="shared" si="346"/>
        <v>-9963</v>
      </c>
      <c r="AV691" s="8">
        <v>264374</v>
      </c>
      <c r="AW691" s="8">
        <f t="shared" si="347"/>
        <v>27733</v>
      </c>
      <c r="AX691" s="8">
        <v>-94137</v>
      </c>
      <c r="AY691" s="8">
        <f t="shared" si="355"/>
        <v>-37696</v>
      </c>
      <c r="AZ691" s="8">
        <v>881728</v>
      </c>
      <c r="BA691" s="8">
        <f t="shared" si="349"/>
        <v>-70827</v>
      </c>
      <c r="BB691" s="8">
        <v>975220</v>
      </c>
      <c r="BC691" s="8">
        <f t="shared" si="350"/>
        <v>-116136</v>
      </c>
      <c r="BD691" s="8">
        <v>-93492</v>
      </c>
      <c r="BE691" s="8">
        <f t="shared" si="351"/>
        <v>45309</v>
      </c>
      <c r="BF691" s="8">
        <v>635619</v>
      </c>
      <c r="BG691" s="8">
        <f t="shared" si="352"/>
        <v>-45166</v>
      </c>
      <c r="BH691" s="8">
        <v>897142</v>
      </c>
      <c r="BI691" s="8">
        <f t="shared" si="353"/>
        <v>-95912</v>
      </c>
      <c r="BJ691" s="8">
        <v>-261523</v>
      </c>
      <c r="BK691" s="8">
        <f t="shared" si="326"/>
        <v>50746</v>
      </c>
    </row>
    <row r="692" spans="1:63">
      <c r="A692" s="5">
        <f t="shared" si="354"/>
        <v>43711</v>
      </c>
      <c r="B692" s="8">
        <v>507823</v>
      </c>
      <c r="C692" s="8">
        <f t="shared" si="327"/>
        <v>11790</v>
      </c>
      <c r="D692" s="8">
        <v>66722</v>
      </c>
      <c r="E692" s="8">
        <f t="shared" si="328"/>
        <v>2064</v>
      </c>
      <c r="F692" s="8">
        <v>79453</v>
      </c>
      <c r="G692" s="8">
        <f t="shared" si="329"/>
        <v>272</v>
      </c>
      <c r="H692" s="8">
        <v>-12731</v>
      </c>
      <c r="I692" s="8">
        <f t="shared" si="330"/>
        <v>1792</v>
      </c>
      <c r="J692" s="8">
        <v>228098</v>
      </c>
      <c r="K692" s="8">
        <f t="shared" si="331"/>
        <v>3</v>
      </c>
      <c r="L692" s="8">
        <v>257919</v>
      </c>
      <c r="M692" s="8">
        <f t="shared" si="332"/>
        <v>2568</v>
      </c>
      <c r="N692" s="8">
        <v>-29821</v>
      </c>
      <c r="O692" s="8">
        <f t="shared" si="333"/>
        <v>-2565</v>
      </c>
      <c r="P692" s="8">
        <v>108227</v>
      </c>
      <c r="Q692" s="8">
        <f t="shared" si="334"/>
        <v>1158</v>
      </c>
      <c r="R692" s="8">
        <v>246448</v>
      </c>
      <c r="S692" s="8">
        <f t="shared" si="335"/>
        <v>3451</v>
      </c>
      <c r="T692" s="8">
        <v>-138221</v>
      </c>
      <c r="U692" s="8">
        <f t="shared" si="336"/>
        <v>-2293</v>
      </c>
      <c r="W692" s="8">
        <v>469818</v>
      </c>
      <c r="X692" s="8">
        <f t="shared" si="337"/>
        <v>-4478</v>
      </c>
      <c r="Y692" s="8">
        <v>42471</v>
      </c>
      <c r="Z692" s="8">
        <f t="shared" si="338"/>
        <v>-363</v>
      </c>
      <c r="AA692" s="8">
        <v>85999</v>
      </c>
      <c r="AB692" s="8">
        <f t="shared" si="356"/>
        <v>8148</v>
      </c>
      <c r="AC692" s="8">
        <v>-43528</v>
      </c>
      <c r="AD692" s="8">
        <f t="shared" si="357"/>
        <v>-8511</v>
      </c>
      <c r="AE692" s="8">
        <v>228127</v>
      </c>
      <c r="AF692" s="8">
        <f t="shared" si="339"/>
        <v>-8233</v>
      </c>
      <c r="AG692" s="8">
        <v>219873</v>
      </c>
      <c r="AH692" s="8">
        <f t="shared" si="340"/>
        <v>-18854</v>
      </c>
      <c r="AI692" s="8">
        <v>8254</v>
      </c>
      <c r="AJ692" s="8">
        <f t="shared" si="341"/>
        <v>10621</v>
      </c>
      <c r="AK692" s="8">
        <v>137131</v>
      </c>
      <c r="AL692" s="8">
        <f t="shared" si="342"/>
        <v>-7802</v>
      </c>
      <c r="AM692" s="8">
        <v>194570</v>
      </c>
      <c r="AN692" s="8">
        <f t="shared" si="343"/>
        <v>-16574</v>
      </c>
      <c r="AO692" s="8">
        <v>-57439</v>
      </c>
      <c r="AP692" s="8">
        <f t="shared" si="344"/>
        <v>8772</v>
      </c>
      <c r="AR692" s="8">
        <v>1989742</v>
      </c>
      <c r="AS692" s="8">
        <f t="shared" si="345"/>
        <v>-42958</v>
      </c>
      <c r="AT692" s="8">
        <v>167410</v>
      </c>
      <c r="AU692" s="8">
        <f t="shared" si="346"/>
        <v>-2827</v>
      </c>
      <c r="AV692" s="8">
        <v>286781</v>
      </c>
      <c r="AW692" s="8">
        <f t="shared" si="347"/>
        <v>22407</v>
      </c>
      <c r="AX692" s="8">
        <v>-119371</v>
      </c>
      <c r="AY692" s="8">
        <f t="shared" si="355"/>
        <v>-25234</v>
      </c>
      <c r="AZ692" s="8">
        <v>850972</v>
      </c>
      <c r="BA692" s="8">
        <f t="shared" si="349"/>
        <v>-30756</v>
      </c>
      <c r="BB692" s="8">
        <v>922287</v>
      </c>
      <c r="BC692" s="8">
        <f t="shared" si="350"/>
        <v>-52933</v>
      </c>
      <c r="BD692" s="8">
        <v>-71315</v>
      </c>
      <c r="BE692" s="8">
        <f t="shared" si="351"/>
        <v>22177</v>
      </c>
      <c r="BF692" s="8">
        <v>602254</v>
      </c>
      <c r="BG692" s="8">
        <f t="shared" si="352"/>
        <v>-33365</v>
      </c>
      <c r="BH692" s="8">
        <v>833152</v>
      </c>
      <c r="BI692" s="8">
        <f t="shared" si="353"/>
        <v>-63990</v>
      </c>
      <c r="BJ692" s="8">
        <v>-230898</v>
      </c>
      <c r="BK692" s="8">
        <f t="shared" si="326"/>
        <v>30625</v>
      </c>
    </row>
    <row r="693" spans="1:63">
      <c r="A693" s="5">
        <f t="shared" si="354"/>
        <v>43718</v>
      </c>
      <c r="B693" s="8">
        <v>526548</v>
      </c>
      <c r="C693" s="8">
        <f t="shared" si="327"/>
        <v>18725</v>
      </c>
      <c r="D693" s="8">
        <v>64853</v>
      </c>
      <c r="E693" s="8">
        <f t="shared" si="328"/>
        <v>-1869</v>
      </c>
      <c r="F693" s="8">
        <v>83959</v>
      </c>
      <c r="G693" s="8">
        <f t="shared" si="329"/>
        <v>4506</v>
      </c>
      <c r="H693" s="8">
        <v>-19106</v>
      </c>
      <c r="I693" s="8">
        <f t="shared" si="330"/>
        <v>-6375</v>
      </c>
      <c r="J693" s="8">
        <v>228323</v>
      </c>
      <c r="K693" s="8">
        <f t="shared" si="331"/>
        <v>225</v>
      </c>
      <c r="L693" s="8">
        <v>251672</v>
      </c>
      <c r="M693" s="8">
        <f t="shared" si="332"/>
        <v>-6247</v>
      </c>
      <c r="N693" s="8">
        <v>-23349</v>
      </c>
      <c r="O693" s="8">
        <f t="shared" si="333"/>
        <v>6472</v>
      </c>
      <c r="P693" s="8">
        <v>107169</v>
      </c>
      <c r="Q693" s="8">
        <f t="shared" si="334"/>
        <v>-1058</v>
      </c>
      <c r="R693" s="8">
        <v>240691</v>
      </c>
      <c r="S693" s="8">
        <f t="shared" si="335"/>
        <v>-5757</v>
      </c>
      <c r="T693" s="8">
        <v>-133522</v>
      </c>
      <c r="U693" s="8">
        <f t="shared" si="336"/>
        <v>4699</v>
      </c>
      <c r="W693" s="8">
        <v>476748</v>
      </c>
      <c r="X693" s="8">
        <f t="shared" si="337"/>
        <v>6930</v>
      </c>
      <c r="Y693" s="8">
        <v>40998</v>
      </c>
      <c r="Z693" s="8">
        <f t="shared" si="338"/>
        <v>-1473</v>
      </c>
      <c r="AA693" s="8">
        <v>88604</v>
      </c>
      <c r="AB693" s="8">
        <f t="shared" si="356"/>
        <v>2605</v>
      </c>
      <c r="AC693" s="8">
        <v>-47606</v>
      </c>
      <c r="AD693" s="8">
        <f t="shared" si="357"/>
        <v>-4078</v>
      </c>
      <c r="AE693" s="8">
        <v>229596</v>
      </c>
      <c r="AF693" s="8">
        <f t="shared" si="339"/>
        <v>1469</v>
      </c>
      <c r="AG693" s="8">
        <v>221979</v>
      </c>
      <c r="AH693" s="8">
        <f t="shared" si="340"/>
        <v>2106</v>
      </c>
      <c r="AI693" s="8">
        <v>7617</v>
      </c>
      <c r="AJ693" s="8">
        <f t="shared" si="341"/>
        <v>-637</v>
      </c>
      <c r="AK693" s="8">
        <v>139138</v>
      </c>
      <c r="AL693" s="8">
        <f t="shared" si="342"/>
        <v>2007</v>
      </c>
      <c r="AM693" s="8">
        <v>195359</v>
      </c>
      <c r="AN693" s="8">
        <f t="shared" si="343"/>
        <v>789</v>
      </c>
      <c r="AO693" s="8">
        <v>-56221</v>
      </c>
      <c r="AP693" s="8">
        <f t="shared" si="344"/>
        <v>1218</v>
      </c>
      <c r="AR693" s="8">
        <v>2075792</v>
      </c>
      <c r="AS693" s="8">
        <f t="shared" si="345"/>
        <v>86050</v>
      </c>
      <c r="AT693" s="8">
        <v>174226</v>
      </c>
      <c r="AU693" s="8">
        <f t="shared" si="346"/>
        <v>6816</v>
      </c>
      <c r="AV693" s="8">
        <v>310625</v>
      </c>
      <c r="AW693" s="8">
        <f t="shared" si="347"/>
        <v>23844</v>
      </c>
      <c r="AX693" s="8">
        <v>-136399</v>
      </c>
      <c r="AY693" s="8">
        <f t="shared" si="355"/>
        <v>-17028</v>
      </c>
      <c r="AZ693" s="8">
        <v>878241</v>
      </c>
      <c r="BA693" s="8">
        <f t="shared" si="349"/>
        <v>27269</v>
      </c>
      <c r="BB693" s="8">
        <v>918279</v>
      </c>
      <c r="BC693" s="8">
        <f t="shared" si="350"/>
        <v>-4008</v>
      </c>
      <c r="BD693" s="8">
        <v>-40038</v>
      </c>
      <c r="BE693" s="8">
        <f t="shared" si="351"/>
        <v>31277</v>
      </c>
      <c r="BF693" s="8">
        <v>639638</v>
      </c>
      <c r="BG693" s="8">
        <f t="shared" si="352"/>
        <v>37384</v>
      </c>
      <c r="BH693" s="8">
        <v>825541</v>
      </c>
      <c r="BI693" s="8">
        <f t="shared" si="353"/>
        <v>-7611</v>
      </c>
      <c r="BJ693" s="8">
        <v>-185903</v>
      </c>
      <c r="BK693" s="8">
        <f t="shared" si="326"/>
        <v>44995</v>
      </c>
    </row>
    <row r="694" spans="1:63">
      <c r="A694" s="5">
        <f t="shared" si="354"/>
        <v>43725</v>
      </c>
      <c r="B694" s="8">
        <v>527411</v>
      </c>
      <c r="C694" s="8">
        <f t="shared" si="327"/>
        <v>863</v>
      </c>
      <c r="D694" s="8">
        <v>71174</v>
      </c>
      <c r="E694" s="8">
        <f t="shared" si="328"/>
        <v>6321</v>
      </c>
      <c r="F694" s="8">
        <v>51243</v>
      </c>
      <c r="G694" s="8">
        <f t="shared" si="329"/>
        <v>-32716</v>
      </c>
      <c r="H694" s="8">
        <v>19931</v>
      </c>
      <c r="I694" s="8">
        <f t="shared" si="330"/>
        <v>39037</v>
      </c>
      <c r="J694" s="8">
        <v>220824</v>
      </c>
      <c r="K694" s="8">
        <f t="shared" si="331"/>
        <v>-7499</v>
      </c>
      <c r="L694" s="8">
        <v>282559</v>
      </c>
      <c r="M694" s="8">
        <f t="shared" si="332"/>
        <v>30887</v>
      </c>
      <c r="N694" s="8">
        <v>-61735</v>
      </c>
      <c r="O694" s="8">
        <f t="shared" si="333"/>
        <v>-38386</v>
      </c>
      <c r="P694" s="8">
        <v>95475</v>
      </c>
      <c r="Q694" s="8">
        <f t="shared" si="334"/>
        <v>-11694</v>
      </c>
      <c r="R694" s="8">
        <v>266077</v>
      </c>
      <c r="S694" s="8">
        <f t="shared" si="335"/>
        <v>25386</v>
      </c>
      <c r="T694" s="8">
        <v>-170602</v>
      </c>
      <c r="U694" s="8">
        <f t="shared" si="336"/>
        <v>-37080</v>
      </c>
      <c r="W694" s="8">
        <v>474927</v>
      </c>
      <c r="X694" s="8">
        <f t="shared" si="337"/>
        <v>-1821</v>
      </c>
      <c r="Y694" s="8">
        <v>36384</v>
      </c>
      <c r="Z694" s="8">
        <f t="shared" si="338"/>
        <v>-4614</v>
      </c>
      <c r="AA694" s="8">
        <v>91135</v>
      </c>
      <c r="AB694" s="8">
        <f t="shared" si="356"/>
        <v>2531</v>
      </c>
      <c r="AC694" s="8">
        <v>-54751</v>
      </c>
      <c r="AD694" s="8">
        <f t="shared" si="357"/>
        <v>-7145</v>
      </c>
      <c r="AE694" s="8">
        <v>231834</v>
      </c>
      <c r="AF694" s="8">
        <f t="shared" si="339"/>
        <v>2238</v>
      </c>
      <c r="AG694" s="8">
        <v>218547</v>
      </c>
      <c r="AH694" s="8">
        <f t="shared" si="340"/>
        <v>-3432</v>
      </c>
      <c r="AI694" s="8">
        <v>13287</v>
      </c>
      <c r="AJ694" s="8">
        <f t="shared" si="341"/>
        <v>5670</v>
      </c>
      <c r="AK694" s="8">
        <v>140210</v>
      </c>
      <c r="AL694" s="8">
        <f t="shared" si="342"/>
        <v>1072</v>
      </c>
      <c r="AM694" s="8">
        <v>188922</v>
      </c>
      <c r="AN694" s="8">
        <f t="shared" si="343"/>
        <v>-6437</v>
      </c>
      <c r="AO694" s="8">
        <v>-48712</v>
      </c>
      <c r="AP694" s="8">
        <f t="shared" si="344"/>
        <v>7509</v>
      </c>
      <c r="AR694" s="8">
        <v>2070638</v>
      </c>
      <c r="AS694" s="8">
        <f t="shared" si="345"/>
        <v>-5154</v>
      </c>
      <c r="AT694" s="8">
        <v>162646</v>
      </c>
      <c r="AU694" s="8">
        <f t="shared" si="346"/>
        <v>-11580</v>
      </c>
      <c r="AV694" s="8">
        <v>333272</v>
      </c>
      <c r="AW694" s="8">
        <f t="shared" si="347"/>
        <v>22647</v>
      </c>
      <c r="AX694" s="8">
        <v>-170626</v>
      </c>
      <c r="AY694" s="8">
        <f t="shared" si="355"/>
        <v>-34227</v>
      </c>
      <c r="AZ694" s="8">
        <v>860198</v>
      </c>
      <c r="BA694" s="8">
        <f t="shared" si="349"/>
        <v>-18043</v>
      </c>
      <c r="BB694" s="8">
        <v>873719</v>
      </c>
      <c r="BC694" s="8">
        <f t="shared" si="350"/>
        <v>-44560</v>
      </c>
      <c r="BD694" s="8">
        <v>-13521</v>
      </c>
      <c r="BE694" s="8">
        <f t="shared" si="351"/>
        <v>26517</v>
      </c>
      <c r="BF694" s="8">
        <v>625756</v>
      </c>
      <c r="BG694" s="8">
        <f t="shared" si="352"/>
        <v>-13882</v>
      </c>
      <c r="BH694" s="8">
        <v>784089</v>
      </c>
      <c r="BI694" s="8">
        <f t="shared" si="353"/>
        <v>-41452</v>
      </c>
      <c r="BJ694" s="8">
        <v>-158333</v>
      </c>
      <c r="BK694" s="8">
        <f t="shared" si="326"/>
        <v>27570</v>
      </c>
    </row>
    <row r="695" spans="1:63">
      <c r="A695" s="5">
        <f t="shared" si="354"/>
        <v>43732</v>
      </c>
      <c r="B695" s="8">
        <v>526593</v>
      </c>
      <c r="C695" s="8">
        <f t="shared" si="327"/>
        <v>-818</v>
      </c>
      <c r="D695" s="8">
        <v>74451</v>
      </c>
      <c r="E695" s="8">
        <f t="shared" si="328"/>
        <v>3277</v>
      </c>
      <c r="F695" s="8">
        <v>52052</v>
      </c>
      <c r="G695" s="8">
        <f t="shared" si="329"/>
        <v>809</v>
      </c>
      <c r="H695" s="8">
        <v>22399</v>
      </c>
      <c r="I695" s="8">
        <f t="shared" si="330"/>
        <v>2468</v>
      </c>
      <c r="J695" s="8">
        <v>217943</v>
      </c>
      <c r="K695" s="8">
        <f t="shared" si="331"/>
        <v>-2881</v>
      </c>
      <c r="L695" s="8">
        <v>276106</v>
      </c>
      <c r="M695" s="8">
        <f t="shared" si="332"/>
        <v>-6453</v>
      </c>
      <c r="N695" s="8">
        <v>-58163</v>
      </c>
      <c r="O695" s="8">
        <f t="shared" si="333"/>
        <v>3572</v>
      </c>
      <c r="P695" s="8">
        <v>91563</v>
      </c>
      <c r="Q695" s="8">
        <f t="shared" si="334"/>
        <v>-3912</v>
      </c>
      <c r="R695" s="8">
        <v>258622</v>
      </c>
      <c r="S695" s="8">
        <f t="shared" si="335"/>
        <v>-7455</v>
      </c>
      <c r="T695" s="8">
        <v>-167059</v>
      </c>
      <c r="U695" s="8">
        <f t="shared" si="336"/>
        <v>3543</v>
      </c>
      <c r="W695" s="8">
        <v>465286</v>
      </c>
      <c r="X695" s="8">
        <f t="shared" si="337"/>
        <v>-9641</v>
      </c>
      <c r="Y695" s="8">
        <v>42385</v>
      </c>
      <c r="Z695" s="8">
        <f t="shared" si="338"/>
        <v>6001</v>
      </c>
      <c r="AA695" s="8">
        <v>90368</v>
      </c>
      <c r="AB695" s="8">
        <f t="shared" si="356"/>
        <v>-767</v>
      </c>
      <c r="AC695" s="8">
        <v>-47983</v>
      </c>
      <c r="AD695" s="8">
        <f t="shared" si="357"/>
        <v>6768</v>
      </c>
      <c r="AE695" s="8">
        <v>220396</v>
      </c>
      <c r="AF695" s="8">
        <f t="shared" si="339"/>
        <v>-11438</v>
      </c>
      <c r="AG695" s="8">
        <v>215953</v>
      </c>
      <c r="AH695" s="8">
        <f t="shared" si="340"/>
        <v>-2594</v>
      </c>
      <c r="AI695" s="8">
        <v>4443</v>
      </c>
      <c r="AJ695" s="8">
        <f t="shared" si="341"/>
        <v>-8844</v>
      </c>
      <c r="AK695" s="8">
        <v>129592</v>
      </c>
      <c r="AL695" s="8">
        <f t="shared" si="342"/>
        <v>-10618</v>
      </c>
      <c r="AM695" s="8">
        <v>186023</v>
      </c>
      <c r="AN695" s="8">
        <f t="shared" si="343"/>
        <v>-2899</v>
      </c>
      <c r="AO695" s="8">
        <v>-56431</v>
      </c>
      <c r="AP695" s="8">
        <f t="shared" si="344"/>
        <v>-7719</v>
      </c>
      <c r="AR695" s="8">
        <v>2012801</v>
      </c>
      <c r="AS695" s="8">
        <f t="shared" si="345"/>
        <v>-57837</v>
      </c>
      <c r="AT695" s="8">
        <v>159766</v>
      </c>
      <c r="AU695" s="8">
        <f t="shared" si="346"/>
        <v>-2880</v>
      </c>
      <c r="AV695" s="8">
        <v>319656</v>
      </c>
      <c r="AW695" s="8">
        <f t="shared" si="347"/>
        <v>-13616</v>
      </c>
      <c r="AX695" s="8">
        <v>-159890</v>
      </c>
      <c r="AY695" s="8">
        <f t="shared" si="355"/>
        <v>10736</v>
      </c>
      <c r="AZ695" s="8">
        <v>835707</v>
      </c>
      <c r="BA695" s="8">
        <f t="shared" si="349"/>
        <v>-24491</v>
      </c>
      <c r="BB695" s="8">
        <v>853941</v>
      </c>
      <c r="BC695" s="8">
        <f t="shared" si="350"/>
        <v>-19778</v>
      </c>
      <c r="BD695" s="8">
        <v>-18234</v>
      </c>
      <c r="BE695" s="8">
        <f t="shared" si="351"/>
        <v>-4713</v>
      </c>
      <c r="BF695" s="8">
        <v>599844</v>
      </c>
      <c r="BG695" s="8">
        <f t="shared" si="352"/>
        <v>-25912</v>
      </c>
      <c r="BH695" s="8">
        <v>760282</v>
      </c>
      <c r="BI695" s="8">
        <f t="shared" si="353"/>
        <v>-23807</v>
      </c>
      <c r="BJ695" s="8">
        <v>-160438</v>
      </c>
      <c r="BK695" s="8">
        <f t="shared" si="326"/>
        <v>-2105</v>
      </c>
    </row>
    <row r="696" spans="1:63">
      <c r="A696" s="5">
        <v>43739</v>
      </c>
      <c r="B696" s="8">
        <v>512020</v>
      </c>
      <c r="C696" s="8">
        <f t="shared" si="327"/>
        <v>-14573</v>
      </c>
      <c r="D696" s="8">
        <v>67783</v>
      </c>
      <c r="E696" s="8">
        <f t="shared" si="328"/>
        <v>-6668</v>
      </c>
      <c r="F696" s="8">
        <v>56310</v>
      </c>
      <c r="G696" s="8">
        <f t="shared" si="329"/>
        <v>4258</v>
      </c>
      <c r="H696" s="8">
        <v>11473</v>
      </c>
      <c r="I696" s="8">
        <f t="shared" si="330"/>
        <v>-10926</v>
      </c>
      <c r="J696" s="8">
        <v>213988</v>
      </c>
      <c r="K696" s="8">
        <f t="shared" si="331"/>
        <v>-3955</v>
      </c>
      <c r="L696" s="8">
        <v>262909</v>
      </c>
      <c r="M696" s="8">
        <f t="shared" si="332"/>
        <v>-13197</v>
      </c>
      <c r="N696" s="8">
        <v>-48921</v>
      </c>
      <c r="O696" s="8">
        <f t="shared" si="333"/>
        <v>9242</v>
      </c>
      <c r="P696" s="8">
        <v>93260</v>
      </c>
      <c r="Q696" s="8">
        <f t="shared" si="334"/>
        <v>1697</v>
      </c>
      <c r="R696" s="8">
        <v>244298</v>
      </c>
      <c r="S696" s="8">
        <f t="shared" si="335"/>
        <v>-14324</v>
      </c>
      <c r="T696" s="8">
        <v>-151038</v>
      </c>
      <c r="U696" s="8">
        <f t="shared" si="336"/>
        <v>16021</v>
      </c>
      <c r="W696" s="8">
        <v>446938</v>
      </c>
      <c r="X696" s="8">
        <f t="shared" si="337"/>
        <v>-18348</v>
      </c>
      <c r="Y696" s="8">
        <v>45539</v>
      </c>
      <c r="Z696" s="8">
        <f t="shared" si="338"/>
        <v>3154</v>
      </c>
      <c r="AA696" s="8">
        <v>85096</v>
      </c>
      <c r="AB696" s="8">
        <f t="shared" si="356"/>
        <v>-5272</v>
      </c>
      <c r="AC696" s="8">
        <v>-39557</v>
      </c>
      <c r="AD696" s="8">
        <f t="shared" si="357"/>
        <v>8426</v>
      </c>
      <c r="AE696" s="8">
        <v>202646</v>
      </c>
      <c r="AF696" s="8">
        <f t="shared" si="339"/>
        <v>-17750</v>
      </c>
      <c r="AG696" s="8">
        <v>212231</v>
      </c>
      <c r="AH696" s="8">
        <f t="shared" si="340"/>
        <v>-3722</v>
      </c>
      <c r="AI696" s="8">
        <v>-9585</v>
      </c>
      <c r="AJ696" s="8">
        <f t="shared" si="341"/>
        <v>-14028</v>
      </c>
      <c r="AK696" s="8">
        <v>114019</v>
      </c>
      <c r="AL696" s="8">
        <f t="shared" si="342"/>
        <v>-15573</v>
      </c>
      <c r="AM696" s="8">
        <v>180677</v>
      </c>
      <c r="AN696" s="8">
        <f t="shared" si="343"/>
        <v>-5346</v>
      </c>
      <c r="AO696" s="8">
        <v>-66658</v>
      </c>
      <c r="AP696" s="8">
        <f t="shared" si="344"/>
        <v>-10227</v>
      </c>
      <c r="AR696" s="8">
        <v>2042308</v>
      </c>
      <c r="AS696" s="8">
        <f t="shared" si="345"/>
        <v>29507</v>
      </c>
      <c r="AT696" s="8">
        <v>166186</v>
      </c>
      <c r="AU696" s="8">
        <f t="shared" si="346"/>
        <v>6420</v>
      </c>
      <c r="AV696" s="8">
        <v>292360</v>
      </c>
      <c r="AW696" s="8">
        <f t="shared" si="347"/>
        <v>-27296</v>
      </c>
      <c r="AX696" s="8">
        <v>-126174</v>
      </c>
      <c r="AY696" s="8">
        <f t="shared" si="355"/>
        <v>33716</v>
      </c>
      <c r="AZ696" s="8">
        <v>820824</v>
      </c>
      <c r="BA696" s="8">
        <f t="shared" si="349"/>
        <v>-14883</v>
      </c>
      <c r="BB696" s="8">
        <v>886797</v>
      </c>
      <c r="BC696" s="8">
        <f t="shared" si="350"/>
        <v>32856</v>
      </c>
      <c r="BD696" s="8">
        <v>-65973</v>
      </c>
      <c r="BE696" s="8">
        <f t="shared" si="351"/>
        <v>-47739</v>
      </c>
      <c r="BF696" s="8">
        <v>582937</v>
      </c>
      <c r="BG696" s="8">
        <f t="shared" si="352"/>
        <v>-16907</v>
      </c>
      <c r="BH696" s="8">
        <v>779700</v>
      </c>
      <c r="BI696" s="8">
        <f t="shared" si="353"/>
        <v>19418</v>
      </c>
      <c r="BJ696" s="8">
        <v>-196763</v>
      </c>
      <c r="BK696" s="8">
        <f t="shared" si="326"/>
        <v>-36325</v>
      </c>
    </row>
    <row r="697" spans="1:63">
      <c r="A697" s="5">
        <f t="shared" si="354"/>
        <v>43746</v>
      </c>
      <c r="B697" s="8">
        <v>505406</v>
      </c>
      <c r="C697" s="8">
        <f t="shared" si="327"/>
        <v>-6614</v>
      </c>
      <c r="D697" s="8">
        <v>71665</v>
      </c>
      <c r="E697" s="8">
        <f t="shared" si="328"/>
        <v>3882</v>
      </c>
      <c r="F697" s="8">
        <v>41942</v>
      </c>
      <c r="G697" s="8">
        <f t="shared" si="329"/>
        <v>-14368</v>
      </c>
      <c r="H697" s="8">
        <v>29723</v>
      </c>
      <c r="I697" s="8">
        <f t="shared" si="330"/>
        <v>18250</v>
      </c>
      <c r="J697" s="8">
        <v>223540</v>
      </c>
      <c r="K697" s="8">
        <f t="shared" si="331"/>
        <v>9552</v>
      </c>
      <c r="L697" s="8">
        <v>277557</v>
      </c>
      <c r="M697" s="8">
        <f t="shared" si="332"/>
        <v>14648</v>
      </c>
      <c r="N697" s="8">
        <v>-54017</v>
      </c>
      <c r="O697" s="8">
        <f t="shared" si="333"/>
        <v>-5096</v>
      </c>
      <c r="P697" s="8">
        <v>93054</v>
      </c>
      <c r="Q697" s="8">
        <f t="shared" si="334"/>
        <v>-206</v>
      </c>
      <c r="R697" s="8">
        <v>260772</v>
      </c>
      <c r="S697" s="8">
        <f t="shared" si="335"/>
        <v>16474</v>
      </c>
      <c r="T697" s="8">
        <v>-167718</v>
      </c>
      <c r="U697" s="8">
        <f t="shared" si="336"/>
        <v>-16680</v>
      </c>
      <c r="W697" s="8">
        <v>445811</v>
      </c>
      <c r="X697" s="8">
        <f t="shared" si="337"/>
        <v>-1127</v>
      </c>
      <c r="Y697" s="8">
        <v>45467</v>
      </c>
      <c r="Z697" s="8">
        <f t="shared" si="338"/>
        <v>-72</v>
      </c>
      <c r="AA697" s="8">
        <v>78207</v>
      </c>
      <c r="AB697" s="8">
        <f t="shared" si="356"/>
        <v>-6889</v>
      </c>
      <c r="AC697" s="8">
        <v>-32740</v>
      </c>
      <c r="AD697" s="8">
        <f t="shared" si="357"/>
        <v>6817</v>
      </c>
      <c r="AE697" s="8">
        <v>200959</v>
      </c>
      <c r="AF697" s="8">
        <f t="shared" si="339"/>
        <v>-1687</v>
      </c>
      <c r="AG697" s="8">
        <v>210931</v>
      </c>
      <c r="AH697" s="8">
        <f t="shared" si="340"/>
        <v>-1300</v>
      </c>
      <c r="AI697" s="8">
        <v>-9972</v>
      </c>
      <c r="AJ697" s="8">
        <f t="shared" si="341"/>
        <v>-387</v>
      </c>
      <c r="AK697" s="8">
        <v>108575</v>
      </c>
      <c r="AL697" s="8">
        <f t="shared" si="342"/>
        <v>-5444</v>
      </c>
      <c r="AM697" s="8">
        <v>185291</v>
      </c>
      <c r="AN697" s="8">
        <f t="shared" si="343"/>
        <v>4614</v>
      </c>
      <c r="AO697" s="8">
        <v>-76716</v>
      </c>
      <c r="AP697" s="8">
        <f t="shared" si="344"/>
        <v>-10058</v>
      </c>
      <c r="AR697" s="8">
        <v>2110757</v>
      </c>
      <c r="AS697" s="8">
        <f t="shared" si="345"/>
        <v>68449</v>
      </c>
      <c r="AT697" s="8">
        <v>176471</v>
      </c>
      <c r="AU697" s="8">
        <f t="shared" si="346"/>
        <v>10285</v>
      </c>
      <c r="AV697" s="8">
        <v>267139</v>
      </c>
      <c r="AW697" s="8">
        <f t="shared" si="347"/>
        <v>-25221</v>
      </c>
      <c r="AX697" s="8">
        <v>-90668</v>
      </c>
      <c r="AY697" s="8">
        <f t="shared" si="355"/>
        <v>35506</v>
      </c>
      <c r="AZ697" s="8">
        <v>849598</v>
      </c>
      <c r="BA697" s="8">
        <f t="shared" si="349"/>
        <v>28774</v>
      </c>
      <c r="BB697" s="8">
        <v>936730</v>
      </c>
      <c r="BC697" s="8">
        <f t="shared" si="350"/>
        <v>49933</v>
      </c>
      <c r="BD697" s="8">
        <v>-87132</v>
      </c>
      <c r="BE697" s="8">
        <f t="shared" si="351"/>
        <v>-21159</v>
      </c>
      <c r="BF697" s="8">
        <v>594095</v>
      </c>
      <c r="BG697" s="8">
        <f t="shared" si="352"/>
        <v>11158</v>
      </c>
      <c r="BH697" s="8">
        <v>825687</v>
      </c>
      <c r="BI697" s="8">
        <f t="shared" si="353"/>
        <v>45987</v>
      </c>
      <c r="BJ697" s="8">
        <v>-231592</v>
      </c>
      <c r="BK697" s="8">
        <f t="shared" si="326"/>
        <v>-34829</v>
      </c>
    </row>
    <row r="698" spans="1:63">
      <c r="A698" s="5">
        <f t="shared" si="354"/>
        <v>43753</v>
      </c>
      <c r="B698" s="8">
        <v>521603</v>
      </c>
      <c r="C698" s="8">
        <f t="shared" si="327"/>
        <v>16197</v>
      </c>
      <c r="D698" s="8">
        <v>79258</v>
      </c>
      <c r="E698" s="8">
        <f t="shared" si="328"/>
        <v>7593</v>
      </c>
      <c r="F698" s="8">
        <v>35801</v>
      </c>
      <c r="G698" s="8">
        <f t="shared" si="329"/>
        <v>-6141</v>
      </c>
      <c r="H698" s="8">
        <v>43457</v>
      </c>
      <c r="I698" s="8">
        <f t="shared" si="330"/>
        <v>13734</v>
      </c>
      <c r="J698" s="8">
        <v>225481</v>
      </c>
      <c r="K698" s="8">
        <f t="shared" si="331"/>
        <v>1941</v>
      </c>
      <c r="L698" s="8">
        <v>262070</v>
      </c>
      <c r="M698" s="8">
        <f t="shared" si="332"/>
        <v>-15487</v>
      </c>
      <c r="N698" s="8">
        <v>-36589</v>
      </c>
      <c r="O698" s="8">
        <f t="shared" si="333"/>
        <v>17428</v>
      </c>
      <c r="P698" s="8">
        <v>92381</v>
      </c>
      <c r="Q698" s="8">
        <f t="shared" si="334"/>
        <v>-673</v>
      </c>
      <c r="R698" s="8">
        <v>243682</v>
      </c>
      <c r="S698" s="8">
        <f t="shared" si="335"/>
        <v>-17090</v>
      </c>
      <c r="T698" s="8">
        <v>-151301</v>
      </c>
      <c r="U698" s="8">
        <f t="shared" si="336"/>
        <v>16417</v>
      </c>
      <c r="W698" s="8">
        <v>453518</v>
      </c>
      <c r="X698" s="8">
        <f t="shared" si="337"/>
        <v>7707</v>
      </c>
      <c r="Y698" s="8">
        <v>45807</v>
      </c>
      <c r="Z698" s="8">
        <f t="shared" si="338"/>
        <v>340</v>
      </c>
      <c r="AA698" s="8">
        <v>70877</v>
      </c>
      <c r="AB698" s="8">
        <f t="shared" si="356"/>
        <v>-7330</v>
      </c>
      <c r="AC698" s="8">
        <v>-25070</v>
      </c>
      <c r="AD698" s="8">
        <f t="shared" si="357"/>
        <v>7670</v>
      </c>
      <c r="AE698" s="8">
        <v>205363</v>
      </c>
      <c r="AF698" s="8">
        <f t="shared" si="339"/>
        <v>4404</v>
      </c>
      <c r="AG698" s="8">
        <v>199282</v>
      </c>
      <c r="AH698" s="8">
        <f t="shared" si="340"/>
        <v>-11649</v>
      </c>
      <c r="AI698" s="8">
        <v>6081</v>
      </c>
      <c r="AJ698" s="8">
        <f t="shared" si="341"/>
        <v>16053</v>
      </c>
      <c r="AK698" s="8">
        <v>105703</v>
      </c>
      <c r="AL698" s="8">
        <f t="shared" si="342"/>
        <v>-2872</v>
      </c>
      <c r="AM698" s="8">
        <v>174032</v>
      </c>
      <c r="AN698" s="8">
        <f t="shared" si="343"/>
        <v>-11259</v>
      </c>
      <c r="AO698" s="8">
        <v>-68329</v>
      </c>
      <c r="AP698" s="8">
        <f t="shared" si="344"/>
        <v>8387</v>
      </c>
      <c r="AR698" s="8">
        <v>2042653</v>
      </c>
      <c r="AS698" s="8">
        <f t="shared" si="345"/>
        <v>-68104</v>
      </c>
      <c r="AT698" s="8">
        <v>150635</v>
      </c>
      <c r="AU698" s="8">
        <f t="shared" si="346"/>
        <v>-25836</v>
      </c>
      <c r="AV698" s="8">
        <v>216776</v>
      </c>
      <c r="AW698" s="8">
        <f t="shared" si="347"/>
        <v>-50363</v>
      </c>
      <c r="AX698" s="8">
        <v>-66141</v>
      </c>
      <c r="AY698" s="8">
        <f t="shared" si="355"/>
        <v>24527</v>
      </c>
      <c r="AZ698" s="8">
        <v>822628</v>
      </c>
      <c r="BA698" s="8">
        <f t="shared" si="349"/>
        <v>-26970</v>
      </c>
      <c r="BB698" s="8">
        <v>899193</v>
      </c>
      <c r="BC698" s="8">
        <f t="shared" si="350"/>
        <v>-37537</v>
      </c>
      <c r="BD698" s="8">
        <v>-76565</v>
      </c>
      <c r="BE698" s="8">
        <f t="shared" si="351"/>
        <v>10567</v>
      </c>
      <c r="BF698" s="8">
        <v>575892</v>
      </c>
      <c r="BG698" s="8">
        <f t="shared" si="352"/>
        <v>-18203</v>
      </c>
      <c r="BH698" s="8">
        <v>792035</v>
      </c>
      <c r="BI698" s="8">
        <f t="shared" si="353"/>
        <v>-33652</v>
      </c>
      <c r="BJ698" s="8">
        <v>-216143</v>
      </c>
      <c r="BK698" s="8">
        <f t="shared" si="326"/>
        <v>15449</v>
      </c>
    </row>
    <row r="699" spans="1:63">
      <c r="A699" s="5">
        <f t="shared" si="354"/>
        <v>43760</v>
      </c>
      <c r="B699" s="8">
        <v>533010</v>
      </c>
      <c r="C699" s="8">
        <f t="shared" si="327"/>
        <v>11407</v>
      </c>
      <c r="D699" s="8">
        <v>94855</v>
      </c>
      <c r="E699" s="8">
        <f t="shared" si="328"/>
        <v>15597</v>
      </c>
      <c r="F699" s="8">
        <v>27235</v>
      </c>
      <c r="G699" s="8">
        <f t="shared" si="329"/>
        <v>-8566</v>
      </c>
      <c r="H699" s="8">
        <v>67620</v>
      </c>
      <c r="I699" s="8">
        <f t="shared" si="330"/>
        <v>24163</v>
      </c>
      <c r="J699" s="8">
        <v>227856</v>
      </c>
      <c r="K699" s="8">
        <f t="shared" si="331"/>
        <v>2375</v>
      </c>
      <c r="L699" s="8">
        <v>327225</v>
      </c>
      <c r="M699" s="8">
        <f t="shared" si="332"/>
        <v>65155</v>
      </c>
      <c r="N699" s="8">
        <v>-99369</v>
      </c>
      <c r="O699" s="8">
        <f t="shared" si="333"/>
        <v>-62780</v>
      </c>
      <c r="P699" s="8">
        <v>93409</v>
      </c>
      <c r="Q699" s="8">
        <f t="shared" si="334"/>
        <v>1028</v>
      </c>
      <c r="R699" s="8">
        <v>303574</v>
      </c>
      <c r="S699" s="8">
        <f t="shared" si="335"/>
        <v>59892</v>
      </c>
      <c r="T699" s="8">
        <v>-210165</v>
      </c>
      <c r="U699" s="8">
        <f t="shared" si="336"/>
        <v>-58864</v>
      </c>
      <c r="W699" s="8">
        <v>450469</v>
      </c>
      <c r="X699" s="8">
        <f t="shared" si="337"/>
        <v>-3049</v>
      </c>
      <c r="Y699" s="8">
        <v>46646</v>
      </c>
      <c r="Z699" s="8">
        <f t="shared" si="338"/>
        <v>839</v>
      </c>
      <c r="AA699" s="8">
        <v>67855</v>
      </c>
      <c r="AB699" s="8">
        <f t="shared" si="356"/>
        <v>-3022</v>
      </c>
      <c r="AC699" s="8">
        <v>-21209</v>
      </c>
      <c r="AD699" s="8">
        <f t="shared" si="357"/>
        <v>3861</v>
      </c>
      <c r="AE699" s="8">
        <v>210175</v>
      </c>
      <c r="AF699" s="8">
        <f t="shared" si="339"/>
        <v>4812</v>
      </c>
      <c r="AG699" s="8">
        <v>223730</v>
      </c>
      <c r="AH699" s="8">
        <f t="shared" si="340"/>
        <v>24448</v>
      </c>
      <c r="AI699" s="8">
        <v>-13555</v>
      </c>
      <c r="AJ699" s="8">
        <f t="shared" si="341"/>
        <v>-19636</v>
      </c>
      <c r="AK699" s="8">
        <v>106837</v>
      </c>
      <c r="AL699" s="8">
        <f t="shared" si="342"/>
        <v>1134</v>
      </c>
      <c r="AM699" s="8">
        <v>196308</v>
      </c>
      <c r="AN699" s="8">
        <f t="shared" si="343"/>
        <v>22276</v>
      </c>
      <c r="AO699" s="8">
        <v>-89471</v>
      </c>
      <c r="AP699" s="8">
        <f t="shared" si="344"/>
        <v>-21142</v>
      </c>
      <c r="AR699" s="8">
        <v>2073951</v>
      </c>
      <c r="AS699" s="8">
        <f t="shared" si="345"/>
        <v>31298</v>
      </c>
      <c r="AT699" s="8">
        <v>148360</v>
      </c>
      <c r="AU699" s="8">
        <f t="shared" si="346"/>
        <v>-2275</v>
      </c>
      <c r="AV699" s="8">
        <v>224415</v>
      </c>
      <c r="AW699" s="8">
        <f t="shared" si="347"/>
        <v>7639</v>
      </c>
      <c r="AX699" s="8">
        <v>-76055</v>
      </c>
      <c r="AY699" s="8">
        <f t="shared" si="355"/>
        <v>-9914</v>
      </c>
      <c r="AZ699" s="8">
        <v>865561</v>
      </c>
      <c r="BA699" s="8">
        <f t="shared" si="349"/>
        <v>42933</v>
      </c>
      <c r="BB699" s="8">
        <v>920197</v>
      </c>
      <c r="BC699" s="8">
        <f t="shared" si="350"/>
        <v>21004</v>
      </c>
      <c r="BD699" s="8">
        <v>-54636</v>
      </c>
      <c r="BE699" s="8">
        <f t="shared" si="351"/>
        <v>21929</v>
      </c>
      <c r="BF699" s="8">
        <v>607239</v>
      </c>
      <c r="BG699" s="8">
        <f t="shared" si="352"/>
        <v>31347</v>
      </c>
      <c r="BH699" s="8">
        <v>809404</v>
      </c>
      <c r="BI699" s="8">
        <f t="shared" si="353"/>
        <v>17369</v>
      </c>
      <c r="BJ699" s="8">
        <v>-202165</v>
      </c>
      <c r="BK699" s="8">
        <f t="shared" si="326"/>
        <v>13978</v>
      </c>
    </row>
    <row r="700" spans="1:63">
      <c r="A700" s="5">
        <f t="shared" si="354"/>
        <v>43767</v>
      </c>
      <c r="B700" s="8">
        <v>549304</v>
      </c>
      <c r="C700" s="8">
        <f t="shared" si="327"/>
        <v>16294</v>
      </c>
      <c r="D700" s="8">
        <v>103299</v>
      </c>
      <c r="E700" s="8">
        <f t="shared" si="328"/>
        <v>8444</v>
      </c>
      <c r="F700" s="8">
        <v>27946</v>
      </c>
      <c r="G700" s="8">
        <f t="shared" si="329"/>
        <v>711</v>
      </c>
      <c r="H700" s="8">
        <v>75353</v>
      </c>
      <c r="I700" s="8">
        <f t="shared" si="330"/>
        <v>7733</v>
      </c>
      <c r="J700" s="8">
        <v>228220</v>
      </c>
      <c r="K700" s="8">
        <f t="shared" si="331"/>
        <v>364</v>
      </c>
      <c r="L700" s="8">
        <v>340090</v>
      </c>
      <c r="M700" s="8">
        <f t="shared" si="332"/>
        <v>12865</v>
      </c>
      <c r="N700" s="8">
        <v>-111870</v>
      </c>
      <c r="O700" s="8">
        <f t="shared" si="333"/>
        <v>-12501</v>
      </c>
      <c r="P700" s="8">
        <v>87216</v>
      </c>
      <c r="Q700" s="8">
        <f t="shared" si="334"/>
        <v>-6193</v>
      </c>
      <c r="R700" s="8">
        <v>310822</v>
      </c>
      <c r="S700" s="8">
        <f t="shared" si="335"/>
        <v>7248</v>
      </c>
      <c r="T700" s="8">
        <v>-223606</v>
      </c>
      <c r="U700" s="8">
        <f t="shared" si="336"/>
        <v>-13441</v>
      </c>
      <c r="W700" s="8">
        <v>451719</v>
      </c>
      <c r="X700" s="8">
        <f t="shared" si="337"/>
        <v>1250</v>
      </c>
      <c r="Y700" s="8">
        <v>42972</v>
      </c>
      <c r="Z700" s="8">
        <f t="shared" si="338"/>
        <v>-3674</v>
      </c>
      <c r="AA700" s="8">
        <v>72022</v>
      </c>
      <c r="AB700" s="8">
        <f t="shared" si="356"/>
        <v>4167</v>
      </c>
      <c r="AC700" s="8">
        <v>-29050</v>
      </c>
      <c r="AD700" s="8">
        <f t="shared" si="357"/>
        <v>-7841</v>
      </c>
      <c r="AE700" s="8">
        <v>217658</v>
      </c>
      <c r="AF700" s="8">
        <f t="shared" si="339"/>
        <v>7483</v>
      </c>
      <c r="AG700" s="8">
        <v>226686</v>
      </c>
      <c r="AH700" s="8">
        <f t="shared" si="340"/>
        <v>2956</v>
      </c>
      <c r="AI700" s="8">
        <v>-9028</v>
      </c>
      <c r="AJ700" s="8">
        <f t="shared" si="341"/>
        <v>4527</v>
      </c>
      <c r="AK700" s="8">
        <v>114737</v>
      </c>
      <c r="AL700" s="8">
        <f t="shared" si="342"/>
        <v>7900</v>
      </c>
      <c r="AM700" s="8">
        <v>196267</v>
      </c>
      <c r="AN700" s="8">
        <f t="shared" si="343"/>
        <v>-41</v>
      </c>
      <c r="AO700" s="8">
        <v>-81530</v>
      </c>
      <c r="AP700" s="8">
        <f t="shared" si="344"/>
        <v>7941</v>
      </c>
      <c r="AR700" s="8">
        <v>2006474</v>
      </c>
      <c r="AS700" s="8">
        <f t="shared" si="345"/>
        <v>-67477</v>
      </c>
      <c r="AT700" s="8">
        <v>138006</v>
      </c>
      <c r="AU700" s="8">
        <f t="shared" si="346"/>
        <v>-10354</v>
      </c>
      <c r="AV700" s="8">
        <v>223343</v>
      </c>
      <c r="AW700" s="8">
        <f t="shared" si="347"/>
        <v>-1072</v>
      </c>
      <c r="AX700" s="8">
        <v>-85337</v>
      </c>
      <c r="AY700" s="8">
        <f t="shared" si="355"/>
        <v>-9282</v>
      </c>
      <c r="AZ700" s="8">
        <v>850866</v>
      </c>
      <c r="BA700" s="8">
        <f t="shared" si="349"/>
        <v>-14695</v>
      </c>
      <c r="BB700" s="8">
        <v>896636</v>
      </c>
      <c r="BC700" s="8">
        <f t="shared" si="350"/>
        <v>-23561</v>
      </c>
      <c r="BD700" s="8">
        <v>-45770</v>
      </c>
      <c r="BE700" s="8">
        <f t="shared" si="351"/>
        <v>8866</v>
      </c>
      <c r="BF700" s="8">
        <v>591018</v>
      </c>
      <c r="BG700" s="8">
        <f t="shared" si="352"/>
        <v>-16221</v>
      </c>
      <c r="BH700" s="8">
        <v>783616</v>
      </c>
      <c r="BI700" s="8">
        <f t="shared" si="353"/>
        <v>-25788</v>
      </c>
      <c r="BJ700" s="8">
        <v>-192598</v>
      </c>
      <c r="BK700" s="8">
        <f t="shared" si="326"/>
        <v>9567</v>
      </c>
    </row>
    <row r="701" spans="1:63">
      <c r="A701" s="5">
        <f t="shared" si="354"/>
        <v>43774</v>
      </c>
      <c r="B701" s="8">
        <v>577583</v>
      </c>
      <c r="C701" s="8">
        <f t="shared" si="327"/>
        <v>28279</v>
      </c>
      <c r="D701" s="8">
        <v>116446</v>
      </c>
      <c r="E701" s="8">
        <f t="shared" si="328"/>
        <v>13147</v>
      </c>
      <c r="F701" s="8">
        <v>31803</v>
      </c>
      <c r="G701" s="8">
        <f t="shared" si="329"/>
        <v>3857</v>
      </c>
      <c r="H701" s="8">
        <v>84643</v>
      </c>
      <c r="I701" s="8">
        <f t="shared" si="330"/>
        <v>9290</v>
      </c>
      <c r="J701" s="8">
        <v>235439</v>
      </c>
      <c r="K701" s="8">
        <f t="shared" si="331"/>
        <v>7219</v>
      </c>
      <c r="L701" s="8">
        <v>352896</v>
      </c>
      <c r="M701" s="8">
        <f t="shared" si="332"/>
        <v>12806</v>
      </c>
      <c r="N701" s="8">
        <v>-117457</v>
      </c>
      <c r="O701" s="8">
        <f t="shared" si="333"/>
        <v>-5587</v>
      </c>
      <c r="P701" s="8">
        <v>92227</v>
      </c>
      <c r="Q701" s="8">
        <f t="shared" si="334"/>
        <v>5011</v>
      </c>
      <c r="R701" s="8">
        <v>325017</v>
      </c>
      <c r="S701" s="8">
        <f t="shared" si="335"/>
        <v>14195</v>
      </c>
      <c r="T701" s="8">
        <v>-232790</v>
      </c>
      <c r="U701" s="8">
        <f t="shared" si="336"/>
        <v>-9184</v>
      </c>
      <c r="W701" s="8">
        <v>470113</v>
      </c>
      <c r="X701" s="8">
        <f t="shared" si="337"/>
        <v>18394</v>
      </c>
      <c r="Y701" s="8">
        <v>36439</v>
      </c>
      <c r="Z701" s="8">
        <f t="shared" si="338"/>
        <v>-6533</v>
      </c>
      <c r="AA701" s="8">
        <v>73993</v>
      </c>
      <c r="AB701" s="8">
        <f t="shared" si="356"/>
        <v>1971</v>
      </c>
      <c r="AC701" s="8">
        <v>-37554</v>
      </c>
      <c r="AD701" s="8">
        <f t="shared" si="357"/>
        <v>-8504</v>
      </c>
      <c r="AE701" s="8">
        <v>230749</v>
      </c>
      <c r="AF701" s="8">
        <f t="shared" si="339"/>
        <v>13091</v>
      </c>
      <c r="AG701" s="8">
        <v>231468</v>
      </c>
      <c r="AH701" s="8">
        <f t="shared" si="340"/>
        <v>4782</v>
      </c>
      <c r="AI701" s="8">
        <v>-719</v>
      </c>
      <c r="AJ701" s="8">
        <f t="shared" si="341"/>
        <v>8309</v>
      </c>
      <c r="AK701" s="8">
        <v>121021</v>
      </c>
      <c r="AL701" s="8">
        <f t="shared" si="342"/>
        <v>6284</v>
      </c>
      <c r="AM701" s="8">
        <v>199292</v>
      </c>
      <c r="AN701" s="8">
        <f t="shared" si="343"/>
        <v>3025</v>
      </c>
      <c r="AO701" s="8">
        <v>-78271</v>
      </c>
      <c r="AP701" s="8">
        <f t="shared" si="344"/>
        <v>3259</v>
      </c>
      <c r="AR701" s="8">
        <v>2034158</v>
      </c>
      <c r="AS701" s="8">
        <f t="shared" si="345"/>
        <v>27684</v>
      </c>
      <c r="AT701" s="8">
        <v>137874</v>
      </c>
      <c r="AU701" s="8">
        <f t="shared" si="346"/>
        <v>-132</v>
      </c>
      <c r="AV701" s="8">
        <v>242720</v>
      </c>
      <c r="AW701" s="8">
        <f t="shared" si="347"/>
        <v>19377</v>
      </c>
      <c r="AX701" s="8">
        <v>-104846</v>
      </c>
      <c r="AY701" s="8">
        <f t="shared" si="355"/>
        <v>-19509</v>
      </c>
      <c r="AZ701" s="8">
        <v>879182</v>
      </c>
      <c r="BA701" s="8">
        <f t="shared" si="349"/>
        <v>28316</v>
      </c>
      <c r="BB701" s="8">
        <v>902423</v>
      </c>
      <c r="BC701" s="8">
        <f t="shared" si="350"/>
        <v>5787</v>
      </c>
      <c r="BD701" s="8">
        <v>-23241</v>
      </c>
      <c r="BE701" s="8">
        <f t="shared" si="351"/>
        <v>22529</v>
      </c>
      <c r="BF701" s="8">
        <v>599781</v>
      </c>
      <c r="BG701" s="8">
        <f t="shared" si="352"/>
        <v>8763</v>
      </c>
      <c r="BH701" s="8">
        <v>791476</v>
      </c>
      <c r="BI701" s="8">
        <f t="shared" si="353"/>
        <v>7860</v>
      </c>
      <c r="BJ701" s="8">
        <v>-191695</v>
      </c>
      <c r="BK701" s="8">
        <f t="shared" si="326"/>
        <v>903</v>
      </c>
    </row>
    <row r="702" spans="1:63">
      <c r="A702" s="5">
        <f t="shared" si="354"/>
        <v>43781</v>
      </c>
      <c r="B702" s="8">
        <v>582197</v>
      </c>
      <c r="C702" s="8">
        <f t="shared" si="327"/>
        <v>4614</v>
      </c>
      <c r="D702" s="8">
        <v>120101</v>
      </c>
      <c r="E702" s="8">
        <f t="shared" si="328"/>
        <v>3655</v>
      </c>
      <c r="F702" s="8">
        <v>32004</v>
      </c>
      <c r="G702" s="8">
        <f t="shared" si="329"/>
        <v>201</v>
      </c>
      <c r="H702" s="8">
        <v>88097</v>
      </c>
      <c r="I702" s="8">
        <f t="shared" si="330"/>
        <v>3454</v>
      </c>
      <c r="J702" s="8">
        <v>233481</v>
      </c>
      <c r="K702" s="8">
        <f t="shared" si="331"/>
        <v>-1958</v>
      </c>
      <c r="L702" s="8">
        <v>353188</v>
      </c>
      <c r="M702" s="8">
        <f t="shared" si="332"/>
        <v>292</v>
      </c>
      <c r="N702" s="8">
        <v>-119707</v>
      </c>
      <c r="O702" s="8">
        <f t="shared" si="333"/>
        <v>-2250</v>
      </c>
      <c r="P702" s="8">
        <v>92594</v>
      </c>
      <c r="Q702" s="8">
        <f t="shared" si="334"/>
        <v>367</v>
      </c>
      <c r="R702" s="8">
        <v>329277</v>
      </c>
      <c r="S702" s="8">
        <f t="shared" si="335"/>
        <v>4260</v>
      </c>
      <c r="T702" s="8">
        <v>-236683</v>
      </c>
      <c r="U702" s="8">
        <f t="shared" si="336"/>
        <v>-3893</v>
      </c>
      <c r="W702" s="8">
        <v>454812</v>
      </c>
      <c r="X702" s="8">
        <f t="shared" si="337"/>
        <v>-15301</v>
      </c>
      <c r="Y702" s="8">
        <v>43675</v>
      </c>
      <c r="Z702" s="8">
        <f t="shared" si="338"/>
        <v>7236</v>
      </c>
      <c r="AA702" s="8">
        <v>67158</v>
      </c>
      <c r="AB702" s="8">
        <f t="shared" si="356"/>
        <v>-6835</v>
      </c>
      <c r="AC702" s="8">
        <v>-23483</v>
      </c>
      <c r="AD702" s="8">
        <f t="shared" si="357"/>
        <v>14071</v>
      </c>
      <c r="AE702" s="8">
        <v>221670</v>
      </c>
      <c r="AF702" s="8">
        <f t="shared" si="339"/>
        <v>-9079</v>
      </c>
      <c r="AG702" s="8">
        <v>238706</v>
      </c>
      <c r="AH702" s="8">
        <f t="shared" si="340"/>
        <v>7238</v>
      </c>
      <c r="AI702" s="8">
        <v>-17036</v>
      </c>
      <c r="AJ702" s="8">
        <f t="shared" si="341"/>
        <v>-16317</v>
      </c>
      <c r="AK702" s="8">
        <v>118734</v>
      </c>
      <c r="AL702" s="8">
        <f t="shared" si="342"/>
        <v>-2287</v>
      </c>
      <c r="AM702" s="8">
        <v>210894</v>
      </c>
      <c r="AN702" s="8">
        <f t="shared" si="343"/>
        <v>11602</v>
      </c>
      <c r="AO702" s="8">
        <v>-92160</v>
      </c>
      <c r="AP702" s="8">
        <f t="shared" si="344"/>
        <v>-13889</v>
      </c>
      <c r="AR702" s="8">
        <v>2034354</v>
      </c>
      <c r="AS702" s="8">
        <f t="shared" si="345"/>
        <v>196</v>
      </c>
      <c r="AT702" s="8">
        <v>136504</v>
      </c>
      <c r="AU702" s="8">
        <f t="shared" si="346"/>
        <v>-1370</v>
      </c>
      <c r="AV702" s="8">
        <v>247425</v>
      </c>
      <c r="AW702" s="8">
        <f t="shared" si="347"/>
        <v>4705</v>
      </c>
      <c r="AX702" s="8">
        <v>-110921</v>
      </c>
      <c r="AY702" s="8">
        <f t="shared" si="355"/>
        <v>-6075</v>
      </c>
      <c r="AZ702" s="8">
        <v>862319</v>
      </c>
      <c r="BA702" s="8">
        <f t="shared" si="349"/>
        <v>-16863</v>
      </c>
      <c r="BB702" s="8">
        <v>870075</v>
      </c>
      <c r="BC702" s="8">
        <f t="shared" si="350"/>
        <v>-32348</v>
      </c>
      <c r="BD702" s="8">
        <v>-7756</v>
      </c>
      <c r="BE702" s="8">
        <f t="shared" si="351"/>
        <v>15485</v>
      </c>
      <c r="BF702" s="8">
        <v>586166</v>
      </c>
      <c r="BG702" s="8">
        <f t="shared" si="352"/>
        <v>-13615</v>
      </c>
      <c r="BH702" s="8">
        <v>763304</v>
      </c>
      <c r="BI702" s="8">
        <f t="shared" si="353"/>
        <v>-28172</v>
      </c>
      <c r="BJ702" s="8">
        <v>-177138</v>
      </c>
      <c r="BK702" s="8">
        <f t="shared" si="326"/>
        <v>14557</v>
      </c>
    </row>
    <row r="703" spans="1:63">
      <c r="A703" s="5">
        <f t="shared" si="354"/>
        <v>43788</v>
      </c>
      <c r="B703" s="8">
        <v>554290</v>
      </c>
      <c r="C703" s="8">
        <f t="shared" si="327"/>
        <v>-27907</v>
      </c>
      <c r="D703" s="8">
        <v>109972</v>
      </c>
      <c r="E703" s="8">
        <f t="shared" si="328"/>
        <v>-10129</v>
      </c>
      <c r="F703" s="8">
        <v>27616</v>
      </c>
      <c r="G703" s="8">
        <f t="shared" si="329"/>
        <v>-4388</v>
      </c>
      <c r="H703" s="8">
        <v>82356</v>
      </c>
      <c r="I703" s="8">
        <f t="shared" si="330"/>
        <v>-5741</v>
      </c>
      <c r="J703" s="8">
        <v>222185</v>
      </c>
      <c r="K703" s="8">
        <f t="shared" si="331"/>
        <v>-11296</v>
      </c>
      <c r="L703" s="8">
        <v>335382</v>
      </c>
      <c r="M703" s="8">
        <f t="shared" si="332"/>
        <v>-17806</v>
      </c>
      <c r="N703" s="8">
        <v>-113197</v>
      </c>
      <c r="O703" s="8">
        <f t="shared" si="333"/>
        <v>6510</v>
      </c>
      <c r="P703" s="8">
        <v>83306</v>
      </c>
      <c r="Q703" s="8">
        <f t="shared" si="334"/>
        <v>-9288</v>
      </c>
      <c r="R703" s="8">
        <v>311042</v>
      </c>
      <c r="S703" s="8">
        <f t="shared" si="335"/>
        <v>-18235</v>
      </c>
      <c r="T703" s="8">
        <v>-227736</v>
      </c>
      <c r="U703" s="8">
        <f t="shared" si="336"/>
        <v>8947</v>
      </c>
      <c r="W703" s="8">
        <v>454624</v>
      </c>
      <c r="X703" s="8">
        <f t="shared" si="337"/>
        <v>-188</v>
      </c>
      <c r="Y703" s="8">
        <v>41885</v>
      </c>
      <c r="Z703" s="8">
        <f t="shared" si="338"/>
        <v>-1790</v>
      </c>
      <c r="AA703" s="8">
        <v>61445</v>
      </c>
      <c r="AB703" s="8">
        <f t="shared" si="356"/>
        <v>-5713</v>
      </c>
      <c r="AC703" s="8">
        <v>-19560</v>
      </c>
      <c r="AD703" s="8">
        <f t="shared" si="357"/>
        <v>3923</v>
      </c>
      <c r="AE703" s="8">
        <v>231068</v>
      </c>
      <c r="AF703" s="8">
        <f t="shared" si="339"/>
        <v>9398</v>
      </c>
      <c r="AG703" s="8">
        <v>254358</v>
      </c>
      <c r="AH703" s="8">
        <f t="shared" si="340"/>
        <v>15652</v>
      </c>
      <c r="AI703" s="8">
        <v>-23290</v>
      </c>
      <c r="AJ703" s="8">
        <f t="shared" si="341"/>
        <v>-6254</v>
      </c>
      <c r="AK703" s="8">
        <v>127645</v>
      </c>
      <c r="AL703" s="8">
        <f t="shared" si="342"/>
        <v>8911</v>
      </c>
      <c r="AM703" s="8">
        <v>229919</v>
      </c>
      <c r="AN703" s="8">
        <f t="shared" si="343"/>
        <v>19025</v>
      </c>
      <c r="AO703" s="8">
        <v>-102274</v>
      </c>
      <c r="AP703" s="8">
        <f t="shared" si="344"/>
        <v>-10114</v>
      </c>
      <c r="AR703" s="8">
        <v>2073496</v>
      </c>
      <c r="AS703" s="8">
        <f t="shared" si="345"/>
        <v>39142</v>
      </c>
      <c r="AT703" s="8">
        <v>135595</v>
      </c>
      <c r="AU703" s="8">
        <f t="shared" si="346"/>
        <v>-909</v>
      </c>
      <c r="AV703" s="8">
        <v>259125</v>
      </c>
      <c r="AW703" s="8">
        <f t="shared" si="347"/>
        <v>11700</v>
      </c>
      <c r="AX703" s="8">
        <v>-123530</v>
      </c>
      <c r="AY703" s="8">
        <f t="shared" si="355"/>
        <v>-12609</v>
      </c>
      <c r="AZ703" s="8">
        <v>887321</v>
      </c>
      <c r="BA703" s="8">
        <f t="shared" si="349"/>
        <v>25002</v>
      </c>
      <c r="BB703" s="8">
        <v>887340</v>
      </c>
      <c r="BC703" s="8">
        <f t="shared" si="350"/>
        <v>17265</v>
      </c>
      <c r="BD703" s="8">
        <v>-19</v>
      </c>
      <c r="BE703" s="8">
        <f t="shared" si="351"/>
        <v>7737</v>
      </c>
      <c r="BF703" s="8">
        <v>603766</v>
      </c>
      <c r="BG703" s="8">
        <f t="shared" si="352"/>
        <v>17600</v>
      </c>
      <c r="BH703" s="8">
        <v>770741</v>
      </c>
      <c r="BI703" s="8">
        <f t="shared" si="353"/>
        <v>7437</v>
      </c>
      <c r="BJ703" s="8">
        <v>-166975</v>
      </c>
      <c r="BK703" s="8">
        <f t="shared" si="326"/>
        <v>10163</v>
      </c>
    </row>
    <row r="704" spans="1:63">
      <c r="A704" s="5">
        <f t="shared" si="354"/>
        <v>43795</v>
      </c>
      <c r="B704" s="8">
        <v>552038</v>
      </c>
      <c r="C704" s="8">
        <f t="shared" si="327"/>
        <v>-2252</v>
      </c>
      <c r="D704" s="8">
        <v>106331</v>
      </c>
      <c r="E704" s="8">
        <f t="shared" si="328"/>
        <v>-3641</v>
      </c>
      <c r="F704" s="8">
        <v>39447</v>
      </c>
      <c r="G704" s="8">
        <f t="shared" si="329"/>
        <v>11831</v>
      </c>
      <c r="H704" s="8">
        <v>66884</v>
      </c>
      <c r="I704" s="8">
        <f t="shared" si="330"/>
        <v>-15472</v>
      </c>
      <c r="J704" s="8">
        <v>237628</v>
      </c>
      <c r="K704" s="8">
        <f t="shared" si="331"/>
        <v>15443</v>
      </c>
      <c r="L704" s="8">
        <v>339066</v>
      </c>
      <c r="M704" s="8">
        <f t="shared" si="332"/>
        <v>3684</v>
      </c>
      <c r="N704" s="8">
        <v>-101438</v>
      </c>
      <c r="O704" s="8">
        <f t="shared" si="333"/>
        <v>11759</v>
      </c>
      <c r="P704" s="8">
        <v>87962</v>
      </c>
      <c r="Q704" s="8">
        <f t="shared" si="334"/>
        <v>4656</v>
      </c>
      <c r="R704" s="8">
        <v>304189</v>
      </c>
      <c r="S704" s="8">
        <f t="shared" si="335"/>
        <v>-6853</v>
      </c>
      <c r="T704" s="8">
        <v>-216227</v>
      </c>
      <c r="U704" s="8">
        <f t="shared" si="336"/>
        <v>11509</v>
      </c>
      <c r="W704" s="8">
        <v>446390</v>
      </c>
      <c r="X704" s="8">
        <f t="shared" si="337"/>
        <v>-8234</v>
      </c>
      <c r="Y704" s="8">
        <v>43785</v>
      </c>
      <c r="Z704" s="8">
        <f t="shared" si="338"/>
        <v>1900</v>
      </c>
      <c r="AA704" s="8">
        <v>76093</v>
      </c>
      <c r="AB704" s="8">
        <f t="shared" si="356"/>
        <v>14648</v>
      </c>
      <c r="AC704" s="8">
        <v>-32308</v>
      </c>
      <c r="AD704" s="8">
        <f t="shared" si="357"/>
        <v>-12748</v>
      </c>
      <c r="AE704" s="8">
        <v>233282</v>
      </c>
      <c r="AF704" s="8">
        <f t="shared" si="339"/>
        <v>2214</v>
      </c>
      <c r="AG704" s="8">
        <v>238519</v>
      </c>
      <c r="AH704" s="8">
        <f t="shared" si="340"/>
        <v>-15839</v>
      </c>
      <c r="AI704" s="8">
        <v>-5237</v>
      </c>
      <c r="AJ704" s="8">
        <f t="shared" si="341"/>
        <v>18053</v>
      </c>
      <c r="AK704" s="8">
        <v>125825</v>
      </c>
      <c r="AL704" s="8">
        <f t="shared" si="342"/>
        <v>-1820</v>
      </c>
      <c r="AM704" s="8">
        <v>214313</v>
      </c>
      <c r="AN704" s="8">
        <f t="shared" si="343"/>
        <v>-15606</v>
      </c>
      <c r="AO704" s="8">
        <v>-88488</v>
      </c>
      <c r="AP704" s="8">
        <f t="shared" si="344"/>
        <v>13786</v>
      </c>
      <c r="AR704" s="8">
        <v>1748799</v>
      </c>
      <c r="AS704" s="8">
        <f t="shared" si="345"/>
        <v>-324697</v>
      </c>
      <c r="AT704" s="8">
        <v>139774</v>
      </c>
      <c r="AU704" s="8">
        <f t="shared" si="346"/>
        <v>4179</v>
      </c>
      <c r="AV704" s="8">
        <v>255846</v>
      </c>
      <c r="AW704" s="8">
        <f t="shared" si="347"/>
        <v>-3279</v>
      </c>
      <c r="AX704" s="8">
        <v>-116072</v>
      </c>
      <c r="AY704" s="8">
        <f t="shared" si="355"/>
        <v>7458</v>
      </c>
      <c r="AZ704" s="8">
        <v>757675</v>
      </c>
      <c r="BA704" s="8">
        <f t="shared" si="349"/>
        <v>-129646</v>
      </c>
      <c r="BB704" s="8">
        <v>781705</v>
      </c>
      <c r="BC704" s="8">
        <f t="shared" si="350"/>
        <v>-105635</v>
      </c>
      <c r="BD704" s="8">
        <v>-24030</v>
      </c>
      <c r="BE704" s="8">
        <f t="shared" si="351"/>
        <v>-24011</v>
      </c>
      <c r="BF704" s="8">
        <v>512040</v>
      </c>
      <c r="BG704" s="8">
        <f t="shared" si="352"/>
        <v>-91726</v>
      </c>
      <c r="BH704" s="8">
        <v>714514</v>
      </c>
      <c r="BI704" s="8">
        <f t="shared" si="353"/>
        <v>-56227</v>
      </c>
      <c r="BJ704" s="8">
        <v>-202474</v>
      </c>
      <c r="BK704" s="8">
        <f t="shared" si="326"/>
        <v>-35499</v>
      </c>
    </row>
    <row r="705" spans="1:63">
      <c r="A705" s="5">
        <f t="shared" si="354"/>
        <v>43802</v>
      </c>
      <c r="B705" s="8">
        <v>560031</v>
      </c>
      <c r="C705" s="8">
        <f t="shared" si="327"/>
        <v>7993</v>
      </c>
      <c r="D705" s="8">
        <v>102112</v>
      </c>
      <c r="E705" s="8">
        <f t="shared" si="328"/>
        <v>-4219</v>
      </c>
      <c r="F705" s="8">
        <v>42934</v>
      </c>
      <c r="G705" s="8">
        <f t="shared" si="329"/>
        <v>3487</v>
      </c>
      <c r="H705" s="8">
        <v>59178</v>
      </c>
      <c r="I705" s="8">
        <f t="shared" si="330"/>
        <v>-7706</v>
      </c>
      <c r="J705" s="8">
        <v>245072</v>
      </c>
      <c r="K705" s="8">
        <f t="shared" si="331"/>
        <v>7444</v>
      </c>
      <c r="L705" s="8">
        <v>335299</v>
      </c>
      <c r="M705" s="8">
        <f t="shared" si="332"/>
        <v>-3767</v>
      </c>
      <c r="N705" s="8">
        <v>-90227</v>
      </c>
      <c r="O705" s="8">
        <f t="shared" si="333"/>
        <v>11211</v>
      </c>
      <c r="P705" s="8">
        <v>98088</v>
      </c>
      <c r="Q705" s="8">
        <f t="shared" si="334"/>
        <v>10126</v>
      </c>
      <c r="R705" s="8">
        <v>298401</v>
      </c>
      <c r="S705" s="8">
        <f t="shared" si="335"/>
        <v>-5788</v>
      </c>
      <c r="T705" s="8">
        <v>-200313</v>
      </c>
      <c r="U705" s="8">
        <f t="shared" si="336"/>
        <v>15914</v>
      </c>
      <c r="W705" s="8">
        <v>463884</v>
      </c>
      <c r="X705" s="8">
        <f t="shared" si="337"/>
        <v>17494</v>
      </c>
      <c r="Y705" s="8">
        <v>43864</v>
      </c>
      <c r="Z705" s="8">
        <f t="shared" si="338"/>
        <v>79</v>
      </c>
      <c r="AA705" s="8">
        <v>87774</v>
      </c>
      <c r="AB705" s="8">
        <f t="shared" si="356"/>
        <v>11681</v>
      </c>
      <c r="AC705" s="8">
        <v>-43910</v>
      </c>
      <c r="AD705" s="8">
        <f t="shared" si="357"/>
        <v>-11602</v>
      </c>
      <c r="AE705" s="8">
        <v>241320</v>
      </c>
      <c r="AF705" s="8">
        <f t="shared" si="339"/>
        <v>8038</v>
      </c>
      <c r="AG705" s="8">
        <v>235429</v>
      </c>
      <c r="AH705" s="8">
        <f t="shared" si="340"/>
        <v>-3090</v>
      </c>
      <c r="AI705" s="8">
        <v>5891</v>
      </c>
      <c r="AJ705" s="8">
        <f t="shared" si="341"/>
        <v>11128</v>
      </c>
      <c r="AK705" s="8">
        <v>130953</v>
      </c>
      <c r="AL705" s="8">
        <f t="shared" si="342"/>
        <v>5128</v>
      </c>
      <c r="AM705" s="8">
        <v>214008</v>
      </c>
      <c r="AN705" s="8">
        <f t="shared" si="343"/>
        <v>-305</v>
      </c>
      <c r="AO705" s="8">
        <v>-83055</v>
      </c>
      <c r="AP705" s="8">
        <f t="shared" si="344"/>
        <v>5433</v>
      </c>
      <c r="AR705" s="8">
        <v>1713170</v>
      </c>
      <c r="AS705" s="8">
        <f t="shared" si="345"/>
        <v>-35629</v>
      </c>
      <c r="AT705" s="8">
        <v>152538</v>
      </c>
      <c r="AU705" s="8">
        <f t="shared" si="346"/>
        <v>12764</v>
      </c>
      <c r="AV705" s="8">
        <v>237675</v>
      </c>
      <c r="AW705" s="8">
        <f t="shared" si="347"/>
        <v>-18171</v>
      </c>
      <c r="AX705" s="8">
        <v>-85137</v>
      </c>
      <c r="AY705" s="8">
        <f t="shared" si="355"/>
        <v>30935</v>
      </c>
      <c r="AZ705" s="8">
        <v>696163</v>
      </c>
      <c r="BA705" s="8">
        <f t="shared" si="349"/>
        <v>-61512</v>
      </c>
      <c r="BB705" s="8">
        <v>751360</v>
      </c>
      <c r="BC705" s="8">
        <f t="shared" si="350"/>
        <v>-30345</v>
      </c>
      <c r="BD705" s="8">
        <v>-55197</v>
      </c>
      <c r="BE705" s="8">
        <f t="shared" si="351"/>
        <v>-31167</v>
      </c>
      <c r="BF705" s="8">
        <v>457871</v>
      </c>
      <c r="BG705" s="8">
        <f t="shared" si="352"/>
        <v>-54169</v>
      </c>
      <c r="BH705" s="8">
        <v>668906</v>
      </c>
      <c r="BI705" s="8">
        <f t="shared" si="353"/>
        <v>-45608</v>
      </c>
      <c r="BJ705" s="8">
        <v>-211035</v>
      </c>
      <c r="BK705" s="8">
        <f t="shared" si="326"/>
        <v>-8561</v>
      </c>
    </row>
    <row r="706" spans="1:63">
      <c r="A706" s="5">
        <f t="shared" si="354"/>
        <v>43809</v>
      </c>
      <c r="B706" s="8">
        <v>550400</v>
      </c>
      <c r="C706" s="8">
        <f t="shared" si="327"/>
        <v>-9631</v>
      </c>
      <c r="D706" s="8">
        <v>110872</v>
      </c>
      <c r="E706" s="8">
        <f t="shared" si="328"/>
        <v>8760</v>
      </c>
      <c r="F706" s="8">
        <v>33202</v>
      </c>
      <c r="G706" s="8">
        <f t="shared" si="329"/>
        <v>-9732</v>
      </c>
      <c r="H706" s="8">
        <v>77670</v>
      </c>
      <c r="I706" s="8">
        <f t="shared" si="330"/>
        <v>18492</v>
      </c>
      <c r="J706" s="8">
        <v>242202</v>
      </c>
      <c r="K706" s="8">
        <f t="shared" si="331"/>
        <v>-2870</v>
      </c>
      <c r="L706" s="8">
        <v>353100</v>
      </c>
      <c r="M706" s="8">
        <f t="shared" si="332"/>
        <v>17801</v>
      </c>
      <c r="N706" s="8">
        <v>-110898</v>
      </c>
      <c r="O706" s="8">
        <f t="shared" si="333"/>
        <v>-20671</v>
      </c>
      <c r="P706" s="8">
        <v>102194</v>
      </c>
      <c r="Q706" s="8">
        <f t="shared" si="334"/>
        <v>4106</v>
      </c>
      <c r="R706" s="8">
        <v>322304</v>
      </c>
      <c r="S706" s="8">
        <f t="shared" si="335"/>
        <v>23903</v>
      </c>
      <c r="T706" s="8">
        <v>-220110</v>
      </c>
      <c r="U706" s="8">
        <f t="shared" si="336"/>
        <v>-19797</v>
      </c>
      <c r="W706" s="8">
        <v>477057</v>
      </c>
      <c r="X706" s="8">
        <f t="shared" si="337"/>
        <v>13173</v>
      </c>
      <c r="Y706" s="8">
        <v>45819</v>
      </c>
      <c r="Z706" s="8">
        <f t="shared" si="338"/>
        <v>1955</v>
      </c>
      <c r="AA706" s="8">
        <v>78520</v>
      </c>
      <c r="AB706" s="8">
        <f t="shared" si="356"/>
        <v>-9254</v>
      </c>
      <c r="AC706" s="8">
        <v>-32701</v>
      </c>
      <c r="AD706" s="8">
        <f t="shared" si="357"/>
        <v>11209</v>
      </c>
      <c r="AE706" s="8">
        <v>247513</v>
      </c>
      <c r="AF706" s="8">
        <f t="shared" si="339"/>
        <v>6193</v>
      </c>
      <c r="AG706" s="8">
        <v>254730</v>
      </c>
      <c r="AH706" s="8">
        <f t="shared" si="340"/>
        <v>19301</v>
      </c>
      <c r="AI706" s="8">
        <v>-7217</v>
      </c>
      <c r="AJ706" s="8">
        <f t="shared" si="341"/>
        <v>-13108</v>
      </c>
      <c r="AK706" s="8">
        <v>139821</v>
      </c>
      <c r="AL706" s="8">
        <f t="shared" si="342"/>
        <v>8868</v>
      </c>
      <c r="AM706" s="8">
        <v>236796</v>
      </c>
      <c r="AN706" s="8">
        <f t="shared" si="343"/>
        <v>22788</v>
      </c>
      <c r="AO706" s="8">
        <v>-96975</v>
      </c>
      <c r="AP706" s="8">
        <f t="shared" si="344"/>
        <v>-13920</v>
      </c>
      <c r="AR706" s="8">
        <v>1756437</v>
      </c>
      <c r="AS706" s="8">
        <f t="shared" si="345"/>
        <v>43267</v>
      </c>
      <c r="AT706" s="8">
        <v>142704</v>
      </c>
      <c r="AU706" s="8">
        <f t="shared" si="346"/>
        <v>-9834</v>
      </c>
      <c r="AV706" s="8">
        <v>257505</v>
      </c>
      <c r="AW706" s="8">
        <f t="shared" si="347"/>
        <v>19830</v>
      </c>
      <c r="AX706" s="8">
        <v>-114801</v>
      </c>
      <c r="AY706" s="8">
        <f t="shared" si="355"/>
        <v>-29664</v>
      </c>
      <c r="AZ706" s="8">
        <v>713216</v>
      </c>
      <c r="BA706" s="8">
        <f t="shared" si="349"/>
        <v>17053</v>
      </c>
      <c r="BB706" s="8">
        <v>752464</v>
      </c>
      <c r="BC706" s="8">
        <f t="shared" si="350"/>
        <v>1104</v>
      </c>
      <c r="BD706" s="8">
        <v>-39248</v>
      </c>
      <c r="BE706" s="8">
        <f t="shared" si="351"/>
        <v>15949</v>
      </c>
      <c r="BF706" s="8">
        <v>475160</v>
      </c>
      <c r="BG706" s="8">
        <f t="shared" si="352"/>
        <v>17289</v>
      </c>
      <c r="BH706" s="8">
        <v>669296</v>
      </c>
      <c r="BI706" s="8">
        <f t="shared" si="353"/>
        <v>390</v>
      </c>
      <c r="BJ706" s="8">
        <v>-194136</v>
      </c>
      <c r="BK706" s="8">
        <f t="shared" si="326"/>
        <v>16899</v>
      </c>
    </row>
    <row r="707" spans="1:63">
      <c r="A707" s="5">
        <f t="shared" si="354"/>
        <v>43816</v>
      </c>
      <c r="B707" s="8">
        <v>561425</v>
      </c>
      <c r="C707" s="8">
        <f t="shared" si="327"/>
        <v>11025</v>
      </c>
      <c r="D707" s="8">
        <v>127727</v>
      </c>
      <c r="E707" s="8">
        <f t="shared" si="328"/>
        <v>16855</v>
      </c>
      <c r="F707" s="8">
        <v>24387</v>
      </c>
      <c r="G707" s="8">
        <f t="shared" si="329"/>
        <v>-8815</v>
      </c>
      <c r="H707" s="8">
        <v>103340</v>
      </c>
      <c r="I707" s="8">
        <f t="shared" si="330"/>
        <v>25670</v>
      </c>
      <c r="J707" s="8">
        <v>230214</v>
      </c>
      <c r="K707" s="8">
        <f t="shared" si="331"/>
        <v>-11988</v>
      </c>
      <c r="L707" s="8">
        <v>369873</v>
      </c>
      <c r="M707" s="8">
        <f t="shared" si="332"/>
        <v>16773</v>
      </c>
      <c r="N707" s="8">
        <v>-139659</v>
      </c>
      <c r="O707" s="8">
        <f t="shared" si="333"/>
        <v>-28761</v>
      </c>
      <c r="P707" s="8">
        <v>90953</v>
      </c>
      <c r="Q707" s="8">
        <f t="shared" si="334"/>
        <v>-11241</v>
      </c>
      <c r="R707" s="8">
        <v>344089</v>
      </c>
      <c r="S707" s="8">
        <f t="shared" si="335"/>
        <v>21785</v>
      </c>
      <c r="T707" s="8">
        <v>-253136</v>
      </c>
      <c r="U707" s="8">
        <f t="shared" si="336"/>
        <v>-33026</v>
      </c>
      <c r="W707" s="8">
        <v>489233</v>
      </c>
      <c r="X707" s="8">
        <f t="shared" si="337"/>
        <v>12176</v>
      </c>
      <c r="Y707" s="8">
        <v>49321</v>
      </c>
      <c r="Z707" s="8">
        <f t="shared" si="338"/>
        <v>3502</v>
      </c>
      <c r="AA707" s="8">
        <v>80666</v>
      </c>
      <c r="AB707" s="8">
        <f t="shared" si="356"/>
        <v>2146</v>
      </c>
      <c r="AC707" s="8">
        <v>-31345</v>
      </c>
      <c r="AD707" s="8">
        <f t="shared" si="357"/>
        <v>1356</v>
      </c>
      <c r="AE707" s="8">
        <v>253314</v>
      </c>
      <c r="AF707" s="8">
        <f t="shared" si="339"/>
        <v>5801</v>
      </c>
      <c r="AG707" s="8">
        <v>264002</v>
      </c>
      <c r="AH707" s="8">
        <f t="shared" si="340"/>
        <v>9272</v>
      </c>
      <c r="AI707" s="8">
        <v>-10688</v>
      </c>
      <c r="AJ707" s="8">
        <f t="shared" si="341"/>
        <v>-3471</v>
      </c>
      <c r="AK707" s="8">
        <v>139046</v>
      </c>
      <c r="AL707" s="8">
        <f t="shared" si="342"/>
        <v>-775</v>
      </c>
      <c r="AM707" s="8">
        <v>243789</v>
      </c>
      <c r="AN707" s="8">
        <f t="shared" si="343"/>
        <v>6993</v>
      </c>
      <c r="AO707" s="8">
        <v>-104743</v>
      </c>
      <c r="AP707" s="8">
        <f t="shared" si="344"/>
        <v>-7768</v>
      </c>
      <c r="AR707" s="8">
        <v>1800803</v>
      </c>
      <c r="AS707" s="8">
        <f t="shared" si="345"/>
        <v>44366</v>
      </c>
      <c r="AT707" s="8">
        <v>158395</v>
      </c>
      <c r="AU707" s="8">
        <f t="shared" si="346"/>
        <v>15691</v>
      </c>
      <c r="AV707" s="8">
        <v>253232</v>
      </c>
      <c r="AW707" s="8">
        <f t="shared" si="347"/>
        <v>-4273</v>
      </c>
      <c r="AX707" s="8">
        <v>-94837</v>
      </c>
      <c r="AY707" s="8">
        <f t="shared" si="355"/>
        <v>19964</v>
      </c>
      <c r="AZ707" s="8">
        <v>726492</v>
      </c>
      <c r="BA707" s="8">
        <f t="shared" si="349"/>
        <v>13276</v>
      </c>
      <c r="BB707" s="8">
        <v>792754</v>
      </c>
      <c r="BC707" s="8">
        <f t="shared" si="350"/>
        <v>40290</v>
      </c>
      <c r="BD707" s="8">
        <v>-66262</v>
      </c>
      <c r="BE707" s="8">
        <f t="shared" si="351"/>
        <v>-27014</v>
      </c>
      <c r="BF707" s="8">
        <v>487176</v>
      </c>
      <c r="BG707" s="8">
        <f t="shared" si="352"/>
        <v>12016</v>
      </c>
      <c r="BH707" s="8">
        <v>701262</v>
      </c>
      <c r="BI707" s="8">
        <f t="shared" si="353"/>
        <v>31966</v>
      </c>
      <c r="BJ707" s="8">
        <v>-214086</v>
      </c>
      <c r="BK707" s="8">
        <f t="shared" si="326"/>
        <v>-19950</v>
      </c>
    </row>
    <row r="708" spans="1:63">
      <c r="A708" s="5">
        <f t="shared" si="354"/>
        <v>43823</v>
      </c>
      <c r="B708" s="8">
        <v>561516</v>
      </c>
      <c r="C708" s="8">
        <f t="shared" si="327"/>
        <v>91</v>
      </c>
      <c r="D708" s="8">
        <v>139657</v>
      </c>
      <c r="E708" s="8">
        <f t="shared" si="328"/>
        <v>11930</v>
      </c>
      <c r="F708" s="8">
        <v>20237</v>
      </c>
      <c r="G708" s="8">
        <f t="shared" si="329"/>
        <v>-4150</v>
      </c>
      <c r="H708" s="8">
        <v>119420</v>
      </c>
      <c r="I708" s="8">
        <f t="shared" si="330"/>
        <v>16080</v>
      </c>
      <c r="J708" s="8">
        <v>225621</v>
      </c>
      <c r="K708" s="8">
        <f t="shared" si="331"/>
        <v>-4593</v>
      </c>
      <c r="L708" s="8">
        <v>376491</v>
      </c>
      <c r="M708" s="8">
        <f t="shared" si="332"/>
        <v>6618</v>
      </c>
      <c r="N708" s="8">
        <v>-150870</v>
      </c>
      <c r="O708" s="8">
        <f t="shared" si="333"/>
        <v>-11211</v>
      </c>
      <c r="P708" s="8">
        <v>79704</v>
      </c>
      <c r="Q708" s="8">
        <f t="shared" si="334"/>
        <v>-11249</v>
      </c>
      <c r="R708" s="8">
        <v>347871</v>
      </c>
      <c r="S708" s="8">
        <f t="shared" si="335"/>
        <v>3782</v>
      </c>
      <c r="T708" s="8">
        <v>-268167</v>
      </c>
      <c r="U708" s="8">
        <f t="shared" si="336"/>
        <v>-15031</v>
      </c>
      <c r="W708" s="8">
        <v>482739</v>
      </c>
      <c r="X708" s="8">
        <f t="shared" si="337"/>
        <v>-6494</v>
      </c>
      <c r="Y708" s="8">
        <v>49729</v>
      </c>
      <c r="Z708" s="8">
        <f t="shared" si="338"/>
        <v>408</v>
      </c>
      <c r="AA708" s="8">
        <v>74075</v>
      </c>
      <c r="AB708" s="8">
        <f t="shared" si="356"/>
        <v>-6591</v>
      </c>
      <c r="AC708" s="8">
        <v>-24346</v>
      </c>
      <c r="AD708" s="8">
        <f t="shared" si="357"/>
        <v>6999</v>
      </c>
      <c r="AE708" s="8">
        <v>255121</v>
      </c>
      <c r="AF708" s="8">
        <f t="shared" si="339"/>
        <v>1807</v>
      </c>
      <c r="AG708" s="8">
        <v>269371</v>
      </c>
      <c r="AH708" s="8">
        <f t="shared" si="340"/>
        <v>5369</v>
      </c>
      <c r="AI708" s="8">
        <v>-14250</v>
      </c>
      <c r="AJ708" s="8">
        <f t="shared" si="341"/>
        <v>-3562</v>
      </c>
      <c r="AK708" s="8">
        <v>133604</v>
      </c>
      <c r="AL708" s="8">
        <f t="shared" si="342"/>
        <v>-5442</v>
      </c>
      <c r="AM708" s="8">
        <v>248888</v>
      </c>
      <c r="AN708" s="8">
        <f t="shared" si="343"/>
        <v>5099</v>
      </c>
      <c r="AO708" s="8">
        <v>-115284</v>
      </c>
      <c r="AP708" s="8">
        <f t="shared" si="344"/>
        <v>-10541</v>
      </c>
      <c r="AR708" s="8">
        <v>1787533</v>
      </c>
      <c r="AS708" s="8">
        <f t="shared" si="345"/>
        <v>-13270</v>
      </c>
      <c r="AT708" s="8">
        <v>152453</v>
      </c>
      <c r="AU708" s="8">
        <f t="shared" si="346"/>
        <v>-5942</v>
      </c>
      <c r="AV708" s="8">
        <v>237359</v>
      </c>
      <c r="AW708" s="8">
        <f t="shared" si="347"/>
        <v>-15873</v>
      </c>
      <c r="AX708" s="8">
        <v>-84906</v>
      </c>
      <c r="AY708" s="8">
        <f t="shared" si="355"/>
        <v>9931</v>
      </c>
      <c r="AZ708" s="8">
        <v>728451</v>
      </c>
      <c r="BA708" s="8">
        <f t="shared" si="349"/>
        <v>1959</v>
      </c>
      <c r="BB708" s="8">
        <v>812538</v>
      </c>
      <c r="BC708" s="8">
        <f t="shared" si="350"/>
        <v>19784</v>
      </c>
      <c r="BD708" s="8">
        <v>-84087</v>
      </c>
      <c r="BE708" s="8">
        <f t="shared" si="351"/>
        <v>-17825</v>
      </c>
      <c r="BF708" s="8">
        <v>484411</v>
      </c>
      <c r="BG708" s="8">
        <f t="shared" si="352"/>
        <v>-2765</v>
      </c>
      <c r="BH708" s="8">
        <v>708006</v>
      </c>
      <c r="BI708" s="8">
        <f t="shared" si="353"/>
        <v>6744</v>
      </c>
      <c r="BJ708" s="8">
        <v>-223595</v>
      </c>
      <c r="BK708" s="8">
        <f t="shared" si="326"/>
        <v>-9509</v>
      </c>
    </row>
    <row r="709" spans="1:63">
      <c r="A709" s="5">
        <f t="shared" si="354"/>
        <v>43830</v>
      </c>
      <c r="B709" s="8">
        <v>540191</v>
      </c>
      <c r="C709" s="8">
        <f t="shared" si="327"/>
        <v>-21325</v>
      </c>
      <c r="D709" s="8">
        <v>135270</v>
      </c>
      <c r="E709" s="8">
        <f t="shared" si="328"/>
        <v>-4387</v>
      </c>
      <c r="F709" s="8">
        <v>23087</v>
      </c>
      <c r="G709" s="8">
        <f t="shared" si="329"/>
        <v>2850</v>
      </c>
      <c r="H709" s="8">
        <v>112183</v>
      </c>
      <c r="I709" s="8">
        <f t="shared" si="330"/>
        <v>-7237</v>
      </c>
      <c r="J709" s="8">
        <v>218601</v>
      </c>
      <c r="K709" s="8">
        <f t="shared" si="331"/>
        <v>-7020</v>
      </c>
      <c r="L709" s="8">
        <v>363975</v>
      </c>
      <c r="M709" s="8">
        <f t="shared" si="332"/>
        <v>-12516</v>
      </c>
      <c r="N709" s="8">
        <v>-145374</v>
      </c>
      <c r="O709" s="8">
        <f t="shared" si="333"/>
        <v>5496</v>
      </c>
      <c r="P709" s="8">
        <v>73862</v>
      </c>
      <c r="Q709" s="8">
        <f t="shared" si="334"/>
        <v>-5842</v>
      </c>
      <c r="R709" s="8">
        <v>335780</v>
      </c>
      <c r="S709" s="8">
        <f t="shared" si="335"/>
        <v>-12091</v>
      </c>
      <c r="T709" s="8">
        <v>-261918</v>
      </c>
      <c r="U709" s="8">
        <f t="shared" si="336"/>
        <v>6249</v>
      </c>
      <c r="W709" s="8">
        <v>454476</v>
      </c>
      <c r="X709" s="8">
        <f t="shared" si="337"/>
        <v>-28263</v>
      </c>
      <c r="Y709" s="8">
        <v>50083</v>
      </c>
      <c r="Z709" s="8">
        <f t="shared" si="338"/>
        <v>354</v>
      </c>
      <c r="AA709" s="8">
        <v>75493</v>
      </c>
      <c r="AB709" s="8">
        <f t="shared" si="356"/>
        <v>1418</v>
      </c>
      <c r="AC709" s="8">
        <v>-25410</v>
      </c>
      <c r="AD709" s="8">
        <f t="shared" si="357"/>
        <v>-1064</v>
      </c>
      <c r="AE709" s="8">
        <v>243931</v>
      </c>
      <c r="AF709" s="8">
        <f t="shared" si="339"/>
        <v>-11190</v>
      </c>
      <c r="AG709" s="8">
        <v>257112</v>
      </c>
      <c r="AH709" s="8">
        <f t="shared" si="340"/>
        <v>-12259</v>
      </c>
      <c r="AI709" s="8">
        <v>-13181</v>
      </c>
      <c r="AJ709" s="8">
        <f t="shared" si="341"/>
        <v>1069</v>
      </c>
      <c r="AK709" s="8">
        <v>125497</v>
      </c>
      <c r="AL709" s="8">
        <f t="shared" si="342"/>
        <v>-8107</v>
      </c>
      <c r="AM709" s="8">
        <v>239712</v>
      </c>
      <c r="AN709" s="8">
        <f t="shared" si="343"/>
        <v>-9176</v>
      </c>
      <c r="AO709" s="8">
        <v>-114215</v>
      </c>
      <c r="AP709" s="8">
        <f t="shared" si="344"/>
        <v>1069</v>
      </c>
      <c r="AR709" s="8">
        <v>1756379</v>
      </c>
      <c r="AS709" s="8">
        <f t="shared" si="345"/>
        <v>-31154</v>
      </c>
      <c r="AT709" s="8">
        <v>159208</v>
      </c>
      <c r="AU709" s="8">
        <f t="shared" si="346"/>
        <v>6755</v>
      </c>
      <c r="AV709" s="8">
        <v>241664</v>
      </c>
      <c r="AW709" s="8">
        <f t="shared" si="347"/>
        <v>4305</v>
      </c>
      <c r="AX709" s="8">
        <v>-82456</v>
      </c>
      <c r="AY709" s="8">
        <f t="shared" si="355"/>
        <v>2450</v>
      </c>
      <c r="AZ709" s="8">
        <v>721170</v>
      </c>
      <c r="BA709" s="8">
        <f t="shared" si="349"/>
        <v>-7281</v>
      </c>
      <c r="BB709" s="8">
        <v>806632</v>
      </c>
      <c r="BC709" s="8">
        <f t="shared" si="350"/>
        <v>-5906</v>
      </c>
      <c r="BD709" s="8">
        <v>-85462</v>
      </c>
      <c r="BE709" s="8">
        <f t="shared" si="351"/>
        <v>-1375</v>
      </c>
      <c r="BF709" s="8">
        <v>475220</v>
      </c>
      <c r="BG709" s="8">
        <f t="shared" si="352"/>
        <v>-9191</v>
      </c>
      <c r="BH709" s="8">
        <v>702960</v>
      </c>
      <c r="BI709" s="8">
        <f t="shared" si="353"/>
        <v>-5046</v>
      </c>
      <c r="BJ709" s="8">
        <v>-227740</v>
      </c>
      <c r="BK709" s="8">
        <f t="shared" ref="BK709:BK773" si="358">BJ709-BJ708</f>
        <v>-4145</v>
      </c>
    </row>
    <row r="710" spans="1:63">
      <c r="A710" s="5">
        <f t="shared" si="354"/>
        <v>43837</v>
      </c>
      <c r="B710" s="8">
        <v>558935</v>
      </c>
      <c r="C710" s="8">
        <f t="shared" si="327"/>
        <v>18744</v>
      </c>
      <c r="D710" s="8">
        <v>136382</v>
      </c>
      <c r="E710" s="8">
        <f t="shared" si="328"/>
        <v>1112</v>
      </c>
      <c r="F710" s="8">
        <v>25520</v>
      </c>
      <c r="G710" s="8">
        <f t="shared" si="329"/>
        <v>2433</v>
      </c>
      <c r="H710" s="8">
        <v>110862</v>
      </c>
      <c r="I710" s="8">
        <f t="shared" si="330"/>
        <v>-1321</v>
      </c>
      <c r="J710" s="8">
        <v>225944</v>
      </c>
      <c r="K710" s="8">
        <f t="shared" si="331"/>
        <v>7343</v>
      </c>
      <c r="L710" s="8">
        <v>365302</v>
      </c>
      <c r="M710" s="8">
        <f t="shared" si="332"/>
        <v>1327</v>
      </c>
      <c r="N710" s="8">
        <v>-139358</v>
      </c>
      <c r="O710" s="8">
        <f t="shared" si="333"/>
        <v>6016</v>
      </c>
      <c r="P710" s="8">
        <v>79814</v>
      </c>
      <c r="Q710" s="8">
        <f t="shared" si="334"/>
        <v>5952</v>
      </c>
      <c r="R710" s="8">
        <v>338300</v>
      </c>
      <c r="S710" s="8">
        <f t="shared" si="335"/>
        <v>2520</v>
      </c>
      <c r="T710" s="8">
        <v>-258486</v>
      </c>
      <c r="U710" s="8">
        <f t="shared" si="336"/>
        <v>3432</v>
      </c>
      <c r="W710" s="8">
        <v>469191</v>
      </c>
      <c r="X710" s="8">
        <f t="shared" si="337"/>
        <v>14715</v>
      </c>
      <c r="Y710" s="8">
        <v>52703</v>
      </c>
      <c r="Z710" s="8">
        <f t="shared" si="338"/>
        <v>2620</v>
      </c>
      <c r="AA710" s="8">
        <v>80617</v>
      </c>
      <c r="AB710" s="8">
        <f t="shared" si="356"/>
        <v>5124</v>
      </c>
      <c r="AC710" s="8">
        <v>-27914</v>
      </c>
      <c r="AD710" s="8">
        <f t="shared" si="357"/>
        <v>-2504</v>
      </c>
      <c r="AE710" s="8">
        <v>250904</v>
      </c>
      <c r="AF710" s="8">
        <f t="shared" si="339"/>
        <v>6973</v>
      </c>
      <c r="AG710" s="8">
        <v>259943</v>
      </c>
      <c r="AH710" s="8">
        <f t="shared" si="340"/>
        <v>2831</v>
      </c>
      <c r="AI710" s="8">
        <v>-9039</v>
      </c>
      <c r="AJ710" s="8">
        <f t="shared" si="341"/>
        <v>4142</v>
      </c>
      <c r="AK710" s="8">
        <v>126444</v>
      </c>
      <c r="AL710" s="8">
        <f t="shared" si="342"/>
        <v>947</v>
      </c>
      <c r="AM710" s="8">
        <v>240332</v>
      </c>
      <c r="AN710" s="8">
        <f t="shared" si="343"/>
        <v>620</v>
      </c>
      <c r="AO710" s="8">
        <v>-113888</v>
      </c>
      <c r="AP710" s="8">
        <f t="shared" si="344"/>
        <v>327</v>
      </c>
      <c r="AR710" s="8">
        <v>1783463</v>
      </c>
      <c r="AS710" s="8">
        <f t="shared" si="345"/>
        <v>27084</v>
      </c>
      <c r="AT710" s="8">
        <v>157761</v>
      </c>
      <c r="AU710" s="8">
        <f t="shared" si="346"/>
        <v>-1447</v>
      </c>
      <c r="AV710" s="8">
        <v>238648</v>
      </c>
      <c r="AW710" s="8">
        <f t="shared" si="347"/>
        <v>-3016</v>
      </c>
      <c r="AX710" s="8">
        <v>-80887</v>
      </c>
      <c r="AY710" s="8">
        <f t="shared" si="355"/>
        <v>1569</v>
      </c>
      <c r="AZ710" s="8">
        <v>724497</v>
      </c>
      <c r="BA710" s="8">
        <f t="shared" si="349"/>
        <v>3327</v>
      </c>
      <c r="BB710" s="8">
        <v>811731</v>
      </c>
      <c r="BC710" s="8">
        <f t="shared" si="350"/>
        <v>5099</v>
      </c>
      <c r="BD710" s="8">
        <v>-87234</v>
      </c>
      <c r="BE710" s="8">
        <f t="shared" si="351"/>
        <v>-1772</v>
      </c>
      <c r="BF710" s="8">
        <v>474610</v>
      </c>
      <c r="BG710" s="8">
        <f t="shared" si="352"/>
        <v>-610</v>
      </c>
      <c r="BH710" s="8">
        <v>704732</v>
      </c>
      <c r="BI710" s="8">
        <f t="shared" si="353"/>
        <v>1772</v>
      </c>
      <c r="BJ710" s="8">
        <v>-230122</v>
      </c>
      <c r="BK710" s="8">
        <f t="shared" si="358"/>
        <v>-2382</v>
      </c>
    </row>
    <row r="711" spans="1:63">
      <c r="A711" s="5">
        <f t="shared" si="354"/>
        <v>43844</v>
      </c>
      <c r="B711" s="8">
        <v>582432</v>
      </c>
      <c r="C711" s="8">
        <f t="shared" si="327"/>
        <v>23497</v>
      </c>
      <c r="D711" s="8">
        <v>136631</v>
      </c>
      <c r="E711" s="8">
        <f t="shared" si="328"/>
        <v>249</v>
      </c>
      <c r="F711" s="8">
        <v>23720</v>
      </c>
      <c r="G711" s="8">
        <f t="shared" si="329"/>
        <v>-1800</v>
      </c>
      <c r="H711" s="8">
        <v>112911</v>
      </c>
      <c r="I711" s="8">
        <f t="shared" si="330"/>
        <v>2049</v>
      </c>
      <c r="J711" s="8">
        <v>224347</v>
      </c>
      <c r="K711" s="8">
        <f t="shared" si="331"/>
        <v>-1597</v>
      </c>
      <c r="L711" s="8">
        <v>368392</v>
      </c>
      <c r="M711" s="8">
        <f t="shared" si="332"/>
        <v>3090</v>
      </c>
      <c r="N711" s="8">
        <v>-144045</v>
      </c>
      <c r="O711" s="8">
        <f t="shared" si="333"/>
        <v>-4687</v>
      </c>
      <c r="P711" s="8">
        <v>87276</v>
      </c>
      <c r="Q711" s="8">
        <f t="shared" si="334"/>
        <v>7462</v>
      </c>
      <c r="R711" s="8">
        <v>340907</v>
      </c>
      <c r="S711" s="8">
        <f t="shared" si="335"/>
        <v>2607</v>
      </c>
      <c r="T711" s="8">
        <v>-253631</v>
      </c>
      <c r="U711" s="8">
        <f t="shared" si="336"/>
        <v>4855</v>
      </c>
      <c r="W711" s="8">
        <v>489872</v>
      </c>
      <c r="X711" s="8">
        <f t="shared" si="337"/>
        <v>20681</v>
      </c>
      <c r="Y711" s="8">
        <v>52223</v>
      </c>
      <c r="Z711" s="8">
        <f t="shared" si="338"/>
        <v>-480</v>
      </c>
      <c r="AA711" s="8">
        <v>83943</v>
      </c>
      <c r="AB711" s="8">
        <f t="shared" si="356"/>
        <v>3326</v>
      </c>
      <c r="AC711" s="8">
        <v>-31720</v>
      </c>
      <c r="AD711" s="8">
        <f t="shared" si="357"/>
        <v>-3806</v>
      </c>
      <c r="AE711" s="8">
        <v>258744</v>
      </c>
      <c r="AF711" s="8">
        <f t="shared" si="339"/>
        <v>7840</v>
      </c>
      <c r="AG711" s="8">
        <v>263904</v>
      </c>
      <c r="AH711" s="8">
        <f t="shared" si="340"/>
        <v>3961</v>
      </c>
      <c r="AI711" s="8">
        <v>-5160</v>
      </c>
      <c r="AJ711" s="8">
        <f t="shared" si="341"/>
        <v>3879</v>
      </c>
      <c r="AK711" s="8">
        <v>130312</v>
      </c>
      <c r="AL711" s="8">
        <f t="shared" si="342"/>
        <v>3868</v>
      </c>
      <c r="AM711" s="8">
        <v>244428</v>
      </c>
      <c r="AN711" s="8">
        <f t="shared" si="343"/>
        <v>4096</v>
      </c>
      <c r="AO711" s="8">
        <v>-114116</v>
      </c>
      <c r="AP711" s="8">
        <f t="shared" si="344"/>
        <v>-228</v>
      </c>
      <c r="AR711" s="8">
        <v>1873406</v>
      </c>
      <c r="AS711" s="8">
        <f t="shared" si="345"/>
        <v>89943</v>
      </c>
      <c r="AT711" s="8">
        <v>179389</v>
      </c>
      <c r="AU711" s="8">
        <f t="shared" si="346"/>
        <v>21628</v>
      </c>
      <c r="AV711" s="8">
        <v>257831</v>
      </c>
      <c r="AW711" s="8">
        <f t="shared" si="347"/>
        <v>19183</v>
      </c>
      <c r="AX711" s="8">
        <v>-78442</v>
      </c>
      <c r="AY711" s="8">
        <f t="shared" si="355"/>
        <v>2445</v>
      </c>
      <c r="AZ711" s="8">
        <v>755964</v>
      </c>
      <c r="BA711" s="8">
        <f t="shared" si="349"/>
        <v>31467</v>
      </c>
      <c r="BB711" s="8">
        <v>832170</v>
      </c>
      <c r="BC711" s="8">
        <f t="shared" si="350"/>
        <v>20439</v>
      </c>
      <c r="BD711" s="8">
        <v>-76206</v>
      </c>
      <c r="BE711" s="8">
        <f t="shared" si="351"/>
        <v>11028</v>
      </c>
      <c r="BF711" s="8">
        <v>481406</v>
      </c>
      <c r="BG711" s="8">
        <f t="shared" si="352"/>
        <v>6796</v>
      </c>
      <c r="BH711" s="8">
        <v>714925</v>
      </c>
      <c r="BI711" s="8">
        <f t="shared" si="353"/>
        <v>10193</v>
      </c>
      <c r="BJ711" s="8">
        <v>-233519</v>
      </c>
      <c r="BK711" s="8">
        <f t="shared" si="358"/>
        <v>-3397</v>
      </c>
    </row>
    <row r="712" spans="1:63">
      <c r="A712" s="5">
        <f t="shared" si="354"/>
        <v>43851</v>
      </c>
      <c r="B712" s="8">
        <v>589509</v>
      </c>
      <c r="C712" s="8">
        <f t="shared" ref="C712:C776" si="359">B712-B711</f>
        <v>7077</v>
      </c>
      <c r="D712" s="8">
        <v>126089</v>
      </c>
      <c r="E712" s="8">
        <f t="shared" ref="E712:E776" si="360">D712-D711</f>
        <v>-10542</v>
      </c>
      <c r="F712" s="8">
        <v>24830</v>
      </c>
      <c r="G712" s="8">
        <f t="shared" ref="G712:G776" si="361">F712-F711</f>
        <v>1110</v>
      </c>
      <c r="H712" s="8">
        <v>101259</v>
      </c>
      <c r="I712" s="8">
        <f t="shared" ref="I712:I776" si="362">H712-H711</f>
        <v>-11652</v>
      </c>
      <c r="J712" s="8">
        <v>235030</v>
      </c>
      <c r="K712" s="8">
        <f t="shared" ref="K712:K776" si="363">J712-J711</f>
        <v>10683</v>
      </c>
      <c r="L712" s="8">
        <v>357871</v>
      </c>
      <c r="M712" s="8">
        <f t="shared" ref="M712:M776" si="364">L712-L711</f>
        <v>-10521</v>
      </c>
      <c r="N712" s="8">
        <v>-122841</v>
      </c>
      <c r="O712" s="8">
        <f t="shared" ref="O712:O776" si="365">N712-N711</f>
        <v>21204</v>
      </c>
      <c r="P712" s="8">
        <v>99809</v>
      </c>
      <c r="Q712" s="8">
        <f t="shared" ref="Q712:Q776" si="366">P712-P711</f>
        <v>12533</v>
      </c>
      <c r="R712" s="8">
        <v>328898</v>
      </c>
      <c r="S712" s="8">
        <f t="shared" ref="S712:S776" si="367">R712-R711</f>
        <v>-12009</v>
      </c>
      <c r="T712" s="8">
        <v>-229089</v>
      </c>
      <c r="U712" s="8">
        <f t="shared" ref="U712:U776" si="368">T712-T711</f>
        <v>24542</v>
      </c>
      <c r="W712" s="8">
        <v>500274</v>
      </c>
      <c r="X712" s="8">
        <f t="shared" ref="X712:X776" si="369">W712-W711</f>
        <v>10402</v>
      </c>
      <c r="Y712" s="8">
        <v>51265</v>
      </c>
      <c r="Z712" s="8">
        <f t="shared" ref="Z712:Z776" si="370">Y712-Y711</f>
        <v>-958</v>
      </c>
      <c r="AA712" s="8">
        <v>87961</v>
      </c>
      <c r="AB712" s="8">
        <f t="shared" si="356"/>
        <v>4018</v>
      </c>
      <c r="AC712" s="8">
        <v>-36696</v>
      </c>
      <c r="AD712" s="8">
        <f t="shared" si="357"/>
        <v>-4976</v>
      </c>
      <c r="AE712" s="8">
        <v>260640</v>
      </c>
      <c r="AF712" s="8">
        <f t="shared" ref="AF712:AF775" si="371">AE712-AE711</f>
        <v>1896</v>
      </c>
      <c r="AG712" s="8">
        <v>262040</v>
      </c>
      <c r="AH712" s="8">
        <f t="shared" ref="AH712:AH775" si="372">AG712-AG711</f>
        <v>-1864</v>
      </c>
      <c r="AI712" s="8">
        <v>-1400</v>
      </c>
      <c r="AJ712" s="8">
        <f t="shared" ref="AJ712:AJ775" si="373">AI712-AI711</f>
        <v>3760</v>
      </c>
      <c r="AK712" s="8">
        <v>132782</v>
      </c>
      <c r="AL712" s="8">
        <f t="shared" ref="AL712:AL775" si="374">AK712-AK711</f>
        <v>2470</v>
      </c>
      <c r="AM712" s="8">
        <v>241404</v>
      </c>
      <c r="AN712" s="8">
        <f t="shared" ref="AN712:AN775" si="375">AM712-AM711</f>
        <v>-3024</v>
      </c>
      <c r="AO712" s="8">
        <v>-108622</v>
      </c>
      <c r="AP712" s="8">
        <f t="shared" ref="AP712:AP776" si="376">AO712-AO711</f>
        <v>5494</v>
      </c>
      <c r="AR712" s="8">
        <v>1851616</v>
      </c>
      <c r="AS712" s="8">
        <f t="shared" ref="AS712:AS776" si="377">AR712-AR711</f>
        <v>-21790</v>
      </c>
      <c r="AT712" s="8">
        <v>183375</v>
      </c>
      <c r="AU712" s="8">
        <f t="shared" ref="AU712:AU776" si="378">AT712-AT711</f>
        <v>3986</v>
      </c>
      <c r="AV712" s="8">
        <v>251179</v>
      </c>
      <c r="AW712" s="8">
        <f t="shared" ref="AW712:AW776" si="379">AV712-AV711</f>
        <v>-6652</v>
      </c>
      <c r="AX712" s="8">
        <v>-67804</v>
      </c>
      <c r="AY712" s="8">
        <f t="shared" si="355"/>
        <v>10638</v>
      </c>
      <c r="AZ712" s="8">
        <v>751261</v>
      </c>
      <c r="BA712" s="8">
        <f t="shared" ref="BA712:BA776" si="380">AZ712-AZ711</f>
        <v>-4703</v>
      </c>
      <c r="BB712" s="8">
        <v>832913</v>
      </c>
      <c r="BC712" s="8">
        <f t="shared" ref="BC712:BC776" si="381">BB712-BB711</f>
        <v>743</v>
      </c>
      <c r="BD712" s="8">
        <v>-81652</v>
      </c>
      <c r="BE712" s="8">
        <f t="shared" ref="BE712:BE776" si="382">BD712-BD711</f>
        <v>-5446</v>
      </c>
      <c r="BF712" s="8">
        <v>472201</v>
      </c>
      <c r="BG712" s="8">
        <f t="shared" ref="BG712:BG776" si="383">BF712-BF711</f>
        <v>-9205</v>
      </c>
      <c r="BH712" s="8">
        <v>712851</v>
      </c>
      <c r="BI712" s="8">
        <f t="shared" ref="BI712:BI776" si="384">BH712-BH711</f>
        <v>-2074</v>
      </c>
      <c r="BJ712" s="8">
        <v>-240650</v>
      </c>
      <c r="BK712" s="8">
        <f t="shared" si="358"/>
        <v>-7131</v>
      </c>
    </row>
    <row r="713" spans="1:63">
      <c r="A713" s="5">
        <f t="shared" si="354"/>
        <v>43858</v>
      </c>
      <c r="B713" s="8">
        <v>592545</v>
      </c>
      <c r="C713" s="8">
        <f t="shared" si="359"/>
        <v>3036</v>
      </c>
      <c r="D713" s="8">
        <v>118232</v>
      </c>
      <c r="E713" s="8">
        <f t="shared" si="360"/>
        <v>-7857</v>
      </c>
      <c r="F713" s="8">
        <v>21494</v>
      </c>
      <c r="G713" s="8">
        <f t="shared" si="361"/>
        <v>-3336</v>
      </c>
      <c r="H713" s="8">
        <v>96738</v>
      </c>
      <c r="I713" s="8">
        <f t="shared" si="362"/>
        <v>-4521</v>
      </c>
      <c r="J713" s="8">
        <v>246576</v>
      </c>
      <c r="K713" s="8">
        <f t="shared" si="363"/>
        <v>11546</v>
      </c>
      <c r="L713" s="8">
        <v>359415</v>
      </c>
      <c r="M713" s="8">
        <f t="shared" si="364"/>
        <v>1544</v>
      </c>
      <c r="N713" s="8">
        <v>-112839</v>
      </c>
      <c r="O713" s="8">
        <f t="shared" si="365"/>
        <v>10002</v>
      </c>
      <c r="P713" s="8">
        <v>111863</v>
      </c>
      <c r="Q713" s="8">
        <f t="shared" si="366"/>
        <v>12054</v>
      </c>
      <c r="R713" s="8">
        <v>327925</v>
      </c>
      <c r="S713" s="8">
        <f t="shared" si="367"/>
        <v>-973</v>
      </c>
      <c r="T713" s="8">
        <v>-216062</v>
      </c>
      <c r="U713" s="8">
        <f t="shared" si="368"/>
        <v>13027</v>
      </c>
      <c r="W713" s="8">
        <v>512178</v>
      </c>
      <c r="X713" s="8">
        <f t="shared" si="369"/>
        <v>11904</v>
      </c>
      <c r="Y713" s="8">
        <v>49179</v>
      </c>
      <c r="Z713" s="8">
        <f t="shared" si="370"/>
        <v>-2086</v>
      </c>
      <c r="AA713" s="8">
        <v>88898</v>
      </c>
      <c r="AB713" s="8">
        <f t="shared" si="356"/>
        <v>937</v>
      </c>
      <c r="AC713" s="8">
        <v>-39719</v>
      </c>
      <c r="AD713" s="8">
        <f t="shared" si="357"/>
        <v>-3023</v>
      </c>
      <c r="AE713" s="8">
        <v>266997</v>
      </c>
      <c r="AF713" s="8">
        <f t="shared" si="371"/>
        <v>6357</v>
      </c>
      <c r="AG713" s="8">
        <v>266292</v>
      </c>
      <c r="AH713" s="8">
        <f t="shared" si="372"/>
        <v>4252</v>
      </c>
      <c r="AI713" s="8">
        <v>705</v>
      </c>
      <c r="AJ713" s="8">
        <f t="shared" si="373"/>
        <v>2105</v>
      </c>
      <c r="AK713" s="8">
        <v>138711</v>
      </c>
      <c r="AL713" s="8">
        <f t="shared" si="374"/>
        <v>5929</v>
      </c>
      <c r="AM713" s="8">
        <v>244930</v>
      </c>
      <c r="AN713" s="8">
        <f t="shared" si="375"/>
        <v>3526</v>
      </c>
      <c r="AO713" s="8">
        <v>-106219</v>
      </c>
      <c r="AP713" s="8">
        <f t="shared" si="376"/>
        <v>2403</v>
      </c>
      <c r="AR713" s="8">
        <v>1823044</v>
      </c>
      <c r="AS713" s="8">
        <f t="shared" si="377"/>
        <v>-28572</v>
      </c>
      <c r="AT713" s="8">
        <v>186496</v>
      </c>
      <c r="AU713" s="8">
        <f t="shared" si="378"/>
        <v>3121</v>
      </c>
      <c r="AV713" s="8">
        <v>215972</v>
      </c>
      <c r="AW713" s="8">
        <f t="shared" si="379"/>
        <v>-35207</v>
      </c>
      <c r="AX713" s="8">
        <v>-29476</v>
      </c>
      <c r="AY713" s="8">
        <f t="shared" si="355"/>
        <v>38328</v>
      </c>
      <c r="AZ713" s="8">
        <v>744907</v>
      </c>
      <c r="BA713" s="8">
        <f t="shared" si="380"/>
        <v>-6354</v>
      </c>
      <c r="BB713" s="8">
        <v>853369</v>
      </c>
      <c r="BC713" s="8">
        <f t="shared" si="381"/>
        <v>20456</v>
      </c>
      <c r="BD713" s="8">
        <v>-108462</v>
      </c>
      <c r="BE713" s="8">
        <f t="shared" si="382"/>
        <v>-26810</v>
      </c>
      <c r="BF713" s="8">
        <v>460427</v>
      </c>
      <c r="BG713" s="8">
        <f t="shared" si="383"/>
        <v>-11774</v>
      </c>
      <c r="BH713" s="8">
        <v>733403</v>
      </c>
      <c r="BI713" s="8">
        <f t="shared" si="384"/>
        <v>20552</v>
      </c>
      <c r="BJ713" s="8">
        <v>-272976</v>
      </c>
      <c r="BK713" s="8">
        <f t="shared" si="358"/>
        <v>-32326</v>
      </c>
    </row>
    <row r="714" spans="1:63">
      <c r="A714" s="5">
        <f t="shared" si="354"/>
        <v>43865</v>
      </c>
      <c r="B714" s="8">
        <v>573527</v>
      </c>
      <c r="C714" s="8">
        <f t="shared" si="359"/>
        <v>-19018</v>
      </c>
      <c r="D714" s="8">
        <v>89713</v>
      </c>
      <c r="E714" s="8">
        <f t="shared" si="360"/>
        <v>-28519</v>
      </c>
      <c r="F714" s="8">
        <v>21828</v>
      </c>
      <c r="G714" s="8">
        <f t="shared" si="361"/>
        <v>334</v>
      </c>
      <c r="H714" s="8">
        <v>67885</v>
      </c>
      <c r="I714" s="8">
        <f t="shared" si="362"/>
        <v>-28853</v>
      </c>
      <c r="J714" s="8">
        <v>247744</v>
      </c>
      <c r="K714" s="8">
        <f t="shared" si="363"/>
        <v>1168</v>
      </c>
      <c r="L714" s="8">
        <v>329383</v>
      </c>
      <c r="M714" s="8">
        <f t="shared" si="364"/>
        <v>-30032</v>
      </c>
      <c r="N714" s="8">
        <v>-81639</v>
      </c>
      <c r="O714" s="8">
        <f t="shared" si="365"/>
        <v>31200</v>
      </c>
      <c r="P714" s="8">
        <v>114180</v>
      </c>
      <c r="Q714" s="8">
        <f t="shared" si="366"/>
        <v>2317</v>
      </c>
      <c r="R714" s="8">
        <v>295842</v>
      </c>
      <c r="S714" s="8">
        <f t="shared" si="367"/>
        <v>-32083</v>
      </c>
      <c r="T714" s="8">
        <v>-181662</v>
      </c>
      <c r="U714" s="8">
        <f t="shared" si="368"/>
        <v>34400</v>
      </c>
      <c r="W714" s="8">
        <v>530653</v>
      </c>
      <c r="X714" s="8">
        <f t="shared" si="369"/>
        <v>18475</v>
      </c>
      <c r="Y714" s="8">
        <v>40312</v>
      </c>
      <c r="Z714" s="8">
        <f t="shared" si="370"/>
        <v>-8867</v>
      </c>
      <c r="AA714" s="8">
        <v>104689</v>
      </c>
      <c r="AB714" s="8">
        <f t="shared" si="356"/>
        <v>15791</v>
      </c>
      <c r="AC714" s="8">
        <v>-64377</v>
      </c>
      <c r="AD714" s="8">
        <f t="shared" si="357"/>
        <v>-24658</v>
      </c>
      <c r="AE714" s="8">
        <v>280867</v>
      </c>
      <c r="AF714" s="8">
        <f t="shared" si="371"/>
        <v>13870</v>
      </c>
      <c r="AG714" s="8">
        <v>257558</v>
      </c>
      <c r="AH714" s="8">
        <f t="shared" si="372"/>
        <v>-8734</v>
      </c>
      <c r="AI714" s="8">
        <v>23309</v>
      </c>
      <c r="AJ714" s="8">
        <f t="shared" si="373"/>
        <v>22604</v>
      </c>
      <c r="AK714" s="8">
        <v>154045</v>
      </c>
      <c r="AL714" s="8">
        <f t="shared" si="374"/>
        <v>15334</v>
      </c>
      <c r="AM714" s="8">
        <v>232663</v>
      </c>
      <c r="AN714" s="8">
        <f t="shared" si="375"/>
        <v>-12267</v>
      </c>
      <c r="AO714" s="8">
        <v>-78618</v>
      </c>
      <c r="AP714" s="8">
        <f t="shared" si="376"/>
        <v>27601</v>
      </c>
      <c r="AR714" s="8">
        <v>1864295</v>
      </c>
      <c r="AS714" s="8">
        <f t="shared" si="377"/>
        <v>41251</v>
      </c>
      <c r="AT714" s="8">
        <v>173461</v>
      </c>
      <c r="AU714" s="8">
        <f t="shared" si="378"/>
        <v>-13035</v>
      </c>
      <c r="AV714" s="8">
        <v>229451</v>
      </c>
      <c r="AW714" s="8">
        <f t="shared" si="379"/>
        <v>13479</v>
      </c>
      <c r="AX714" s="8">
        <v>-55990</v>
      </c>
      <c r="AY714" s="8">
        <f t="shared" si="355"/>
        <v>-26514</v>
      </c>
      <c r="AZ714" s="8">
        <v>763954</v>
      </c>
      <c r="BA714" s="8">
        <f t="shared" si="380"/>
        <v>19047</v>
      </c>
      <c r="BB714" s="8">
        <v>841015</v>
      </c>
      <c r="BC714" s="8">
        <f t="shared" si="381"/>
        <v>-12354</v>
      </c>
      <c r="BD714" s="8">
        <v>-77061</v>
      </c>
      <c r="BE714" s="8">
        <f t="shared" si="382"/>
        <v>31401</v>
      </c>
      <c r="BF714" s="8">
        <v>475167</v>
      </c>
      <c r="BG714" s="8">
        <f t="shared" si="383"/>
        <v>14740</v>
      </c>
      <c r="BH714" s="8">
        <v>725912</v>
      </c>
      <c r="BI714" s="8">
        <f t="shared" si="384"/>
        <v>-7491</v>
      </c>
      <c r="BJ714" s="8">
        <v>-250745</v>
      </c>
      <c r="BK714" s="8">
        <f t="shared" si="358"/>
        <v>22231</v>
      </c>
    </row>
    <row r="715" spans="1:63">
      <c r="A715" s="5">
        <f t="shared" si="354"/>
        <v>43872</v>
      </c>
      <c r="B715" s="8">
        <v>558381</v>
      </c>
      <c r="C715" s="8">
        <f t="shared" si="359"/>
        <v>-15146</v>
      </c>
      <c r="D715" s="8">
        <v>80746</v>
      </c>
      <c r="E715" s="8">
        <f t="shared" si="360"/>
        <v>-8967</v>
      </c>
      <c r="F715" s="8">
        <v>28077</v>
      </c>
      <c r="G715" s="8">
        <f t="shared" si="361"/>
        <v>6249</v>
      </c>
      <c r="H715" s="8">
        <v>52669</v>
      </c>
      <c r="I715" s="8">
        <f t="shared" si="362"/>
        <v>-15216</v>
      </c>
      <c r="J715" s="8">
        <v>253161</v>
      </c>
      <c r="K715" s="8">
        <f t="shared" si="363"/>
        <v>5417</v>
      </c>
      <c r="L715" s="8">
        <v>325284</v>
      </c>
      <c r="M715" s="8">
        <f t="shared" si="364"/>
        <v>-4099</v>
      </c>
      <c r="N715" s="8">
        <v>-72123</v>
      </c>
      <c r="O715" s="8">
        <f t="shared" si="365"/>
        <v>9516</v>
      </c>
      <c r="P715" s="8">
        <v>123581</v>
      </c>
      <c r="Q715" s="8">
        <f t="shared" si="366"/>
        <v>9401</v>
      </c>
      <c r="R715" s="8">
        <v>293301</v>
      </c>
      <c r="S715" s="8">
        <f t="shared" si="367"/>
        <v>-2541</v>
      </c>
      <c r="T715" s="8">
        <v>-169720</v>
      </c>
      <c r="U715" s="8">
        <f t="shared" si="368"/>
        <v>11942</v>
      </c>
      <c r="W715" s="8">
        <v>535353</v>
      </c>
      <c r="X715" s="8">
        <f t="shared" si="369"/>
        <v>4700</v>
      </c>
      <c r="Y715" s="8">
        <v>42411</v>
      </c>
      <c r="Z715" s="8">
        <f t="shared" si="370"/>
        <v>2099</v>
      </c>
      <c r="AA715" s="8">
        <v>110561</v>
      </c>
      <c r="AB715" s="8">
        <f t="shared" si="356"/>
        <v>5872</v>
      </c>
      <c r="AC715" s="8">
        <v>-68150</v>
      </c>
      <c r="AD715" s="8">
        <f t="shared" si="357"/>
        <v>-3773</v>
      </c>
      <c r="AE715" s="8">
        <v>280399</v>
      </c>
      <c r="AF715" s="8">
        <f t="shared" si="371"/>
        <v>-468</v>
      </c>
      <c r="AG715" s="8">
        <v>253232</v>
      </c>
      <c r="AH715" s="8">
        <f t="shared" si="372"/>
        <v>-4326</v>
      </c>
      <c r="AI715" s="8">
        <v>27167</v>
      </c>
      <c r="AJ715" s="8">
        <f t="shared" si="373"/>
        <v>3858</v>
      </c>
      <c r="AK715" s="8">
        <v>155352</v>
      </c>
      <c r="AL715" s="8">
        <f t="shared" si="374"/>
        <v>1307</v>
      </c>
      <c r="AM715" s="8">
        <v>224279</v>
      </c>
      <c r="AN715" s="8">
        <f t="shared" si="375"/>
        <v>-8384</v>
      </c>
      <c r="AO715" s="8">
        <v>-68927</v>
      </c>
      <c r="AP715" s="8">
        <f t="shared" si="376"/>
        <v>9691</v>
      </c>
      <c r="AR715" s="8">
        <v>1868556</v>
      </c>
      <c r="AS715" s="8">
        <f t="shared" si="377"/>
        <v>4261</v>
      </c>
      <c r="AT715" s="8">
        <v>168306</v>
      </c>
      <c r="AU715" s="8">
        <f t="shared" si="378"/>
        <v>-5155</v>
      </c>
      <c r="AV715" s="8">
        <v>240390</v>
      </c>
      <c r="AW715" s="8">
        <f t="shared" si="379"/>
        <v>10939</v>
      </c>
      <c r="AX715" s="8">
        <v>-72084</v>
      </c>
      <c r="AY715" s="8">
        <f t="shared" si="355"/>
        <v>-16094</v>
      </c>
      <c r="AZ715" s="8">
        <v>772718</v>
      </c>
      <c r="BA715" s="8">
        <f t="shared" si="380"/>
        <v>8764</v>
      </c>
      <c r="BB715" s="8">
        <v>836262</v>
      </c>
      <c r="BC715" s="8">
        <f t="shared" si="381"/>
        <v>-4753</v>
      </c>
      <c r="BD715" s="8">
        <v>-63544</v>
      </c>
      <c r="BE715" s="8">
        <f t="shared" si="382"/>
        <v>13517</v>
      </c>
      <c r="BF715" s="8">
        <v>478866</v>
      </c>
      <c r="BG715" s="8">
        <f t="shared" si="383"/>
        <v>3699</v>
      </c>
      <c r="BH715" s="8">
        <v>716967</v>
      </c>
      <c r="BI715" s="8">
        <f t="shared" si="384"/>
        <v>-8945</v>
      </c>
      <c r="BJ715" s="8">
        <v>-238101</v>
      </c>
      <c r="BK715" s="8">
        <f t="shared" si="358"/>
        <v>12644</v>
      </c>
    </row>
    <row r="716" spans="1:63">
      <c r="A716" s="5">
        <f t="shared" si="354"/>
        <v>43879</v>
      </c>
      <c r="B716" s="8">
        <v>561772</v>
      </c>
      <c r="C716" s="8">
        <f t="shared" si="359"/>
        <v>3391</v>
      </c>
      <c r="D716" s="8">
        <v>75597</v>
      </c>
      <c r="E716" s="8">
        <f t="shared" si="360"/>
        <v>-5149</v>
      </c>
      <c r="F716" s="8">
        <v>35969</v>
      </c>
      <c r="G716" s="8">
        <f t="shared" si="361"/>
        <v>7892</v>
      </c>
      <c r="H716" s="8">
        <v>39628</v>
      </c>
      <c r="I716" s="8">
        <f t="shared" si="362"/>
        <v>-13041</v>
      </c>
      <c r="J716" s="8">
        <v>255932</v>
      </c>
      <c r="K716" s="8">
        <f t="shared" si="363"/>
        <v>2771</v>
      </c>
      <c r="L716" s="8">
        <v>312257</v>
      </c>
      <c r="M716" s="8">
        <f t="shared" si="364"/>
        <v>-13027</v>
      </c>
      <c r="N716" s="8">
        <v>-56325</v>
      </c>
      <c r="O716" s="8">
        <f t="shared" si="365"/>
        <v>15798</v>
      </c>
      <c r="P716" s="8">
        <v>131551</v>
      </c>
      <c r="Q716" s="8">
        <f t="shared" si="366"/>
        <v>7970</v>
      </c>
      <c r="R716" s="8">
        <v>285953</v>
      </c>
      <c r="S716" s="8">
        <f t="shared" si="367"/>
        <v>-7348</v>
      </c>
      <c r="T716" s="8">
        <v>-154402</v>
      </c>
      <c r="U716" s="8">
        <f t="shared" si="368"/>
        <v>15318</v>
      </c>
      <c r="W716" s="8">
        <v>538260</v>
      </c>
      <c r="X716" s="8">
        <f t="shared" si="369"/>
        <v>2907</v>
      </c>
      <c r="Y716" s="8">
        <v>43703</v>
      </c>
      <c r="Z716" s="8">
        <f t="shared" si="370"/>
        <v>1292</v>
      </c>
      <c r="AA716" s="8">
        <v>116171</v>
      </c>
      <c r="AB716" s="8">
        <f t="shared" si="356"/>
        <v>5610</v>
      </c>
      <c r="AC716" s="8">
        <v>-72468</v>
      </c>
      <c r="AD716" s="8">
        <f t="shared" si="357"/>
        <v>-4318</v>
      </c>
      <c r="AE716" s="8">
        <v>281500</v>
      </c>
      <c r="AF716" s="8">
        <f t="shared" si="371"/>
        <v>1101</v>
      </c>
      <c r="AG716" s="8">
        <v>250324</v>
      </c>
      <c r="AH716" s="8">
        <f t="shared" si="372"/>
        <v>-2908</v>
      </c>
      <c r="AI716" s="8">
        <v>31176</v>
      </c>
      <c r="AJ716" s="8">
        <f t="shared" si="373"/>
        <v>4009</v>
      </c>
      <c r="AK716" s="8">
        <v>156810</v>
      </c>
      <c r="AL716" s="8">
        <f t="shared" si="374"/>
        <v>1458</v>
      </c>
      <c r="AM716" s="8">
        <v>220927</v>
      </c>
      <c r="AN716" s="8">
        <f t="shared" si="375"/>
        <v>-3352</v>
      </c>
      <c r="AO716" s="8">
        <v>-64117</v>
      </c>
      <c r="AP716" s="8">
        <f t="shared" si="376"/>
        <v>4810</v>
      </c>
      <c r="AR716" s="8">
        <v>1901283</v>
      </c>
      <c r="AS716" s="8">
        <f t="shared" si="377"/>
        <v>32727</v>
      </c>
      <c r="AT716" s="8">
        <v>190221</v>
      </c>
      <c r="AU716" s="8">
        <f t="shared" si="378"/>
        <v>21915</v>
      </c>
      <c r="AV716" s="8">
        <v>251682</v>
      </c>
      <c r="AW716" s="8">
        <f t="shared" si="379"/>
        <v>11292</v>
      </c>
      <c r="AX716" s="8">
        <v>-61461</v>
      </c>
      <c r="AY716" s="8">
        <f t="shared" si="355"/>
        <v>10623</v>
      </c>
      <c r="AZ716" s="8">
        <v>783208</v>
      </c>
      <c r="BA716" s="8">
        <f t="shared" si="380"/>
        <v>10490</v>
      </c>
      <c r="BB716" s="8">
        <v>851187</v>
      </c>
      <c r="BC716" s="8">
        <f t="shared" si="381"/>
        <v>14925</v>
      </c>
      <c r="BD716" s="8">
        <v>-67979</v>
      </c>
      <c r="BE716" s="8">
        <f t="shared" si="382"/>
        <v>-4435</v>
      </c>
      <c r="BF716" s="8">
        <v>483156</v>
      </c>
      <c r="BG716" s="8">
        <f t="shared" si="383"/>
        <v>4290</v>
      </c>
      <c r="BH716" s="8">
        <v>719514</v>
      </c>
      <c r="BI716" s="8">
        <f t="shared" si="384"/>
        <v>2547</v>
      </c>
      <c r="BJ716" s="8">
        <v>-236358</v>
      </c>
      <c r="BK716" s="8">
        <f t="shared" si="358"/>
        <v>1743</v>
      </c>
    </row>
    <row r="717" spans="1:63">
      <c r="A717" s="5">
        <f t="shared" si="354"/>
        <v>43886</v>
      </c>
      <c r="B717" s="8">
        <v>535217</v>
      </c>
      <c r="C717" s="8">
        <f t="shared" si="359"/>
        <v>-26555</v>
      </c>
      <c r="D717" s="8">
        <v>65541</v>
      </c>
      <c r="E717" s="8">
        <f t="shared" si="360"/>
        <v>-10056</v>
      </c>
      <c r="F717" s="8">
        <v>42493</v>
      </c>
      <c r="G717" s="8">
        <f t="shared" si="361"/>
        <v>6524</v>
      </c>
      <c r="H717" s="8">
        <v>23048</v>
      </c>
      <c r="I717" s="8">
        <f t="shared" si="362"/>
        <v>-16580</v>
      </c>
      <c r="J717" s="8">
        <v>255351</v>
      </c>
      <c r="K717" s="8">
        <f t="shared" si="363"/>
        <v>-581</v>
      </c>
      <c r="L717" s="8">
        <v>294705</v>
      </c>
      <c r="M717" s="8">
        <f t="shared" si="364"/>
        <v>-17552</v>
      </c>
      <c r="N717" s="8">
        <v>-39354</v>
      </c>
      <c r="O717" s="8">
        <f t="shared" si="365"/>
        <v>16971</v>
      </c>
      <c r="P717" s="8">
        <v>132550</v>
      </c>
      <c r="Q717" s="8">
        <f t="shared" si="366"/>
        <v>999</v>
      </c>
      <c r="R717" s="8">
        <v>270289</v>
      </c>
      <c r="S717" s="8">
        <f t="shared" si="367"/>
        <v>-15664</v>
      </c>
      <c r="T717" s="8">
        <v>-137739</v>
      </c>
      <c r="U717" s="8">
        <f t="shared" si="368"/>
        <v>16663</v>
      </c>
      <c r="W717" s="8">
        <v>530638</v>
      </c>
      <c r="X717" s="8">
        <f t="shared" si="369"/>
        <v>-7622</v>
      </c>
      <c r="Y717" s="8">
        <v>43519</v>
      </c>
      <c r="Z717" s="8">
        <f t="shared" si="370"/>
        <v>-184</v>
      </c>
      <c r="AA717" s="8">
        <v>120631</v>
      </c>
      <c r="AB717" s="8">
        <f t="shared" si="356"/>
        <v>4460</v>
      </c>
      <c r="AC717" s="8">
        <v>-77112</v>
      </c>
      <c r="AD717" s="8">
        <f t="shared" si="357"/>
        <v>-4644</v>
      </c>
      <c r="AE717" s="8">
        <v>276259</v>
      </c>
      <c r="AF717" s="8">
        <f t="shared" si="371"/>
        <v>-5241</v>
      </c>
      <c r="AG717" s="8">
        <v>236726</v>
      </c>
      <c r="AH717" s="8">
        <f t="shared" si="372"/>
        <v>-13598</v>
      </c>
      <c r="AI717" s="8">
        <v>39533</v>
      </c>
      <c r="AJ717" s="8">
        <f t="shared" si="373"/>
        <v>8357</v>
      </c>
      <c r="AK717" s="8">
        <v>148917</v>
      </c>
      <c r="AL717" s="8">
        <f t="shared" si="374"/>
        <v>-7893</v>
      </c>
      <c r="AM717" s="8">
        <v>209437</v>
      </c>
      <c r="AN717" s="8">
        <f t="shared" si="375"/>
        <v>-11490</v>
      </c>
      <c r="AO717" s="8">
        <v>-60520</v>
      </c>
      <c r="AP717" s="8">
        <f t="shared" si="376"/>
        <v>3597</v>
      </c>
      <c r="AR717" s="8">
        <v>1815443</v>
      </c>
      <c r="AS717" s="8">
        <f t="shared" si="377"/>
        <v>-85840</v>
      </c>
      <c r="AT717" s="8">
        <v>204092</v>
      </c>
      <c r="AU717" s="8">
        <f t="shared" si="378"/>
        <v>13871</v>
      </c>
      <c r="AV717" s="8">
        <v>299602</v>
      </c>
      <c r="AW717" s="8">
        <f t="shared" si="379"/>
        <v>47920</v>
      </c>
      <c r="AX717" s="8">
        <v>-95510</v>
      </c>
      <c r="AY717" s="8">
        <f t="shared" si="355"/>
        <v>-34049</v>
      </c>
      <c r="AZ717" s="8">
        <v>764012</v>
      </c>
      <c r="BA717" s="8">
        <f t="shared" si="380"/>
        <v>-19196</v>
      </c>
      <c r="BB717" s="8">
        <v>782527</v>
      </c>
      <c r="BC717" s="8">
        <f t="shared" si="381"/>
        <v>-68660</v>
      </c>
      <c r="BD717" s="8">
        <v>-18515</v>
      </c>
      <c r="BE717" s="8">
        <f t="shared" si="382"/>
        <v>49464</v>
      </c>
      <c r="BF717" s="8">
        <v>474114</v>
      </c>
      <c r="BG717" s="8">
        <f t="shared" si="383"/>
        <v>-9042</v>
      </c>
      <c r="BH717" s="8">
        <v>685583</v>
      </c>
      <c r="BI717" s="8">
        <f t="shared" si="384"/>
        <v>-33931</v>
      </c>
      <c r="BJ717" s="8">
        <v>-211469</v>
      </c>
      <c r="BK717" s="8">
        <f t="shared" si="358"/>
        <v>24889</v>
      </c>
    </row>
    <row r="718" spans="1:63">
      <c r="A718" s="5">
        <f t="shared" si="354"/>
        <v>43893</v>
      </c>
      <c r="B718" s="8">
        <v>498604</v>
      </c>
      <c r="C718" s="8">
        <f t="shared" si="359"/>
        <v>-36613</v>
      </c>
      <c r="D718" s="8">
        <v>57238</v>
      </c>
      <c r="E718" s="8">
        <f t="shared" si="360"/>
        <v>-8303</v>
      </c>
      <c r="F718" s="8">
        <v>42248</v>
      </c>
      <c r="G718" s="8">
        <f t="shared" si="361"/>
        <v>-245</v>
      </c>
      <c r="H718" s="8">
        <v>14990</v>
      </c>
      <c r="I718" s="8">
        <f t="shared" si="362"/>
        <v>-8058</v>
      </c>
      <c r="J718" s="8">
        <v>248677</v>
      </c>
      <c r="K718" s="8">
        <f t="shared" si="363"/>
        <v>-6674</v>
      </c>
      <c r="L718" s="8">
        <v>279803</v>
      </c>
      <c r="M718" s="8">
        <f t="shared" si="364"/>
        <v>-14902</v>
      </c>
      <c r="N718" s="8">
        <v>-31126</v>
      </c>
      <c r="O718" s="8">
        <f t="shared" si="365"/>
        <v>8228</v>
      </c>
      <c r="P718" s="8">
        <v>124726</v>
      </c>
      <c r="Q718" s="8">
        <f t="shared" si="366"/>
        <v>-7824</v>
      </c>
      <c r="R718" s="8">
        <v>258687</v>
      </c>
      <c r="S718" s="8">
        <f t="shared" si="367"/>
        <v>-11602</v>
      </c>
      <c r="T718" s="8">
        <v>-133961</v>
      </c>
      <c r="U718" s="8">
        <f t="shared" si="368"/>
        <v>3778</v>
      </c>
      <c r="W718" s="8">
        <v>481543</v>
      </c>
      <c r="X718" s="8">
        <f t="shared" si="369"/>
        <v>-49095</v>
      </c>
      <c r="Y718" s="8">
        <v>50843</v>
      </c>
      <c r="Z718" s="8">
        <f t="shared" si="370"/>
        <v>7324</v>
      </c>
      <c r="AA718" s="8">
        <v>69167</v>
      </c>
      <c r="AB718" s="8">
        <f t="shared" si="356"/>
        <v>-51464</v>
      </c>
      <c r="AC718" s="8">
        <v>-18324</v>
      </c>
      <c r="AD718" s="8">
        <f t="shared" si="357"/>
        <v>58788</v>
      </c>
      <c r="AE718" s="8">
        <v>255589</v>
      </c>
      <c r="AF718" s="8">
        <f t="shared" si="371"/>
        <v>-20670</v>
      </c>
      <c r="AG718" s="8">
        <v>273472</v>
      </c>
      <c r="AH718" s="8">
        <f t="shared" si="372"/>
        <v>36746</v>
      </c>
      <c r="AI718" s="8">
        <v>-17883</v>
      </c>
      <c r="AJ718" s="8">
        <f t="shared" si="373"/>
        <v>-57416</v>
      </c>
      <c r="AK718" s="8">
        <v>123739</v>
      </c>
      <c r="AL718" s="8">
        <f t="shared" si="374"/>
        <v>-25178</v>
      </c>
      <c r="AM718" s="8">
        <v>243527</v>
      </c>
      <c r="AN718" s="8">
        <f t="shared" si="375"/>
        <v>34090</v>
      </c>
      <c r="AO718" s="8">
        <v>-119788</v>
      </c>
      <c r="AP718" s="8">
        <f t="shared" si="376"/>
        <v>-59268</v>
      </c>
      <c r="AR718" s="8">
        <v>1764525</v>
      </c>
      <c r="AS718" s="8">
        <f t="shared" si="377"/>
        <v>-50918</v>
      </c>
      <c r="AT718" s="8">
        <v>201870</v>
      </c>
      <c r="AU718" s="8">
        <f t="shared" si="378"/>
        <v>-2222</v>
      </c>
      <c r="AV718" s="8">
        <v>286809</v>
      </c>
      <c r="AW718" s="8">
        <f t="shared" si="379"/>
        <v>-12793</v>
      </c>
      <c r="AX718" s="8">
        <v>-84939</v>
      </c>
      <c r="AY718" s="8">
        <f t="shared" si="355"/>
        <v>10571</v>
      </c>
      <c r="AZ718" s="8">
        <v>722604</v>
      </c>
      <c r="BA718" s="8">
        <f t="shared" si="380"/>
        <v>-41408</v>
      </c>
      <c r="BB718" s="8">
        <v>748505</v>
      </c>
      <c r="BC718" s="8">
        <f t="shared" si="381"/>
        <v>-34022</v>
      </c>
      <c r="BD718" s="8">
        <v>-25901</v>
      </c>
      <c r="BE718" s="8">
        <f t="shared" si="382"/>
        <v>-7386</v>
      </c>
      <c r="BF718" s="8">
        <v>443078</v>
      </c>
      <c r="BG718" s="8">
        <f t="shared" si="383"/>
        <v>-31036</v>
      </c>
      <c r="BH718" s="8">
        <v>658190</v>
      </c>
      <c r="BI718" s="8">
        <f t="shared" si="384"/>
        <v>-27393</v>
      </c>
      <c r="BJ718" s="8">
        <v>-215112</v>
      </c>
      <c r="BK718" s="8">
        <f t="shared" si="358"/>
        <v>-3643</v>
      </c>
    </row>
    <row r="719" spans="1:63">
      <c r="A719" s="5">
        <f t="shared" si="354"/>
        <v>43900</v>
      </c>
      <c r="B719" s="8">
        <v>504736</v>
      </c>
      <c r="C719" s="8">
        <f t="shared" si="359"/>
        <v>6132</v>
      </c>
      <c r="D719" s="8">
        <v>56377</v>
      </c>
      <c r="E719" s="8">
        <f t="shared" si="360"/>
        <v>-861</v>
      </c>
      <c r="F719" s="8">
        <v>44917</v>
      </c>
      <c r="G719" s="8">
        <f t="shared" si="361"/>
        <v>2669</v>
      </c>
      <c r="H719" s="8">
        <v>11460</v>
      </c>
      <c r="I719" s="8">
        <f t="shared" si="362"/>
        <v>-3530</v>
      </c>
      <c r="J719" s="8">
        <v>261025</v>
      </c>
      <c r="K719" s="8">
        <f t="shared" si="363"/>
        <v>12348</v>
      </c>
      <c r="L719" s="8">
        <v>282126</v>
      </c>
      <c r="M719" s="8">
        <f t="shared" si="364"/>
        <v>2323</v>
      </c>
      <c r="N719" s="8">
        <v>-21101</v>
      </c>
      <c r="O719" s="8">
        <f t="shared" si="365"/>
        <v>10025</v>
      </c>
      <c r="P719" s="8">
        <v>135611</v>
      </c>
      <c r="Q719" s="8">
        <f t="shared" si="366"/>
        <v>10885</v>
      </c>
      <c r="R719" s="8">
        <v>261046</v>
      </c>
      <c r="S719" s="8">
        <f t="shared" si="367"/>
        <v>2359</v>
      </c>
      <c r="T719" s="8">
        <v>-125435</v>
      </c>
      <c r="U719" s="8">
        <f t="shared" si="368"/>
        <v>8526</v>
      </c>
      <c r="W719" s="8">
        <v>485172</v>
      </c>
      <c r="X719" s="8">
        <f t="shared" si="369"/>
        <v>3629</v>
      </c>
      <c r="Y719" s="8">
        <v>51065</v>
      </c>
      <c r="Z719" s="8">
        <f t="shared" si="370"/>
        <v>222</v>
      </c>
      <c r="AA719" s="8">
        <v>53200</v>
      </c>
      <c r="AB719" s="8">
        <f t="shared" si="356"/>
        <v>-15967</v>
      </c>
      <c r="AC719" s="8">
        <v>-2135</v>
      </c>
      <c r="AD719" s="8">
        <f t="shared" si="357"/>
        <v>16189</v>
      </c>
      <c r="AE719" s="8">
        <v>255250</v>
      </c>
      <c r="AF719" s="8">
        <f t="shared" si="371"/>
        <v>-339</v>
      </c>
      <c r="AG719" s="8">
        <v>286501</v>
      </c>
      <c r="AH719" s="8">
        <f t="shared" si="372"/>
        <v>13029</v>
      </c>
      <c r="AI719" s="8">
        <v>-31251</v>
      </c>
      <c r="AJ719" s="8">
        <f t="shared" si="373"/>
        <v>-13368</v>
      </c>
      <c r="AK719" s="8">
        <v>122521</v>
      </c>
      <c r="AL719" s="8">
        <f t="shared" si="374"/>
        <v>-1218</v>
      </c>
      <c r="AM719" s="8">
        <v>257236</v>
      </c>
      <c r="AN719" s="8">
        <f t="shared" si="375"/>
        <v>13709</v>
      </c>
      <c r="AO719" s="8">
        <v>-134715</v>
      </c>
      <c r="AP719" s="8">
        <f t="shared" si="376"/>
        <v>-14927</v>
      </c>
      <c r="AR719" s="8">
        <v>1753106</v>
      </c>
      <c r="AS719" s="8">
        <f t="shared" si="377"/>
        <v>-11419</v>
      </c>
      <c r="AT719" s="8">
        <v>196437</v>
      </c>
      <c r="AU719" s="8">
        <f t="shared" si="378"/>
        <v>-5433</v>
      </c>
      <c r="AV719" s="8">
        <v>256807</v>
      </c>
      <c r="AW719" s="8">
        <f t="shared" si="379"/>
        <v>-30002</v>
      </c>
      <c r="AX719" s="8">
        <v>-60370</v>
      </c>
      <c r="AY719" s="8">
        <f t="shared" si="355"/>
        <v>24569</v>
      </c>
      <c r="AZ719" s="8">
        <v>711621</v>
      </c>
      <c r="BA719" s="8">
        <f t="shared" si="380"/>
        <v>-10983</v>
      </c>
      <c r="BB719" s="8">
        <v>749343</v>
      </c>
      <c r="BC719" s="8">
        <f t="shared" si="381"/>
        <v>838</v>
      </c>
      <c r="BD719" s="8">
        <v>-37722</v>
      </c>
      <c r="BE719" s="8">
        <f t="shared" si="382"/>
        <v>-11821</v>
      </c>
      <c r="BF719" s="8">
        <v>434247</v>
      </c>
      <c r="BG719" s="8">
        <f t="shared" si="383"/>
        <v>-8831</v>
      </c>
      <c r="BH719" s="8">
        <v>675390</v>
      </c>
      <c r="BI719" s="8">
        <f t="shared" si="384"/>
        <v>17200</v>
      </c>
      <c r="BJ719" s="8">
        <v>-241143</v>
      </c>
      <c r="BK719" s="8">
        <f t="shared" si="358"/>
        <v>-26031</v>
      </c>
    </row>
    <row r="720" spans="1:63">
      <c r="A720" s="5">
        <f t="shared" si="354"/>
        <v>43907</v>
      </c>
      <c r="B720" s="8">
        <v>520002</v>
      </c>
      <c r="C720" s="8">
        <f t="shared" si="359"/>
        <v>15266</v>
      </c>
      <c r="D720" s="8">
        <v>43772</v>
      </c>
      <c r="E720" s="8">
        <f t="shared" si="360"/>
        <v>-12605</v>
      </c>
      <c r="F720" s="8">
        <v>42060</v>
      </c>
      <c r="G720" s="8">
        <f t="shared" si="361"/>
        <v>-2857</v>
      </c>
      <c r="H720" s="8">
        <v>1712</v>
      </c>
      <c r="I720" s="8">
        <f t="shared" si="362"/>
        <v>-9748</v>
      </c>
      <c r="J720" s="8">
        <v>278676</v>
      </c>
      <c r="K720" s="8">
        <f t="shared" si="363"/>
        <v>17651</v>
      </c>
      <c r="L720" s="8">
        <v>295933</v>
      </c>
      <c r="M720" s="8">
        <f t="shared" si="364"/>
        <v>13807</v>
      </c>
      <c r="N720" s="8">
        <v>-17257</v>
      </c>
      <c r="O720" s="8">
        <f t="shared" si="365"/>
        <v>3844</v>
      </c>
      <c r="P720" s="8">
        <v>157735</v>
      </c>
      <c r="Q720" s="8">
        <f t="shared" si="366"/>
        <v>22124</v>
      </c>
      <c r="R720" s="8">
        <v>271351</v>
      </c>
      <c r="S720" s="8">
        <f t="shared" si="367"/>
        <v>10305</v>
      </c>
      <c r="T720" s="8">
        <v>-113616</v>
      </c>
      <c r="U720" s="8">
        <f t="shared" si="368"/>
        <v>11819</v>
      </c>
      <c r="W720" s="8">
        <v>462122</v>
      </c>
      <c r="X720" s="8">
        <f t="shared" si="369"/>
        <v>-23050</v>
      </c>
      <c r="Y720" s="8">
        <v>53715</v>
      </c>
      <c r="Z720" s="8">
        <f t="shared" si="370"/>
        <v>2650</v>
      </c>
      <c r="AA720" s="8">
        <v>37615</v>
      </c>
      <c r="AB720" s="8">
        <f t="shared" si="356"/>
        <v>-15585</v>
      </c>
      <c r="AC720" s="8">
        <v>16100</v>
      </c>
      <c r="AD720" s="8">
        <f t="shared" si="357"/>
        <v>18235</v>
      </c>
      <c r="AE720" s="8">
        <v>250318</v>
      </c>
      <c r="AF720" s="8">
        <f t="shared" si="371"/>
        <v>-4932</v>
      </c>
      <c r="AG720" s="8">
        <v>296561</v>
      </c>
      <c r="AH720" s="8">
        <f t="shared" si="372"/>
        <v>10060</v>
      </c>
      <c r="AI720" s="8">
        <v>-46243</v>
      </c>
      <c r="AJ720" s="8">
        <f t="shared" si="373"/>
        <v>-14992</v>
      </c>
      <c r="AK720" s="8">
        <v>122486</v>
      </c>
      <c r="AL720" s="8">
        <f t="shared" si="374"/>
        <v>-35</v>
      </c>
      <c r="AM720" s="8">
        <v>265003</v>
      </c>
      <c r="AN720" s="8">
        <f t="shared" si="375"/>
        <v>7767</v>
      </c>
      <c r="AO720" s="8">
        <v>-142517</v>
      </c>
      <c r="AP720" s="8">
        <f t="shared" si="376"/>
        <v>-7802</v>
      </c>
      <c r="AR720" s="8">
        <v>1781773</v>
      </c>
      <c r="AS720" s="8">
        <f t="shared" si="377"/>
        <v>28667</v>
      </c>
      <c r="AT720" s="8">
        <v>153753</v>
      </c>
      <c r="AU720" s="8">
        <f t="shared" si="378"/>
        <v>-42684</v>
      </c>
      <c r="AV720" s="8">
        <v>245599</v>
      </c>
      <c r="AW720" s="8">
        <f t="shared" si="379"/>
        <v>-11208</v>
      </c>
      <c r="AX720" s="8">
        <v>-91846</v>
      </c>
      <c r="AY720" s="8">
        <f t="shared" si="355"/>
        <v>-31476</v>
      </c>
      <c r="AZ720" s="8">
        <v>783012</v>
      </c>
      <c r="BA720" s="8">
        <f t="shared" si="380"/>
        <v>71391</v>
      </c>
      <c r="BB720" s="8">
        <v>751807</v>
      </c>
      <c r="BC720" s="8">
        <f t="shared" si="381"/>
        <v>2464</v>
      </c>
      <c r="BD720" s="8">
        <v>31205</v>
      </c>
      <c r="BE720" s="8">
        <f t="shared" si="382"/>
        <v>68927</v>
      </c>
      <c r="BF720" s="8">
        <v>503931</v>
      </c>
      <c r="BG720" s="8">
        <f t="shared" si="383"/>
        <v>69684</v>
      </c>
      <c r="BH720" s="8">
        <v>676999</v>
      </c>
      <c r="BI720" s="8">
        <f t="shared" si="384"/>
        <v>1609</v>
      </c>
      <c r="BJ720" s="8">
        <v>-173068</v>
      </c>
      <c r="BK720" s="8">
        <f t="shared" si="358"/>
        <v>68075</v>
      </c>
    </row>
    <row r="721" spans="1:63">
      <c r="A721" s="5">
        <f t="shared" si="354"/>
        <v>43914</v>
      </c>
      <c r="B721" s="8">
        <v>511224</v>
      </c>
      <c r="C721" s="8">
        <f t="shared" si="359"/>
        <v>-8778</v>
      </c>
      <c r="D721" s="8">
        <v>41017</v>
      </c>
      <c r="E721" s="8">
        <f t="shared" si="360"/>
        <v>-2755</v>
      </c>
      <c r="F721" s="8">
        <v>41763</v>
      </c>
      <c r="G721" s="8">
        <f t="shared" si="361"/>
        <v>-297</v>
      </c>
      <c r="H721" s="8">
        <v>-746</v>
      </c>
      <c r="I721" s="8">
        <f t="shared" si="362"/>
        <v>-2458</v>
      </c>
      <c r="J721" s="8">
        <v>283510</v>
      </c>
      <c r="K721" s="8">
        <f t="shared" si="363"/>
        <v>4834</v>
      </c>
      <c r="L721" s="8">
        <v>298163</v>
      </c>
      <c r="M721" s="8">
        <f t="shared" si="364"/>
        <v>2230</v>
      </c>
      <c r="N721" s="8">
        <v>-14653</v>
      </c>
      <c r="O721" s="8">
        <f t="shared" si="365"/>
        <v>2604</v>
      </c>
      <c r="P721" s="8">
        <v>165410</v>
      </c>
      <c r="Q721" s="8">
        <f t="shared" si="366"/>
        <v>7675</v>
      </c>
      <c r="R721" s="8">
        <v>271151</v>
      </c>
      <c r="S721" s="8">
        <f t="shared" si="367"/>
        <v>-200</v>
      </c>
      <c r="T721" s="8">
        <v>-105741</v>
      </c>
      <c r="U721" s="8">
        <f t="shared" si="368"/>
        <v>7875</v>
      </c>
      <c r="W721" s="8">
        <v>454698</v>
      </c>
      <c r="X721" s="8">
        <f t="shared" si="369"/>
        <v>-7424</v>
      </c>
      <c r="Y721" s="8">
        <v>56351</v>
      </c>
      <c r="Z721" s="8">
        <f t="shared" si="370"/>
        <v>2636</v>
      </c>
      <c r="AA721" s="8">
        <v>17252</v>
      </c>
      <c r="AB721" s="8">
        <f t="shared" si="356"/>
        <v>-20363</v>
      </c>
      <c r="AC721" s="8">
        <v>39099</v>
      </c>
      <c r="AD721" s="8">
        <f t="shared" si="357"/>
        <v>22999</v>
      </c>
      <c r="AE721" s="8">
        <v>245594</v>
      </c>
      <c r="AF721" s="8">
        <f t="shared" si="371"/>
        <v>-4724</v>
      </c>
      <c r="AG721" s="8">
        <v>315818</v>
      </c>
      <c r="AH721" s="8">
        <f t="shared" si="372"/>
        <v>19257</v>
      </c>
      <c r="AI721" s="8">
        <v>-70224</v>
      </c>
      <c r="AJ721" s="8">
        <f t="shared" si="373"/>
        <v>-23981</v>
      </c>
      <c r="AK721" s="8">
        <v>118902</v>
      </c>
      <c r="AL721" s="8">
        <f t="shared" si="374"/>
        <v>-3584</v>
      </c>
      <c r="AM721" s="8">
        <v>285700</v>
      </c>
      <c r="AN721" s="8">
        <f t="shared" si="375"/>
        <v>20697</v>
      </c>
      <c r="AO721" s="8">
        <v>-166798</v>
      </c>
      <c r="AP721" s="8">
        <f t="shared" si="376"/>
        <v>-24281</v>
      </c>
      <c r="AR721" s="8">
        <v>1747679</v>
      </c>
      <c r="AS721" s="8">
        <f t="shared" si="377"/>
        <v>-34094</v>
      </c>
      <c r="AT721" s="8">
        <v>134490</v>
      </c>
      <c r="AU721" s="8">
        <f t="shared" si="378"/>
        <v>-19263</v>
      </c>
      <c r="AV721" s="8">
        <v>243039</v>
      </c>
      <c r="AW721" s="8">
        <f t="shared" si="379"/>
        <v>-2560</v>
      </c>
      <c r="AX721" s="8">
        <v>-108549</v>
      </c>
      <c r="AY721" s="8">
        <f t="shared" si="355"/>
        <v>-16703</v>
      </c>
      <c r="AZ721" s="8">
        <v>796437</v>
      </c>
      <c r="BA721" s="8">
        <f t="shared" si="380"/>
        <v>13425</v>
      </c>
      <c r="BB721" s="8">
        <v>743677</v>
      </c>
      <c r="BC721" s="8">
        <f t="shared" si="381"/>
        <v>-8130</v>
      </c>
      <c r="BD721" s="8">
        <v>52760</v>
      </c>
      <c r="BE721" s="8">
        <f t="shared" si="382"/>
        <v>21555</v>
      </c>
      <c r="BF721" s="8">
        <v>521963</v>
      </c>
      <c r="BG721" s="8">
        <f t="shared" si="383"/>
        <v>18032</v>
      </c>
      <c r="BH721" s="8">
        <v>665302</v>
      </c>
      <c r="BI721" s="8">
        <f t="shared" si="384"/>
        <v>-11697</v>
      </c>
      <c r="BJ721" s="8">
        <v>-143339</v>
      </c>
      <c r="BK721" s="8">
        <f t="shared" si="358"/>
        <v>29729</v>
      </c>
    </row>
    <row r="722" spans="1:63">
      <c r="A722" s="5">
        <f t="shared" si="354"/>
        <v>43921</v>
      </c>
      <c r="B722" s="8">
        <v>500693</v>
      </c>
      <c r="C722" s="8">
        <f t="shared" si="359"/>
        <v>-10531</v>
      </c>
      <c r="D722" s="8">
        <v>38831</v>
      </c>
      <c r="E722" s="8">
        <f t="shared" si="360"/>
        <v>-2186</v>
      </c>
      <c r="F722" s="8">
        <v>44184</v>
      </c>
      <c r="G722" s="8">
        <f t="shared" si="361"/>
        <v>2421</v>
      </c>
      <c r="H722" s="8">
        <v>-5353</v>
      </c>
      <c r="I722" s="8">
        <f t="shared" si="362"/>
        <v>-4607</v>
      </c>
      <c r="J722" s="8">
        <v>287081</v>
      </c>
      <c r="K722" s="8">
        <f t="shared" si="363"/>
        <v>3571</v>
      </c>
      <c r="L722" s="8">
        <v>294499</v>
      </c>
      <c r="M722" s="8">
        <f t="shared" si="364"/>
        <v>-3664</v>
      </c>
      <c r="N722" s="8">
        <v>-7418</v>
      </c>
      <c r="O722" s="8">
        <f t="shared" si="365"/>
        <v>7235</v>
      </c>
      <c r="P722" s="8">
        <v>172382</v>
      </c>
      <c r="Q722" s="8">
        <f t="shared" si="366"/>
        <v>6972</v>
      </c>
      <c r="R722" s="8">
        <v>265653</v>
      </c>
      <c r="S722" s="8">
        <f t="shared" si="367"/>
        <v>-5498</v>
      </c>
      <c r="T722" s="8">
        <v>-93271</v>
      </c>
      <c r="U722" s="8">
        <f t="shared" si="368"/>
        <v>12470</v>
      </c>
      <c r="W722" s="8">
        <v>439265</v>
      </c>
      <c r="X722" s="8">
        <f t="shared" si="369"/>
        <v>-15433</v>
      </c>
      <c r="Y722" s="8">
        <v>61205</v>
      </c>
      <c r="Z722" s="8">
        <f t="shared" si="370"/>
        <v>4854</v>
      </c>
      <c r="AA722" s="8">
        <v>11586</v>
      </c>
      <c r="AB722" s="8">
        <f t="shared" si="356"/>
        <v>-5666</v>
      </c>
      <c r="AC722" s="8">
        <v>49619</v>
      </c>
      <c r="AD722" s="8">
        <f t="shared" si="357"/>
        <v>10520</v>
      </c>
      <c r="AE722" s="8">
        <v>242037</v>
      </c>
      <c r="AF722" s="8">
        <f t="shared" si="371"/>
        <v>-3557</v>
      </c>
      <c r="AG722" s="8">
        <v>321869</v>
      </c>
      <c r="AH722" s="8">
        <f t="shared" si="372"/>
        <v>6051</v>
      </c>
      <c r="AI722" s="8">
        <v>-79832</v>
      </c>
      <c r="AJ722" s="8">
        <f t="shared" si="373"/>
        <v>-9608</v>
      </c>
      <c r="AK722" s="8">
        <v>116649</v>
      </c>
      <c r="AL722" s="8">
        <f t="shared" si="374"/>
        <v>-2253</v>
      </c>
      <c r="AM722" s="8">
        <v>287866</v>
      </c>
      <c r="AN722" s="8">
        <f t="shared" si="375"/>
        <v>2166</v>
      </c>
      <c r="AO722" s="8">
        <v>-171217</v>
      </c>
      <c r="AP722" s="8">
        <f t="shared" si="376"/>
        <v>-4419</v>
      </c>
      <c r="AR722" s="8">
        <v>1717093</v>
      </c>
      <c r="AS722" s="8">
        <f t="shared" si="377"/>
        <v>-30586</v>
      </c>
      <c r="AT722" s="8">
        <v>120739</v>
      </c>
      <c r="AU722" s="8">
        <f t="shared" si="378"/>
        <v>-13751</v>
      </c>
      <c r="AV722" s="8">
        <v>221071</v>
      </c>
      <c r="AW722" s="8">
        <f t="shared" si="379"/>
        <v>-21968</v>
      </c>
      <c r="AX722" s="8">
        <v>-100332</v>
      </c>
      <c r="AY722" s="8">
        <f t="shared" si="355"/>
        <v>8217</v>
      </c>
      <c r="AZ722" s="8">
        <v>813170</v>
      </c>
      <c r="BA722" s="8">
        <f t="shared" si="380"/>
        <v>16733</v>
      </c>
      <c r="BB722" s="8">
        <v>748278</v>
      </c>
      <c r="BC722" s="8">
        <f t="shared" si="381"/>
        <v>4601</v>
      </c>
      <c r="BD722" s="8">
        <v>64892</v>
      </c>
      <c r="BE722" s="8">
        <f t="shared" si="382"/>
        <v>12132</v>
      </c>
      <c r="BF722" s="8">
        <v>536239</v>
      </c>
      <c r="BG722" s="8">
        <f t="shared" si="383"/>
        <v>14276</v>
      </c>
      <c r="BH722" s="8">
        <v>667341</v>
      </c>
      <c r="BI722" s="8">
        <f t="shared" si="384"/>
        <v>2039</v>
      </c>
      <c r="BJ722" s="8">
        <v>-131102</v>
      </c>
      <c r="BK722" s="8">
        <f t="shared" si="358"/>
        <v>12237</v>
      </c>
    </row>
    <row r="723" spans="1:63">
      <c r="A723" s="5">
        <f t="shared" si="354"/>
        <v>43928</v>
      </c>
      <c r="B723" s="8">
        <v>511947</v>
      </c>
      <c r="C723" s="8">
        <f t="shared" si="359"/>
        <v>11254</v>
      </c>
      <c r="D723" s="8">
        <v>41703</v>
      </c>
      <c r="E723" s="8">
        <f t="shared" si="360"/>
        <v>2872</v>
      </c>
      <c r="F723" s="8">
        <v>38995</v>
      </c>
      <c r="G723" s="8">
        <f t="shared" si="361"/>
        <v>-5189</v>
      </c>
      <c r="H723" s="8">
        <v>2708</v>
      </c>
      <c r="I723" s="8">
        <f t="shared" si="362"/>
        <v>8061</v>
      </c>
      <c r="J723" s="8">
        <v>285682</v>
      </c>
      <c r="K723" s="8">
        <f t="shared" si="363"/>
        <v>-1399</v>
      </c>
      <c r="L723" s="8">
        <v>303171</v>
      </c>
      <c r="M723" s="8">
        <f t="shared" si="364"/>
        <v>8672</v>
      </c>
      <c r="N723" s="8">
        <v>-17489</v>
      </c>
      <c r="O723" s="8">
        <f t="shared" si="365"/>
        <v>-10071</v>
      </c>
      <c r="P723" s="8">
        <v>172038</v>
      </c>
      <c r="Q723" s="8">
        <f t="shared" si="366"/>
        <v>-344</v>
      </c>
      <c r="R723" s="8">
        <v>270971</v>
      </c>
      <c r="S723" s="8">
        <f t="shared" si="367"/>
        <v>5318</v>
      </c>
      <c r="T723" s="8">
        <v>-98933</v>
      </c>
      <c r="U723" s="8">
        <f t="shared" si="368"/>
        <v>-5662</v>
      </c>
      <c r="W723" s="8">
        <v>439783</v>
      </c>
      <c r="X723" s="8">
        <f t="shared" si="369"/>
        <v>518</v>
      </c>
      <c r="Y723" s="8">
        <v>49192</v>
      </c>
      <c r="Z723" s="8">
        <f t="shared" si="370"/>
        <v>-12013</v>
      </c>
      <c r="AA723" s="8">
        <v>17645</v>
      </c>
      <c r="AB723" s="8">
        <f t="shared" si="356"/>
        <v>6059</v>
      </c>
      <c r="AC723" s="8">
        <v>31547</v>
      </c>
      <c r="AD723" s="8">
        <f t="shared" si="357"/>
        <v>-18072</v>
      </c>
      <c r="AE723" s="8">
        <v>243606</v>
      </c>
      <c r="AF723" s="8">
        <f t="shared" si="371"/>
        <v>1569</v>
      </c>
      <c r="AG723" s="8">
        <v>303444</v>
      </c>
      <c r="AH723" s="8">
        <f t="shared" si="372"/>
        <v>-18425</v>
      </c>
      <c r="AI723" s="8">
        <v>-59838</v>
      </c>
      <c r="AJ723" s="8">
        <f t="shared" si="373"/>
        <v>19994</v>
      </c>
      <c r="AK723" s="8">
        <v>123232</v>
      </c>
      <c r="AL723" s="8">
        <f t="shared" si="374"/>
        <v>6583</v>
      </c>
      <c r="AM723" s="8">
        <v>273911</v>
      </c>
      <c r="AN723" s="8">
        <f t="shared" si="375"/>
        <v>-13955</v>
      </c>
      <c r="AO723" s="8">
        <v>-150679</v>
      </c>
      <c r="AP723" s="8">
        <f t="shared" si="376"/>
        <v>20538</v>
      </c>
      <c r="AR723" s="8">
        <v>1798814</v>
      </c>
      <c r="AS723" s="8">
        <f t="shared" si="377"/>
        <v>81721</v>
      </c>
      <c r="AT723" s="8">
        <v>122282</v>
      </c>
      <c r="AU723" s="8">
        <f t="shared" si="378"/>
        <v>1543</v>
      </c>
      <c r="AV723" s="8">
        <v>232684</v>
      </c>
      <c r="AW723" s="8">
        <f t="shared" si="379"/>
        <v>11613</v>
      </c>
      <c r="AX723" s="8">
        <v>-110402</v>
      </c>
      <c r="AY723" s="8">
        <f t="shared" si="355"/>
        <v>-10070</v>
      </c>
      <c r="AZ723" s="8">
        <v>866243</v>
      </c>
      <c r="BA723" s="8">
        <f t="shared" si="380"/>
        <v>53073</v>
      </c>
      <c r="BB723" s="8">
        <v>791560</v>
      </c>
      <c r="BC723" s="8">
        <f t="shared" si="381"/>
        <v>43282</v>
      </c>
      <c r="BD723" s="8">
        <v>74683</v>
      </c>
      <c r="BE723" s="8">
        <f t="shared" si="382"/>
        <v>9791</v>
      </c>
      <c r="BF723" s="8">
        <v>589144</v>
      </c>
      <c r="BG723" s="8">
        <f t="shared" si="383"/>
        <v>52905</v>
      </c>
      <c r="BH723" s="8">
        <v>703088</v>
      </c>
      <c r="BI723" s="8">
        <f t="shared" si="384"/>
        <v>35747</v>
      </c>
      <c r="BJ723" s="8">
        <v>-113944</v>
      </c>
      <c r="BK723" s="8">
        <f t="shared" si="358"/>
        <v>17158</v>
      </c>
    </row>
    <row r="724" spans="1:63">
      <c r="A724" s="5">
        <f t="shared" si="354"/>
        <v>43935</v>
      </c>
      <c r="B724" s="8">
        <v>526687</v>
      </c>
      <c r="C724" s="8">
        <f t="shared" si="359"/>
        <v>14740</v>
      </c>
      <c r="D724" s="8">
        <v>38726</v>
      </c>
      <c r="E724" s="8">
        <f t="shared" si="360"/>
        <v>-2977</v>
      </c>
      <c r="F724" s="8">
        <v>40822</v>
      </c>
      <c r="G724" s="8">
        <f t="shared" si="361"/>
        <v>1827</v>
      </c>
      <c r="H724" s="8">
        <v>-2096</v>
      </c>
      <c r="I724" s="8">
        <f t="shared" si="362"/>
        <v>-4804</v>
      </c>
      <c r="J724" s="8">
        <v>280501</v>
      </c>
      <c r="K724" s="8">
        <f t="shared" si="363"/>
        <v>-5181</v>
      </c>
      <c r="L724" s="8">
        <v>291960</v>
      </c>
      <c r="M724" s="8">
        <f t="shared" si="364"/>
        <v>-11211</v>
      </c>
      <c r="N724" s="8">
        <v>-11459</v>
      </c>
      <c r="O724" s="8">
        <f t="shared" si="365"/>
        <v>6030</v>
      </c>
      <c r="P724" s="8">
        <v>171027</v>
      </c>
      <c r="Q724" s="8">
        <f t="shared" si="366"/>
        <v>-1011</v>
      </c>
      <c r="R724" s="8">
        <v>265886</v>
      </c>
      <c r="S724" s="8">
        <f t="shared" si="367"/>
        <v>-5085</v>
      </c>
      <c r="T724" s="8">
        <v>-94859</v>
      </c>
      <c r="U724" s="8">
        <f t="shared" si="368"/>
        <v>4074</v>
      </c>
      <c r="W724" s="8">
        <v>452826</v>
      </c>
      <c r="X724" s="8">
        <f t="shared" si="369"/>
        <v>13043</v>
      </c>
      <c r="Y724" s="8">
        <v>43087</v>
      </c>
      <c r="Z724" s="8">
        <f t="shared" si="370"/>
        <v>-6105</v>
      </c>
      <c r="AA724" s="8">
        <v>37335</v>
      </c>
      <c r="AB724" s="8">
        <f t="shared" si="356"/>
        <v>19690</v>
      </c>
      <c r="AC724" s="8">
        <v>5752</v>
      </c>
      <c r="AD724" s="8">
        <f t="shared" si="357"/>
        <v>-25795</v>
      </c>
      <c r="AE724" s="8">
        <v>260904</v>
      </c>
      <c r="AF724" s="8">
        <f t="shared" si="371"/>
        <v>17298</v>
      </c>
      <c r="AG724" s="8">
        <v>291371</v>
      </c>
      <c r="AH724" s="8">
        <f t="shared" si="372"/>
        <v>-12073</v>
      </c>
      <c r="AI724" s="8">
        <v>-30467</v>
      </c>
      <c r="AJ724" s="8">
        <f t="shared" si="373"/>
        <v>29371</v>
      </c>
      <c r="AK724" s="8">
        <v>138122</v>
      </c>
      <c r="AL724" s="8">
        <f t="shared" si="374"/>
        <v>14890</v>
      </c>
      <c r="AM724" s="8">
        <v>261424</v>
      </c>
      <c r="AN724" s="8">
        <f t="shared" si="375"/>
        <v>-12487</v>
      </c>
      <c r="AO724" s="8">
        <v>-123302</v>
      </c>
      <c r="AP724" s="8">
        <f t="shared" si="376"/>
        <v>27377</v>
      </c>
      <c r="AR724" s="8">
        <v>1829281</v>
      </c>
      <c r="AS724" s="8">
        <f t="shared" si="377"/>
        <v>30467</v>
      </c>
      <c r="AT724" s="8">
        <v>120405</v>
      </c>
      <c r="AU724" s="8">
        <f t="shared" si="378"/>
        <v>-1877</v>
      </c>
      <c r="AV724" s="8">
        <v>257976</v>
      </c>
      <c r="AW724" s="8">
        <f t="shared" si="379"/>
        <v>25292</v>
      </c>
      <c r="AX724" s="8">
        <v>-137571</v>
      </c>
      <c r="AY724" s="8">
        <f t="shared" si="355"/>
        <v>-27169</v>
      </c>
      <c r="AZ724" s="8">
        <v>873064</v>
      </c>
      <c r="BA724" s="8">
        <f t="shared" si="380"/>
        <v>6821</v>
      </c>
      <c r="BB724" s="8">
        <v>779139</v>
      </c>
      <c r="BC724" s="8">
        <f t="shared" si="381"/>
        <v>-12421</v>
      </c>
      <c r="BD724" s="8">
        <v>93925</v>
      </c>
      <c r="BE724" s="8">
        <f t="shared" si="382"/>
        <v>19242</v>
      </c>
      <c r="BF724" s="8">
        <v>590313</v>
      </c>
      <c r="BG724" s="8">
        <f t="shared" si="383"/>
        <v>1169</v>
      </c>
      <c r="BH724" s="8">
        <v>681943</v>
      </c>
      <c r="BI724" s="8">
        <f t="shared" si="384"/>
        <v>-21145</v>
      </c>
      <c r="BJ724" s="8">
        <v>-91630</v>
      </c>
      <c r="BK724" s="8">
        <f t="shared" si="358"/>
        <v>22314</v>
      </c>
    </row>
    <row r="725" spans="1:63">
      <c r="A725" s="5">
        <f t="shared" si="354"/>
        <v>43942</v>
      </c>
      <c r="B725" s="8">
        <v>520367</v>
      </c>
      <c r="C725" s="8">
        <f t="shared" si="359"/>
        <v>-6320</v>
      </c>
      <c r="D725" s="8">
        <v>37671</v>
      </c>
      <c r="E725" s="8">
        <f t="shared" si="360"/>
        <v>-1055</v>
      </c>
      <c r="F725" s="8">
        <v>49228</v>
      </c>
      <c r="G725" s="8">
        <f t="shared" si="361"/>
        <v>8406</v>
      </c>
      <c r="H725" s="8">
        <v>-11557</v>
      </c>
      <c r="I725" s="8">
        <f t="shared" si="362"/>
        <v>-9461</v>
      </c>
      <c r="J725" s="8">
        <v>285410</v>
      </c>
      <c r="K725" s="8">
        <f t="shared" si="363"/>
        <v>4909</v>
      </c>
      <c r="L725" s="8">
        <v>285329</v>
      </c>
      <c r="M725" s="8">
        <f t="shared" si="364"/>
        <v>-6631</v>
      </c>
      <c r="N725" s="8">
        <v>81</v>
      </c>
      <c r="O725" s="8">
        <f t="shared" si="365"/>
        <v>11540</v>
      </c>
      <c r="P725" s="8">
        <v>180211</v>
      </c>
      <c r="Q725" s="8">
        <f t="shared" si="366"/>
        <v>9184</v>
      </c>
      <c r="R725" s="8">
        <v>258868</v>
      </c>
      <c r="S725" s="8">
        <f t="shared" si="367"/>
        <v>-7018</v>
      </c>
      <c r="T725" s="8">
        <v>-78657</v>
      </c>
      <c r="U725" s="8">
        <f t="shared" si="368"/>
        <v>16202</v>
      </c>
      <c r="W725" s="8">
        <v>454460</v>
      </c>
      <c r="X725" s="8">
        <f t="shared" si="369"/>
        <v>1634</v>
      </c>
      <c r="Y725" s="8">
        <v>40868</v>
      </c>
      <c r="Z725" s="8">
        <f t="shared" si="370"/>
        <v>-2219</v>
      </c>
      <c r="AA725" s="8">
        <v>41014</v>
      </c>
      <c r="AB725" s="8">
        <f t="shared" si="356"/>
        <v>3679</v>
      </c>
      <c r="AC725" s="8">
        <v>-146</v>
      </c>
      <c r="AD725" s="8">
        <f t="shared" si="357"/>
        <v>-5898</v>
      </c>
      <c r="AE725" s="8">
        <v>265651</v>
      </c>
      <c r="AF725" s="8">
        <f t="shared" si="371"/>
        <v>4747</v>
      </c>
      <c r="AG725" s="8">
        <v>291764</v>
      </c>
      <c r="AH725" s="8">
        <f t="shared" si="372"/>
        <v>393</v>
      </c>
      <c r="AI725" s="8">
        <v>-26113</v>
      </c>
      <c r="AJ725" s="8">
        <f t="shared" si="373"/>
        <v>4354</v>
      </c>
      <c r="AK725" s="8">
        <v>142127</v>
      </c>
      <c r="AL725" s="8">
        <f t="shared" si="374"/>
        <v>4005</v>
      </c>
      <c r="AM725" s="8">
        <v>264103</v>
      </c>
      <c r="AN725" s="8">
        <f t="shared" si="375"/>
        <v>2679</v>
      </c>
      <c r="AO725" s="8">
        <v>-121976</v>
      </c>
      <c r="AP725" s="8">
        <f t="shared" si="376"/>
        <v>1326</v>
      </c>
      <c r="AR725" s="8">
        <v>1908967</v>
      </c>
      <c r="AS725" s="8">
        <f t="shared" si="377"/>
        <v>79686</v>
      </c>
      <c r="AT725" s="8">
        <v>125741</v>
      </c>
      <c r="AU725" s="8">
        <f t="shared" si="378"/>
        <v>5336</v>
      </c>
      <c r="AV725" s="8">
        <v>286798</v>
      </c>
      <c r="AW725" s="8">
        <f t="shared" si="379"/>
        <v>28822</v>
      </c>
      <c r="AX725" s="8">
        <v>-161057</v>
      </c>
      <c r="AY725" s="8">
        <f t="shared" si="355"/>
        <v>-23486</v>
      </c>
      <c r="AZ725" s="8">
        <v>925068</v>
      </c>
      <c r="BA725" s="8">
        <f t="shared" si="380"/>
        <v>52004</v>
      </c>
      <c r="BB725" s="8">
        <v>803001</v>
      </c>
      <c r="BC725" s="8">
        <f t="shared" si="381"/>
        <v>23862</v>
      </c>
      <c r="BD725" s="8">
        <v>122067</v>
      </c>
      <c r="BE725" s="8">
        <f t="shared" si="382"/>
        <v>28142</v>
      </c>
      <c r="BF725" s="8">
        <v>635102</v>
      </c>
      <c r="BG725" s="8">
        <f t="shared" si="383"/>
        <v>44789</v>
      </c>
      <c r="BH725" s="8">
        <v>695293</v>
      </c>
      <c r="BI725" s="8">
        <f t="shared" si="384"/>
        <v>13350</v>
      </c>
      <c r="BJ725" s="8">
        <v>-60191</v>
      </c>
      <c r="BK725" s="8">
        <f t="shared" si="358"/>
        <v>31439</v>
      </c>
    </row>
    <row r="726" spans="1:63">
      <c r="A726" s="5">
        <f t="shared" si="354"/>
        <v>43949</v>
      </c>
      <c r="B726" s="8">
        <v>506840</v>
      </c>
      <c r="C726" s="8">
        <f t="shared" si="359"/>
        <v>-13527</v>
      </c>
      <c r="D726" s="8">
        <v>40049</v>
      </c>
      <c r="E726" s="8">
        <f t="shared" si="360"/>
        <v>2378</v>
      </c>
      <c r="F726" s="8">
        <v>51955</v>
      </c>
      <c r="G726" s="8">
        <f t="shared" si="361"/>
        <v>2727</v>
      </c>
      <c r="H726" s="8">
        <v>-11906</v>
      </c>
      <c r="I726" s="8">
        <f t="shared" si="362"/>
        <v>-349</v>
      </c>
      <c r="J726" s="8">
        <v>278769</v>
      </c>
      <c r="K726" s="8">
        <f t="shared" si="363"/>
        <v>-6641</v>
      </c>
      <c r="L726" s="8">
        <v>283135</v>
      </c>
      <c r="M726" s="8">
        <f t="shared" si="364"/>
        <v>-2194</v>
      </c>
      <c r="N726" s="8">
        <v>-4366</v>
      </c>
      <c r="O726" s="8">
        <f t="shared" si="365"/>
        <v>-4447</v>
      </c>
      <c r="P726" s="8">
        <v>177689</v>
      </c>
      <c r="Q726" s="8">
        <f t="shared" si="366"/>
        <v>-2522</v>
      </c>
      <c r="R726" s="8">
        <v>258687</v>
      </c>
      <c r="S726" s="8">
        <f t="shared" si="367"/>
        <v>-181</v>
      </c>
      <c r="T726" s="8">
        <v>-80998</v>
      </c>
      <c r="U726" s="8">
        <f t="shared" si="368"/>
        <v>-2341</v>
      </c>
      <c r="W726" s="8">
        <v>449720</v>
      </c>
      <c r="X726" s="8">
        <f t="shared" si="369"/>
        <v>-4740</v>
      </c>
      <c r="Y726" s="8">
        <v>39856</v>
      </c>
      <c r="Z726" s="8">
        <f t="shared" si="370"/>
        <v>-1012</v>
      </c>
      <c r="AA726" s="8">
        <v>47820</v>
      </c>
      <c r="AB726" s="8">
        <f t="shared" si="356"/>
        <v>6806</v>
      </c>
      <c r="AC726" s="8">
        <v>-7964</v>
      </c>
      <c r="AD726" s="8">
        <f t="shared" si="357"/>
        <v>-7818</v>
      </c>
      <c r="AE726" s="8">
        <v>264315</v>
      </c>
      <c r="AF726" s="8">
        <f t="shared" si="371"/>
        <v>-1336</v>
      </c>
      <c r="AG726" s="8">
        <v>287565</v>
      </c>
      <c r="AH726" s="8">
        <f t="shared" si="372"/>
        <v>-4199</v>
      </c>
      <c r="AI726" s="8">
        <v>-23250</v>
      </c>
      <c r="AJ726" s="8">
        <f t="shared" si="373"/>
        <v>2863</v>
      </c>
      <c r="AK726" s="8">
        <v>142101</v>
      </c>
      <c r="AL726" s="8">
        <f t="shared" si="374"/>
        <v>-26</v>
      </c>
      <c r="AM726" s="8">
        <v>262529</v>
      </c>
      <c r="AN726" s="8">
        <f t="shared" si="375"/>
        <v>-1574</v>
      </c>
      <c r="AO726" s="8">
        <v>-120428</v>
      </c>
      <c r="AP726" s="8">
        <f t="shared" si="376"/>
        <v>1548</v>
      </c>
      <c r="AR726" s="8">
        <v>1789803</v>
      </c>
      <c r="AS726" s="8">
        <f t="shared" si="377"/>
        <v>-119164</v>
      </c>
      <c r="AT726" s="8">
        <v>126858</v>
      </c>
      <c r="AU726" s="8">
        <f t="shared" si="378"/>
        <v>1117</v>
      </c>
      <c r="AV726" s="8">
        <v>287833</v>
      </c>
      <c r="AW726" s="8">
        <f t="shared" si="379"/>
        <v>1035</v>
      </c>
      <c r="AX726" s="8">
        <v>-160975</v>
      </c>
      <c r="AY726" s="8">
        <f t="shared" si="355"/>
        <v>82</v>
      </c>
      <c r="AZ726" s="8">
        <v>870329</v>
      </c>
      <c r="BA726" s="8">
        <f t="shared" si="380"/>
        <v>-54739</v>
      </c>
      <c r="BB726" s="8">
        <v>747065</v>
      </c>
      <c r="BC726" s="8">
        <f t="shared" si="381"/>
        <v>-55936</v>
      </c>
      <c r="BD726" s="8">
        <v>123264</v>
      </c>
      <c r="BE726" s="8">
        <f t="shared" si="382"/>
        <v>1197</v>
      </c>
      <c r="BF726" s="8">
        <v>592194</v>
      </c>
      <c r="BG726" s="8">
        <f t="shared" si="383"/>
        <v>-42908</v>
      </c>
      <c r="BH726" s="8">
        <v>656861</v>
      </c>
      <c r="BI726" s="8">
        <f t="shared" si="384"/>
        <v>-38432</v>
      </c>
      <c r="BJ726" s="8">
        <v>-64667</v>
      </c>
      <c r="BK726" s="8">
        <f t="shared" si="358"/>
        <v>-4476</v>
      </c>
    </row>
    <row r="727" spans="1:63">
      <c r="A727" s="5">
        <f t="shared" si="354"/>
        <v>43956</v>
      </c>
      <c r="B727" s="8">
        <v>500798</v>
      </c>
      <c r="C727" s="8">
        <f t="shared" si="359"/>
        <v>-6042</v>
      </c>
      <c r="D727" s="8">
        <v>41488</v>
      </c>
      <c r="E727" s="8">
        <f t="shared" si="360"/>
        <v>1439</v>
      </c>
      <c r="F727" s="8">
        <v>48242</v>
      </c>
      <c r="G727" s="8">
        <f t="shared" si="361"/>
        <v>-3713</v>
      </c>
      <c r="H727" s="8">
        <v>-6754</v>
      </c>
      <c r="I727" s="8">
        <f t="shared" si="362"/>
        <v>5152</v>
      </c>
      <c r="J727" s="8">
        <v>270278</v>
      </c>
      <c r="K727" s="8">
        <f t="shared" si="363"/>
        <v>-8491</v>
      </c>
      <c r="L727" s="8">
        <v>278236</v>
      </c>
      <c r="M727" s="8">
        <f t="shared" si="364"/>
        <v>-4899</v>
      </c>
      <c r="N727" s="8">
        <v>-7958</v>
      </c>
      <c r="O727" s="8">
        <f t="shared" si="365"/>
        <v>-3592</v>
      </c>
      <c r="P727" s="8">
        <v>170653</v>
      </c>
      <c r="Q727" s="8">
        <f t="shared" si="366"/>
        <v>-7036</v>
      </c>
      <c r="R727" s="8">
        <v>256326</v>
      </c>
      <c r="S727" s="8">
        <f t="shared" si="367"/>
        <v>-2361</v>
      </c>
      <c r="T727" s="8">
        <v>-85673</v>
      </c>
      <c r="U727" s="8">
        <f t="shared" si="368"/>
        <v>-4675</v>
      </c>
      <c r="W727" s="8">
        <v>459415</v>
      </c>
      <c r="X727" s="8">
        <f t="shared" si="369"/>
        <v>9695</v>
      </c>
      <c r="Y727" s="8">
        <v>38984</v>
      </c>
      <c r="Z727" s="8">
        <f t="shared" si="370"/>
        <v>-872</v>
      </c>
      <c r="AA727" s="8">
        <v>50684</v>
      </c>
      <c r="AB727" s="8">
        <f t="shared" si="356"/>
        <v>2864</v>
      </c>
      <c r="AC727" s="8">
        <v>-11700</v>
      </c>
      <c r="AD727" s="8">
        <f t="shared" si="357"/>
        <v>-3736</v>
      </c>
      <c r="AE727" s="8">
        <v>267160</v>
      </c>
      <c r="AF727" s="8">
        <f t="shared" si="371"/>
        <v>2845</v>
      </c>
      <c r="AG727" s="8">
        <v>288835</v>
      </c>
      <c r="AH727" s="8">
        <f t="shared" si="372"/>
        <v>1270</v>
      </c>
      <c r="AI727" s="8">
        <v>-21675</v>
      </c>
      <c r="AJ727" s="8">
        <f t="shared" si="373"/>
        <v>1575</v>
      </c>
      <c r="AK727" s="8">
        <v>147762</v>
      </c>
      <c r="AL727" s="8">
        <f t="shared" si="374"/>
        <v>5661</v>
      </c>
      <c r="AM727" s="8">
        <v>264029</v>
      </c>
      <c r="AN727" s="8">
        <f t="shared" si="375"/>
        <v>1500</v>
      </c>
      <c r="AO727" s="8">
        <v>-116267</v>
      </c>
      <c r="AP727" s="8">
        <f t="shared" si="376"/>
        <v>4161</v>
      </c>
      <c r="AR727" s="8">
        <v>1775306</v>
      </c>
      <c r="AS727" s="8">
        <f t="shared" si="377"/>
        <v>-14497</v>
      </c>
      <c r="AT727" s="8">
        <v>117954</v>
      </c>
      <c r="AU727" s="8">
        <f t="shared" si="378"/>
        <v>-8904</v>
      </c>
      <c r="AV727" s="8">
        <v>308106</v>
      </c>
      <c r="AW727" s="8">
        <f t="shared" si="379"/>
        <v>20273</v>
      </c>
      <c r="AX727" s="8">
        <v>-190152</v>
      </c>
      <c r="AY727" s="8">
        <f t="shared" si="355"/>
        <v>-29177</v>
      </c>
      <c r="AZ727" s="8">
        <v>867584</v>
      </c>
      <c r="BA727" s="8">
        <f t="shared" si="380"/>
        <v>-2745</v>
      </c>
      <c r="BB727" s="8">
        <v>713784</v>
      </c>
      <c r="BC727" s="8">
        <f t="shared" si="381"/>
        <v>-33281</v>
      </c>
      <c r="BD727" s="8">
        <v>153800</v>
      </c>
      <c r="BE727" s="8">
        <f t="shared" si="382"/>
        <v>30536</v>
      </c>
      <c r="BF727" s="8">
        <v>581442</v>
      </c>
      <c r="BG727" s="8">
        <f t="shared" si="383"/>
        <v>-10752</v>
      </c>
      <c r="BH727" s="8">
        <v>627022</v>
      </c>
      <c r="BI727" s="8">
        <f t="shared" si="384"/>
        <v>-29839</v>
      </c>
      <c r="BJ727" s="8">
        <v>-45580</v>
      </c>
      <c r="BK727" s="8">
        <f t="shared" si="358"/>
        <v>19087</v>
      </c>
    </row>
    <row r="728" spans="1:63">
      <c r="A728" s="5">
        <f t="shared" si="354"/>
        <v>43963</v>
      </c>
      <c r="B728" s="8">
        <v>510840</v>
      </c>
      <c r="C728" s="8">
        <f t="shared" si="359"/>
        <v>10042</v>
      </c>
      <c r="D728" s="8">
        <v>43776</v>
      </c>
      <c r="E728" s="8">
        <f t="shared" si="360"/>
        <v>2288</v>
      </c>
      <c r="F728" s="8">
        <v>51641</v>
      </c>
      <c r="G728" s="8">
        <f t="shared" si="361"/>
        <v>3399</v>
      </c>
      <c r="H728" s="8">
        <v>-7865</v>
      </c>
      <c r="I728" s="8">
        <f t="shared" si="362"/>
        <v>-1111</v>
      </c>
      <c r="J728" s="8">
        <v>273533</v>
      </c>
      <c r="K728" s="8">
        <f t="shared" si="363"/>
        <v>3255</v>
      </c>
      <c r="L728" s="8">
        <v>279611</v>
      </c>
      <c r="M728" s="8">
        <f t="shared" si="364"/>
        <v>1375</v>
      </c>
      <c r="N728" s="8">
        <v>-6078</v>
      </c>
      <c r="O728" s="8">
        <f t="shared" si="365"/>
        <v>1880</v>
      </c>
      <c r="P728" s="8">
        <v>176321</v>
      </c>
      <c r="Q728" s="8">
        <f t="shared" si="366"/>
        <v>5668</v>
      </c>
      <c r="R728" s="8">
        <v>258087</v>
      </c>
      <c r="S728" s="8">
        <f t="shared" si="367"/>
        <v>1761</v>
      </c>
      <c r="T728" s="8">
        <v>-81766</v>
      </c>
      <c r="U728" s="8">
        <f t="shared" si="368"/>
        <v>3907</v>
      </c>
      <c r="W728" s="8">
        <v>479565</v>
      </c>
      <c r="X728" s="8">
        <f t="shared" si="369"/>
        <v>20150</v>
      </c>
      <c r="Y728" s="8">
        <v>40405</v>
      </c>
      <c r="Z728" s="8">
        <f t="shared" si="370"/>
        <v>1421</v>
      </c>
      <c r="AA728" s="8">
        <v>51532</v>
      </c>
      <c r="AB728" s="8">
        <f t="shared" si="356"/>
        <v>848</v>
      </c>
      <c r="AC728" s="8">
        <v>-11127</v>
      </c>
      <c r="AD728" s="8">
        <f t="shared" si="357"/>
        <v>573</v>
      </c>
      <c r="AE728" s="8">
        <v>275761</v>
      </c>
      <c r="AF728" s="8">
        <f t="shared" si="371"/>
        <v>8601</v>
      </c>
      <c r="AG728" s="8">
        <v>300693</v>
      </c>
      <c r="AH728" s="8">
        <f t="shared" si="372"/>
        <v>11858</v>
      </c>
      <c r="AI728" s="8">
        <v>-24932</v>
      </c>
      <c r="AJ728" s="8">
        <f t="shared" si="373"/>
        <v>-3257</v>
      </c>
      <c r="AK728" s="8">
        <v>154963</v>
      </c>
      <c r="AL728" s="8">
        <f t="shared" si="374"/>
        <v>7201</v>
      </c>
      <c r="AM728" s="8">
        <v>271865</v>
      </c>
      <c r="AN728" s="8">
        <f t="shared" si="375"/>
        <v>7836</v>
      </c>
      <c r="AO728" s="8">
        <v>-116902</v>
      </c>
      <c r="AP728" s="8">
        <f t="shared" si="376"/>
        <v>-635</v>
      </c>
      <c r="AR728" s="8">
        <v>1814501</v>
      </c>
      <c r="AS728" s="8">
        <f t="shared" si="377"/>
        <v>39195</v>
      </c>
      <c r="AT728" s="8">
        <v>114201</v>
      </c>
      <c r="AU728" s="8">
        <f t="shared" si="378"/>
        <v>-3753</v>
      </c>
      <c r="AV728" s="8">
        <v>328255</v>
      </c>
      <c r="AW728" s="8">
        <f t="shared" si="379"/>
        <v>20149</v>
      </c>
      <c r="AX728" s="8">
        <v>-214054</v>
      </c>
      <c r="AY728" s="8">
        <f t="shared" si="355"/>
        <v>-23902</v>
      </c>
      <c r="AZ728" s="8">
        <v>880988</v>
      </c>
      <c r="BA728" s="8">
        <f t="shared" si="380"/>
        <v>13404</v>
      </c>
      <c r="BB728" s="8">
        <v>709820</v>
      </c>
      <c r="BC728" s="8">
        <f t="shared" si="381"/>
        <v>-3964</v>
      </c>
      <c r="BD728" s="8">
        <v>171168</v>
      </c>
      <c r="BE728" s="8">
        <f t="shared" si="382"/>
        <v>17368</v>
      </c>
      <c r="BF728" s="8">
        <v>592197</v>
      </c>
      <c r="BG728" s="8">
        <f t="shared" si="383"/>
        <v>10755</v>
      </c>
      <c r="BH728" s="8">
        <v>618469</v>
      </c>
      <c r="BI728" s="8">
        <f t="shared" si="384"/>
        <v>-8553</v>
      </c>
      <c r="BJ728" s="8">
        <v>-26272</v>
      </c>
      <c r="BK728" s="8">
        <f t="shared" si="358"/>
        <v>19308</v>
      </c>
    </row>
    <row r="729" spans="1:63">
      <c r="A729" s="5">
        <f t="shared" si="354"/>
        <v>43970</v>
      </c>
      <c r="B729" s="8">
        <v>515336</v>
      </c>
      <c r="C729" s="8">
        <f t="shared" si="359"/>
        <v>4496</v>
      </c>
      <c r="D729" s="8">
        <v>51136</v>
      </c>
      <c r="E729" s="8">
        <f t="shared" si="360"/>
        <v>7360</v>
      </c>
      <c r="F729" s="8">
        <v>48455</v>
      </c>
      <c r="G729" s="8">
        <f t="shared" si="361"/>
        <v>-3186</v>
      </c>
      <c r="H729" s="8">
        <v>2681</v>
      </c>
      <c r="I729" s="8">
        <f t="shared" si="362"/>
        <v>10546</v>
      </c>
      <c r="J729" s="8">
        <v>267973</v>
      </c>
      <c r="K729" s="8">
        <f t="shared" si="363"/>
        <v>-5560</v>
      </c>
      <c r="L729" s="8">
        <v>285225</v>
      </c>
      <c r="M729" s="8">
        <f t="shared" si="364"/>
        <v>5614</v>
      </c>
      <c r="N729" s="8">
        <v>-17252</v>
      </c>
      <c r="O729" s="8">
        <f t="shared" si="365"/>
        <v>-11174</v>
      </c>
      <c r="P729" s="8">
        <v>169643</v>
      </c>
      <c r="Q729" s="8">
        <f t="shared" si="366"/>
        <v>-6678</v>
      </c>
      <c r="R729" s="8">
        <v>263802</v>
      </c>
      <c r="S729" s="8">
        <f t="shared" si="367"/>
        <v>5715</v>
      </c>
      <c r="T729" s="8">
        <v>-94159</v>
      </c>
      <c r="U729" s="8">
        <f t="shared" si="368"/>
        <v>-12393</v>
      </c>
      <c r="W729" s="8">
        <v>489652</v>
      </c>
      <c r="X729" s="8">
        <f t="shared" si="369"/>
        <v>10087</v>
      </c>
      <c r="Y729" s="8">
        <v>39468</v>
      </c>
      <c r="Z729" s="8">
        <f t="shared" si="370"/>
        <v>-937</v>
      </c>
      <c r="AA729" s="8">
        <v>68872</v>
      </c>
      <c r="AB729" s="8">
        <f t="shared" si="356"/>
        <v>17340</v>
      </c>
      <c r="AC729" s="8">
        <v>-29404</v>
      </c>
      <c r="AD729" s="8">
        <f t="shared" si="357"/>
        <v>-18277</v>
      </c>
      <c r="AE729" s="8">
        <v>278779</v>
      </c>
      <c r="AF729" s="8">
        <f t="shared" si="371"/>
        <v>3018</v>
      </c>
      <c r="AG729" s="8">
        <v>290951</v>
      </c>
      <c r="AH729" s="8">
        <f t="shared" si="372"/>
        <v>-9742</v>
      </c>
      <c r="AI729" s="8">
        <v>-12172</v>
      </c>
      <c r="AJ729" s="8">
        <f t="shared" si="373"/>
        <v>12760</v>
      </c>
      <c r="AK729" s="8">
        <v>159177</v>
      </c>
      <c r="AL729" s="8">
        <f t="shared" si="374"/>
        <v>4214</v>
      </c>
      <c r="AM729" s="8">
        <v>260872</v>
      </c>
      <c r="AN729" s="8">
        <f t="shared" si="375"/>
        <v>-10993</v>
      </c>
      <c r="AO729" s="8">
        <v>-101695</v>
      </c>
      <c r="AP729" s="8">
        <f t="shared" si="376"/>
        <v>15207</v>
      </c>
      <c r="AR729" s="8">
        <v>1834951</v>
      </c>
      <c r="AS729" s="8">
        <f t="shared" si="377"/>
        <v>20450</v>
      </c>
      <c r="AT729" s="8">
        <v>116817</v>
      </c>
      <c r="AU729" s="8">
        <f t="shared" si="378"/>
        <v>2616</v>
      </c>
      <c r="AV729" s="8">
        <v>362203</v>
      </c>
      <c r="AW729" s="8">
        <f t="shared" si="379"/>
        <v>33948</v>
      </c>
      <c r="AX729" s="8">
        <v>-245386</v>
      </c>
      <c r="AY729" s="8">
        <f t="shared" si="355"/>
        <v>-31332</v>
      </c>
      <c r="AZ729" s="8">
        <v>890744</v>
      </c>
      <c r="BA729" s="8">
        <f t="shared" si="380"/>
        <v>9756</v>
      </c>
      <c r="BB729" s="8">
        <v>701142</v>
      </c>
      <c r="BC729" s="8">
        <f t="shared" si="381"/>
        <v>-8678</v>
      </c>
      <c r="BD729" s="8">
        <v>189602</v>
      </c>
      <c r="BE729" s="8">
        <f t="shared" si="382"/>
        <v>18434</v>
      </c>
      <c r="BF729" s="8">
        <v>604334</v>
      </c>
      <c r="BG729" s="8">
        <f t="shared" si="383"/>
        <v>12137</v>
      </c>
      <c r="BH729" s="8">
        <v>608056</v>
      </c>
      <c r="BI729" s="8">
        <f t="shared" si="384"/>
        <v>-10413</v>
      </c>
      <c r="BJ729" s="8">
        <v>-3722</v>
      </c>
      <c r="BK729" s="8">
        <f t="shared" si="358"/>
        <v>22550</v>
      </c>
    </row>
    <row r="730" spans="1:63">
      <c r="A730" s="5">
        <f t="shared" si="354"/>
        <v>43977</v>
      </c>
      <c r="B730" s="8">
        <v>519032</v>
      </c>
      <c r="C730" s="8">
        <f t="shared" si="359"/>
        <v>3696</v>
      </c>
      <c r="D730" s="8">
        <v>50925</v>
      </c>
      <c r="E730" s="8">
        <f t="shared" si="360"/>
        <v>-211</v>
      </c>
      <c r="F730" s="8">
        <v>46941</v>
      </c>
      <c r="G730" s="8">
        <f t="shared" si="361"/>
        <v>-1514</v>
      </c>
      <c r="H730" s="8">
        <v>3984</v>
      </c>
      <c r="I730" s="8">
        <f t="shared" si="362"/>
        <v>1303</v>
      </c>
      <c r="J730" s="8">
        <v>265952</v>
      </c>
      <c r="K730" s="8">
        <f t="shared" si="363"/>
        <v>-2021</v>
      </c>
      <c r="L730" s="8">
        <v>286850</v>
      </c>
      <c r="M730" s="8">
        <f t="shared" si="364"/>
        <v>1625</v>
      </c>
      <c r="N730" s="8">
        <v>-20898</v>
      </c>
      <c r="O730" s="8">
        <f t="shared" si="365"/>
        <v>-3646</v>
      </c>
      <c r="P730" s="8">
        <v>166437</v>
      </c>
      <c r="Q730" s="8">
        <f t="shared" si="366"/>
        <v>-3206</v>
      </c>
      <c r="R730" s="8">
        <v>263790</v>
      </c>
      <c r="S730" s="8">
        <f t="shared" si="367"/>
        <v>-12</v>
      </c>
      <c r="T730" s="8">
        <v>-97353</v>
      </c>
      <c r="U730" s="8">
        <f t="shared" si="368"/>
        <v>-3194</v>
      </c>
      <c r="W730" s="8">
        <v>495460</v>
      </c>
      <c r="X730" s="8">
        <f t="shared" si="369"/>
        <v>5808</v>
      </c>
      <c r="Y730" s="8">
        <v>36684</v>
      </c>
      <c r="Z730" s="8">
        <f t="shared" si="370"/>
        <v>-2784</v>
      </c>
      <c r="AA730" s="8">
        <v>78459</v>
      </c>
      <c r="AB730" s="8">
        <f t="shared" si="356"/>
        <v>9587</v>
      </c>
      <c r="AC730" s="8">
        <v>-41775</v>
      </c>
      <c r="AD730" s="8">
        <f t="shared" si="357"/>
        <v>-12371</v>
      </c>
      <c r="AE730" s="8">
        <v>282742</v>
      </c>
      <c r="AF730" s="8">
        <f t="shared" si="371"/>
        <v>3963</v>
      </c>
      <c r="AG730" s="8">
        <v>289187</v>
      </c>
      <c r="AH730" s="8">
        <f t="shared" si="372"/>
        <v>-1764</v>
      </c>
      <c r="AI730" s="8">
        <v>-6445</v>
      </c>
      <c r="AJ730" s="8">
        <f t="shared" si="373"/>
        <v>5727</v>
      </c>
      <c r="AK730" s="8">
        <v>164873</v>
      </c>
      <c r="AL730" s="8">
        <f t="shared" si="374"/>
        <v>5696</v>
      </c>
      <c r="AM730" s="8">
        <v>259800</v>
      </c>
      <c r="AN730" s="8">
        <f t="shared" si="375"/>
        <v>-1072</v>
      </c>
      <c r="AO730" s="8">
        <v>-94927</v>
      </c>
      <c r="AP730" s="8">
        <f t="shared" si="376"/>
        <v>6768</v>
      </c>
      <c r="AR730" s="8">
        <v>1840617</v>
      </c>
      <c r="AS730" s="8">
        <f t="shared" si="377"/>
        <v>5666</v>
      </c>
      <c r="AT730" s="8">
        <v>115486</v>
      </c>
      <c r="AU730" s="8">
        <f t="shared" si="378"/>
        <v>-1331</v>
      </c>
      <c r="AV730" s="8">
        <v>391689</v>
      </c>
      <c r="AW730" s="8">
        <f t="shared" si="379"/>
        <v>29486</v>
      </c>
      <c r="AX730" s="8">
        <v>-276203</v>
      </c>
      <c r="AY730" s="8">
        <f t="shared" si="355"/>
        <v>-30817</v>
      </c>
      <c r="AZ730" s="8">
        <v>898300</v>
      </c>
      <c r="BA730" s="8">
        <f t="shared" si="380"/>
        <v>7556</v>
      </c>
      <c r="BB730" s="8">
        <v>691339</v>
      </c>
      <c r="BC730" s="8">
        <f t="shared" si="381"/>
        <v>-9803</v>
      </c>
      <c r="BD730" s="8">
        <v>206961</v>
      </c>
      <c r="BE730" s="8">
        <f t="shared" si="382"/>
        <v>17359</v>
      </c>
      <c r="BF730" s="8">
        <v>609398</v>
      </c>
      <c r="BG730" s="8">
        <f t="shared" si="383"/>
        <v>5064</v>
      </c>
      <c r="BH730" s="8">
        <v>594089</v>
      </c>
      <c r="BI730" s="8">
        <f t="shared" si="384"/>
        <v>-13967</v>
      </c>
      <c r="BJ730" s="8">
        <v>15309</v>
      </c>
      <c r="BK730" s="8">
        <f t="shared" si="358"/>
        <v>19031</v>
      </c>
    </row>
    <row r="731" spans="1:63">
      <c r="A731" s="5">
        <f t="shared" si="354"/>
        <v>43984</v>
      </c>
      <c r="B731" s="8">
        <v>525264</v>
      </c>
      <c r="C731" s="8">
        <f t="shared" si="359"/>
        <v>6232</v>
      </c>
      <c r="D731" s="8">
        <v>54772</v>
      </c>
      <c r="E731" s="8">
        <f t="shared" si="360"/>
        <v>3847</v>
      </c>
      <c r="F731" s="8">
        <v>43396</v>
      </c>
      <c r="G731" s="8">
        <f t="shared" si="361"/>
        <v>-3545</v>
      </c>
      <c r="H731" s="8">
        <v>11376</v>
      </c>
      <c r="I731" s="8">
        <f t="shared" si="362"/>
        <v>7392</v>
      </c>
      <c r="J731" s="8">
        <v>266586</v>
      </c>
      <c r="K731" s="8">
        <f t="shared" si="363"/>
        <v>634</v>
      </c>
      <c r="L731" s="8">
        <v>295853</v>
      </c>
      <c r="M731" s="8">
        <f t="shared" si="364"/>
        <v>9003</v>
      </c>
      <c r="N731" s="8">
        <v>-29267</v>
      </c>
      <c r="O731" s="8">
        <f t="shared" si="365"/>
        <v>-8369</v>
      </c>
      <c r="P731" s="8">
        <v>163893</v>
      </c>
      <c r="Q731" s="8">
        <f t="shared" si="366"/>
        <v>-2544</v>
      </c>
      <c r="R731" s="8">
        <v>270126</v>
      </c>
      <c r="S731" s="8">
        <f t="shared" si="367"/>
        <v>6336</v>
      </c>
      <c r="T731" s="8">
        <v>-106233</v>
      </c>
      <c r="U731" s="8">
        <f t="shared" si="368"/>
        <v>-8880</v>
      </c>
      <c r="W731" s="8">
        <v>503208</v>
      </c>
      <c r="X731" s="8">
        <f t="shared" si="369"/>
        <v>7748</v>
      </c>
      <c r="Y731" s="8">
        <v>35335</v>
      </c>
      <c r="Z731" s="8">
        <f t="shared" si="370"/>
        <v>-1349</v>
      </c>
      <c r="AA731" s="8">
        <v>86316</v>
      </c>
      <c r="AB731" s="8">
        <f t="shared" si="356"/>
        <v>7857</v>
      </c>
      <c r="AC731" s="8">
        <v>-50981</v>
      </c>
      <c r="AD731" s="8">
        <f t="shared" si="357"/>
        <v>-9206</v>
      </c>
      <c r="AE731" s="8">
        <v>286096</v>
      </c>
      <c r="AF731" s="8">
        <f t="shared" si="371"/>
        <v>3354</v>
      </c>
      <c r="AG731" s="8">
        <v>286592</v>
      </c>
      <c r="AH731" s="8">
        <f t="shared" si="372"/>
        <v>-2595</v>
      </c>
      <c r="AI731" s="8">
        <v>-496</v>
      </c>
      <c r="AJ731" s="8">
        <f t="shared" si="373"/>
        <v>5949</v>
      </c>
      <c r="AK731" s="8">
        <v>167257</v>
      </c>
      <c r="AL731" s="8">
        <f t="shared" si="374"/>
        <v>2384</v>
      </c>
      <c r="AM731" s="8">
        <v>252380</v>
      </c>
      <c r="AN731" s="8">
        <f t="shared" si="375"/>
        <v>-7420</v>
      </c>
      <c r="AO731" s="8">
        <v>-85123</v>
      </c>
      <c r="AP731" s="8">
        <f t="shared" si="376"/>
        <v>9804</v>
      </c>
      <c r="AR731" s="8">
        <v>1905933</v>
      </c>
      <c r="AS731" s="8">
        <f t="shared" si="377"/>
        <v>65316</v>
      </c>
      <c r="AT731" s="8">
        <v>121694</v>
      </c>
      <c r="AU731" s="8">
        <f t="shared" si="378"/>
        <v>6208</v>
      </c>
      <c r="AV731" s="8">
        <v>403960</v>
      </c>
      <c r="AW731" s="8">
        <f t="shared" si="379"/>
        <v>12271</v>
      </c>
      <c r="AX731" s="8">
        <v>-282266</v>
      </c>
      <c r="AY731" s="8">
        <f t="shared" si="355"/>
        <v>-6063</v>
      </c>
      <c r="AZ731" s="8">
        <v>912538</v>
      </c>
      <c r="BA731" s="8">
        <f t="shared" si="380"/>
        <v>14238</v>
      </c>
      <c r="BB731" s="8">
        <v>712759</v>
      </c>
      <c r="BC731" s="8">
        <f t="shared" si="381"/>
        <v>21420</v>
      </c>
      <c r="BD731" s="8">
        <v>199779</v>
      </c>
      <c r="BE731" s="8">
        <f t="shared" si="382"/>
        <v>-7182</v>
      </c>
      <c r="BF731" s="8">
        <v>615461</v>
      </c>
      <c r="BG731" s="8">
        <f t="shared" si="383"/>
        <v>6063</v>
      </c>
      <c r="BH731" s="8">
        <v>607401</v>
      </c>
      <c r="BI731" s="8">
        <f t="shared" si="384"/>
        <v>13312</v>
      </c>
      <c r="BJ731" s="8">
        <v>8060</v>
      </c>
      <c r="BK731" s="8">
        <f t="shared" si="358"/>
        <v>-7249</v>
      </c>
    </row>
    <row r="732" spans="1:63">
      <c r="A732" s="5">
        <f t="shared" si="354"/>
        <v>43991</v>
      </c>
      <c r="B732" s="8">
        <v>518021</v>
      </c>
      <c r="C732" s="8">
        <f t="shared" si="359"/>
        <v>-7243</v>
      </c>
      <c r="D732" s="8">
        <v>50669</v>
      </c>
      <c r="E732" s="8">
        <f t="shared" si="360"/>
        <v>-4103</v>
      </c>
      <c r="F732" s="8">
        <v>50725</v>
      </c>
      <c r="G732" s="8">
        <f t="shared" si="361"/>
        <v>7329</v>
      </c>
      <c r="H732" s="8">
        <v>-56</v>
      </c>
      <c r="I732" s="8">
        <f t="shared" si="362"/>
        <v>-11432</v>
      </c>
      <c r="J732" s="8">
        <v>271003</v>
      </c>
      <c r="K732" s="8">
        <f t="shared" si="363"/>
        <v>4417</v>
      </c>
      <c r="L732" s="8">
        <v>290246</v>
      </c>
      <c r="M732" s="8">
        <f t="shared" si="364"/>
        <v>-5607</v>
      </c>
      <c r="N732" s="8">
        <v>-19243</v>
      </c>
      <c r="O732" s="8">
        <f t="shared" si="365"/>
        <v>10024</v>
      </c>
      <c r="P732" s="8">
        <v>169468</v>
      </c>
      <c r="Q732" s="8">
        <f t="shared" si="366"/>
        <v>5575</v>
      </c>
      <c r="R732" s="8">
        <v>268077</v>
      </c>
      <c r="S732" s="8">
        <f t="shared" si="367"/>
        <v>-2049</v>
      </c>
      <c r="T732" s="8">
        <v>-98609</v>
      </c>
      <c r="U732" s="8">
        <f t="shared" si="368"/>
        <v>7624</v>
      </c>
      <c r="W732" s="8">
        <v>494752</v>
      </c>
      <c r="X732" s="8">
        <f t="shared" si="369"/>
        <v>-8456</v>
      </c>
      <c r="Y732" s="8">
        <v>35331</v>
      </c>
      <c r="Z732" s="8">
        <f t="shared" si="370"/>
        <v>-4</v>
      </c>
      <c r="AA732" s="8">
        <v>88317</v>
      </c>
      <c r="AB732" s="8">
        <f t="shared" si="356"/>
        <v>2001</v>
      </c>
      <c r="AC732" s="8">
        <v>-52986</v>
      </c>
      <c r="AD732" s="8">
        <f t="shared" si="357"/>
        <v>-2005</v>
      </c>
      <c r="AE732" s="8">
        <v>277660</v>
      </c>
      <c r="AF732" s="8">
        <f t="shared" si="371"/>
        <v>-8436</v>
      </c>
      <c r="AG732" s="8">
        <v>279199</v>
      </c>
      <c r="AH732" s="8">
        <f t="shared" si="372"/>
        <v>-7393</v>
      </c>
      <c r="AI732" s="8">
        <v>-1539</v>
      </c>
      <c r="AJ732" s="8">
        <f t="shared" si="373"/>
        <v>-1043</v>
      </c>
      <c r="AK732" s="8">
        <v>166353</v>
      </c>
      <c r="AL732" s="8">
        <f t="shared" si="374"/>
        <v>-904</v>
      </c>
      <c r="AM732" s="8">
        <v>247887</v>
      </c>
      <c r="AN732" s="8">
        <f t="shared" si="375"/>
        <v>-4493</v>
      </c>
      <c r="AO732" s="8">
        <v>-81534</v>
      </c>
      <c r="AP732" s="8">
        <f t="shared" si="376"/>
        <v>3589</v>
      </c>
      <c r="AR732" s="8">
        <v>1938786</v>
      </c>
      <c r="AS732" s="8">
        <f t="shared" si="377"/>
        <v>32853</v>
      </c>
      <c r="AT732" s="8">
        <v>124084</v>
      </c>
      <c r="AU732" s="8">
        <f t="shared" si="378"/>
        <v>2390</v>
      </c>
      <c r="AV732" s="8">
        <v>421396</v>
      </c>
      <c r="AW732" s="8">
        <f t="shared" si="379"/>
        <v>17436</v>
      </c>
      <c r="AX732" s="8">
        <v>-297312</v>
      </c>
      <c r="AY732" s="8">
        <f t="shared" si="355"/>
        <v>-15046</v>
      </c>
      <c r="AZ732" s="8">
        <v>929064</v>
      </c>
      <c r="BA732" s="8">
        <f t="shared" si="380"/>
        <v>16526</v>
      </c>
      <c r="BB732" s="8">
        <v>712140</v>
      </c>
      <c r="BC732" s="8">
        <f t="shared" si="381"/>
        <v>-619</v>
      </c>
      <c r="BD732" s="8">
        <v>216924</v>
      </c>
      <c r="BE732" s="8">
        <f t="shared" si="382"/>
        <v>17145</v>
      </c>
      <c r="BF732" s="8">
        <v>618496</v>
      </c>
      <c r="BG732" s="8">
        <f t="shared" si="383"/>
        <v>3035</v>
      </c>
      <c r="BH732" s="8">
        <v>597126</v>
      </c>
      <c r="BI732" s="8">
        <f t="shared" si="384"/>
        <v>-10275</v>
      </c>
      <c r="BJ732" s="8">
        <v>21370</v>
      </c>
      <c r="BK732" s="8">
        <f t="shared" si="358"/>
        <v>13310</v>
      </c>
    </row>
    <row r="733" spans="1:63">
      <c r="A733" s="5">
        <f t="shared" si="354"/>
        <v>43998</v>
      </c>
      <c r="B733" s="8">
        <v>508744</v>
      </c>
      <c r="C733" s="8">
        <f t="shared" si="359"/>
        <v>-9277</v>
      </c>
      <c r="D733" s="8">
        <v>47827</v>
      </c>
      <c r="E733" s="8">
        <f t="shared" si="360"/>
        <v>-2842</v>
      </c>
      <c r="F733" s="8">
        <v>52613</v>
      </c>
      <c r="G733" s="8">
        <f t="shared" si="361"/>
        <v>1888</v>
      </c>
      <c r="H733" s="8">
        <v>-4786</v>
      </c>
      <c r="I733" s="8">
        <f t="shared" si="362"/>
        <v>-4730</v>
      </c>
      <c r="J733" s="8">
        <v>267966</v>
      </c>
      <c r="K733" s="8">
        <f t="shared" si="363"/>
        <v>-3037</v>
      </c>
      <c r="L733" s="8">
        <v>281580</v>
      </c>
      <c r="M733" s="8">
        <f t="shared" si="364"/>
        <v>-8666</v>
      </c>
      <c r="N733" s="8">
        <v>-13614</v>
      </c>
      <c r="O733" s="8">
        <f t="shared" si="365"/>
        <v>5629</v>
      </c>
      <c r="P733" s="8">
        <v>166566</v>
      </c>
      <c r="Q733" s="8">
        <f t="shared" si="366"/>
        <v>-2902</v>
      </c>
      <c r="R733" s="8">
        <v>263547</v>
      </c>
      <c r="S733" s="8">
        <f t="shared" si="367"/>
        <v>-4530</v>
      </c>
      <c r="T733" s="8">
        <v>-96981</v>
      </c>
      <c r="U733" s="8">
        <f t="shared" si="368"/>
        <v>1628</v>
      </c>
      <c r="W733" s="8">
        <v>498341</v>
      </c>
      <c r="X733" s="8">
        <f t="shared" si="369"/>
        <v>3589</v>
      </c>
      <c r="Y733" s="8">
        <v>35876</v>
      </c>
      <c r="Z733" s="8">
        <f t="shared" si="370"/>
        <v>545</v>
      </c>
      <c r="AA733" s="8">
        <v>84084</v>
      </c>
      <c r="AB733" s="8">
        <f t="shared" si="356"/>
        <v>-4233</v>
      </c>
      <c r="AC733" s="8">
        <v>-48208</v>
      </c>
      <c r="AD733" s="8">
        <f t="shared" si="357"/>
        <v>4778</v>
      </c>
      <c r="AE733" s="8">
        <v>278111</v>
      </c>
      <c r="AF733" s="8">
        <f t="shared" si="371"/>
        <v>451</v>
      </c>
      <c r="AG733" s="8">
        <v>282758</v>
      </c>
      <c r="AH733" s="8">
        <f t="shared" si="372"/>
        <v>3559</v>
      </c>
      <c r="AI733" s="8">
        <v>-4647</v>
      </c>
      <c r="AJ733" s="8">
        <f t="shared" si="373"/>
        <v>-3108</v>
      </c>
      <c r="AK733" s="8">
        <v>168420</v>
      </c>
      <c r="AL733" s="8">
        <f t="shared" si="374"/>
        <v>2067</v>
      </c>
      <c r="AM733" s="8">
        <v>247252</v>
      </c>
      <c r="AN733" s="8">
        <f t="shared" si="375"/>
        <v>-635</v>
      </c>
      <c r="AO733" s="8">
        <v>-78832</v>
      </c>
      <c r="AP733" s="8">
        <f t="shared" si="376"/>
        <v>2702</v>
      </c>
      <c r="AR733" s="8">
        <v>2012716</v>
      </c>
      <c r="AS733" s="8">
        <f t="shared" si="377"/>
        <v>73930</v>
      </c>
      <c r="AT733" s="8">
        <v>135700</v>
      </c>
      <c r="AU733" s="8">
        <f t="shared" si="378"/>
        <v>11616</v>
      </c>
      <c r="AV733" s="8">
        <v>406451</v>
      </c>
      <c r="AW733" s="8">
        <f t="shared" si="379"/>
        <v>-14945</v>
      </c>
      <c r="AX733" s="8">
        <v>-270751</v>
      </c>
      <c r="AY733" s="8">
        <f t="shared" si="355"/>
        <v>26561</v>
      </c>
      <c r="AZ733" s="8">
        <v>934004</v>
      </c>
      <c r="BA733" s="8">
        <f t="shared" si="380"/>
        <v>4940</v>
      </c>
      <c r="BB733" s="8">
        <v>738373</v>
      </c>
      <c r="BC733" s="8">
        <f t="shared" si="381"/>
        <v>26233</v>
      </c>
      <c r="BD733" s="8">
        <v>195631</v>
      </c>
      <c r="BE733" s="8">
        <f t="shared" si="382"/>
        <v>-21293</v>
      </c>
      <c r="BF733" s="8">
        <v>625353</v>
      </c>
      <c r="BG733" s="8">
        <f t="shared" si="383"/>
        <v>6857</v>
      </c>
      <c r="BH733" s="8">
        <v>614600</v>
      </c>
      <c r="BI733" s="8">
        <f t="shared" si="384"/>
        <v>17474</v>
      </c>
      <c r="BJ733" s="8">
        <v>10753</v>
      </c>
      <c r="BK733" s="8">
        <f t="shared" si="358"/>
        <v>-10617</v>
      </c>
    </row>
    <row r="734" spans="1:63">
      <c r="A734" s="5">
        <f t="shared" si="354"/>
        <v>44005</v>
      </c>
      <c r="B734" s="8">
        <v>506222</v>
      </c>
      <c r="C734" s="8">
        <f t="shared" si="359"/>
        <v>-2522</v>
      </c>
      <c r="D734" s="8">
        <v>49772</v>
      </c>
      <c r="E734" s="8">
        <f t="shared" si="360"/>
        <v>1945</v>
      </c>
      <c r="F734" s="8">
        <v>50493</v>
      </c>
      <c r="G734" s="8">
        <f t="shared" si="361"/>
        <v>-2120</v>
      </c>
      <c r="H734" s="8">
        <v>-721</v>
      </c>
      <c r="I734" s="8">
        <f t="shared" si="362"/>
        <v>4065</v>
      </c>
      <c r="J734" s="8">
        <v>266693</v>
      </c>
      <c r="K734" s="8">
        <f t="shared" si="363"/>
        <v>-1273</v>
      </c>
      <c r="L734" s="8">
        <v>282877</v>
      </c>
      <c r="M734" s="8">
        <f t="shared" si="364"/>
        <v>1297</v>
      </c>
      <c r="N734" s="8">
        <v>-16184</v>
      </c>
      <c r="O734" s="8">
        <f t="shared" si="365"/>
        <v>-2570</v>
      </c>
      <c r="P734" s="8">
        <v>163136</v>
      </c>
      <c r="Q734" s="8">
        <f t="shared" si="366"/>
        <v>-3430</v>
      </c>
      <c r="R734" s="8">
        <v>264761</v>
      </c>
      <c r="S734" s="8">
        <f t="shared" si="367"/>
        <v>1214</v>
      </c>
      <c r="T734" s="8">
        <v>-101625</v>
      </c>
      <c r="U734" s="8">
        <f t="shared" si="368"/>
        <v>-4644</v>
      </c>
      <c r="W734" s="8">
        <v>502157</v>
      </c>
      <c r="X734" s="8">
        <f t="shared" si="369"/>
        <v>3816</v>
      </c>
      <c r="Y734" s="8">
        <v>35880</v>
      </c>
      <c r="Z734" s="8">
        <f t="shared" si="370"/>
        <v>4</v>
      </c>
      <c r="AA734" s="8">
        <v>81892</v>
      </c>
      <c r="AB734" s="8">
        <f t="shared" si="356"/>
        <v>-2192</v>
      </c>
      <c r="AC734" s="8">
        <v>-46012</v>
      </c>
      <c r="AD734" s="8">
        <f t="shared" si="357"/>
        <v>2196</v>
      </c>
      <c r="AE734" s="8">
        <v>278483</v>
      </c>
      <c r="AF734" s="8">
        <f t="shared" si="371"/>
        <v>372</v>
      </c>
      <c r="AG734" s="8">
        <v>282056</v>
      </c>
      <c r="AH734" s="8">
        <f t="shared" si="372"/>
        <v>-702</v>
      </c>
      <c r="AI734" s="8">
        <v>-3573</v>
      </c>
      <c r="AJ734" s="8">
        <f t="shared" si="373"/>
        <v>1074</v>
      </c>
      <c r="AK734" s="8">
        <v>168204</v>
      </c>
      <c r="AL734" s="8">
        <f t="shared" si="374"/>
        <v>-216</v>
      </c>
      <c r="AM734" s="8">
        <v>245866</v>
      </c>
      <c r="AN734" s="8">
        <f t="shared" si="375"/>
        <v>-1386</v>
      </c>
      <c r="AO734" s="8">
        <v>-77662</v>
      </c>
      <c r="AP734" s="8">
        <f t="shared" si="376"/>
        <v>1170</v>
      </c>
      <c r="AR734" s="8">
        <v>2034732</v>
      </c>
      <c r="AS734" s="8">
        <f t="shared" si="377"/>
        <v>22016</v>
      </c>
      <c r="AT734" s="8">
        <v>140864</v>
      </c>
      <c r="AU734" s="8">
        <f t="shared" si="378"/>
        <v>5164</v>
      </c>
      <c r="AV734" s="8">
        <v>418343</v>
      </c>
      <c r="AW734" s="8">
        <f t="shared" si="379"/>
        <v>11892</v>
      </c>
      <c r="AX734" s="8">
        <v>-277479</v>
      </c>
      <c r="AY734" s="8">
        <f t="shared" si="355"/>
        <v>-6728</v>
      </c>
      <c r="AZ734" s="8">
        <v>955088</v>
      </c>
      <c r="BA734" s="8">
        <f t="shared" si="380"/>
        <v>21084</v>
      </c>
      <c r="BB734" s="8">
        <v>745710</v>
      </c>
      <c r="BC734" s="8">
        <f t="shared" si="381"/>
        <v>7337</v>
      </c>
      <c r="BD734" s="8">
        <v>209378</v>
      </c>
      <c r="BE734" s="8">
        <f t="shared" si="382"/>
        <v>13747</v>
      </c>
      <c r="BF734" s="8">
        <v>639886</v>
      </c>
      <c r="BG734" s="8">
        <f t="shared" si="383"/>
        <v>14533</v>
      </c>
      <c r="BH734" s="8">
        <v>616340</v>
      </c>
      <c r="BI734" s="8">
        <f t="shared" si="384"/>
        <v>1740</v>
      </c>
      <c r="BJ734" s="8">
        <v>23546</v>
      </c>
      <c r="BK734" s="8">
        <f t="shared" si="358"/>
        <v>12793</v>
      </c>
    </row>
    <row r="735" spans="1:63">
      <c r="A735" s="5">
        <f t="shared" si="354"/>
        <v>44012</v>
      </c>
      <c r="B735" s="8">
        <v>457565</v>
      </c>
      <c r="C735" s="8">
        <f t="shared" si="359"/>
        <v>-48657</v>
      </c>
      <c r="D735" s="8">
        <v>54866</v>
      </c>
      <c r="E735" s="8">
        <f t="shared" si="360"/>
        <v>5094</v>
      </c>
      <c r="F735" s="8">
        <v>54019</v>
      </c>
      <c r="G735" s="8">
        <f t="shared" si="361"/>
        <v>3526</v>
      </c>
      <c r="H735" s="8">
        <v>847</v>
      </c>
      <c r="I735" s="8">
        <f t="shared" si="362"/>
        <v>1568</v>
      </c>
      <c r="J735" s="8">
        <v>245470</v>
      </c>
      <c r="K735" s="8">
        <f t="shared" si="363"/>
        <v>-21223</v>
      </c>
      <c r="L735" s="8">
        <v>266204</v>
      </c>
      <c r="M735" s="8">
        <f t="shared" si="364"/>
        <v>-16673</v>
      </c>
      <c r="N735" s="8">
        <v>-20734</v>
      </c>
      <c r="O735" s="8">
        <f t="shared" si="365"/>
        <v>-4550</v>
      </c>
      <c r="P735" s="8">
        <v>144690</v>
      </c>
      <c r="Q735" s="8">
        <f t="shared" si="366"/>
        <v>-18446</v>
      </c>
      <c r="R735" s="8">
        <v>248670</v>
      </c>
      <c r="S735" s="8">
        <f t="shared" si="367"/>
        <v>-16091</v>
      </c>
      <c r="T735" s="8">
        <v>-103980</v>
      </c>
      <c r="U735" s="8">
        <f t="shared" si="368"/>
        <v>-2355</v>
      </c>
      <c r="W735" s="8">
        <v>480264</v>
      </c>
      <c r="X735" s="8">
        <f t="shared" si="369"/>
        <v>-21893</v>
      </c>
      <c r="Y735" s="8">
        <v>38106</v>
      </c>
      <c r="Z735" s="8">
        <f t="shared" si="370"/>
        <v>2226</v>
      </c>
      <c r="AA735" s="8">
        <v>90603</v>
      </c>
      <c r="AB735" s="8">
        <f t="shared" si="356"/>
        <v>8711</v>
      </c>
      <c r="AC735" s="8">
        <v>-52497</v>
      </c>
      <c r="AD735" s="8">
        <f t="shared" si="357"/>
        <v>-6485</v>
      </c>
      <c r="AE735" s="8">
        <v>269686</v>
      </c>
      <c r="AF735" s="8">
        <f t="shared" si="371"/>
        <v>-8797</v>
      </c>
      <c r="AG735" s="8">
        <v>264807</v>
      </c>
      <c r="AH735" s="8">
        <f t="shared" si="372"/>
        <v>-17249</v>
      </c>
      <c r="AI735" s="8">
        <v>4879</v>
      </c>
      <c r="AJ735" s="8">
        <f t="shared" si="373"/>
        <v>8452</v>
      </c>
      <c r="AK735" s="8">
        <v>163073</v>
      </c>
      <c r="AL735" s="8">
        <f t="shared" si="374"/>
        <v>-5131</v>
      </c>
      <c r="AM735" s="8">
        <v>230200</v>
      </c>
      <c r="AN735" s="8">
        <f t="shared" si="375"/>
        <v>-15666</v>
      </c>
      <c r="AO735" s="8">
        <v>-67127</v>
      </c>
      <c r="AP735" s="8">
        <f t="shared" si="376"/>
        <v>10535</v>
      </c>
      <c r="AR735" s="8">
        <v>1926269</v>
      </c>
      <c r="AS735" s="8">
        <f t="shared" si="377"/>
        <v>-108463</v>
      </c>
      <c r="AT735" s="8">
        <v>165053</v>
      </c>
      <c r="AU735" s="8">
        <f t="shared" si="378"/>
        <v>24189</v>
      </c>
      <c r="AV735" s="8">
        <v>366701</v>
      </c>
      <c r="AW735" s="8">
        <f t="shared" si="379"/>
        <v>-51642</v>
      </c>
      <c r="AX735" s="8">
        <v>-201648</v>
      </c>
      <c r="AY735" s="8">
        <f t="shared" si="355"/>
        <v>75831</v>
      </c>
      <c r="AZ735" s="8">
        <v>915455</v>
      </c>
      <c r="BA735" s="8">
        <f t="shared" si="380"/>
        <v>-39633</v>
      </c>
      <c r="BB735" s="8">
        <v>746402</v>
      </c>
      <c r="BC735" s="8">
        <f t="shared" si="381"/>
        <v>692</v>
      </c>
      <c r="BD735" s="8">
        <v>169053</v>
      </c>
      <c r="BE735" s="8">
        <f t="shared" si="382"/>
        <v>-40325</v>
      </c>
      <c r="BF735" s="8">
        <v>604186</v>
      </c>
      <c r="BG735" s="8">
        <f t="shared" si="383"/>
        <v>-35700</v>
      </c>
      <c r="BH735" s="8">
        <v>630269</v>
      </c>
      <c r="BI735" s="8">
        <f t="shared" si="384"/>
        <v>13929</v>
      </c>
      <c r="BJ735" s="8">
        <v>-26083</v>
      </c>
      <c r="BK735" s="8">
        <f t="shared" si="358"/>
        <v>-49629</v>
      </c>
    </row>
    <row r="736" spans="1:63">
      <c r="A736" s="5">
        <f t="shared" si="354"/>
        <v>44019</v>
      </c>
      <c r="B736" s="8">
        <v>471406</v>
      </c>
      <c r="C736" s="8">
        <f t="shared" si="359"/>
        <v>13841</v>
      </c>
      <c r="D736" s="8">
        <v>62780</v>
      </c>
      <c r="E736" s="8">
        <f t="shared" si="360"/>
        <v>7914</v>
      </c>
      <c r="F736" s="8">
        <v>43362</v>
      </c>
      <c r="G736" s="8">
        <f t="shared" si="361"/>
        <v>-10657</v>
      </c>
      <c r="H736" s="8">
        <v>19418</v>
      </c>
      <c r="I736" s="8">
        <f t="shared" si="362"/>
        <v>18571</v>
      </c>
      <c r="J736" s="8">
        <v>246283</v>
      </c>
      <c r="K736" s="8">
        <f t="shared" si="363"/>
        <v>813</v>
      </c>
      <c r="L736" s="8">
        <v>284483</v>
      </c>
      <c r="M736" s="8">
        <f t="shared" si="364"/>
        <v>18279</v>
      </c>
      <c r="N736" s="8">
        <v>-38200</v>
      </c>
      <c r="O736" s="8">
        <f t="shared" si="365"/>
        <v>-17466</v>
      </c>
      <c r="P736" s="8">
        <v>139932</v>
      </c>
      <c r="Q736" s="8">
        <f t="shared" si="366"/>
        <v>-4758</v>
      </c>
      <c r="R736" s="8">
        <v>266608</v>
      </c>
      <c r="S736" s="8">
        <f t="shared" si="367"/>
        <v>17938</v>
      </c>
      <c r="T736" s="8">
        <v>-126676</v>
      </c>
      <c r="U736" s="8">
        <f t="shared" si="368"/>
        <v>-22696</v>
      </c>
      <c r="W736" s="8">
        <v>475449</v>
      </c>
      <c r="X736" s="8">
        <f t="shared" si="369"/>
        <v>-4815</v>
      </c>
      <c r="Y736" s="8">
        <v>44688</v>
      </c>
      <c r="Z736" s="8">
        <f t="shared" si="370"/>
        <v>6582</v>
      </c>
      <c r="AA736" s="8">
        <v>66598</v>
      </c>
      <c r="AB736" s="8">
        <f t="shared" si="356"/>
        <v>-24005</v>
      </c>
      <c r="AC736" s="8">
        <v>-21910</v>
      </c>
      <c r="AD736" s="8">
        <f t="shared" si="357"/>
        <v>30587</v>
      </c>
      <c r="AE736" s="8">
        <v>260006</v>
      </c>
      <c r="AF736" s="8">
        <f t="shared" si="371"/>
        <v>-9680</v>
      </c>
      <c r="AG736" s="8">
        <v>287118</v>
      </c>
      <c r="AH736" s="8">
        <f t="shared" si="372"/>
        <v>22311</v>
      </c>
      <c r="AI736" s="8">
        <v>-27112</v>
      </c>
      <c r="AJ736" s="8">
        <f t="shared" si="373"/>
        <v>-31991</v>
      </c>
      <c r="AK736" s="8">
        <v>152795</v>
      </c>
      <c r="AL736" s="8">
        <f t="shared" si="374"/>
        <v>-10278</v>
      </c>
      <c r="AM736" s="8">
        <v>253996</v>
      </c>
      <c r="AN736" s="8">
        <f t="shared" si="375"/>
        <v>23796</v>
      </c>
      <c r="AO736" s="8">
        <v>-101201</v>
      </c>
      <c r="AP736" s="8">
        <f t="shared" si="376"/>
        <v>-34074</v>
      </c>
      <c r="AR736" s="8">
        <v>1872744</v>
      </c>
      <c r="AS736" s="8">
        <f t="shared" si="377"/>
        <v>-53525</v>
      </c>
      <c r="AT736" s="8">
        <v>157038</v>
      </c>
      <c r="AU736" s="8">
        <f t="shared" si="378"/>
        <v>-8015</v>
      </c>
      <c r="AV736" s="8">
        <v>298779</v>
      </c>
      <c r="AW736" s="8">
        <f t="shared" si="379"/>
        <v>-67922</v>
      </c>
      <c r="AX736" s="8">
        <v>-141741</v>
      </c>
      <c r="AY736" s="8">
        <f t="shared" si="355"/>
        <v>59907</v>
      </c>
      <c r="AZ736" s="8">
        <v>907839</v>
      </c>
      <c r="BA736" s="8">
        <f t="shared" si="380"/>
        <v>-7616</v>
      </c>
      <c r="BB736" s="8">
        <v>792621</v>
      </c>
      <c r="BC736" s="8">
        <f t="shared" si="381"/>
        <v>46219</v>
      </c>
      <c r="BD736" s="8">
        <v>115218</v>
      </c>
      <c r="BE736" s="8">
        <f t="shared" si="382"/>
        <v>-53835</v>
      </c>
      <c r="BF736" s="8">
        <v>592721</v>
      </c>
      <c r="BG736" s="8">
        <f t="shared" si="383"/>
        <v>-11465</v>
      </c>
      <c r="BH736" s="8">
        <v>673302</v>
      </c>
      <c r="BI736" s="8">
        <f t="shared" si="384"/>
        <v>43033</v>
      </c>
      <c r="BJ736" s="8">
        <v>-80581</v>
      </c>
      <c r="BK736" s="8">
        <f t="shared" si="358"/>
        <v>-54498</v>
      </c>
    </row>
    <row r="737" spans="1:63">
      <c r="A737" s="5">
        <f t="shared" si="354"/>
        <v>44026</v>
      </c>
      <c r="B737" s="8">
        <v>467484</v>
      </c>
      <c r="C737" s="8">
        <f t="shared" si="359"/>
        <v>-3922</v>
      </c>
      <c r="D737" s="8">
        <v>57515</v>
      </c>
      <c r="E737" s="8">
        <f t="shared" si="360"/>
        <v>-5265</v>
      </c>
      <c r="F737" s="8">
        <v>47317</v>
      </c>
      <c r="G737" s="8">
        <f t="shared" si="361"/>
        <v>3955</v>
      </c>
      <c r="H737" s="8">
        <v>10198</v>
      </c>
      <c r="I737" s="8">
        <f t="shared" si="362"/>
        <v>-9220</v>
      </c>
      <c r="J737" s="8">
        <v>248652</v>
      </c>
      <c r="K737" s="8">
        <f t="shared" si="363"/>
        <v>2369</v>
      </c>
      <c r="L737" s="8">
        <v>271359</v>
      </c>
      <c r="M737" s="8">
        <f t="shared" si="364"/>
        <v>-13124</v>
      </c>
      <c r="N737" s="8">
        <v>-22707</v>
      </c>
      <c r="O737" s="8">
        <f t="shared" si="365"/>
        <v>15493</v>
      </c>
      <c r="P737" s="8">
        <v>144022</v>
      </c>
      <c r="Q737" s="8">
        <f t="shared" si="366"/>
        <v>4090</v>
      </c>
      <c r="R737" s="8">
        <v>254823</v>
      </c>
      <c r="S737" s="8">
        <f t="shared" si="367"/>
        <v>-11785</v>
      </c>
      <c r="T737" s="8">
        <v>-110801</v>
      </c>
      <c r="U737" s="8">
        <f t="shared" si="368"/>
        <v>15875</v>
      </c>
      <c r="W737" s="8">
        <v>463141</v>
      </c>
      <c r="X737" s="8">
        <f t="shared" si="369"/>
        <v>-12308</v>
      </c>
      <c r="Y737" s="8">
        <v>37695</v>
      </c>
      <c r="Z737" s="8">
        <f t="shared" si="370"/>
        <v>-6993</v>
      </c>
      <c r="AA737" s="8">
        <v>68146</v>
      </c>
      <c r="AB737" s="8">
        <f t="shared" si="356"/>
        <v>1548</v>
      </c>
      <c r="AC737" s="8">
        <v>-30451</v>
      </c>
      <c r="AD737" s="8">
        <f t="shared" si="357"/>
        <v>-8541</v>
      </c>
      <c r="AE737" s="8">
        <v>260111</v>
      </c>
      <c r="AF737" s="8">
        <f t="shared" si="371"/>
        <v>105</v>
      </c>
      <c r="AG737" s="8">
        <v>274240</v>
      </c>
      <c r="AH737" s="8">
        <f t="shared" si="372"/>
        <v>-12878</v>
      </c>
      <c r="AI737" s="8">
        <v>-14129</v>
      </c>
      <c r="AJ737" s="8">
        <f t="shared" si="373"/>
        <v>12983</v>
      </c>
      <c r="AK737" s="8">
        <v>154335</v>
      </c>
      <c r="AL737" s="8">
        <f t="shared" si="374"/>
        <v>1540</v>
      </c>
      <c r="AM737" s="8">
        <v>241559</v>
      </c>
      <c r="AN737" s="8">
        <f t="shared" si="375"/>
        <v>-12437</v>
      </c>
      <c r="AO737" s="8">
        <v>-87224</v>
      </c>
      <c r="AP737" s="8">
        <f t="shared" si="376"/>
        <v>13977</v>
      </c>
      <c r="AR737" s="8">
        <v>1876486</v>
      </c>
      <c r="AS737" s="8">
        <f t="shared" si="377"/>
        <v>3742</v>
      </c>
      <c r="AT737" s="8">
        <v>157382</v>
      </c>
      <c r="AU737" s="8">
        <f t="shared" si="378"/>
        <v>344</v>
      </c>
      <c r="AV737" s="8">
        <v>291007</v>
      </c>
      <c r="AW737" s="8">
        <f t="shared" si="379"/>
        <v>-7772</v>
      </c>
      <c r="AX737" s="8">
        <v>-133625</v>
      </c>
      <c r="AY737" s="8">
        <f t="shared" si="355"/>
        <v>8116</v>
      </c>
      <c r="AZ737" s="8">
        <v>911103</v>
      </c>
      <c r="BA737" s="8">
        <f t="shared" si="380"/>
        <v>3264</v>
      </c>
      <c r="BB737" s="8">
        <v>802464</v>
      </c>
      <c r="BC737" s="8">
        <f t="shared" si="381"/>
        <v>9843</v>
      </c>
      <c r="BD737" s="8">
        <v>108639</v>
      </c>
      <c r="BE737" s="8">
        <f t="shared" si="382"/>
        <v>-6579</v>
      </c>
      <c r="BF737" s="8">
        <v>595703</v>
      </c>
      <c r="BG737" s="8">
        <f t="shared" si="383"/>
        <v>2982</v>
      </c>
      <c r="BH737" s="8">
        <v>691388</v>
      </c>
      <c r="BI737" s="8">
        <f t="shared" si="384"/>
        <v>18086</v>
      </c>
      <c r="BJ737" s="8">
        <v>-95685</v>
      </c>
      <c r="BK737" s="8">
        <f t="shared" si="358"/>
        <v>-15104</v>
      </c>
    </row>
    <row r="738" spans="1:63">
      <c r="A738" s="5">
        <f t="shared" si="354"/>
        <v>44033</v>
      </c>
      <c r="B738" s="8">
        <v>481302</v>
      </c>
      <c r="C738" s="8">
        <f t="shared" si="359"/>
        <v>13818</v>
      </c>
      <c r="D738" s="8">
        <v>69864</v>
      </c>
      <c r="E738" s="8">
        <f t="shared" si="360"/>
        <v>12349</v>
      </c>
      <c r="F738" s="8">
        <v>32967</v>
      </c>
      <c r="G738" s="8">
        <f t="shared" si="361"/>
        <v>-14350</v>
      </c>
      <c r="H738" s="8">
        <v>36897</v>
      </c>
      <c r="I738" s="8">
        <f t="shared" si="362"/>
        <v>26699</v>
      </c>
      <c r="J738" s="8">
        <v>245518</v>
      </c>
      <c r="K738" s="8">
        <f t="shared" si="363"/>
        <v>-3134</v>
      </c>
      <c r="L738" s="8">
        <v>302986</v>
      </c>
      <c r="M738" s="8">
        <f t="shared" si="364"/>
        <v>31627</v>
      </c>
      <c r="N738" s="8">
        <v>-57468</v>
      </c>
      <c r="O738" s="8">
        <f t="shared" si="365"/>
        <v>-34761</v>
      </c>
      <c r="P738" s="8">
        <v>142285</v>
      </c>
      <c r="Q738" s="8">
        <f t="shared" si="366"/>
        <v>-1737</v>
      </c>
      <c r="R738" s="8">
        <v>284820</v>
      </c>
      <c r="S738" s="8">
        <f t="shared" si="367"/>
        <v>29997</v>
      </c>
      <c r="T738" s="8">
        <v>-142535</v>
      </c>
      <c r="U738" s="8">
        <f t="shared" si="368"/>
        <v>-31734</v>
      </c>
      <c r="W738" s="8">
        <v>473404</v>
      </c>
      <c r="X738" s="8">
        <f t="shared" si="369"/>
        <v>10263</v>
      </c>
      <c r="Y738" s="8">
        <v>40875</v>
      </c>
      <c r="Z738" s="8">
        <f t="shared" si="370"/>
        <v>3180</v>
      </c>
      <c r="AA738" s="8">
        <v>70053</v>
      </c>
      <c r="AB738" s="8">
        <f t="shared" si="356"/>
        <v>1907</v>
      </c>
      <c r="AC738" s="8">
        <v>-29178</v>
      </c>
      <c r="AD738" s="8">
        <f t="shared" si="357"/>
        <v>1273</v>
      </c>
      <c r="AE738" s="8">
        <v>265431</v>
      </c>
      <c r="AF738" s="8">
        <f t="shared" si="371"/>
        <v>5320</v>
      </c>
      <c r="AG738" s="8">
        <v>279520</v>
      </c>
      <c r="AH738" s="8">
        <f t="shared" si="372"/>
        <v>5280</v>
      </c>
      <c r="AI738" s="8">
        <v>-14089</v>
      </c>
      <c r="AJ738" s="8">
        <f t="shared" si="373"/>
        <v>40</v>
      </c>
      <c r="AK738" s="8">
        <v>157097</v>
      </c>
      <c r="AL738" s="8">
        <f t="shared" si="374"/>
        <v>2762</v>
      </c>
      <c r="AM738" s="8">
        <v>247962</v>
      </c>
      <c r="AN738" s="8">
        <f t="shared" si="375"/>
        <v>6403</v>
      </c>
      <c r="AO738" s="8">
        <v>-90865</v>
      </c>
      <c r="AP738" s="8">
        <f t="shared" si="376"/>
        <v>-3641</v>
      </c>
      <c r="AR738" s="8">
        <v>1905548</v>
      </c>
      <c r="AS738" s="8">
        <f t="shared" si="377"/>
        <v>29062</v>
      </c>
      <c r="AT738" s="8">
        <v>157217</v>
      </c>
      <c r="AU738" s="8">
        <f t="shared" si="378"/>
        <v>-165</v>
      </c>
      <c r="AV738" s="8">
        <v>294987</v>
      </c>
      <c r="AW738" s="8">
        <f t="shared" si="379"/>
        <v>3980</v>
      </c>
      <c r="AX738" s="8">
        <v>-137770</v>
      </c>
      <c r="AY738" s="8">
        <f t="shared" si="355"/>
        <v>-4145</v>
      </c>
      <c r="AZ738" s="8">
        <v>904162</v>
      </c>
      <c r="BA738" s="8">
        <f t="shared" si="380"/>
        <v>-6941</v>
      </c>
      <c r="BB738" s="8">
        <v>793507</v>
      </c>
      <c r="BC738" s="8">
        <f t="shared" si="381"/>
        <v>-8957</v>
      </c>
      <c r="BD738" s="8">
        <v>110655</v>
      </c>
      <c r="BE738" s="8">
        <f t="shared" si="382"/>
        <v>2016</v>
      </c>
      <c r="BF738" s="8">
        <v>587044</v>
      </c>
      <c r="BG738" s="8">
        <f t="shared" si="383"/>
        <v>-8659</v>
      </c>
      <c r="BH738" s="8">
        <v>682381</v>
      </c>
      <c r="BI738" s="8">
        <f t="shared" si="384"/>
        <v>-9007</v>
      </c>
      <c r="BJ738" s="8">
        <v>-95337</v>
      </c>
      <c r="BK738" s="8">
        <f t="shared" si="358"/>
        <v>348</v>
      </c>
    </row>
    <row r="739" spans="1:63">
      <c r="A739" s="5">
        <f t="shared" si="354"/>
        <v>44040</v>
      </c>
      <c r="B739" s="8">
        <v>460732</v>
      </c>
      <c r="C739" s="8">
        <f t="shared" si="359"/>
        <v>-20570</v>
      </c>
      <c r="D739" s="8">
        <v>69135</v>
      </c>
      <c r="E739" s="8">
        <f t="shared" si="360"/>
        <v>-729</v>
      </c>
      <c r="F739" s="8">
        <v>31586</v>
      </c>
      <c r="G739" s="8">
        <f t="shared" si="361"/>
        <v>-1381</v>
      </c>
      <c r="H739" s="8">
        <v>37549</v>
      </c>
      <c r="I739" s="8">
        <f t="shared" si="362"/>
        <v>652</v>
      </c>
      <c r="J739" s="8">
        <v>236848</v>
      </c>
      <c r="K739" s="8">
        <f t="shared" si="363"/>
        <v>-8670</v>
      </c>
      <c r="L739" s="8">
        <v>290957</v>
      </c>
      <c r="M739" s="8">
        <f t="shared" si="364"/>
        <v>-12029</v>
      </c>
      <c r="N739" s="8">
        <v>-54109</v>
      </c>
      <c r="O739" s="8">
        <f t="shared" si="365"/>
        <v>3359</v>
      </c>
      <c r="P739" s="8">
        <v>133820</v>
      </c>
      <c r="Q739" s="8">
        <f t="shared" si="366"/>
        <v>-8465</v>
      </c>
      <c r="R739" s="8">
        <v>271777</v>
      </c>
      <c r="S739" s="8">
        <f t="shared" si="367"/>
        <v>-13043</v>
      </c>
      <c r="T739" s="8">
        <v>-137957</v>
      </c>
      <c r="U739" s="8">
        <f t="shared" si="368"/>
        <v>4578</v>
      </c>
      <c r="W739" s="8">
        <v>466434</v>
      </c>
      <c r="X739" s="8">
        <f t="shared" si="369"/>
        <v>-6970</v>
      </c>
      <c r="Y739" s="8">
        <v>42346</v>
      </c>
      <c r="Z739" s="8">
        <f t="shared" si="370"/>
        <v>1471</v>
      </c>
      <c r="AA739" s="8">
        <v>61810</v>
      </c>
      <c r="AB739" s="8">
        <f t="shared" si="356"/>
        <v>-8243</v>
      </c>
      <c r="AC739" s="8">
        <v>-19464</v>
      </c>
      <c r="AD739" s="8">
        <f t="shared" si="357"/>
        <v>9714</v>
      </c>
      <c r="AE739" s="8">
        <v>259281</v>
      </c>
      <c r="AF739" s="8">
        <f t="shared" si="371"/>
        <v>-6150</v>
      </c>
      <c r="AG739" s="8">
        <v>279274</v>
      </c>
      <c r="AH739" s="8">
        <f t="shared" si="372"/>
        <v>-246</v>
      </c>
      <c r="AI739" s="8">
        <v>-19993</v>
      </c>
      <c r="AJ739" s="8">
        <f t="shared" si="373"/>
        <v>-5904</v>
      </c>
      <c r="AK739" s="8">
        <v>150867</v>
      </c>
      <c r="AL739" s="8">
        <f t="shared" si="374"/>
        <v>-6230</v>
      </c>
      <c r="AM739" s="8">
        <v>247973</v>
      </c>
      <c r="AN739" s="8">
        <f t="shared" si="375"/>
        <v>11</v>
      </c>
      <c r="AO739" s="8">
        <v>-97106</v>
      </c>
      <c r="AP739" s="8">
        <f t="shared" si="376"/>
        <v>-6241</v>
      </c>
      <c r="AR739" s="8">
        <v>1950332</v>
      </c>
      <c r="AS739" s="8">
        <f t="shared" si="377"/>
        <v>44784</v>
      </c>
      <c r="AT739" s="8">
        <v>166272</v>
      </c>
      <c r="AU739" s="8">
        <f t="shared" si="378"/>
        <v>9055</v>
      </c>
      <c r="AV739" s="8">
        <v>309552</v>
      </c>
      <c r="AW739" s="8">
        <f t="shared" si="379"/>
        <v>14565</v>
      </c>
      <c r="AX739" s="8">
        <v>-143280</v>
      </c>
      <c r="AY739" s="8">
        <f t="shared" si="355"/>
        <v>-5510</v>
      </c>
      <c r="AZ739" s="8">
        <v>899447</v>
      </c>
      <c r="BA739" s="8">
        <f t="shared" si="380"/>
        <v>-4715</v>
      </c>
      <c r="BB739" s="8">
        <v>789649</v>
      </c>
      <c r="BC739" s="8">
        <f t="shared" si="381"/>
        <v>-3858</v>
      </c>
      <c r="BD739" s="8">
        <v>109798</v>
      </c>
      <c r="BE739" s="8">
        <f t="shared" si="382"/>
        <v>-857</v>
      </c>
      <c r="BF739" s="8">
        <v>583666</v>
      </c>
      <c r="BG739" s="8">
        <f t="shared" si="383"/>
        <v>-3378</v>
      </c>
      <c r="BH739" s="8">
        <v>681961</v>
      </c>
      <c r="BI739" s="8">
        <f t="shared" si="384"/>
        <v>-420</v>
      </c>
      <c r="BJ739" s="8">
        <v>-98295</v>
      </c>
      <c r="BK739" s="8">
        <f t="shared" si="358"/>
        <v>-2958</v>
      </c>
    </row>
    <row r="740" spans="1:63">
      <c r="A740" s="5">
        <f t="shared" si="354"/>
        <v>44047</v>
      </c>
      <c r="B740" s="8">
        <v>470078</v>
      </c>
      <c r="C740" s="8">
        <f t="shared" si="359"/>
        <v>9346</v>
      </c>
      <c r="D740" s="8">
        <v>80998</v>
      </c>
      <c r="E740" s="8">
        <f t="shared" si="360"/>
        <v>11863</v>
      </c>
      <c r="F740" s="8">
        <v>32665</v>
      </c>
      <c r="G740" s="8">
        <f t="shared" si="361"/>
        <v>1079</v>
      </c>
      <c r="H740" s="8">
        <v>48333</v>
      </c>
      <c r="I740" s="8">
        <f t="shared" si="362"/>
        <v>10784</v>
      </c>
      <c r="J740" s="8">
        <v>239699</v>
      </c>
      <c r="K740" s="8">
        <f t="shared" si="363"/>
        <v>2851</v>
      </c>
      <c r="L740" s="8">
        <v>308035</v>
      </c>
      <c r="M740" s="8">
        <f t="shared" si="364"/>
        <v>17078</v>
      </c>
      <c r="N740" s="8">
        <v>-68336</v>
      </c>
      <c r="O740" s="8">
        <f t="shared" si="365"/>
        <v>-14227</v>
      </c>
      <c r="P740" s="8">
        <v>133899</v>
      </c>
      <c r="Q740" s="8">
        <f t="shared" si="366"/>
        <v>79</v>
      </c>
      <c r="R740" s="8">
        <v>288066</v>
      </c>
      <c r="S740" s="8">
        <f t="shared" si="367"/>
        <v>16289</v>
      </c>
      <c r="T740" s="8">
        <v>-154167</v>
      </c>
      <c r="U740" s="8">
        <f t="shared" si="368"/>
        <v>-16210</v>
      </c>
      <c r="W740" s="8">
        <v>476417</v>
      </c>
      <c r="X740" s="8">
        <f t="shared" si="369"/>
        <v>9983</v>
      </c>
      <c r="Y740" s="8">
        <v>43231</v>
      </c>
      <c r="Z740" s="8">
        <f t="shared" si="370"/>
        <v>885</v>
      </c>
      <c r="AA740" s="8">
        <v>64216</v>
      </c>
      <c r="AB740" s="8">
        <f t="shared" si="356"/>
        <v>2406</v>
      </c>
      <c r="AC740" s="8">
        <v>-20985</v>
      </c>
      <c r="AD740" s="8">
        <f t="shared" si="357"/>
        <v>-1521</v>
      </c>
      <c r="AE740" s="8">
        <v>270875</v>
      </c>
      <c r="AF740" s="8">
        <f t="shared" si="371"/>
        <v>11594</v>
      </c>
      <c r="AG740" s="8">
        <v>281984</v>
      </c>
      <c r="AH740" s="8">
        <f t="shared" si="372"/>
        <v>2710</v>
      </c>
      <c r="AI740" s="8">
        <v>-11109</v>
      </c>
      <c r="AJ740" s="8">
        <f t="shared" si="373"/>
        <v>8884</v>
      </c>
      <c r="AK740" s="8">
        <v>157546</v>
      </c>
      <c r="AL740" s="8">
        <f t="shared" si="374"/>
        <v>6679</v>
      </c>
      <c r="AM740" s="8">
        <v>254453</v>
      </c>
      <c r="AN740" s="8">
        <f t="shared" si="375"/>
        <v>6480</v>
      </c>
      <c r="AO740" s="8">
        <v>-96907</v>
      </c>
      <c r="AP740" s="8">
        <f t="shared" si="376"/>
        <v>199</v>
      </c>
      <c r="AR740" s="8">
        <v>2030923</v>
      </c>
      <c r="AS740" s="8">
        <f t="shared" si="377"/>
        <v>80591</v>
      </c>
      <c r="AT740" s="8">
        <v>179706</v>
      </c>
      <c r="AU740" s="8">
        <f t="shared" si="378"/>
        <v>13434</v>
      </c>
      <c r="AV740" s="8">
        <v>352526</v>
      </c>
      <c r="AW740" s="8">
        <f t="shared" si="379"/>
        <v>42974</v>
      </c>
      <c r="AX740" s="8">
        <v>-172820</v>
      </c>
      <c r="AY740" s="8">
        <f t="shared" si="355"/>
        <v>-29540</v>
      </c>
      <c r="AZ740" s="8">
        <v>933403</v>
      </c>
      <c r="BA740" s="8">
        <f t="shared" si="380"/>
        <v>33956</v>
      </c>
      <c r="BB740" s="8">
        <v>786575</v>
      </c>
      <c r="BC740" s="8">
        <f t="shared" si="381"/>
        <v>-3074</v>
      </c>
      <c r="BD740" s="8">
        <v>146828</v>
      </c>
      <c r="BE740" s="8">
        <f t="shared" si="382"/>
        <v>37030</v>
      </c>
      <c r="BF740" s="8">
        <v>617875</v>
      </c>
      <c r="BG740" s="8">
        <f t="shared" si="383"/>
        <v>34209</v>
      </c>
      <c r="BH740" s="8">
        <v>680132</v>
      </c>
      <c r="BI740" s="8">
        <f t="shared" si="384"/>
        <v>-1829</v>
      </c>
      <c r="BJ740" s="8">
        <v>-62257</v>
      </c>
      <c r="BK740" s="8">
        <f t="shared" si="358"/>
        <v>36038</v>
      </c>
    </row>
    <row r="741" spans="1:63">
      <c r="A741" s="5">
        <f t="shared" si="354"/>
        <v>44054</v>
      </c>
      <c r="B741" s="8">
        <v>476630</v>
      </c>
      <c r="C741" s="8">
        <f t="shared" si="359"/>
        <v>6552</v>
      </c>
      <c r="D741" s="8">
        <v>80465</v>
      </c>
      <c r="E741" s="8">
        <f t="shared" si="360"/>
        <v>-533</v>
      </c>
      <c r="F741" s="8">
        <v>28322</v>
      </c>
      <c r="G741" s="8">
        <f t="shared" si="361"/>
        <v>-4343</v>
      </c>
      <c r="H741" s="8">
        <v>52143</v>
      </c>
      <c r="I741" s="8">
        <f t="shared" si="362"/>
        <v>3810</v>
      </c>
      <c r="J741" s="8">
        <v>238452</v>
      </c>
      <c r="K741" s="8">
        <f t="shared" si="363"/>
        <v>-1247</v>
      </c>
      <c r="L741" s="8">
        <v>307523</v>
      </c>
      <c r="M741" s="8">
        <f t="shared" si="364"/>
        <v>-512</v>
      </c>
      <c r="N741" s="8">
        <v>-69071</v>
      </c>
      <c r="O741" s="8">
        <f t="shared" si="365"/>
        <v>-735</v>
      </c>
      <c r="P741" s="8">
        <v>131739</v>
      </c>
      <c r="Q741" s="8">
        <f t="shared" si="366"/>
        <v>-2160</v>
      </c>
      <c r="R741" s="8">
        <v>288497</v>
      </c>
      <c r="S741" s="8">
        <f t="shared" si="367"/>
        <v>431</v>
      </c>
      <c r="T741" s="8">
        <v>-156758</v>
      </c>
      <c r="U741" s="8">
        <f t="shared" si="368"/>
        <v>-2591</v>
      </c>
      <c r="W741" s="8">
        <v>491275</v>
      </c>
      <c r="X741" s="8">
        <f t="shared" si="369"/>
        <v>14858</v>
      </c>
      <c r="Y741" s="8">
        <v>42928</v>
      </c>
      <c r="Z741" s="8">
        <f t="shared" si="370"/>
        <v>-303</v>
      </c>
      <c r="AA741" s="8">
        <v>72219</v>
      </c>
      <c r="AB741" s="8">
        <f t="shared" si="356"/>
        <v>8003</v>
      </c>
      <c r="AC741" s="8">
        <v>-29291</v>
      </c>
      <c r="AD741" s="8">
        <f t="shared" si="357"/>
        <v>-8306</v>
      </c>
      <c r="AE741" s="8">
        <v>274473</v>
      </c>
      <c r="AF741" s="8">
        <f t="shared" si="371"/>
        <v>3598</v>
      </c>
      <c r="AG741" s="8">
        <v>285039</v>
      </c>
      <c r="AH741" s="8">
        <f t="shared" si="372"/>
        <v>3055</v>
      </c>
      <c r="AI741" s="8">
        <v>-10566</v>
      </c>
      <c r="AJ741" s="8">
        <f t="shared" si="373"/>
        <v>543</v>
      </c>
      <c r="AK741" s="8">
        <v>162283</v>
      </c>
      <c r="AL741" s="8">
        <f t="shared" si="374"/>
        <v>4737</v>
      </c>
      <c r="AM741" s="8">
        <v>258791</v>
      </c>
      <c r="AN741" s="8">
        <f t="shared" si="375"/>
        <v>4338</v>
      </c>
      <c r="AO741" s="8">
        <v>-96508</v>
      </c>
      <c r="AP741" s="8">
        <f t="shared" si="376"/>
        <v>399</v>
      </c>
      <c r="AR741" s="8">
        <v>1990550</v>
      </c>
      <c r="AS741" s="8">
        <f t="shared" si="377"/>
        <v>-40373</v>
      </c>
      <c r="AT741" s="8">
        <v>176758</v>
      </c>
      <c r="AU741" s="8">
        <f t="shared" si="378"/>
        <v>-2948</v>
      </c>
      <c r="AV741" s="8">
        <v>349119</v>
      </c>
      <c r="AW741" s="8">
        <f t="shared" si="379"/>
        <v>-3407</v>
      </c>
      <c r="AX741" s="8">
        <v>-172361</v>
      </c>
      <c r="AY741" s="8">
        <f t="shared" si="355"/>
        <v>459</v>
      </c>
      <c r="AZ741" s="8">
        <v>940524</v>
      </c>
      <c r="BA741" s="8">
        <f t="shared" si="380"/>
        <v>7121</v>
      </c>
      <c r="BB741" s="8">
        <v>800070</v>
      </c>
      <c r="BC741" s="8">
        <f t="shared" si="381"/>
        <v>13495</v>
      </c>
      <c r="BD741" s="8">
        <v>140454</v>
      </c>
      <c r="BE741" s="8">
        <f t="shared" si="382"/>
        <v>-6374</v>
      </c>
      <c r="BF741" s="8">
        <v>622813</v>
      </c>
      <c r="BG741" s="8">
        <f t="shared" si="383"/>
        <v>4938</v>
      </c>
      <c r="BH741" s="8">
        <v>681289</v>
      </c>
      <c r="BI741" s="8">
        <f t="shared" si="384"/>
        <v>1157</v>
      </c>
      <c r="BJ741" s="8">
        <v>-58476</v>
      </c>
      <c r="BK741" s="8">
        <f t="shared" si="358"/>
        <v>3781</v>
      </c>
    </row>
    <row r="742" spans="1:63">
      <c r="A742" s="5">
        <f t="shared" si="354"/>
        <v>44061</v>
      </c>
      <c r="B742" s="8">
        <v>489389</v>
      </c>
      <c r="C742" s="8">
        <f t="shared" si="359"/>
        <v>12759</v>
      </c>
      <c r="D742" s="8">
        <v>81535</v>
      </c>
      <c r="E742" s="8">
        <f t="shared" si="360"/>
        <v>1070</v>
      </c>
      <c r="F742" s="8">
        <v>24011</v>
      </c>
      <c r="G742" s="8">
        <f t="shared" si="361"/>
        <v>-4311</v>
      </c>
      <c r="H742" s="8">
        <v>57524</v>
      </c>
      <c r="I742" s="8">
        <f t="shared" si="362"/>
        <v>5381</v>
      </c>
      <c r="J742" s="8">
        <v>243410</v>
      </c>
      <c r="K742" s="8">
        <f t="shared" si="363"/>
        <v>4958</v>
      </c>
      <c r="L742" s="8">
        <v>321143</v>
      </c>
      <c r="M742" s="8">
        <f t="shared" si="364"/>
        <v>13620</v>
      </c>
      <c r="N742" s="8">
        <v>-77733</v>
      </c>
      <c r="O742" s="8">
        <f t="shared" si="365"/>
        <v>-8662</v>
      </c>
      <c r="P742" s="8">
        <v>132038</v>
      </c>
      <c r="Q742" s="8">
        <f t="shared" si="366"/>
        <v>299</v>
      </c>
      <c r="R742" s="8">
        <v>301493</v>
      </c>
      <c r="S742" s="8">
        <f t="shared" si="367"/>
        <v>12996</v>
      </c>
      <c r="T742" s="8">
        <v>-169455</v>
      </c>
      <c r="U742" s="8">
        <f t="shared" si="368"/>
        <v>-12697</v>
      </c>
      <c r="W742" s="8">
        <v>490048</v>
      </c>
      <c r="X742" s="8">
        <f t="shared" si="369"/>
        <v>-1227</v>
      </c>
      <c r="Y742" s="8">
        <v>53666</v>
      </c>
      <c r="Z742" s="8">
        <f t="shared" si="370"/>
        <v>10738</v>
      </c>
      <c r="AA742" s="8">
        <v>42687</v>
      </c>
      <c r="AB742" s="8">
        <f t="shared" si="356"/>
        <v>-29532</v>
      </c>
      <c r="AC742" s="8">
        <v>10979</v>
      </c>
      <c r="AD742" s="8">
        <f t="shared" si="357"/>
        <v>40270</v>
      </c>
      <c r="AE742" s="8">
        <v>260915</v>
      </c>
      <c r="AF742" s="8">
        <f t="shared" si="371"/>
        <v>-13558</v>
      </c>
      <c r="AG742" s="8">
        <v>307040</v>
      </c>
      <c r="AH742" s="8">
        <f t="shared" si="372"/>
        <v>22001</v>
      </c>
      <c r="AI742" s="8">
        <v>-46125</v>
      </c>
      <c r="AJ742" s="8">
        <f t="shared" si="373"/>
        <v>-35559</v>
      </c>
      <c r="AK742" s="8">
        <v>150584</v>
      </c>
      <c r="AL742" s="8">
        <f t="shared" si="374"/>
        <v>-11699</v>
      </c>
      <c r="AM742" s="8">
        <v>280907</v>
      </c>
      <c r="AN742" s="8">
        <f t="shared" si="375"/>
        <v>22116</v>
      </c>
      <c r="AO742" s="8">
        <v>-130323</v>
      </c>
      <c r="AP742" s="8">
        <f t="shared" si="376"/>
        <v>-33815</v>
      </c>
      <c r="AR742" s="8">
        <v>1936499</v>
      </c>
      <c r="AS742" s="8">
        <f t="shared" si="377"/>
        <v>-54051</v>
      </c>
      <c r="AT742" s="8">
        <v>188672</v>
      </c>
      <c r="AU742" s="8">
        <f t="shared" si="378"/>
        <v>11914</v>
      </c>
      <c r="AV742" s="8">
        <v>299171</v>
      </c>
      <c r="AW742" s="8">
        <f t="shared" si="379"/>
        <v>-49948</v>
      </c>
      <c r="AX742" s="8">
        <v>-110499</v>
      </c>
      <c r="AY742" s="8">
        <f t="shared" si="355"/>
        <v>61862</v>
      </c>
      <c r="AZ742" s="8">
        <v>885615</v>
      </c>
      <c r="BA742" s="8">
        <f t="shared" si="380"/>
        <v>-54909</v>
      </c>
      <c r="BB742" s="8">
        <v>820104</v>
      </c>
      <c r="BC742" s="8">
        <f t="shared" si="381"/>
        <v>20034</v>
      </c>
      <c r="BD742" s="8">
        <v>65511</v>
      </c>
      <c r="BE742" s="8">
        <f t="shared" si="382"/>
        <v>-74943</v>
      </c>
      <c r="BF742" s="8">
        <v>564845</v>
      </c>
      <c r="BG742" s="8">
        <f t="shared" si="383"/>
        <v>-57968</v>
      </c>
      <c r="BH742" s="8">
        <v>674338</v>
      </c>
      <c r="BI742" s="8">
        <f t="shared" si="384"/>
        <v>-6951</v>
      </c>
      <c r="BJ742" s="8">
        <v>-109493</v>
      </c>
      <c r="BK742" s="8">
        <f t="shared" si="358"/>
        <v>-51017</v>
      </c>
    </row>
    <row r="743" spans="1:63">
      <c r="A743" s="5">
        <f t="shared" si="354"/>
        <v>44068</v>
      </c>
      <c r="B743" s="8">
        <v>486373</v>
      </c>
      <c r="C743" s="8">
        <f t="shared" si="359"/>
        <v>-3016</v>
      </c>
      <c r="D743" s="8">
        <v>88235</v>
      </c>
      <c r="E743" s="8">
        <f t="shared" si="360"/>
        <v>6700</v>
      </c>
      <c r="F743" s="8">
        <v>20545</v>
      </c>
      <c r="G743" s="8">
        <f t="shared" si="361"/>
        <v>-3466</v>
      </c>
      <c r="H743" s="8">
        <v>67690</v>
      </c>
      <c r="I743" s="8">
        <f t="shared" si="362"/>
        <v>10166</v>
      </c>
      <c r="J743" s="8">
        <v>240355</v>
      </c>
      <c r="K743" s="8">
        <f t="shared" si="363"/>
        <v>-3055</v>
      </c>
      <c r="L743" s="8">
        <v>331455</v>
      </c>
      <c r="M743" s="8">
        <f t="shared" si="364"/>
        <v>10312</v>
      </c>
      <c r="N743" s="8">
        <v>-91100</v>
      </c>
      <c r="O743" s="8">
        <f t="shared" si="365"/>
        <v>-13367</v>
      </c>
      <c r="P743" s="8">
        <v>127913</v>
      </c>
      <c r="Q743" s="8">
        <f t="shared" si="366"/>
        <v>-4125</v>
      </c>
      <c r="R743" s="8">
        <v>312321</v>
      </c>
      <c r="S743" s="8">
        <f t="shared" si="367"/>
        <v>10828</v>
      </c>
      <c r="T743" s="8">
        <v>-184408</v>
      </c>
      <c r="U743" s="8">
        <f t="shared" si="368"/>
        <v>-14953</v>
      </c>
      <c r="W743" s="8">
        <v>483723</v>
      </c>
      <c r="X743" s="8">
        <f t="shared" si="369"/>
        <v>-6325</v>
      </c>
      <c r="Y743" s="8">
        <v>49579</v>
      </c>
      <c r="Z743" s="8">
        <f t="shared" si="370"/>
        <v>-4087</v>
      </c>
      <c r="AA743" s="8">
        <v>46019</v>
      </c>
      <c r="AB743" s="8">
        <f t="shared" si="356"/>
        <v>3332</v>
      </c>
      <c r="AC743" s="8">
        <v>3560</v>
      </c>
      <c r="AD743" s="8">
        <f t="shared" si="357"/>
        <v>-7419</v>
      </c>
      <c r="AE743" s="8">
        <v>259177</v>
      </c>
      <c r="AF743" s="8">
        <f t="shared" si="371"/>
        <v>-1738</v>
      </c>
      <c r="AG743" s="8">
        <v>300308</v>
      </c>
      <c r="AH743" s="8">
        <f t="shared" si="372"/>
        <v>-6732</v>
      </c>
      <c r="AI743" s="8">
        <v>-41131</v>
      </c>
      <c r="AJ743" s="8">
        <f t="shared" si="373"/>
        <v>4994</v>
      </c>
      <c r="AK743" s="8">
        <v>151091</v>
      </c>
      <c r="AL743" s="8">
        <f t="shared" si="374"/>
        <v>507</v>
      </c>
      <c r="AM743" s="8">
        <v>274664</v>
      </c>
      <c r="AN743" s="8">
        <f t="shared" si="375"/>
        <v>-6243</v>
      </c>
      <c r="AO743" s="8">
        <v>-123573</v>
      </c>
      <c r="AP743" s="8">
        <f t="shared" si="376"/>
        <v>6750</v>
      </c>
      <c r="AR743" s="8">
        <v>1730455</v>
      </c>
      <c r="AS743" s="8">
        <f t="shared" si="377"/>
        <v>-206044</v>
      </c>
      <c r="AT743" s="8">
        <v>189211</v>
      </c>
      <c r="AU743" s="8">
        <f t="shared" si="378"/>
        <v>539</v>
      </c>
      <c r="AV743" s="8">
        <v>250700</v>
      </c>
      <c r="AW743" s="8">
        <f t="shared" si="379"/>
        <v>-48471</v>
      </c>
      <c r="AX743" s="8">
        <v>-61489</v>
      </c>
      <c r="AY743" s="8">
        <f t="shared" si="355"/>
        <v>49010</v>
      </c>
      <c r="AZ743" s="8">
        <v>798653</v>
      </c>
      <c r="BA743" s="8">
        <f t="shared" si="380"/>
        <v>-86962</v>
      </c>
      <c r="BB743" s="8">
        <v>789979</v>
      </c>
      <c r="BC743" s="8">
        <f t="shared" si="381"/>
        <v>-30125</v>
      </c>
      <c r="BD743" s="8">
        <v>8674</v>
      </c>
      <c r="BE743" s="8">
        <f t="shared" si="382"/>
        <v>-56837</v>
      </c>
      <c r="BF743" s="8">
        <v>513072</v>
      </c>
      <c r="BG743" s="8">
        <f t="shared" si="383"/>
        <v>-51773</v>
      </c>
      <c r="BH743" s="8">
        <v>676507</v>
      </c>
      <c r="BI743" s="8">
        <f t="shared" si="384"/>
        <v>2169</v>
      </c>
      <c r="BJ743" s="8">
        <v>-163435</v>
      </c>
      <c r="BK743" s="8">
        <f t="shared" si="358"/>
        <v>-53942</v>
      </c>
    </row>
    <row r="744" spans="1:63">
      <c r="A744" s="5">
        <f t="shared" ref="A744:A791" si="385">A743+7</f>
        <v>44075</v>
      </c>
      <c r="B744" s="8">
        <v>492985</v>
      </c>
      <c r="C744" s="8">
        <f t="shared" si="359"/>
        <v>6612</v>
      </c>
      <c r="D744" s="8">
        <v>94635</v>
      </c>
      <c r="E744" s="8">
        <f t="shared" si="360"/>
        <v>6400</v>
      </c>
      <c r="F744" s="8">
        <v>13078</v>
      </c>
      <c r="G744" s="8">
        <f t="shared" si="361"/>
        <v>-7467</v>
      </c>
      <c r="H744" s="8">
        <v>81557</v>
      </c>
      <c r="I744" s="8">
        <f t="shared" si="362"/>
        <v>13867</v>
      </c>
      <c r="J744" s="8">
        <v>231525</v>
      </c>
      <c r="K744" s="8">
        <f t="shared" si="363"/>
        <v>-8830</v>
      </c>
      <c r="L744" s="8">
        <v>347192</v>
      </c>
      <c r="M744" s="8">
        <f t="shared" si="364"/>
        <v>15737</v>
      </c>
      <c r="N744" s="8">
        <v>-115667</v>
      </c>
      <c r="O744" s="8">
        <f t="shared" si="365"/>
        <v>-24567</v>
      </c>
      <c r="P744" s="8">
        <v>120851</v>
      </c>
      <c r="Q744" s="8">
        <f t="shared" si="366"/>
        <v>-7062</v>
      </c>
      <c r="R744" s="8">
        <v>326861</v>
      </c>
      <c r="S744" s="8">
        <f t="shared" si="367"/>
        <v>14540</v>
      </c>
      <c r="T744" s="8">
        <v>-206010</v>
      </c>
      <c r="U744" s="8">
        <f t="shared" si="368"/>
        <v>-21602</v>
      </c>
      <c r="W744" s="8">
        <v>491520</v>
      </c>
      <c r="X744" s="8">
        <f t="shared" si="369"/>
        <v>7797</v>
      </c>
      <c r="Y744" s="8">
        <v>53449</v>
      </c>
      <c r="Z744" s="8">
        <f t="shared" si="370"/>
        <v>3870</v>
      </c>
      <c r="AA744" s="8">
        <v>37578</v>
      </c>
      <c r="AB744" s="8">
        <f t="shared" si="356"/>
        <v>-8441</v>
      </c>
      <c r="AC744" s="8">
        <v>15871</v>
      </c>
      <c r="AD744" s="8">
        <f t="shared" si="357"/>
        <v>12311</v>
      </c>
      <c r="AE744" s="8">
        <v>244613</v>
      </c>
      <c r="AF744" s="8">
        <f t="shared" si="371"/>
        <v>-14564</v>
      </c>
      <c r="AG744" s="8">
        <v>301535</v>
      </c>
      <c r="AH744" s="8">
        <f t="shared" si="372"/>
        <v>1227</v>
      </c>
      <c r="AI744" s="8">
        <v>-56922</v>
      </c>
      <c r="AJ744" s="8">
        <f t="shared" si="373"/>
        <v>-15791</v>
      </c>
      <c r="AK744" s="8">
        <v>140344</v>
      </c>
      <c r="AL744" s="8">
        <f t="shared" si="374"/>
        <v>-10747</v>
      </c>
      <c r="AM744" s="8">
        <v>279116</v>
      </c>
      <c r="AN744" s="8">
        <f t="shared" si="375"/>
        <v>4452</v>
      </c>
      <c r="AO744" s="8">
        <v>-138772</v>
      </c>
      <c r="AP744" s="8">
        <f t="shared" si="376"/>
        <v>-15199</v>
      </c>
      <c r="AR744" s="8">
        <v>1722881</v>
      </c>
      <c r="AS744" s="8">
        <f t="shared" si="377"/>
        <v>-7574</v>
      </c>
      <c r="AT744" s="8">
        <v>196470</v>
      </c>
      <c r="AU744" s="8">
        <f t="shared" si="378"/>
        <v>7259</v>
      </c>
      <c r="AV744" s="8">
        <v>177811</v>
      </c>
      <c r="AW744" s="8">
        <f t="shared" si="379"/>
        <v>-72889</v>
      </c>
      <c r="AX744" s="8">
        <v>18659</v>
      </c>
      <c r="AY744" s="8">
        <f t="shared" si="355"/>
        <v>80148</v>
      </c>
      <c r="AZ744" s="8">
        <v>771224</v>
      </c>
      <c r="BA744" s="8">
        <f t="shared" si="380"/>
        <v>-27429</v>
      </c>
      <c r="BB744" s="8">
        <v>818187</v>
      </c>
      <c r="BC744" s="8">
        <f t="shared" si="381"/>
        <v>28208</v>
      </c>
      <c r="BD744" s="8">
        <v>-46963</v>
      </c>
      <c r="BE744" s="8">
        <f t="shared" si="382"/>
        <v>-55637</v>
      </c>
      <c r="BF744" s="8">
        <v>481974</v>
      </c>
      <c r="BG744" s="8">
        <f t="shared" si="383"/>
        <v>-31098</v>
      </c>
      <c r="BH744" s="8">
        <v>702823</v>
      </c>
      <c r="BI744" s="8">
        <f t="shared" si="384"/>
        <v>26316</v>
      </c>
      <c r="BJ744" s="8">
        <v>-220849</v>
      </c>
      <c r="BK744" s="8">
        <f t="shared" si="358"/>
        <v>-57414</v>
      </c>
    </row>
    <row r="745" spans="1:63">
      <c r="A745" s="5">
        <f t="shared" si="385"/>
        <v>44082</v>
      </c>
      <c r="B745" s="8">
        <v>510938</v>
      </c>
      <c r="C745" s="8">
        <f t="shared" si="359"/>
        <v>17953</v>
      </c>
      <c r="D745" s="8">
        <v>96009</v>
      </c>
      <c r="E745" s="8">
        <f t="shared" si="360"/>
        <v>1374</v>
      </c>
      <c r="F745" s="8">
        <v>10710</v>
      </c>
      <c r="G745" s="8">
        <f t="shared" si="361"/>
        <v>-2368</v>
      </c>
      <c r="H745" s="8">
        <v>85299</v>
      </c>
      <c r="I745" s="8">
        <f t="shared" si="362"/>
        <v>3742</v>
      </c>
      <c r="J745" s="8">
        <v>238575</v>
      </c>
      <c r="K745" s="8">
        <f t="shared" si="363"/>
        <v>7050</v>
      </c>
      <c r="L745" s="8">
        <v>358793</v>
      </c>
      <c r="M745" s="8">
        <f t="shared" si="364"/>
        <v>11601</v>
      </c>
      <c r="N745" s="8">
        <v>-120218</v>
      </c>
      <c r="O745" s="8">
        <f t="shared" si="365"/>
        <v>-4551</v>
      </c>
      <c r="P745" s="8">
        <v>126087</v>
      </c>
      <c r="Q745" s="8">
        <f t="shared" si="366"/>
        <v>5236</v>
      </c>
      <c r="R745" s="8">
        <v>337944</v>
      </c>
      <c r="S745" s="8">
        <f t="shared" si="367"/>
        <v>11083</v>
      </c>
      <c r="T745" s="8">
        <v>-211857</v>
      </c>
      <c r="U745" s="8">
        <f t="shared" si="368"/>
        <v>-5847</v>
      </c>
      <c r="W745" s="8">
        <v>501873</v>
      </c>
      <c r="X745" s="8">
        <f t="shared" si="369"/>
        <v>10353</v>
      </c>
      <c r="Y745" s="8">
        <v>59000</v>
      </c>
      <c r="Z745" s="8">
        <f t="shared" si="370"/>
        <v>5551</v>
      </c>
      <c r="AA745" s="8">
        <v>26881</v>
      </c>
      <c r="AB745" s="8">
        <f t="shared" si="356"/>
        <v>-10697</v>
      </c>
      <c r="AC745" s="8">
        <v>32119</v>
      </c>
      <c r="AD745" s="8">
        <f t="shared" si="357"/>
        <v>16248</v>
      </c>
      <c r="AE745" s="8">
        <v>240654</v>
      </c>
      <c r="AF745" s="8">
        <f t="shared" si="371"/>
        <v>-3959</v>
      </c>
      <c r="AG745" s="8">
        <v>317939</v>
      </c>
      <c r="AH745" s="8">
        <f t="shared" si="372"/>
        <v>16404</v>
      </c>
      <c r="AI745" s="8">
        <v>-77285</v>
      </c>
      <c r="AJ745" s="8">
        <f t="shared" si="373"/>
        <v>-20363</v>
      </c>
      <c r="AK745" s="8">
        <v>137244</v>
      </c>
      <c r="AL745" s="8">
        <f t="shared" si="374"/>
        <v>-3100</v>
      </c>
      <c r="AM745" s="8">
        <v>291868</v>
      </c>
      <c r="AN745" s="8">
        <f t="shared" si="375"/>
        <v>12752</v>
      </c>
      <c r="AO745" s="8">
        <v>-154624</v>
      </c>
      <c r="AP745" s="8">
        <f t="shared" si="376"/>
        <v>-15852</v>
      </c>
      <c r="AR745" s="8">
        <v>1751115</v>
      </c>
      <c r="AS745" s="8">
        <f t="shared" si="377"/>
        <v>28234</v>
      </c>
      <c r="AT745" s="8">
        <v>189407</v>
      </c>
      <c r="AU745" s="8">
        <f t="shared" si="378"/>
        <v>-7063</v>
      </c>
      <c r="AV745" s="8">
        <v>155913</v>
      </c>
      <c r="AW745" s="8">
        <f t="shared" si="379"/>
        <v>-21898</v>
      </c>
      <c r="AX745" s="8">
        <v>33494</v>
      </c>
      <c r="AY745" s="8">
        <f t="shared" si="355"/>
        <v>14835</v>
      </c>
      <c r="AZ745" s="8">
        <v>787421</v>
      </c>
      <c r="BA745" s="8">
        <f t="shared" si="380"/>
        <v>16197</v>
      </c>
      <c r="BB745" s="8">
        <v>850604</v>
      </c>
      <c r="BC745" s="8">
        <f t="shared" si="381"/>
        <v>32417</v>
      </c>
      <c r="BD745" s="8">
        <v>-63183</v>
      </c>
      <c r="BE745" s="8">
        <f t="shared" si="382"/>
        <v>-16220</v>
      </c>
      <c r="BF745" s="8">
        <v>493348</v>
      </c>
      <c r="BG745" s="8">
        <f t="shared" si="383"/>
        <v>11374</v>
      </c>
      <c r="BH745" s="8">
        <v>734233</v>
      </c>
      <c r="BI745" s="8">
        <f t="shared" si="384"/>
        <v>31410</v>
      </c>
      <c r="BJ745" s="8">
        <v>-240885</v>
      </c>
      <c r="BK745" s="8">
        <f t="shared" si="358"/>
        <v>-20036</v>
      </c>
    </row>
    <row r="746" spans="1:63">
      <c r="A746" s="5">
        <f t="shared" si="385"/>
        <v>44089</v>
      </c>
      <c r="B746" s="8">
        <v>523398</v>
      </c>
      <c r="C746" s="8">
        <f t="shared" si="359"/>
        <v>12460</v>
      </c>
      <c r="D746" s="8">
        <v>108102</v>
      </c>
      <c r="E746" s="8">
        <f t="shared" si="360"/>
        <v>12093</v>
      </c>
      <c r="F746" s="8">
        <v>13538</v>
      </c>
      <c r="G746" s="8">
        <f t="shared" si="361"/>
        <v>2828</v>
      </c>
      <c r="H746" s="8">
        <v>94564</v>
      </c>
      <c r="I746" s="8">
        <f t="shared" si="362"/>
        <v>9265</v>
      </c>
      <c r="J746" s="8">
        <v>232404</v>
      </c>
      <c r="K746" s="8">
        <f t="shared" si="363"/>
        <v>-6171</v>
      </c>
      <c r="L746" s="8">
        <v>364832</v>
      </c>
      <c r="M746" s="8">
        <f t="shared" si="364"/>
        <v>6039</v>
      </c>
      <c r="N746" s="8">
        <v>-132428</v>
      </c>
      <c r="O746" s="8">
        <f t="shared" si="365"/>
        <v>-12210</v>
      </c>
      <c r="P746" s="8">
        <v>118359</v>
      </c>
      <c r="Q746" s="8">
        <f t="shared" si="366"/>
        <v>-7728</v>
      </c>
      <c r="R746" s="8">
        <v>342804</v>
      </c>
      <c r="S746" s="8">
        <f t="shared" si="367"/>
        <v>4860</v>
      </c>
      <c r="T746" s="8">
        <v>-224445</v>
      </c>
      <c r="U746" s="8">
        <f t="shared" si="368"/>
        <v>-12588</v>
      </c>
      <c r="W746" s="8">
        <v>510033</v>
      </c>
      <c r="X746" s="8">
        <f t="shared" si="369"/>
        <v>8160</v>
      </c>
      <c r="Y746" s="8">
        <v>65113</v>
      </c>
      <c r="Z746" s="8">
        <f t="shared" si="370"/>
        <v>6113</v>
      </c>
      <c r="AA746" s="8">
        <v>21416</v>
      </c>
      <c r="AB746" s="8">
        <f t="shared" si="356"/>
        <v>-5465</v>
      </c>
      <c r="AC746" s="8">
        <v>43697</v>
      </c>
      <c r="AD746" s="8">
        <f t="shared" si="357"/>
        <v>11578</v>
      </c>
      <c r="AE746" s="8">
        <v>245052</v>
      </c>
      <c r="AF746" s="8">
        <f t="shared" si="371"/>
        <v>4398</v>
      </c>
      <c r="AG746" s="8">
        <v>333636</v>
      </c>
      <c r="AH746" s="8">
        <f t="shared" si="372"/>
        <v>15697</v>
      </c>
      <c r="AI746" s="8">
        <v>-88584</v>
      </c>
      <c r="AJ746" s="8">
        <f t="shared" si="373"/>
        <v>-11299</v>
      </c>
      <c r="AK746" s="8">
        <v>138689</v>
      </c>
      <c r="AL746" s="8">
        <f t="shared" si="374"/>
        <v>1445</v>
      </c>
      <c r="AM746" s="8">
        <v>303845</v>
      </c>
      <c r="AN746" s="8">
        <f t="shared" si="375"/>
        <v>11977</v>
      </c>
      <c r="AO746" s="8">
        <v>-165156</v>
      </c>
      <c r="AP746" s="8">
        <f t="shared" si="376"/>
        <v>-10532</v>
      </c>
      <c r="AR746" s="8">
        <v>1837646</v>
      </c>
      <c r="AS746" s="8">
        <f t="shared" si="377"/>
        <v>86531</v>
      </c>
      <c r="AT746" s="8">
        <v>199134</v>
      </c>
      <c r="AU746" s="8">
        <f t="shared" si="378"/>
        <v>9727</v>
      </c>
      <c r="AV746" s="8">
        <v>140578</v>
      </c>
      <c r="AW746" s="8">
        <f t="shared" si="379"/>
        <v>-15335</v>
      </c>
      <c r="AX746" s="8">
        <v>58556</v>
      </c>
      <c r="AY746" s="8">
        <f t="shared" ref="AY746:AY809" si="386">AX746-AX745</f>
        <v>25062</v>
      </c>
      <c r="AZ746" s="8">
        <v>813715</v>
      </c>
      <c r="BA746" s="8">
        <f t="shared" si="380"/>
        <v>26294</v>
      </c>
      <c r="BB746" s="8">
        <v>904330</v>
      </c>
      <c r="BC746" s="8">
        <f t="shared" si="381"/>
        <v>53726</v>
      </c>
      <c r="BD746" s="8">
        <v>-90615</v>
      </c>
      <c r="BE746" s="8">
        <f t="shared" si="382"/>
        <v>-27432</v>
      </c>
      <c r="BF746" s="8">
        <v>512801</v>
      </c>
      <c r="BG746" s="8">
        <f t="shared" si="383"/>
        <v>19453</v>
      </c>
      <c r="BH746" s="8">
        <v>776638</v>
      </c>
      <c r="BI746" s="8">
        <f t="shared" si="384"/>
        <v>42405</v>
      </c>
      <c r="BJ746" s="8">
        <v>-263837</v>
      </c>
      <c r="BK746" s="8">
        <f t="shared" si="358"/>
        <v>-22952</v>
      </c>
    </row>
    <row r="747" spans="1:63">
      <c r="A747" s="5">
        <f t="shared" si="385"/>
        <v>44096</v>
      </c>
      <c r="B747" s="8">
        <v>528194</v>
      </c>
      <c r="C747" s="8">
        <f t="shared" si="359"/>
        <v>4796</v>
      </c>
      <c r="D747" s="8">
        <v>113818</v>
      </c>
      <c r="E747" s="8">
        <f t="shared" si="360"/>
        <v>5716</v>
      </c>
      <c r="F747" s="8">
        <v>12116</v>
      </c>
      <c r="G747" s="8">
        <f t="shared" si="361"/>
        <v>-1422</v>
      </c>
      <c r="H747" s="8">
        <v>101702</v>
      </c>
      <c r="I747" s="8">
        <f t="shared" si="362"/>
        <v>7138</v>
      </c>
      <c r="J747" s="8">
        <v>223920</v>
      </c>
      <c r="K747" s="8">
        <f t="shared" si="363"/>
        <v>-8484</v>
      </c>
      <c r="L747" s="8">
        <v>366598</v>
      </c>
      <c r="M747" s="8">
        <f t="shared" si="364"/>
        <v>1766</v>
      </c>
      <c r="N747" s="8">
        <v>-142678</v>
      </c>
      <c r="O747" s="8">
        <f t="shared" si="365"/>
        <v>-10250</v>
      </c>
      <c r="P747" s="8">
        <v>110538</v>
      </c>
      <c r="Q747" s="8">
        <f t="shared" si="366"/>
        <v>-7821</v>
      </c>
      <c r="R747" s="8">
        <v>342922</v>
      </c>
      <c r="S747" s="8">
        <f t="shared" si="367"/>
        <v>118</v>
      </c>
      <c r="T747" s="8">
        <v>-232384</v>
      </c>
      <c r="U747" s="8">
        <f t="shared" si="368"/>
        <v>-7939</v>
      </c>
      <c r="W747" s="8">
        <v>539843</v>
      </c>
      <c r="X747" s="8">
        <f t="shared" si="369"/>
        <v>29810</v>
      </c>
      <c r="Y747" s="8">
        <v>79330</v>
      </c>
      <c r="Z747" s="8">
        <f t="shared" si="370"/>
        <v>14217</v>
      </c>
      <c r="AA747" s="8">
        <v>14082</v>
      </c>
      <c r="AB747" s="8">
        <f t="shared" ref="AB747:AB810" si="387">AA747-AA746</f>
        <v>-7334</v>
      </c>
      <c r="AC747" s="8">
        <v>65248</v>
      </c>
      <c r="AD747" s="8">
        <f t="shared" ref="AD747:AD810" si="388">AC747-AC746</f>
        <v>21551</v>
      </c>
      <c r="AE747" s="8">
        <v>244495</v>
      </c>
      <c r="AF747" s="8">
        <f t="shared" si="371"/>
        <v>-557</v>
      </c>
      <c r="AG747" s="8">
        <v>358408</v>
      </c>
      <c r="AH747" s="8">
        <f t="shared" si="372"/>
        <v>24772</v>
      </c>
      <c r="AI747" s="8">
        <v>-113913</v>
      </c>
      <c r="AJ747" s="8">
        <f t="shared" si="373"/>
        <v>-25329</v>
      </c>
      <c r="AK747" s="8">
        <v>136263</v>
      </c>
      <c r="AL747" s="8">
        <f t="shared" si="374"/>
        <v>-2426</v>
      </c>
      <c r="AM747" s="8">
        <v>327357</v>
      </c>
      <c r="AN747" s="8">
        <f t="shared" si="375"/>
        <v>23512</v>
      </c>
      <c r="AO747" s="8">
        <v>-191094</v>
      </c>
      <c r="AP747" s="8">
        <f t="shared" si="376"/>
        <v>-25938</v>
      </c>
      <c r="AR747" s="8">
        <v>1912306</v>
      </c>
      <c r="AS747" s="8">
        <f t="shared" si="377"/>
        <v>74660</v>
      </c>
      <c r="AT747" s="8">
        <v>215261</v>
      </c>
      <c r="AU747" s="8">
        <f t="shared" si="378"/>
        <v>16127</v>
      </c>
      <c r="AV747" s="8">
        <v>119349</v>
      </c>
      <c r="AW747" s="8">
        <f t="shared" si="379"/>
        <v>-21229</v>
      </c>
      <c r="AX747" s="8">
        <v>95912</v>
      </c>
      <c r="AY747" s="8">
        <f t="shared" si="386"/>
        <v>37356</v>
      </c>
      <c r="AZ747" s="8">
        <v>837806</v>
      </c>
      <c r="BA747" s="8">
        <f t="shared" si="380"/>
        <v>24091</v>
      </c>
      <c r="BB747" s="8">
        <v>957900</v>
      </c>
      <c r="BC747" s="8">
        <f t="shared" si="381"/>
        <v>53570</v>
      </c>
      <c r="BD747" s="8">
        <v>-120094</v>
      </c>
      <c r="BE747" s="8">
        <f t="shared" si="382"/>
        <v>-29479</v>
      </c>
      <c r="BF747" s="8">
        <v>528299</v>
      </c>
      <c r="BG747" s="8">
        <f t="shared" si="383"/>
        <v>15498</v>
      </c>
      <c r="BH747" s="8">
        <v>827607</v>
      </c>
      <c r="BI747" s="8">
        <f t="shared" si="384"/>
        <v>50969</v>
      </c>
      <c r="BJ747" s="8">
        <v>-299308</v>
      </c>
      <c r="BK747" s="8">
        <f t="shared" si="358"/>
        <v>-35471</v>
      </c>
    </row>
    <row r="748" spans="1:63">
      <c r="A748" s="5">
        <f t="shared" si="385"/>
        <v>44103</v>
      </c>
      <c r="B748" s="8">
        <v>517491</v>
      </c>
      <c r="C748" s="8">
        <f t="shared" si="359"/>
        <v>-10703</v>
      </c>
      <c r="D748" s="8">
        <v>106555</v>
      </c>
      <c r="E748" s="8">
        <f t="shared" si="360"/>
        <v>-7263</v>
      </c>
      <c r="F748" s="8">
        <v>12457</v>
      </c>
      <c r="G748" s="8">
        <f t="shared" si="361"/>
        <v>341</v>
      </c>
      <c r="H748" s="8">
        <v>94098</v>
      </c>
      <c r="I748" s="8">
        <f t="shared" si="362"/>
        <v>-7604</v>
      </c>
      <c r="J748" s="8">
        <v>223862</v>
      </c>
      <c r="K748" s="8">
        <f t="shared" si="363"/>
        <v>-58</v>
      </c>
      <c r="L748" s="8">
        <v>354952</v>
      </c>
      <c r="M748" s="8">
        <f t="shared" si="364"/>
        <v>-11646</v>
      </c>
      <c r="N748" s="8">
        <v>-131090</v>
      </c>
      <c r="O748" s="8">
        <f t="shared" si="365"/>
        <v>11588</v>
      </c>
      <c r="P748" s="8">
        <v>108715</v>
      </c>
      <c r="Q748" s="8">
        <f t="shared" si="366"/>
        <v>-1823</v>
      </c>
      <c r="R748" s="8">
        <v>329586</v>
      </c>
      <c r="S748" s="8">
        <f t="shared" si="367"/>
        <v>-13336</v>
      </c>
      <c r="T748" s="8">
        <v>-220871</v>
      </c>
      <c r="U748" s="8">
        <f t="shared" si="368"/>
        <v>11513</v>
      </c>
      <c r="W748" s="8">
        <v>499034</v>
      </c>
      <c r="X748" s="8">
        <f t="shared" si="369"/>
        <v>-40809</v>
      </c>
      <c r="Y748" s="8">
        <v>85344</v>
      </c>
      <c r="Z748" s="8">
        <f t="shared" si="370"/>
        <v>6014</v>
      </c>
      <c r="AA748" s="8">
        <v>12345</v>
      </c>
      <c r="AB748" s="8">
        <f t="shared" si="387"/>
        <v>-1737</v>
      </c>
      <c r="AC748" s="8">
        <v>72999</v>
      </c>
      <c r="AD748" s="8">
        <f t="shared" si="388"/>
        <v>7751</v>
      </c>
      <c r="AE748" s="8">
        <v>222063</v>
      </c>
      <c r="AF748" s="8">
        <f t="shared" si="371"/>
        <v>-22432</v>
      </c>
      <c r="AG748" s="8">
        <v>338868</v>
      </c>
      <c r="AH748" s="8">
        <f t="shared" si="372"/>
        <v>-19540</v>
      </c>
      <c r="AI748" s="8">
        <v>-116805</v>
      </c>
      <c r="AJ748" s="8">
        <f t="shared" si="373"/>
        <v>-2892</v>
      </c>
      <c r="AK748" s="8">
        <v>113609</v>
      </c>
      <c r="AL748" s="8">
        <f t="shared" si="374"/>
        <v>-22654</v>
      </c>
      <c r="AM748" s="8">
        <v>308838</v>
      </c>
      <c r="AN748" s="8">
        <f t="shared" si="375"/>
        <v>-18519</v>
      </c>
      <c r="AO748" s="8">
        <v>-195229</v>
      </c>
      <c r="AP748" s="8">
        <f t="shared" si="376"/>
        <v>-4135</v>
      </c>
      <c r="AR748" s="8">
        <v>1879842</v>
      </c>
      <c r="AS748" s="8">
        <f t="shared" si="377"/>
        <v>-32464</v>
      </c>
      <c r="AT748" s="8">
        <v>216683</v>
      </c>
      <c r="AU748" s="8">
        <f t="shared" si="378"/>
        <v>1422</v>
      </c>
      <c r="AV748" s="8">
        <v>109863</v>
      </c>
      <c r="AW748" s="8">
        <f t="shared" si="379"/>
        <v>-9486</v>
      </c>
      <c r="AX748" s="8">
        <v>106820</v>
      </c>
      <c r="AY748" s="8">
        <f t="shared" si="386"/>
        <v>10908</v>
      </c>
      <c r="AZ748" s="8">
        <v>838726</v>
      </c>
      <c r="BA748" s="8">
        <f t="shared" si="380"/>
        <v>920</v>
      </c>
      <c r="BB748" s="8">
        <v>968588</v>
      </c>
      <c r="BC748" s="8">
        <f t="shared" si="381"/>
        <v>10688</v>
      </c>
      <c r="BD748" s="8">
        <v>-129862</v>
      </c>
      <c r="BE748" s="8">
        <f t="shared" si="382"/>
        <v>-9768</v>
      </c>
      <c r="BF748" s="8">
        <v>537662</v>
      </c>
      <c r="BG748" s="8">
        <f t="shared" si="383"/>
        <v>9363</v>
      </c>
      <c r="BH748" s="8">
        <v>844905</v>
      </c>
      <c r="BI748" s="8">
        <f t="shared" si="384"/>
        <v>17298</v>
      </c>
      <c r="BJ748" s="8">
        <v>-307243</v>
      </c>
      <c r="BK748" s="8">
        <f t="shared" si="358"/>
        <v>-7935</v>
      </c>
    </row>
    <row r="749" spans="1:63">
      <c r="A749" s="5">
        <f t="shared" si="385"/>
        <v>44110</v>
      </c>
      <c r="B749" s="8">
        <v>525540</v>
      </c>
      <c r="C749" s="8">
        <f t="shared" si="359"/>
        <v>8049</v>
      </c>
      <c r="D749" s="8">
        <v>96165</v>
      </c>
      <c r="E749" s="8">
        <f t="shared" si="360"/>
        <v>-10390</v>
      </c>
      <c r="F749" s="8">
        <v>15171</v>
      </c>
      <c r="G749" s="8">
        <f t="shared" si="361"/>
        <v>2714</v>
      </c>
      <c r="H749" s="8">
        <v>80994</v>
      </c>
      <c r="I749" s="8">
        <f t="shared" si="362"/>
        <v>-13104</v>
      </c>
      <c r="J749" s="8">
        <v>237496</v>
      </c>
      <c r="K749" s="8">
        <f t="shared" si="363"/>
        <v>13634</v>
      </c>
      <c r="L749" s="8">
        <v>352305</v>
      </c>
      <c r="M749" s="8">
        <f t="shared" si="364"/>
        <v>-2647</v>
      </c>
      <c r="N749" s="8">
        <v>-114809</v>
      </c>
      <c r="O749" s="8">
        <f t="shared" si="365"/>
        <v>16281</v>
      </c>
      <c r="P749" s="8">
        <v>120678</v>
      </c>
      <c r="Q749" s="8">
        <f t="shared" si="366"/>
        <v>11963</v>
      </c>
      <c r="R749" s="8">
        <v>327941</v>
      </c>
      <c r="S749" s="8">
        <f t="shared" si="367"/>
        <v>-1645</v>
      </c>
      <c r="T749" s="8">
        <v>-207263</v>
      </c>
      <c r="U749" s="8">
        <f t="shared" si="368"/>
        <v>13608</v>
      </c>
      <c r="W749" s="8">
        <v>526287</v>
      </c>
      <c r="X749" s="8">
        <f t="shared" si="369"/>
        <v>27253</v>
      </c>
      <c r="Y749" s="8">
        <v>89118</v>
      </c>
      <c r="Z749" s="8">
        <f t="shared" si="370"/>
        <v>3774</v>
      </c>
      <c r="AA749" s="8">
        <v>12051</v>
      </c>
      <c r="AB749" s="8">
        <f t="shared" si="387"/>
        <v>-294</v>
      </c>
      <c r="AC749" s="8">
        <v>77067</v>
      </c>
      <c r="AD749" s="8">
        <f t="shared" si="388"/>
        <v>4068</v>
      </c>
      <c r="AE749" s="8">
        <v>228336</v>
      </c>
      <c r="AF749" s="8">
        <f t="shared" si="371"/>
        <v>6273</v>
      </c>
      <c r="AG749" s="8">
        <v>359592</v>
      </c>
      <c r="AH749" s="8">
        <f t="shared" si="372"/>
        <v>20724</v>
      </c>
      <c r="AI749" s="8">
        <v>-131256</v>
      </c>
      <c r="AJ749" s="8">
        <f t="shared" si="373"/>
        <v>-14451</v>
      </c>
      <c r="AK749" s="8">
        <v>114321</v>
      </c>
      <c r="AL749" s="8">
        <f t="shared" si="374"/>
        <v>712</v>
      </c>
      <c r="AM749" s="8">
        <v>327810</v>
      </c>
      <c r="AN749" s="8">
        <f t="shared" si="375"/>
        <v>18972</v>
      </c>
      <c r="AO749" s="8">
        <v>-213489</v>
      </c>
      <c r="AP749" s="8">
        <f t="shared" si="376"/>
        <v>-18260</v>
      </c>
      <c r="AR749" s="8">
        <v>1974057</v>
      </c>
      <c r="AS749" s="8">
        <f t="shared" si="377"/>
        <v>94215</v>
      </c>
      <c r="AT749" s="8">
        <v>226790</v>
      </c>
      <c r="AU749" s="8">
        <f t="shared" si="378"/>
        <v>10107</v>
      </c>
      <c r="AV749" s="8">
        <v>92324</v>
      </c>
      <c r="AW749" s="8">
        <f t="shared" si="379"/>
        <v>-17539</v>
      </c>
      <c r="AX749" s="8">
        <v>134466</v>
      </c>
      <c r="AY749" s="8">
        <f t="shared" si="386"/>
        <v>27646</v>
      </c>
      <c r="AZ749" s="8">
        <v>850569</v>
      </c>
      <c r="BA749" s="8">
        <f t="shared" si="380"/>
        <v>11843</v>
      </c>
      <c r="BB749" s="8">
        <v>1038851</v>
      </c>
      <c r="BC749" s="8">
        <f t="shared" si="381"/>
        <v>70263</v>
      </c>
      <c r="BD749" s="8">
        <v>-188282</v>
      </c>
      <c r="BE749" s="8">
        <f t="shared" si="382"/>
        <v>-58420</v>
      </c>
      <c r="BF749" s="8">
        <v>542403</v>
      </c>
      <c r="BG749" s="8">
        <f t="shared" si="383"/>
        <v>4741</v>
      </c>
      <c r="BH749" s="8">
        <v>906494</v>
      </c>
      <c r="BI749" s="8">
        <f t="shared" si="384"/>
        <v>61589</v>
      </c>
      <c r="BJ749" s="8">
        <v>-364091</v>
      </c>
      <c r="BK749" s="8">
        <f t="shared" si="358"/>
        <v>-56848</v>
      </c>
    </row>
    <row r="750" spans="1:63">
      <c r="A750" s="5">
        <f t="shared" si="385"/>
        <v>44117</v>
      </c>
      <c r="B750" s="8">
        <v>529660</v>
      </c>
      <c r="C750" s="8">
        <f t="shared" si="359"/>
        <v>4120</v>
      </c>
      <c r="D750" s="8">
        <v>93067</v>
      </c>
      <c r="E750" s="8">
        <f t="shared" si="360"/>
        <v>-3098</v>
      </c>
      <c r="F750" s="8">
        <v>10879</v>
      </c>
      <c r="G750" s="8">
        <f t="shared" si="361"/>
        <v>-4292</v>
      </c>
      <c r="H750" s="8">
        <v>82188</v>
      </c>
      <c r="I750" s="8">
        <f t="shared" si="362"/>
        <v>1194</v>
      </c>
      <c r="J750" s="8">
        <v>238086</v>
      </c>
      <c r="K750" s="8">
        <f t="shared" si="363"/>
        <v>590</v>
      </c>
      <c r="L750" s="8">
        <v>357339</v>
      </c>
      <c r="M750" s="8">
        <f t="shared" si="364"/>
        <v>5034</v>
      </c>
      <c r="N750" s="8">
        <v>-119253</v>
      </c>
      <c r="O750" s="8">
        <f t="shared" si="365"/>
        <v>-4444</v>
      </c>
      <c r="P750" s="8">
        <v>117445</v>
      </c>
      <c r="Q750" s="8">
        <f t="shared" si="366"/>
        <v>-3233</v>
      </c>
      <c r="R750" s="8">
        <v>330714</v>
      </c>
      <c r="S750" s="8">
        <f t="shared" si="367"/>
        <v>2773</v>
      </c>
      <c r="T750" s="8">
        <v>-213269</v>
      </c>
      <c r="U750" s="8">
        <f t="shared" si="368"/>
        <v>-6006</v>
      </c>
      <c r="W750" s="8">
        <v>518135</v>
      </c>
      <c r="X750" s="8">
        <f t="shared" si="369"/>
        <v>-8152</v>
      </c>
      <c r="Y750" s="8">
        <v>89828</v>
      </c>
      <c r="Z750" s="8">
        <f t="shared" si="370"/>
        <v>710</v>
      </c>
      <c r="AA750" s="8">
        <v>12760</v>
      </c>
      <c r="AB750" s="8">
        <f t="shared" si="387"/>
        <v>709</v>
      </c>
      <c r="AC750" s="8">
        <v>77068</v>
      </c>
      <c r="AD750" s="8">
        <f t="shared" si="388"/>
        <v>1</v>
      </c>
      <c r="AE750" s="8">
        <v>233271</v>
      </c>
      <c r="AF750" s="8">
        <f t="shared" si="371"/>
        <v>4935</v>
      </c>
      <c r="AG750" s="8">
        <v>355982</v>
      </c>
      <c r="AH750" s="8">
        <f t="shared" si="372"/>
        <v>-3610</v>
      </c>
      <c r="AI750" s="8">
        <v>-122711</v>
      </c>
      <c r="AJ750" s="8">
        <f t="shared" si="373"/>
        <v>8545</v>
      </c>
      <c r="AK750" s="8">
        <v>122565</v>
      </c>
      <c r="AL750" s="8">
        <f t="shared" si="374"/>
        <v>8244</v>
      </c>
      <c r="AM750" s="8">
        <v>329189</v>
      </c>
      <c r="AN750" s="8">
        <f t="shared" si="375"/>
        <v>1379</v>
      </c>
      <c r="AO750" s="8">
        <v>-206624</v>
      </c>
      <c r="AP750" s="8">
        <f t="shared" si="376"/>
        <v>6865</v>
      </c>
      <c r="AR750" s="8">
        <v>2004401</v>
      </c>
      <c r="AS750" s="8">
        <f t="shared" si="377"/>
        <v>30344</v>
      </c>
      <c r="AT750" s="8">
        <v>246179</v>
      </c>
      <c r="AU750" s="8">
        <f t="shared" si="378"/>
        <v>19389</v>
      </c>
      <c r="AV750" s="8">
        <v>75310</v>
      </c>
      <c r="AW750" s="8">
        <f t="shared" si="379"/>
        <v>-17014</v>
      </c>
      <c r="AX750" s="8">
        <v>170869</v>
      </c>
      <c r="AY750" s="8">
        <f t="shared" si="386"/>
        <v>36403</v>
      </c>
      <c r="AZ750" s="8">
        <v>860641</v>
      </c>
      <c r="BA750" s="8">
        <f t="shared" si="380"/>
        <v>10072</v>
      </c>
      <c r="BB750" s="8">
        <v>1082921</v>
      </c>
      <c r="BC750" s="8">
        <f t="shared" si="381"/>
        <v>44070</v>
      </c>
      <c r="BD750" s="8">
        <v>-222280</v>
      </c>
      <c r="BE750" s="8">
        <f t="shared" si="382"/>
        <v>-33998</v>
      </c>
      <c r="BF750" s="8">
        <v>558717</v>
      </c>
      <c r="BG750" s="8">
        <f t="shared" si="383"/>
        <v>16314</v>
      </c>
      <c r="BH750" s="8">
        <v>947685</v>
      </c>
      <c r="BI750" s="8">
        <f t="shared" si="384"/>
        <v>41191</v>
      </c>
      <c r="BJ750" s="8">
        <v>-388968</v>
      </c>
      <c r="BK750" s="8">
        <f t="shared" si="358"/>
        <v>-24877</v>
      </c>
    </row>
    <row r="751" spans="1:63">
      <c r="A751" s="5">
        <f t="shared" si="385"/>
        <v>44124</v>
      </c>
      <c r="B751" s="8">
        <v>526968</v>
      </c>
      <c r="C751" s="8">
        <f t="shared" si="359"/>
        <v>-2692</v>
      </c>
      <c r="D751" s="8">
        <v>93967</v>
      </c>
      <c r="E751" s="8">
        <f t="shared" si="360"/>
        <v>900</v>
      </c>
      <c r="F751" s="8">
        <v>11933</v>
      </c>
      <c r="G751" s="8">
        <f t="shared" si="361"/>
        <v>1054</v>
      </c>
      <c r="H751" s="8">
        <v>82034</v>
      </c>
      <c r="I751" s="8">
        <f t="shared" si="362"/>
        <v>-154</v>
      </c>
      <c r="J751" s="8">
        <v>240651</v>
      </c>
      <c r="K751" s="8">
        <f t="shared" si="363"/>
        <v>2565</v>
      </c>
      <c r="L751" s="8">
        <v>357729</v>
      </c>
      <c r="M751" s="8">
        <f t="shared" si="364"/>
        <v>390</v>
      </c>
      <c r="N751" s="8">
        <v>-117078</v>
      </c>
      <c r="O751" s="8">
        <f t="shared" si="365"/>
        <v>2175</v>
      </c>
      <c r="P751" s="8">
        <v>118012</v>
      </c>
      <c r="Q751" s="8">
        <f t="shared" si="366"/>
        <v>567</v>
      </c>
      <c r="R751" s="8">
        <v>332380</v>
      </c>
      <c r="S751" s="8">
        <f t="shared" si="367"/>
        <v>1666</v>
      </c>
      <c r="T751" s="8">
        <v>-214368</v>
      </c>
      <c r="U751" s="8">
        <f t="shared" si="368"/>
        <v>-1099</v>
      </c>
      <c r="W751" s="8">
        <v>522739</v>
      </c>
      <c r="X751" s="8">
        <f t="shared" si="369"/>
        <v>4604</v>
      </c>
      <c r="Y751" s="8">
        <v>95606</v>
      </c>
      <c r="Z751" s="8">
        <f t="shared" si="370"/>
        <v>5778</v>
      </c>
      <c r="AA751" s="8">
        <v>13982</v>
      </c>
      <c r="AB751" s="8">
        <f t="shared" si="387"/>
        <v>1222</v>
      </c>
      <c r="AC751" s="8">
        <v>81624</v>
      </c>
      <c r="AD751" s="8">
        <f t="shared" si="388"/>
        <v>4556</v>
      </c>
      <c r="AE751" s="8">
        <v>235356</v>
      </c>
      <c r="AF751" s="8">
        <f t="shared" si="371"/>
        <v>2085</v>
      </c>
      <c r="AG751" s="8">
        <v>365475</v>
      </c>
      <c r="AH751" s="8">
        <f t="shared" si="372"/>
        <v>9493</v>
      </c>
      <c r="AI751" s="8">
        <v>-130119</v>
      </c>
      <c r="AJ751" s="8">
        <f t="shared" si="373"/>
        <v>-7408</v>
      </c>
      <c r="AK751" s="8">
        <v>121198</v>
      </c>
      <c r="AL751" s="8">
        <f t="shared" si="374"/>
        <v>-1367</v>
      </c>
      <c r="AM751" s="8">
        <v>337931</v>
      </c>
      <c r="AN751" s="8">
        <f t="shared" si="375"/>
        <v>8742</v>
      </c>
      <c r="AO751" s="8">
        <v>-216733</v>
      </c>
      <c r="AP751" s="8">
        <f t="shared" si="376"/>
        <v>-10109</v>
      </c>
      <c r="AR751" s="8">
        <v>2150651</v>
      </c>
      <c r="AS751" s="8">
        <f t="shared" si="377"/>
        <v>146250</v>
      </c>
      <c r="AT751" s="8">
        <v>278859</v>
      </c>
      <c r="AU751" s="8">
        <f t="shared" si="378"/>
        <v>32680</v>
      </c>
      <c r="AV751" s="8">
        <v>60034</v>
      </c>
      <c r="AW751" s="8">
        <f t="shared" si="379"/>
        <v>-15276</v>
      </c>
      <c r="AX751" s="8">
        <v>218825</v>
      </c>
      <c r="AY751" s="8">
        <f t="shared" si="386"/>
        <v>47956</v>
      </c>
      <c r="AZ751" s="8">
        <v>909331</v>
      </c>
      <c r="BA751" s="8">
        <f t="shared" si="380"/>
        <v>48690</v>
      </c>
      <c r="BB751" s="8">
        <v>1204858</v>
      </c>
      <c r="BC751" s="8">
        <f t="shared" si="381"/>
        <v>121937</v>
      </c>
      <c r="BD751" s="8">
        <v>-295527</v>
      </c>
      <c r="BE751" s="8">
        <f t="shared" si="382"/>
        <v>-73247</v>
      </c>
      <c r="BF751" s="8">
        <v>596911</v>
      </c>
      <c r="BG751" s="8">
        <f t="shared" si="383"/>
        <v>38194</v>
      </c>
      <c r="BH751" s="8">
        <v>1066070</v>
      </c>
      <c r="BI751" s="8">
        <f t="shared" si="384"/>
        <v>118385</v>
      </c>
      <c r="BJ751" s="8">
        <v>-469159</v>
      </c>
      <c r="BK751" s="8">
        <f t="shared" si="358"/>
        <v>-80191</v>
      </c>
    </row>
    <row r="752" spans="1:63">
      <c r="A752" s="5">
        <f t="shared" si="385"/>
        <v>44131</v>
      </c>
      <c r="B752" s="8">
        <v>532679</v>
      </c>
      <c r="C752" s="8">
        <f t="shared" si="359"/>
        <v>5711</v>
      </c>
      <c r="D752" s="8">
        <v>103634</v>
      </c>
      <c r="E752" s="8">
        <f t="shared" si="360"/>
        <v>9667</v>
      </c>
      <c r="F752" s="8">
        <v>9208</v>
      </c>
      <c r="G752" s="8">
        <f t="shared" si="361"/>
        <v>-2725</v>
      </c>
      <c r="H752" s="8">
        <v>94426</v>
      </c>
      <c r="I752" s="8">
        <f t="shared" si="362"/>
        <v>12392</v>
      </c>
      <c r="J752" s="8">
        <v>232877</v>
      </c>
      <c r="K752" s="8">
        <f t="shared" si="363"/>
        <v>-7774</v>
      </c>
      <c r="L752" s="8">
        <v>368328</v>
      </c>
      <c r="M752" s="8">
        <f t="shared" si="364"/>
        <v>10599</v>
      </c>
      <c r="N752" s="8">
        <v>-135451</v>
      </c>
      <c r="O752" s="8">
        <f t="shared" si="365"/>
        <v>-18373</v>
      </c>
      <c r="P752" s="8">
        <v>110016</v>
      </c>
      <c r="Q752" s="8">
        <f t="shared" si="366"/>
        <v>-7996</v>
      </c>
      <c r="R752" s="8">
        <v>344407</v>
      </c>
      <c r="S752" s="8">
        <f t="shared" si="367"/>
        <v>12027</v>
      </c>
      <c r="T752" s="8">
        <v>-234391</v>
      </c>
      <c r="U752" s="8">
        <f t="shared" si="368"/>
        <v>-20023</v>
      </c>
      <c r="W752" s="8">
        <v>532715</v>
      </c>
      <c r="X752" s="8">
        <f t="shared" si="369"/>
        <v>9976</v>
      </c>
      <c r="Y752" s="8">
        <v>98359</v>
      </c>
      <c r="Z752" s="8">
        <f t="shared" si="370"/>
        <v>2753</v>
      </c>
      <c r="AA752" s="8">
        <v>14080</v>
      </c>
      <c r="AB752" s="8">
        <f t="shared" si="387"/>
        <v>98</v>
      </c>
      <c r="AC752" s="8">
        <v>84279</v>
      </c>
      <c r="AD752" s="8">
        <f t="shared" si="388"/>
        <v>2655</v>
      </c>
      <c r="AE752" s="8">
        <v>237515</v>
      </c>
      <c r="AF752" s="8">
        <f t="shared" si="371"/>
        <v>2159</v>
      </c>
      <c r="AG752" s="8">
        <v>374991</v>
      </c>
      <c r="AH752" s="8">
        <f t="shared" si="372"/>
        <v>9516</v>
      </c>
      <c r="AI752" s="8">
        <v>-137476</v>
      </c>
      <c r="AJ752" s="8">
        <f t="shared" si="373"/>
        <v>-7357</v>
      </c>
      <c r="AK752" s="8">
        <v>123514</v>
      </c>
      <c r="AL752" s="8">
        <f t="shared" si="374"/>
        <v>2316</v>
      </c>
      <c r="AM752" s="8">
        <v>348219</v>
      </c>
      <c r="AN752" s="8">
        <f t="shared" si="375"/>
        <v>10288</v>
      </c>
      <c r="AO752" s="8">
        <v>-224705</v>
      </c>
      <c r="AP752" s="8">
        <f t="shared" si="376"/>
        <v>-7972</v>
      </c>
      <c r="AR752" s="8">
        <v>2157487</v>
      </c>
      <c r="AS752" s="8">
        <f t="shared" si="377"/>
        <v>6836</v>
      </c>
      <c r="AT752" s="8">
        <v>319864</v>
      </c>
      <c r="AU752" s="8">
        <f t="shared" si="378"/>
        <v>41005</v>
      </c>
      <c r="AV752" s="8">
        <v>43629</v>
      </c>
      <c r="AW752" s="8">
        <f t="shared" si="379"/>
        <v>-16405</v>
      </c>
      <c r="AX752" s="8">
        <v>276235</v>
      </c>
      <c r="AY752" s="8">
        <f t="shared" si="386"/>
        <v>57410</v>
      </c>
      <c r="AZ752" s="8">
        <v>892016</v>
      </c>
      <c r="BA752" s="8">
        <f t="shared" si="380"/>
        <v>-17315</v>
      </c>
      <c r="BB752" s="8">
        <v>1261569</v>
      </c>
      <c r="BC752" s="8">
        <f t="shared" si="381"/>
        <v>56711</v>
      </c>
      <c r="BD752" s="8">
        <v>-369553</v>
      </c>
      <c r="BE752" s="8">
        <f t="shared" si="382"/>
        <v>-74026</v>
      </c>
      <c r="BF752" s="8">
        <v>567171</v>
      </c>
      <c r="BG752" s="8">
        <f t="shared" si="383"/>
        <v>-29740</v>
      </c>
      <c r="BH752" s="8">
        <v>1122034</v>
      </c>
      <c r="BI752" s="8">
        <f t="shared" si="384"/>
        <v>55964</v>
      </c>
      <c r="BJ752" s="8">
        <v>-554863</v>
      </c>
      <c r="BK752" s="8">
        <f t="shared" si="358"/>
        <v>-85704</v>
      </c>
    </row>
    <row r="753" spans="1:63">
      <c r="A753" s="5">
        <f t="shared" si="385"/>
        <v>44138</v>
      </c>
      <c r="B753" s="8">
        <v>535163</v>
      </c>
      <c r="C753" s="8">
        <f t="shared" si="359"/>
        <v>2484</v>
      </c>
      <c r="D753" s="8">
        <v>98210</v>
      </c>
      <c r="E753" s="8">
        <f t="shared" si="360"/>
        <v>-5424</v>
      </c>
      <c r="F753" s="8">
        <v>9159</v>
      </c>
      <c r="G753" s="8">
        <f t="shared" si="361"/>
        <v>-49</v>
      </c>
      <c r="H753" s="8">
        <v>89051</v>
      </c>
      <c r="I753" s="8">
        <f t="shared" si="362"/>
        <v>-5375</v>
      </c>
      <c r="J753" s="8">
        <v>234368</v>
      </c>
      <c r="K753" s="8">
        <f t="shared" si="363"/>
        <v>1491</v>
      </c>
      <c r="L753" s="8">
        <v>367786</v>
      </c>
      <c r="M753" s="8">
        <f t="shared" si="364"/>
        <v>-542</v>
      </c>
      <c r="N753" s="8">
        <v>-133418</v>
      </c>
      <c r="O753" s="8">
        <f t="shared" si="365"/>
        <v>2033</v>
      </c>
      <c r="P753" s="8">
        <v>110916</v>
      </c>
      <c r="Q753" s="8">
        <f t="shared" si="366"/>
        <v>900</v>
      </c>
      <c r="R753" s="8">
        <v>343558</v>
      </c>
      <c r="S753" s="8">
        <f t="shared" si="367"/>
        <v>-849</v>
      </c>
      <c r="T753" s="8">
        <v>-232642</v>
      </c>
      <c r="U753" s="8">
        <f t="shared" si="368"/>
        <v>1749</v>
      </c>
      <c r="W753" s="8">
        <v>531000</v>
      </c>
      <c r="X753" s="8">
        <f t="shared" si="369"/>
        <v>-1715</v>
      </c>
      <c r="Y753" s="8">
        <v>96446</v>
      </c>
      <c r="Z753" s="8">
        <f t="shared" si="370"/>
        <v>-1913</v>
      </c>
      <c r="AA753" s="8">
        <v>11316</v>
      </c>
      <c r="AB753" s="8">
        <f t="shared" si="387"/>
        <v>-2764</v>
      </c>
      <c r="AC753" s="8">
        <v>85130</v>
      </c>
      <c r="AD753" s="8">
        <f t="shared" si="388"/>
        <v>851</v>
      </c>
      <c r="AE753" s="8">
        <v>239806</v>
      </c>
      <c r="AF753" s="8">
        <f t="shared" si="371"/>
        <v>2291</v>
      </c>
      <c r="AG753" s="8">
        <v>371167</v>
      </c>
      <c r="AH753" s="8">
        <f t="shared" si="372"/>
        <v>-3824</v>
      </c>
      <c r="AI753" s="8">
        <v>-131361</v>
      </c>
      <c r="AJ753" s="8">
        <f t="shared" si="373"/>
        <v>6115</v>
      </c>
      <c r="AK753" s="8">
        <v>125784</v>
      </c>
      <c r="AL753" s="8">
        <f t="shared" si="374"/>
        <v>2270</v>
      </c>
      <c r="AM753" s="8">
        <v>340800</v>
      </c>
      <c r="AN753" s="8">
        <f t="shared" si="375"/>
        <v>-7419</v>
      </c>
      <c r="AO753" s="8">
        <v>-215016</v>
      </c>
      <c r="AP753" s="8">
        <f t="shared" si="376"/>
        <v>9689</v>
      </c>
      <c r="AR753" s="8">
        <v>2188941</v>
      </c>
      <c r="AS753" s="8">
        <f t="shared" si="377"/>
        <v>31454</v>
      </c>
      <c r="AT753" s="8">
        <v>325054</v>
      </c>
      <c r="AU753" s="8">
        <f t="shared" si="378"/>
        <v>5190</v>
      </c>
      <c r="AV753" s="8">
        <v>34974</v>
      </c>
      <c r="AW753" s="8">
        <f t="shared" si="379"/>
        <v>-8655</v>
      </c>
      <c r="AX753" s="8">
        <v>290080</v>
      </c>
      <c r="AY753" s="8">
        <f t="shared" si="386"/>
        <v>13845</v>
      </c>
      <c r="AZ753" s="8">
        <v>926718</v>
      </c>
      <c r="BA753" s="8">
        <f t="shared" si="380"/>
        <v>34702</v>
      </c>
      <c r="BB753" s="8">
        <v>1289941</v>
      </c>
      <c r="BC753" s="8">
        <f t="shared" si="381"/>
        <v>28372</v>
      </c>
      <c r="BD753" s="8">
        <v>-363223</v>
      </c>
      <c r="BE753" s="8">
        <f t="shared" si="382"/>
        <v>6330</v>
      </c>
      <c r="BF753" s="8">
        <v>588047</v>
      </c>
      <c r="BG753" s="8">
        <f t="shared" si="383"/>
        <v>20876</v>
      </c>
      <c r="BH753" s="8">
        <v>1155982</v>
      </c>
      <c r="BI753" s="8">
        <f t="shared" si="384"/>
        <v>33948</v>
      </c>
      <c r="BJ753" s="8">
        <v>-567935</v>
      </c>
      <c r="BK753" s="8">
        <f t="shared" si="358"/>
        <v>-13072</v>
      </c>
    </row>
    <row r="754" spans="1:63">
      <c r="A754" s="5">
        <f t="shared" si="385"/>
        <v>44145</v>
      </c>
      <c r="B754" s="8">
        <v>553732</v>
      </c>
      <c r="C754" s="8">
        <f t="shared" si="359"/>
        <v>18569</v>
      </c>
      <c r="D754" s="8">
        <v>105687</v>
      </c>
      <c r="E754" s="8">
        <f t="shared" si="360"/>
        <v>7477</v>
      </c>
      <c r="F754" s="8">
        <v>8576</v>
      </c>
      <c r="G754" s="8">
        <f t="shared" si="361"/>
        <v>-583</v>
      </c>
      <c r="H754" s="8">
        <v>97111</v>
      </c>
      <c r="I754" s="8">
        <f t="shared" si="362"/>
        <v>8060</v>
      </c>
      <c r="J754" s="8">
        <v>237136</v>
      </c>
      <c r="K754" s="8">
        <f t="shared" si="363"/>
        <v>2768</v>
      </c>
      <c r="L754" s="8">
        <v>374456</v>
      </c>
      <c r="M754" s="8">
        <f t="shared" si="364"/>
        <v>6670</v>
      </c>
      <c r="N754" s="8">
        <v>-137320</v>
      </c>
      <c r="O754" s="8">
        <f t="shared" si="365"/>
        <v>-3902</v>
      </c>
      <c r="P754" s="8">
        <v>111840</v>
      </c>
      <c r="Q754" s="8">
        <f t="shared" si="366"/>
        <v>924</v>
      </c>
      <c r="R754" s="8">
        <v>346579</v>
      </c>
      <c r="S754" s="8">
        <f t="shared" si="367"/>
        <v>3021</v>
      </c>
      <c r="T754" s="8">
        <v>-234739</v>
      </c>
      <c r="U754" s="8">
        <f t="shared" si="368"/>
        <v>-2097</v>
      </c>
      <c r="W754" s="8">
        <v>547724</v>
      </c>
      <c r="X754" s="8">
        <f t="shared" si="369"/>
        <v>16724</v>
      </c>
      <c r="Y754" s="8">
        <v>95788</v>
      </c>
      <c r="Z754" s="8">
        <f t="shared" si="370"/>
        <v>-658</v>
      </c>
      <c r="AA754" s="8">
        <v>11990</v>
      </c>
      <c r="AB754" s="8">
        <f t="shared" si="387"/>
        <v>674</v>
      </c>
      <c r="AC754" s="8">
        <v>83798</v>
      </c>
      <c r="AD754" s="8">
        <f t="shared" si="388"/>
        <v>-1332</v>
      </c>
      <c r="AE754" s="8">
        <v>243767</v>
      </c>
      <c r="AF754" s="8">
        <f t="shared" si="371"/>
        <v>3961</v>
      </c>
      <c r="AG754" s="8">
        <v>379571</v>
      </c>
      <c r="AH754" s="8">
        <f t="shared" si="372"/>
        <v>8404</v>
      </c>
      <c r="AI754" s="8">
        <v>-135804</v>
      </c>
      <c r="AJ754" s="8">
        <f t="shared" si="373"/>
        <v>-4443</v>
      </c>
      <c r="AK754" s="8">
        <v>133580</v>
      </c>
      <c r="AL754" s="8">
        <f t="shared" si="374"/>
        <v>7796</v>
      </c>
      <c r="AM754" s="8">
        <v>347382</v>
      </c>
      <c r="AN754" s="8">
        <f t="shared" si="375"/>
        <v>6582</v>
      </c>
      <c r="AO754" s="8">
        <v>-213802</v>
      </c>
      <c r="AP754" s="8">
        <f t="shared" si="376"/>
        <v>1214</v>
      </c>
      <c r="AR754" s="8">
        <v>2325019</v>
      </c>
      <c r="AS754" s="8">
        <f t="shared" si="377"/>
        <v>136078</v>
      </c>
      <c r="AT754" s="8">
        <v>331943</v>
      </c>
      <c r="AU754" s="8">
        <f t="shared" si="378"/>
        <v>6889</v>
      </c>
      <c r="AV754" s="8">
        <v>51108</v>
      </c>
      <c r="AW754" s="8">
        <f t="shared" si="379"/>
        <v>16134</v>
      </c>
      <c r="AX754" s="8">
        <v>280835</v>
      </c>
      <c r="AY754" s="8">
        <f t="shared" si="386"/>
        <v>-9245</v>
      </c>
      <c r="AZ754" s="8">
        <v>998813</v>
      </c>
      <c r="BA754" s="8">
        <f t="shared" si="380"/>
        <v>72095</v>
      </c>
      <c r="BB754" s="8">
        <v>1376354</v>
      </c>
      <c r="BC754" s="8">
        <f t="shared" si="381"/>
        <v>86413</v>
      </c>
      <c r="BD754" s="8">
        <v>-377541</v>
      </c>
      <c r="BE754" s="8">
        <f t="shared" si="382"/>
        <v>-14318</v>
      </c>
      <c r="BF754" s="8">
        <v>643968</v>
      </c>
      <c r="BG754" s="8">
        <f t="shared" si="383"/>
        <v>55921</v>
      </c>
      <c r="BH754" s="8">
        <v>1238147</v>
      </c>
      <c r="BI754" s="8">
        <f t="shared" si="384"/>
        <v>82165</v>
      </c>
      <c r="BJ754" s="8">
        <v>-594179</v>
      </c>
      <c r="BK754" s="8">
        <f t="shared" si="358"/>
        <v>-26244</v>
      </c>
    </row>
    <row r="755" spans="1:63">
      <c r="A755" s="5">
        <f t="shared" si="385"/>
        <v>44152</v>
      </c>
      <c r="B755" s="8">
        <v>576395</v>
      </c>
      <c r="C755" s="8">
        <f t="shared" si="359"/>
        <v>22663</v>
      </c>
      <c r="D755" s="8">
        <v>112277</v>
      </c>
      <c r="E755" s="8">
        <f t="shared" si="360"/>
        <v>6590</v>
      </c>
      <c r="F755" s="8">
        <v>8499</v>
      </c>
      <c r="G755" s="8">
        <f t="shared" si="361"/>
        <v>-77</v>
      </c>
      <c r="H755" s="8">
        <v>103778</v>
      </c>
      <c r="I755" s="8">
        <f t="shared" si="362"/>
        <v>6667</v>
      </c>
      <c r="J755" s="8">
        <v>238076</v>
      </c>
      <c r="K755" s="8">
        <f t="shared" si="363"/>
        <v>940</v>
      </c>
      <c r="L755" s="8">
        <v>385371</v>
      </c>
      <c r="M755" s="8">
        <f t="shared" si="364"/>
        <v>10915</v>
      </c>
      <c r="N755" s="8">
        <v>-147295</v>
      </c>
      <c r="O755" s="8">
        <f t="shared" si="365"/>
        <v>-9975</v>
      </c>
      <c r="P755" s="8">
        <v>117594</v>
      </c>
      <c r="Q755" s="8">
        <f t="shared" si="366"/>
        <v>5754</v>
      </c>
      <c r="R755" s="8">
        <v>360017</v>
      </c>
      <c r="S755" s="8">
        <f t="shared" si="367"/>
        <v>13438</v>
      </c>
      <c r="T755" s="8">
        <v>-242423</v>
      </c>
      <c r="U755" s="8">
        <f t="shared" si="368"/>
        <v>-7684</v>
      </c>
      <c r="W755" s="8">
        <v>557002</v>
      </c>
      <c r="X755" s="8">
        <f t="shared" si="369"/>
        <v>9278</v>
      </c>
      <c r="Y755" s="8">
        <v>87765</v>
      </c>
      <c r="Z755" s="8">
        <f t="shared" si="370"/>
        <v>-8023</v>
      </c>
      <c r="AA755" s="8">
        <v>9279</v>
      </c>
      <c r="AB755" s="8">
        <f t="shared" si="387"/>
        <v>-2711</v>
      </c>
      <c r="AC755" s="8">
        <v>78486</v>
      </c>
      <c r="AD755" s="8">
        <f t="shared" si="388"/>
        <v>-5312</v>
      </c>
      <c r="AE755" s="8">
        <v>250404</v>
      </c>
      <c r="AF755" s="8">
        <f t="shared" si="371"/>
        <v>6637</v>
      </c>
      <c r="AG755" s="8">
        <v>381910</v>
      </c>
      <c r="AH755" s="8">
        <f t="shared" si="372"/>
        <v>2339</v>
      </c>
      <c r="AI755" s="8">
        <v>-131506</v>
      </c>
      <c r="AJ755" s="8">
        <f t="shared" si="373"/>
        <v>4298</v>
      </c>
      <c r="AK755" s="8">
        <v>142421</v>
      </c>
      <c r="AL755" s="8">
        <f t="shared" si="374"/>
        <v>8841</v>
      </c>
      <c r="AM755" s="8">
        <v>348137</v>
      </c>
      <c r="AN755" s="8">
        <f t="shared" si="375"/>
        <v>755</v>
      </c>
      <c r="AO755" s="8">
        <v>-205716</v>
      </c>
      <c r="AP755" s="8">
        <f t="shared" si="376"/>
        <v>8086</v>
      </c>
      <c r="AR755" s="8">
        <v>2343213</v>
      </c>
      <c r="AS755" s="8">
        <f t="shared" si="377"/>
        <v>18194</v>
      </c>
      <c r="AT755" s="8">
        <v>332177</v>
      </c>
      <c r="AU755" s="8">
        <f t="shared" si="378"/>
        <v>234</v>
      </c>
      <c r="AV755" s="8">
        <v>53288</v>
      </c>
      <c r="AW755" s="8">
        <f t="shared" si="379"/>
        <v>2180</v>
      </c>
      <c r="AX755" s="8">
        <v>278889</v>
      </c>
      <c r="AY755" s="8">
        <f t="shared" si="386"/>
        <v>-1946</v>
      </c>
      <c r="AZ755" s="8">
        <v>1016879</v>
      </c>
      <c r="BA755" s="8">
        <f t="shared" si="380"/>
        <v>18066</v>
      </c>
      <c r="BB755" s="8">
        <v>1399598</v>
      </c>
      <c r="BC755" s="8">
        <f t="shared" si="381"/>
        <v>23244</v>
      </c>
      <c r="BD755" s="8">
        <v>-382719</v>
      </c>
      <c r="BE755" s="8">
        <f t="shared" si="382"/>
        <v>-5178</v>
      </c>
      <c r="BF755" s="8">
        <v>643265</v>
      </c>
      <c r="BG755" s="8">
        <f t="shared" si="383"/>
        <v>-703</v>
      </c>
      <c r="BH755" s="8">
        <v>1247036</v>
      </c>
      <c r="BI755" s="8">
        <f t="shared" si="384"/>
        <v>8889</v>
      </c>
      <c r="BJ755" s="8">
        <v>-603771</v>
      </c>
      <c r="BK755" s="8">
        <f t="shared" si="358"/>
        <v>-9592</v>
      </c>
    </row>
    <row r="756" spans="1:63">
      <c r="A756" s="5">
        <f t="shared" si="385"/>
        <v>44159</v>
      </c>
      <c r="B756" s="8">
        <v>536745</v>
      </c>
      <c r="C756" s="8">
        <f t="shared" si="359"/>
        <v>-39650</v>
      </c>
      <c r="D756" s="8">
        <v>112890</v>
      </c>
      <c r="E756" s="8">
        <f t="shared" si="360"/>
        <v>613</v>
      </c>
      <c r="F756" s="8">
        <v>7549</v>
      </c>
      <c r="G756" s="8">
        <f t="shared" si="361"/>
        <v>-950</v>
      </c>
      <c r="H756" s="8">
        <v>105341</v>
      </c>
      <c r="I756" s="8">
        <f t="shared" si="362"/>
        <v>1563</v>
      </c>
      <c r="J756" s="8">
        <v>220181</v>
      </c>
      <c r="K756" s="8">
        <f t="shared" si="363"/>
        <v>-17895</v>
      </c>
      <c r="L756" s="8">
        <v>368648</v>
      </c>
      <c r="M756" s="8">
        <f t="shared" si="364"/>
        <v>-16723</v>
      </c>
      <c r="N756" s="8">
        <v>-148467</v>
      </c>
      <c r="O756" s="8">
        <f t="shared" si="365"/>
        <v>-1172</v>
      </c>
      <c r="P756" s="8">
        <v>109375</v>
      </c>
      <c r="Q756" s="8">
        <f t="shared" si="366"/>
        <v>-8219</v>
      </c>
      <c r="R756" s="8">
        <v>349889</v>
      </c>
      <c r="S756" s="8">
        <f t="shared" si="367"/>
        <v>-10128</v>
      </c>
      <c r="T756" s="8">
        <v>-240514</v>
      </c>
      <c r="U756" s="8">
        <f t="shared" si="368"/>
        <v>1909</v>
      </c>
      <c r="W756" s="8">
        <v>485195</v>
      </c>
      <c r="X756" s="8">
        <f t="shared" si="369"/>
        <v>-71807</v>
      </c>
      <c r="Y756" s="8">
        <v>85226</v>
      </c>
      <c r="Z756" s="8">
        <f t="shared" si="370"/>
        <v>-2539</v>
      </c>
      <c r="AA756" s="8">
        <v>14091</v>
      </c>
      <c r="AB756" s="8">
        <f t="shared" si="387"/>
        <v>4812</v>
      </c>
      <c r="AC756" s="8">
        <v>71135</v>
      </c>
      <c r="AD756" s="8">
        <f t="shared" si="388"/>
        <v>-7351</v>
      </c>
      <c r="AE756" s="8">
        <v>220755</v>
      </c>
      <c r="AF756" s="8">
        <f t="shared" si="371"/>
        <v>-29649</v>
      </c>
      <c r="AG756" s="8">
        <v>343014</v>
      </c>
      <c r="AH756" s="8">
        <f t="shared" si="372"/>
        <v>-38896</v>
      </c>
      <c r="AI756" s="8">
        <v>-122259</v>
      </c>
      <c r="AJ756" s="8">
        <f t="shared" si="373"/>
        <v>9247</v>
      </c>
      <c r="AK756" s="8">
        <v>125640</v>
      </c>
      <c r="AL756" s="8">
        <f t="shared" si="374"/>
        <v>-16781</v>
      </c>
      <c r="AM756" s="8">
        <v>319901</v>
      </c>
      <c r="AN756" s="8">
        <f t="shared" si="375"/>
        <v>-28236</v>
      </c>
      <c r="AO756" s="8">
        <v>-194261</v>
      </c>
      <c r="AP756" s="8">
        <f t="shared" si="376"/>
        <v>11455</v>
      </c>
      <c r="AR756" s="8">
        <v>2136443</v>
      </c>
      <c r="AS756" s="8">
        <f t="shared" si="377"/>
        <v>-206770</v>
      </c>
      <c r="AT756" s="8">
        <v>344084</v>
      </c>
      <c r="AU756" s="8">
        <f t="shared" si="378"/>
        <v>11907</v>
      </c>
      <c r="AV756" s="8">
        <v>56485</v>
      </c>
      <c r="AW756" s="8">
        <f t="shared" si="379"/>
        <v>3197</v>
      </c>
      <c r="AX756" s="8">
        <v>287599</v>
      </c>
      <c r="AY756" s="8">
        <f t="shared" si="386"/>
        <v>8710</v>
      </c>
      <c r="AZ756" s="8">
        <v>892516</v>
      </c>
      <c r="BA756" s="8">
        <f t="shared" si="380"/>
        <v>-124363</v>
      </c>
      <c r="BB756" s="8">
        <v>1300221</v>
      </c>
      <c r="BC756" s="8">
        <f t="shared" si="381"/>
        <v>-99377</v>
      </c>
      <c r="BD756" s="8">
        <v>-407705</v>
      </c>
      <c r="BE756" s="8">
        <f t="shared" si="382"/>
        <v>-24986</v>
      </c>
      <c r="BF756" s="8">
        <v>537080</v>
      </c>
      <c r="BG756" s="8">
        <f t="shared" si="383"/>
        <v>-106185</v>
      </c>
      <c r="BH756" s="8">
        <v>1184090</v>
      </c>
      <c r="BI756" s="8">
        <f t="shared" si="384"/>
        <v>-62946</v>
      </c>
      <c r="BJ756" s="8">
        <v>-647010</v>
      </c>
      <c r="BK756" s="8">
        <f t="shared" si="358"/>
        <v>-43239</v>
      </c>
    </row>
    <row r="757" spans="1:63">
      <c r="A757" s="5">
        <f t="shared" si="385"/>
        <v>44166</v>
      </c>
      <c r="B757" s="8">
        <v>545609</v>
      </c>
      <c r="C757" s="8">
        <f t="shared" si="359"/>
        <v>8864</v>
      </c>
      <c r="D757" s="8">
        <v>111305</v>
      </c>
      <c r="E757" s="8">
        <f t="shared" si="360"/>
        <v>-1585</v>
      </c>
      <c r="F757" s="8">
        <v>6590</v>
      </c>
      <c r="G757" s="8">
        <f t="shared" si="361"/>
        <v>-959</v>
      </c>
      <c r="H757" s="8">
        <v>104715</v>
      </c>
      <c r="I757" s="8">
        <f t="shared" si="362"/>
        <v>-626</v>
      </c>
      <c r="J757" s="8">
        <v>224933</v>
      </c>
      <c r="K757" s="8">
        <f t="shared" si="363"/>
        <v>4752</v>
      </c>
      <c r="L757" s="8">
        <v>367560</v>
      </c>
      <c r="M757" s="8">
        <f t="shared" si="364"/>
        <v>-1088</v>
      </c>
      <c r="N757" s="8">
        <v>-142627</v>
      </c>
      <c r="O757" s="8">
        <f t="shared" si="365"/>
        <v>5840</v>
      </c>
      <c r="P757" s="8">
        <v>115155</v>
      </c>
      <c r="Q757" s="8">
        <f t="shared" si="366"/>
        <v>5780</v>
      </c>
      <c r="R757" s="8">
        <v>347560</v>
      </c>
      <c r="S757" s="8">
        <f t="shared" si="367"/>
        <v>-2329</v>
      </c>
      <c r="T757" s="8">
        <v>-232405</v>
      </c>
      <c r="U757" s="8">
        <f t="shared" si="368"/>
        <v>8109</v>
      </c>
      <c r="W757" s="8">
        <v>475823</v>
      </c>
      <c r="X757" s="8">
        <f t="shared" si="369"/>
        <v>-9372</v>
      </c>
      <c r="Y757" s="8">
        <v>84822</v>
      </c>
      <c r="Z757" s="8">
        <f t="shared" si="370"/>
        <v>-404</v>
      </c>
      <c r="AA757" s="8">
        <v>14436</v>
      </c>
      <c r="AB757" s="8">
        <f t="shared" si="387"/>
        <v>345</v>
      </c>
      <c r="AC757" s="8">
        <v>70386</v>
      </c>
      <c r="AD757" s="8">
        <f t="shared" si="388"/>
        <v>-749</v>
      </c>
      <c r="AE757" s="8">
        <v>211589</v>
      </c>
      <c r="AF757" s="8">
        <f t="shared" si="371"/>
        <v>-9166</v>
      </c>
      <c r="AG757" s="8">
        <v>329655</v>
      </c>
      <c r="AH757" s="8">
        <f t="shared" si="372"/>
        <v>-13359</v>
      </c>
      <c r="AI757" s="8">
        <v>-118066</v>
      </c>
      <c r="AJ757" s="8">
        <f t="shared" si="373"/>
        <v>4193</v>
      </c>
      <c r="AK757" s="8">
        <v>117933</v>
      </c>
      <c r="AL757" s="8">
        <f t="shared" si="374"/>
        <v>-7707</v>
      </c>
      <c r="AM757" s="8">
        <v>307119</v>
      </c>
      <c r="AN757" s="8">
        <f t="shared" si="375"/>
        <v>-12782</v>
      </c>
      <c r="AO757" s="8">
        <v>-189186</v>
      </c>
      <c r="AP757" s="8">
        <f t="shared" si="376"/>
        <v>5075</v>
      </c>
      <c r="AR757" s="8">
        <v>2078871</v>
      </c>
      <c r="AS757" s="8">
        <f t="shared" si="377"/>
        <v>-57572</v>
      </c>
      <c r="AT757" s="8">
        <v>334643</v>
      </c>
      <c r="AU757" s="8">
        <f t="shared" si="378"/>
        <v>-9441</v>
      </c>
      <c r="AV757" s="8">
        <v>64010</v>
      </c>
      <c r="AW757" s="8">
        <f t="shared" si="379"/>
        <v>7525</v>
      </c>
      <c r="AX757" s="8">
        <v>270633</v>
      </c>
      <c r="AY757" s="8">
        <f t="shared" si="386"/>
        <v>-16966</v>
      </c>
      <c r="AZ757" s="8">
        <v>869870</v>
      </c>
      <c r="BA757" s="8">
        <f t="shared" si="380"/>
        <v>-22646</v>
      </c>
      <c r="BB757" s="8">
        <v>1256534</v>
      </c>
      <c r="BC757" s="8">
        <f t="shared" si="381"/>
        <v>-43687</v>
      </c>
      <c r="BD757" s="8">
        <v>-386664</v>
      </c>
      <c r="BE757" s="8">
        <f t="shared" si="382"/>
        <v>21041</v>
      </c>
      <c r="BF757" s="8">
        <v>514036</v>
      </c>
      <c r="BG757" s="8">
        <f t="shared" si="383"/>
        <v>-23044</v>
      </c>
      <c r="BH757" s="8">
        <v>1142505</v>
      </c>
      <c r="BI757" s="8">
        <f t="shared" si="384"/>
        <v>-41585</v>
      </c>
      <c r="BJ757" s="8">
        <v>-628469</v>
      </c>
      <c r="BK757" s="8">
        <f t="shared" si="358"/>
        <v>18541</v>
      </c>
    </row>
    <row r="758" spans="1:63">
      <c r="A758" s="5">
        <f t="shared" si="385"/>
        <v>44173</v>
      </c>
      <c r="B758" s="8">
        <v>559365</v>
      </c>
      <c r="C758" s="8">
        <f t="shared" si="359"/>
        <v>13756</v>
      </c>
      <c r="D758" s="8">
        <v>102654</v>
      </c>
      <c r="E758" s="8">
        <f t="shared" si="360"/>
        <v>-8651</v>
      </c>
      <c r="F758" s="8">
        <v>13591</v>
      </c>
      <c r="G758" s="8">
        <f t="shared" si="361"/>
        <v>7001</v>
      </c>
      <c r="H758" s="8">
        <f>D758-F758</f>
        <v>89063</v>
      </c>
      <c r="I758" s="8">
        <f t="shared" si="362"/>
        <v>-15652</v>
      </c>
      <c r="J758" s="8">
        <v>360398</v>
      </c>
      <c r="K758" s="8">
        <f t="shared" si="363"/>
        <v>135465</v>
      </c>
      <c r="L758" s="8">
        <v>360398</v>
      </c>
      <c r="M758" s="8">
        <f t="shared" si="364"/>
        <v>-7162</v>
      </c>
      <c r="N758" s="8">
        <v>-131018</v>
      </c>
      <c r="O758" s="8">
        <f t="shared" si="365"/>
        <v>11609</v>
      </c>
      <c r="P758" s="8">
        <v>119220</v>
      </c>
      <c r="Q758" s="8">
        <f t="shared" si="366"/>
        <v>4065</v>
      </c>
      <c r="R758" s="8">
        <v>341509</v>
      </c>
      <c r="S758" s="8">
        <f t="shared" si="367"/>
        <v>-6051</v>
      </c>
      <c r="T758" s="8">
        <f>P758-R758</f>
        <v>-222289</v>
      </c>
      <c r="U758" s="8">
        <f t="shared" si="368"/>
        <v>10116</v>
      </c>
      <c r="W758" s="8">
        <v>479328</v>
      </c>
      <c r="X758" s="8">
        <f t="shared" si="369"/>
        <v>3505</v>
      </c>
      <c r="Y758" s="8">
        <v>82689</v>
      </c>
      <c r="Z758" s="8">
        <f t="shared" si="370"/>
        <v>-2133</v>
      </c>
      <c r="AA758" s="8">
        <v>20047</v>
      </c>
      <c r="AB758" s="8">
        <f t="shared" si="387"/>
        <v>5611</v>
      </c>
      <c r="AC758" s="8">
        <f>Y758-AA758</f>
        <v>62642</v>
      </c>
      <c r="AD758" s="8">
        <f t="shared" si="388"/>
        <v>-7744</v>
      </c>
      <c r="AE758" s="8">
        <v>217769</v>
      </c>
      <c r="AF758" s="8">
        <f t="shared" si="371"/>
        <v>6180</v>
      </c>
      <c r="AG758" s="8">
        <v>326255</v>
      </c>
      <c r="AH758" s="8">
        <f t="shared" si="372"/>
        <v>-3400</v>
      </c>
      <c r="AI758" s="8">
        <v>-108486</v>
      </c>
      <c r="AJ758" s="8">
        <f t="shared" si="373"/>
        <v>9580</v>
      </c>
      <c r="AK758" s="8">
        <v>127001</v>
      </c>
      <c r="AL758" s="8">
        <f t="shared" si="374"/>
        <v>9068</v>
      </c>
      <c r="AM758" s="8">
        <v>306186</v>
      </c>
      <c r="AN758" s="8">
        <f t="shared" si="375"/>
        <v>-933</v>
      </c>
      <c r="AO758" s="8">
        <f>AK758-AM758</f>
        <v>-179185</v>
      </c>
      <c r="AP758" s="8">
        <f t="shared" si="376"/>
        <v>10001</v>
      </c>
      <c r="AR758" s="8">
        <v>2089840</v>
      </c>
      <c r="AS758" s="8">
        <f t="shared" si="377"/>
        <v>10969</v>
      </c>
      <c r="AT758" s="8">
        <v>341250</v>
      </c>
      <c r="AU758" s="8">
        <f t="shared" si="378"/>
        <v>6607</v>
      </c>
      <c r="AV758" s="8">
        <v>71667</v>
      </c>
      <c r="AW758" s="8">
        <f t="shared" si="379"/>
        <v>7657</v>
      </c>
      <c r="AX758" s="8">
        <f>AT758-AV758</f>
        <v>269583</v>
      </c>
      <c r="AY758" s="8">
        <f t="shared" si="386"/>
        <v>-1050</v>
      </c>
      <c r="AZ758" s="8">
        <v>876542</v>
      </c>
      <c r="BA758" s="8">
        <f t="shared" si="380"/>
        <v>6672</v>
      </c>
      <c r="BB758" s="8">
        <v>1263445</v>
      </c>
      <c r="BC758" s="8">
        <f t="shared" si="381"/>
        <v>6911</v>
      </c>
      <c r="BD758" s="8">
        <v>-386903</v>
      </c>
      <c r="BE758" s="8">
        <f t="shared" si="382"/>
        <v>-239</v>
      </c>
      <c r="BF758" s="8">
        <v>521645</v>
      </c>
      <c r="BG758" s="8">
        <f t="shared" si="383"/>
        <v>7609</v>
      </c>
      <c r="BH758" s="8">
        <v>1150319</v>
      </c>
      <c r="BI758" s="8">
        <f t="shared" si="384"/>
        <v>7814</v>
      </c>
      <c r="BJ758" s="8">
        <f>BF758-BH758</f>
        <v>-628674</v>
      </c>
      <c r="BK758" s="8">
        <f t="shared" si="358"/>
        <v>-205</v>
      </c>
    </row>
    <row r="759" spans="1:63">
      <c r="A759" s="5">
        <f t="shared" si="385"/>
        <v>44180</v>
      </c>
      <c r="B759" s="8">
        <v>578648</v>
      </c>
      <c r="C759" s="8">
        <f t="shared" si="359"/>
        <v>19283</v>
      </c>
      <c r="D759" s="8">
        <v>111018</v>
      </c>
      <c r="E759" s="8">
        <f t="shared" si="360"/>
        <v>8364</v>
      </c>
      <c r="F759" s="8">
        <v>13299</v>
      </c>
      <c r="G759" s="8">
        <f t="shared" si="361"/>
        <v>-292</v>
      </c>
      <c r="H759" s="8">
        <v>97719</v>
      </c>
      <c r="I759" s="8">
        <f t="shared" si="362"/>
        <v>8656</v>
      </c>
      <c r="J759" s="8">
        <v>224614</v>
      </c>
      <c r="K759" s="8">
        <f t="shared" si="363"/>
        <v>-135784</v>
      </c>
      <c r="L759" s="8">
        <v>365788</v>
      </c>
      <c r="M759" s="8">
        <f t="shared" si="364"/>
        <v>5390</v>
      </c>
      <c r="N759" s="8">
        <v>-141174</v>
      </c>
      <c r="O759" s="8">
        <f t="shared" si="365"/>
        <v>-10156</v>
      </c>
      <c r="P759" s="8">
        <v>115226</v>
      </c>
      <c r="Q759" s="8">
        <f t="shared" si="366"/>
        <v>-3994</v>
      </c>
      <c r="R759" s="8">
        <v>345912</v>
      </c>
      <c r="S759" s="8">
        <f t="shared" si="367"/>
        <v>4403</v>
      </c>
      <c r="T759" s="8">
        <v>-230686</v>
      </c>
      <c r="U759" s="8">
        <f t="shared" si="368"/>
        <v>-8397</v>
      </c>
      <c r="W759" s="8">
        <v>492444</v>
      </c>
      <c r="X759" s="8">
        <f t="shared" si="369"/>
        <v>13116</v>
      </c>
      <c r="Y759" s="8">
        <v>83806</v>
      </c>
      <c r="Z759" s="8">
        <f t="shared" si="370"/>
        <v>1117</v>
      </c>
      <c r="AA759" s="8">
        <v>6599</v>
      </c>
      <c r="AB759" s="8">
        <f t="shared" si="387"/>
        <v>-13448</v>
      </c>
      <c r="AC759" s="8">
        <v>77207</v>
      </c>
      <c r="AD759" s="8">
        <f t="shared" si="388"/>
        <v>14565</v>
      </c>
      <c r="AE759" s="8">
        <v>218613</v>
      </c>
      <c r="AF759" s="8">
        <f t="shared" si="371"/>
        <v>844</v>
      </c>
      <c r="AG759" s="8">
        <v>340455</v>
      </c>
      <c r="AH759" s="8">
        <f t="shared" si="372"/>
        <v>14200</v>
      </c>
      <c r="AI759" s="8">
        <v>-121842</v>
      </c>
      <c r="AJ759" s="8">
        <f t="shared" si="373"/>
        <v>-13356</v>
      </c>
      <c r="AK759" s="8">
        <v>125434</v>
      </c>
      <c r="AL759" s="8">
        <f t="shared" si="374"/>
        <v>-1567</v>
      </c>
      <c r="AM759" s="8">
        <v>315972</v>
      </c>
      <c r="AN759" s="8">
        <f t="shared" si="375"/>
        <v>9786</v>
      </c>
      <c r="AO759" s="8">
        <v>-190538</v>
      </c>
      <c r="AP759" s="8">
        <f t="shared" si="376"/>
        <v>-11353</v>
      </c>
      <c r="AR759" s="8">
        <v>2117529</v>
      </c>
      <c r="AS759" s="8">
        <f t="shared" si="377"/>
        <v>27689</v>
      </c>
      <c r="AT759" s="8">
        <v>330412</v>
      </c>
      <c r="AU759" s="8">
        <f t="shared" si="378"/>
        <v>-10838</v>
      </c>
      <c r="AV759" s="8">
        <v>80152</v>
      </c>
      <c r="AW759" s="8">
        <f t="shared" si="379"/>
        <v>8485</v>
      </c>
      <c r="AX759" s="8">
        <v>250260</v>
      </c>
      <c r="AY759" s="8">
        <f t="shared" si="386"/>
        <v>-19323</v>
      </c>
      <c r="AZ759" s="8">
        <v>899635</v>
      </c>
      <c r="BA759" s="8">
        <f t="shared" si="380"/>
        <v>23093</v>
      </c>
      <c r="BB759" s="8">
        <v>1275775</v>
      </c>
      <c r="BC759" s="8">
        <f t="shared" si="381"/>
        <v>12330</v>
      </c>
      <c r="BD759" s="8">
        <v>-376140</v>
      </c>
      <c r="BE759" s="8">
        <f t="shared" si="382"/>
        <v>10763</v>
      </c>
      <c r="BF759" s="8">
        <v>533692</v>
      </c>
      <c r="BG759" s="8">
        <f t="shared" si="383"/>
        <v>12047</v>
      </c>
      <c r="BH759" s="8">
        <v>1157114</v>
      </c>
      <c r="BI759" s="8">
        <f t="shared" si="384"/>
        <v>6795</v>
      </c>
      <c r="BJ759" s="8">
        <v>-623422</v>
      </c>
      <c r="BK759" s="8">
        <f t="shared" si="358"/>
        <v>5252</v>
      </c>
    </row>
    <row r="760" spans="1:63">
      <c r="A760" s="5">
        <f t="shared" si="385"/>
        <v>44187</v>
      </c>
      <c r="B760" s="8">
        <v>588977</v>
      </c>
      <c r="C760" s="8">
        <f t="shared" si="359"/>
        <v>10329</v>
      </c>
      <c r="D760" s="8">
        <v>114093</v>
      </c>
      <c r="E760" s="8">
        <f t="shared" si="360"/>
        <v>3075</v>
      </c>
      <c r="F760" s="8">
        <v>12840</v>
      </c>
      <c r="G760" s="8">
        <f t="shared" si="361"/>
        <v>-459</v>
      </c>
      <c r="H760" s="8">
        <v>101253</v>
      </c>
      <c r="I760" s="8">
        <f t="shared" si="362"/>
        <v>3534</v>
      </c>
      <c r="J760" s="8">
        <v>229415</v>
      </c>
      <c r="K760" s="8">
        <f t="shared" si="363"/>
        <v>4801</v>
      </c>
      <c r="L760" s="8">
        <v>374223</v>
      </c>
      <c r="M760" s="8">
        <f t="shared" si="364"/>
        <v>8435</v>
      </c>
      <c r="N760" s="8">
        <v>-144808</v>
      </c>
      <c r="O760" s="8">
        <f t="shared" si="365"/>
        <v>-3634</v>
      </c>
      <c r="P760" s="8">
        <v>120215</v>
      </c>
      <c r="Q760" s="8">
        <f t="shared" si="366"/>
        <v>4989</v>
      </c>
      <c r="R760" s="8">
        <v>353480</v>
      </c>
      <c r="S760" s="8">
        <f t="shared" si="367"/>
        <v>7568</v>
      </c>
      <c r="T760" s="8">
        <v>-233265</v>
      </c>
      <c r="U760" s="8">
        <f t="shared" si="368"/>
        <v>-2579</v>
      </c>
      <c r="W760" s="8">
        <v>511728</v>
      </c>
      <c r="X760" s="8">
        <f t="shared" si="369"/>
        <v>19284</v>
      </c>
      <c r="Y760" s="8">
        <v>89909</v>
      </c>
      <c r="Z760" s="8">
        <f t="shared" si="370"/>
        <v>6103</v>
      </c>
      <c r="AA760" s="8">
        <v>6524</v>
      </c>
      <c r="AB760" s="8">
        <f t="shared" si="387"/>
        <v>-75</v>
      </c>
      <c r="AC760" s="8">
        <v>83385</v>
      </c>
      <c r="AD760" s="8">
        <f t="shared" si="388"/>
        <v>6178</v>
      </c>
      <c r="AE760" s="8">
        <v>216617</v>
      </c>
      <c r="AF760" s="8">
        <f t="shared" si="371"/>
        <v>-1996</v>
      </c>
      <c r="AG760" s="8">
        <v>352313</v>
      </c>
      <c r="AH760" s="8">
        <f t="shared" si="372"/>
        <v>11858</v>
      </c>
      <c r="AI760" s="8">
        <v>-135696</v>
      </c>
      <c r="AJ760" s="8">
        <f t="shared" si="373"/>
        <v>-13854</v>
      </c>
      <c r="AK760" s="8">
        <v>124074</v>
      </c>
      <c r="AL760" s="8">
        <f t="shared" si="374"/>
        <v>-1360</v>
      </c>
      <c r="AM760" s="8">
        <v>327124</v>
      </c>
      <c r="AN760" s="8">
        <f t="shared" si="375"/>
        <v>11152</v>
      </c>
      <c r="AO760" s="8">
        <v>-203050</v>
      </c>
      <c r="AP760" s="8">
        <f t="shared" si="376"/>
        <v>-12512</v>
      </c>
      <c r="AR760" s="8">
        <v>2191529</v>
      </c>
      <c r="AS760" s="8">
        <f t="shared" si="377"/>
        <v>74000</v>
      </c>
      <c r="AT760" s="8">
        <v>338920</v>
      </c>
      <c r="AU760" s="8">
        <f t="shared" si="378"/>
        <v>8508</v>
      </c>
      <c r="AV760" s="8">
        <v>73207</v>
      </c>
      <c r="AW760" s="8">
        <f t="shared" si="379"/>
        <v>-6945</v>
      </c>
      <c r="AX760" s="8">
        <v>265713</v>
      </c>
      <c r="AY760" s="8">
        <f t="shared" si="386"/>
        <v>15453</v>
      </c>
      <c r="AZ760" s="8">
        <v>917420</v>
      </c>
      <c r="BA760" s="8">
        <f t="shared" si="380"/>
        <v>17785</v>
      </c>
      <c r="BB760" s="8">
        <v>1315029</v>
      </c>
      <c r="BC760" s="8">
        <f t="shared" si="381"/>
        <v>39254</v>
      </c>
      <c r="BD760" s="8">
        <v>-397609</v>
      </c>
      <c r="BE760" s="8">
        <f t="shared" si="382"/>
        <v>-21469</v>
      </c>
      <c r="BF760" s="8">
        <v>545923</v>
      </c>
      <c r="BG760" s="8">
        <f t="shared" si="383"/>
        <v>12231</v>
      </c>
      <c r="BH760" s="8">
        <v>1187423</v>
      </c>
      <c r="BI760" s="8">
        <f t="shared" si="384"/>
        <v>30309</v>
      </c>
      <c r="BJ760" s="8">
        <v>-641500</v>
      </c>
      <c r="BK760" s="8">
        <f t="shared" si="358"/>
        <v>-18078</v>
      </c>
    </row>
    <row r="761" spans="1:63">
      <c r="A761" s="5">
        <f t="shared" si="385"/>
        <v>44194</v>
      </c>
      <c r="B761" s="8">
        <v>557576</v>
      </c>
      <c r="C761" s="8">
        <f t="shared" si="359"/>
        <v>-31401</v>
      </c>
      <c r="D761" s="8">
        <v>120817</v>
      </c>
      <c r="E761" s="8">
        <f t="shared" si="360"/>
        <v>6724</v>
      </c>
      <c r="F761" s="8">
        <v>7828</v>
      </c>
      <c r="G761" s="8">
        <f t="shared" si="361"/>
        <v>-5012</v>
      </c>
      <c r="H761" s="8">
        <v>112989</v>
      </c>
      <c r="I761" s="8">
        <f t="shared" si="362"/>
        <v>11736</v>
      </c>
      <c r="J761" s="8">
        <v>211086</v>
      </c>
      <c r="K761" s="8">
        <f t="shared" si="363"/>
        <v>-18329</v>
      </c>
      <c r="L761" s="8">
        <v>365240</v>
      </c>
      <c r="M761" s="8">
        <f t="shared" si="364"/>
        <v>-8983</v>
      </c>
      <c r="N761" s="8">
        <v>-154154</v>
      </c>
      <c r="O761" s="8">
        <f t="shared" si="365"/>
        <v>-9346</v>
      </c>
      <c r="P761" s="8">
        <v>104082</v>
      </c>
      <c r="Q761" s="8">
        <f t="shared" si="366"/>
        <v>-16133</v>
      </c>
      <c r="R761" s="8">
        <v>346613</v>
      </c>
      <c r="S761" s="8">
        <f t="shared" si="367"/>
        <v>-6867</v>
      </c>
      <c r="T761" s="8">
        <v>-242531</v>
      </c>
      <c r="U761" s="8">
        <f t="shared" si="368"/>
        <v>-9266</v>
      </c>
      <c r="W761" s="8">
        <v>481102</v>
      </c>
      <c r="X761" s="8">
        <f t="shared" si="369"/>
        <v>-30626</v>
      </c>
      <c r="Y761" s="8">
        <v>95748</v>
      </c>
      <c r="Z761" s="8">
        <f t="shared" si="370"/>
        <v>5839</v>
      </c>
      <c r="AA761" s="8">
        <v>6261</v>
      </c>
      <c r="AB761" s="8">
        <f t="shared" si="387"/>
        <v>-263</v>
      </c>
      <c r="AC761" s="8">
        <v>89487</v>
      </c>
      <c r="AD761" s="8">
        <f t="shared" si="388"/>
        <v>6102</v>
      </c>
      <c r="AE761" s="8">
        <v>202716</v>
      </c>
      <c r="AF761" s="8">
        <f t="shared" si="371"/>
        <v>-13901</v>
      </c>
      <c r="AG761" s="8">
        <v>341296</v>
      </c>
      <c r="AH761" s="8">
        <f t="shared" si="372"/>
        <v>-11017</v>
      </c>
      <c r="AI761" s="8">
        <v>-138580</v>
      </c>
      <c r="AJ761" s="8">
        <f t="shared" si="373"/>
        <v>-2884</v>
      </c>
      <c r="AK761" s="8">
        <v>110138</v>
      </c>
      <c r="AL761" s="8">
        <f t="shared" si="374"/>
        <v>-13936</v>
      </c>
      <c r="AM761" s="8">
        <v>318444</v>
      </c>
      <c r="AN761" s="8">
        <f t="shared" si="375"/>
        <v>-8680</v>
      </c>
      <c r="AO761" s="8">
        <v>-208306</v>
      </c>
      <c r="AP761" s="8">
        <f t="shared" si="376"/>
        <v>-5256</v>
      </c>
      <c r="AR761" s="8">
        <v>2243733</v>
      </c>
      <c r="AS761" s="8">
        <f t="shared" si="377"/>
        <v>52204</v>
      </c>
      <c r="AT761" s="8">
        <v>397762</v>
      </c>
      <c r="AU761" s="8">
        <f t="shared" si="378"/>
        <v>58842</v>
      </c>
      <c r="AV761" s="8">
        <v>65717</v>
      </c>
      <c r="AW761" s="8">
        <f t="shared" si="379"/>
        <v>-7490</v>
      </c>
      <c r="AX761" s="8">
        <v>332045</v>
      </c>
      <c r="AY761" s="8">
        <f t="shared" si="386"/>
        <v>66332</v>
      </c>
      <c r="AZ761" s="8">
        <v>899346</v>
      </c>
      <c r="BA761" s="8">
        <f t="shared" si="380"/>
        <v>-18074</v>
      </c>
      <c r="BB761" s="8">
        <v>1373988</v>
      </c>
      <c r="BC761" s="8">
        <f t="shared" si="381"/>
        <v>58959</v>
      </c>
      <c r="BD761" s="8">
        <v>-474642</v>
      </c>
      <c r="BE761" s="8">
        <f t="shared" si="382"/>
        <v>-77033</v>
      </c>
      <c r="BF761" s="8">
        <v>525343</v>
      </c>
      <c r="BG761" s="8">
        <f t="shared" si="383"/>
        <v>-20580</v>
      </c>
      <c r="BH761" s="8">
        <v>1239775</v>
      </c>
      <c r="BI761" s="8">
        <f t="shared" si="384"/>
        <v>52352</v>
      </c>
      <c r="BJ761" s="8">
        <v>-714432</v>
      </c>
      <c r="BK761" s="8">
        <f t="shared" si="358"/>
        <v>-72932</v>
      </c>
    </row>
    <row r="762" spans="1:63">
      <c r="A762" s="5">
        <f t="shared" si="385"/>
        <v>44201</v>
      </c>
      <c r="B762" s="8">
        <v>571571</v>
      </c>
      <c r="C762" s="8">
        <f t="shared" si="359"/>
        <v>13995</v>
      </c>
      <c r="D762" s="8">
        <v>121116</v>
      </c>
      <c r="E762" s="8">
        <f t="shared" si="360"/>
        <v>299</v>
      </c>
      <c r="F762" s="8">
        <v>8199</v>
      </c>
      <c r="G762" s="8">
        <f t="shared" si="361"/>
        <v>371</v>
      </c>
      <c r="H762" s="8">
        <v>112917</v>
      </c>
      <c r="I762" s="8">
        <f t="shared" si="362"/>
        <v>-72</v>
      </c>
      <c r="J762" s="8">
        <v>216519</v>
      </c>
      <c r="K762" s="8">
        <f t="shared" si="363"/>
        <v>5433</v>
      </c>
      <c r="L762" s="8">
        <v>373427</v>
      </c>
      <c r="M762" s="8">
        <f t="shared" si="364"/>
        <v>8187</v>
      </c>
      <c r="N762" s="8">
        <v>-156908</v>
      </c>
      <c r="O762" s="8">
        <f t="shared" si="365"/>
        <v>-2754</v>
      </c>
      <c r="P762" s="8">
        <v>110674</v>
      </c>
      <c r="Q762" s="8">
        <f t="shared" si="366"/>
        <v>6592</v>
      </c>
      <c r="R762" s="8">
        <v>353444</v>
      </c>
      <c r="S762" s="8">
        <f t="shared" si="367"/>
        <v>6831</v>
      </c>
      <c r="T762" s="8">
        <v>-242770</v>
      </c>
      <c r="U762" s="8">
        <f t="shared" si="368"/>
        <v>-239</v>
      </c>
      <c r="W762" s="8">
        <v>486734</v>
      </c>
      <c r="X762" s="8">
        <f t="shared" si="369"/>
        <v>5632</v>
      </c>
      <c r="Y762" s="8">
        <v>92095</v>
      </c>
      <c r="Z762" s="8">
        <f t="shared" si="370"/>
        <v>-3653</v>
      </c>
      <c r="AA762" s="8">
        <v>7501</v>
      </c>
      <c r="AB762" s="8">
        <f t="shared" si="387"/>
        <v>1240</v>
      </c>
      <c r="AC762" s="8">
        <v>84594</v>
      </c>
      <c r="AD762" s="8">
        <f t="shared" si="388"/>
        <v>-4893</v>
      </c>
      <c r="AE762" s="8">
        <v>207797</v>
      </c>
      <c r="AF762" s="8">
        <f t="shared" si="371"/>
        <v>5081</v>
      </c>
      <c r="AG762" s="8">
        <v>340247</v>
      </c>
      <c r="AH762" s="8">
        <f t="shared" si="372"/>
        <v>-1049</v>
      </c>
      <c r="AI762" s="8">
        <v>-132450</v>
      </c>
      <c r="AJ762" s="8">
        <f t="shared" si="373"/>
        <v>6130</v>
      </c>
      <c r="AK762" s="8">
        <v>115238</v>
      </c>
      <c r="AL762" s="8">
        <f t="shared" si="374"/>
        <v>5100</v>
      </c>
      <c r="AM762" s="8">
        <v>315845</v>
      </c>
      <c r="AN762" s="8">
        <f t="shared" si="375"/>
        <v>-2599</v>
      </c>
      <c r="AO762" s="8">
        <v>-200607</v>
      </c>
      <c r="AP762" s="8">
        <f t="shared" si="376"/>
        <v>7699</v>
      </c>
      <c r="AR762" s="8">
        <v>2379202</v>
      </c>
      <c r="AS762" s="8">
        <f t="shared" si="377"/>
        <v>135469</v>
      </c>
      <c r="AT762" s="8">
        <v>409156</v>
      </c>
      <c r="AU762" s="8">
        <f t="shared" si="378"/>
        <v>11394</v>
      </c>
      <c r="AV762" s="8">
        <v>59268</v>
      </c>
      <c r="AW762" s="8">
        <f t="shared" si="379"/>
        <v>-6449</v>
      </c>
      <c r="AX762" s="8">
        <v>349888</v>
      </c>
      <c r="AY762" s="8">
        <f t="shared" si="386"/>
        <v>17843</v>
      </c>
      <c r="AZ762" s="8">
        <v>933972</v>
      </c>
      <c r="BA762" s="8">
        <f t="shared" si="380"/>
        <v>34626</v>
      </c>
      <c r="BB762" s="8">
        <v>1447132</v>
      </c>
      <c r="BC762" s="8">
        <f t="shared" si="381"/>
        <v>73144</v>
      </c>
      <c r="BD762" s="8">
        <v>-513160</v>
      </c>
      <c r="BE762" s="8">
        <f t="shared" si="382"/>
        <v>-38518</v>
      </c>
      <c r="BF762" s="8">
        <v>549297</v>
      </c>
      <c r="BG762" s="8">
        <f t="shared" si="383"/>
        <v>23954</v>
      </c>
      <c r="BH762" s="8">
        <v>1310351</v>
      </c>
      <c r="BI762" s="8">
        <f t="shared" si="384"/>
        <v>70576</v>
      </c>
      <c r="BJ762" s="8">
        <v>-761054</v>
      </c>
      <c r="BK762" s="8">
        <f t="shared" si="358"/>
        <v>-46622</v>
      </c>
    </row>
    <row r="763" spans="1:63">
      <c r="A763" s="5">
        <f t="shared" si="385"/>
        <v>44208</v>
      </c>
      <c r="B763" s="8">
        <v>568408</v>
      </c>
      <c r="C763" s="8">
        <f t="shared" si="359"/>
        <v>-3163</v>
      </c>
      <c r="D763" s="8">
        <v>106876</v>
      </c>
      <c r="E763" s="8">
        <f t="shared" si="360"/>
        <v>-14240</v>
      </c>
      <c r="F763" s="8">
        <v>13340</v>
      </c>
      <c r="G763" s="8">
        <f t="shared" si="361"/>
        <v>5141</v>
      </c>
      <c r="H763" s="8">
        <v>93536</v>
      </c>
      <c r="I763" s="8">
        <f t="shared" si="362"/>
        <v>-19381</v>
      </c>
      <c r="J763" s="8">
        <v>225165</v>
      </c>
      <c r="K763" s="8">
        <f t="shared" si="363"/>
        <v>8646</v>
      </c>
      <c r="L763" s="8">
        <v>360492</v>
      </c>
      <c r="M763" s="8">
        <f t="shared" si="364"/>
        <v>-12935</v>
      </c>
      <c r="N763" s="8">
        <v>-135327</v>
      </c>
      <c r="O763" s="8">
        <f t="shared" si="365"/>
        <v>21581</v>
      </c>
      <c r="P763" s="8">
        <v>118864</v>
      </c>
      <c r="Q763" s="8">
        <f t="shared" si="366"/>
        <v>8190</v>
      </c>
      <c r="R763" s="8">
        <v>338146</v>
      </c>
      <c r="S763" s="8">
        <f t="shared" si="367"/>
        <v>-15298</v>
      </c>
      <c r="T763" s="8">
        <v>-219282</v>
      </c>
      <c r="U763" s="8">
        <f t="shared" si="368"/>
        <v>23488</v>
      </c>
      <c r="W763" s="8">
        <v>499855</v>
      </c>
      <c r="X763" s="8">
        <f t="shared" si="369"/>
        <v>13121</v>
      </c>
      <c r="Y763" s="8">
        <v>90809</v>
      </c>
      <c r="Z763" s="8">
        <f t="shared" si="370"/>
        <v>-1286</v>
      </c>
      <c r="AA763" s="8">
        <v>6401</v>
      </c>
      <c r="AB763" s="8">
        <f t="shared" si="387"/>
        <v>-1100</v>
      </c>
      <c r="AC763" s="8">
        <v>84408</v>
      </c>
      <c r="AD763" s="8">
        <f t="shared" si="388"/>
        <v>-186</v>
      </c>
      <c r="AE763" s="8">
        <v>206823</v>
      </c>
      <c r="AF763" s="8">
        <f t="shared" si="371"/>
        <v>-974</v>
      </c>
      <c r="AG763" s="8">
        <v>345561</v>
      </c>
      <c r="AH763" s="8">
        <f t="shared" si="372"/>
        <v>5314</v>
      </c>
      <c r="AI763" s="8">
        <v>-138738</v>
      </c>
      <c r="AJ763" s="8">
        <f t="shared" si="373"/>
        <v>-6288</v>
      </c>
      <c r="AK763" s="8">
        <v>116230</v>
      </c>
      <c r="AL763" s="8">
        <f t="shared" si="374"/>
        <v>992</v>
      </c>
      <c r="AM763" s="8">
        <v>319855</v>
      </c>
      <c r="AN763" s="8">
        <f t="shared" si="375"/>
        <v>4010</v>
      </c>
      <c r="AO763" s="8">
        <v>-203625</v>
      </c>
      <c r="AP763" s="8">
        <f t="shared" si="376"/>
        <v>-3018</v>
      </c>
      <c r="AR763" s="8">
        <v>2580675</v>
      </c>
      <c r="AS763" s="8">
        <f t="shared" si="377"/>
        <v>201473</v>
      </c>
      <c r="AT763" s="8">
        <v>430896</v>
      </c>
      <c r="AU763" s="8">
        <f t="shared" si="378"/>
        <v>21740</v>
      </c>
      <c r="AV763" s="8">
        <v>56182</v>
      </c>
      <c r="AW763" s="8">
        <f t="shared" si="379"/>
        <v>-3086</v>
      </c>
      <c r="AX763" s="8">
        <v>374714</v>
      </c>
      <c r="AY763" s="8">
        <f t="shared" si="386"/>
        <v>24826</v>
      </c>
      <c r="AZ763" s="8">
        <v>1005898</v>
      </c>
      <c r="BA763" s="8">
        <f t="shared" si="380"/>
        <v>71926</v>
      </c>
      <c r="BB763" s="8">
        <v>1536996</v>
      </c>
      <c r="BC763" s="8">
        <f t="shared" si="381"/>
        <v>89864</v>
      </c>
      <c r="BD763" s="8">
        <v>-531098</v>
      </c>
      <c r="BE763" s="8">
        <f t="shared" si="382"/>
        <v>-17938</v>
      </c>
      <c r="BF763" s="8">
        <v>615868</v>
      </c>
      <c r="BG763" s="8">
        <f t="shared" si="383"/>
        <v>66571</v>
      </c>
      <c r="BH763" s="8">
        <v>1390249</v>
      </c>
      <c r="BI763" s="8">
        <f t="shared" si="384"/>
        <v>79898</v>
      </c>
      <c r="BJ763" s="8">
        <v>-774381</v>
      </c>
      <c r="BK763" s="8">
        <f t="shared" si="358"/>
        <v>-13327</v>
      </c>
    </row>
    <row r="764" spans="1:63">
      <c r="A764" s="5">
        <f t="shared" si="385"/>
        <v>44215</v>
      </c>
      <c r="B764" s="8">
        <v>559232</v>
      </c>
      <c r="C764" s="8">
        <f t="shared" si="359"/>
        <v>-9176</v>
      </c>
      <c r="D764" s="8">
        <v>103285</v>
      </c>
      <c r="E764" s="8">
        <f t="shared" si="360"/>
        <v>-3591</v>
      </c>
      <c r="F764" s="8">
        <v>12586</v>
      </c>
      <c r="G764" s="8">
        <f t="shared" si="361"/>
        <v>-754</v>
      </c>
      <c r="H764" s="8">
        <v>90699</v>
      </c>
      <c r="I764" s="8">
        <f t="shared" si="362"/>
        <v>-2837</v>
      </c>
      <c r="J764" s="8">
        <v>229299</v>
      </c>
      <c r="K764" s="8">
        <f t="shared" si="363"/>
        <v>4134</v>
      </c>
      <c r="L764" s="8">
        <v>357182</v>
      </c>
      <c r="M764" s="8">
        <f t="shared" si="364"/>
        <v>-3310</v>
      </c>
      <c r="N764" s="8">
        <v>-127883</v>
      </c>
      <c r="O764" s="8">
        <f t="shared" si="365"/>
        <v>7444</v>
      </c>
      <c r="P764" s="8">
        <v>121735</v>
      </c>
      <c r="Q764" s="8">
        <f t="shared" si="366"/>
        <v>2871</v>
      </c>
      <c r="R764" s="8">
        <v>333949</v>
      </c>
      <c r="S764" s="8">
        <f t="shared" si="367"/>
        <v>-4197</v>
      </c>
      <c r="T764" s="8">
        <v>-212214</v>
      </c>
      <c r="U764" s="8">
        <f t="shared" si="368"/>
        <v>7068</v>
      </c>
      <c r="W764" s="8">
        <v>490258</v>
      </c>
      <c r="X764" s="8">
        <f t="shared" si="369"/>
        <v>-9597</v>
      </c>
      <c r="Y764" s="8">
        <v>84653</v>
      </c>
      <c r="Z764" s="8">
        <f t="shared" si="370"/>
        <v>-6156</v>
      </c>
      <c r="AA764" s="8">
        <v>7022</v>
      </c>
      <c r="AB764" s="8">
        <f t="shared" si="387"/>
        <v>621</v>
      </c>
      <c r="AC764" s="8">
        <v>77631</v>
      </c>
      <c r="AD764" s="8">
        <f t="shared" si="388"/>
        <v>-6777</v>
      </c>
      <c r="AE764" s="8">
        <v>206680</v>
      </c>
      <c r="AF764" s="8">
        <f t="shared" si="371"/>
        <v>-143</v>
      </c>
      <c r="AG764" s="8">
        <v>337588</v>
      </c>
      <c r="AH764" s="8">
        <f t="shared" si="372"/>
        <v>-7973</v>
      </c>
      <c r="AI764" s="8">
        <v>-130908</v>
      </c>
      <c r="AJ764" s="8">
        <f t="shared" si="373"/>
        <v>7830</v>
      </c>
      <c r="AK764" s="8">
        <v>114940</v>
      </c>
      <c r="AL764" s="8">
        <f t="shared" si="374"/>
        <v>-1290</v>
      </c>
      <c r="AM764" s="8">
        <v>310458</v>
      </c>
      <c r="AN764" s="8">
        <f t="shared" si="375"/>
        <v>-9397</v>
      </c>
      <c r="AO764" s="8">
        <v>-195518</v>
      </c>
      <c r="AP764" s="8">
        <f t="shared" si="376"/>
        <v>8107</v>
      </c>
      <c r="AR764" s="8">
        <v>2609505</v>
      </c>
      <c r="AS764" s="8">
        <f t="shared" si="377"/>
        <v>28830</v>
      </c>
      <c r="AT764" s="8">
        <v>387294</v>
      </c>
      <c r="AU764" s="8">
        <f t="shared" si="378"/>
        <v>-43602</v>
      </c>
      <c r="AV764" s="8">
        <v>37799</v>
      </c>
      <c r="AW764" s="8">
        <f t="shared" si="379"/>
        <v>-18383</v>
      </c>
      <c r="AX764" s="8">
        <v>349495</v>
      </c>
      <c r="AY764" s="8">
        <f t="shared" si="386"/>
        <v>-25219</v>
      </c>
      <c r="AZ764" s="8">
        <v>1053804</v>
      </c>
      <c r="BA764" s="8">
        <f t="shared" si="380"/>
        <v>47906</v>
      </c>
      <c r="BB764" s="8">
        <v>1574568</v>
      </c>
      <c r="BC764" s="8">
        <f t="shared" si="381"/>
        <v>37572</v>
      </c>
      <c r="BD764" s="8">
        <v>-520764</v>
      </c>
      <c r="BE764" s="8">
        <f t="shared" si="382"/>
        <v>10334</v>
      </c>
      <c r="BF764" s="8">
        <v>662688</v>
      </c>
      <c r="BG764" s="8">
        <f t="shared" si="383"/>
        <v>46820</v>
      </c>
      <c r="BH764" s="8">
        <v>1426646</v>
      </c>
      <c r="BI764" s="8">
        <f t="shared" si="384"/>
        <v>36397</v>
      </c>
      <c r="BJ764" s="8">
        <v>-763958</v>
      </c>
      <c r="BK764" s="8">
        <f t="shared" si="358"/>
        <v>10423</v>
      </c>
    </row>
    <row r="765" spans="1:63">
      <c r="A765" s="5">
        <f t="shared" si="385"/>
        <v>44222</v>
      </c>
      <c r="B765" s="8">
        <v>575294</v>
      </c>
      <c r="C765" s="8">
        <f t="shared" si="359"/>
        <v>16062</v>
      </c>
      <c r="D765" s="8">
        <v>118776</v>
      </c>
      <c r="E765" s="8">
        <f t="shared" si="360"/>
        <v>15491</v>
      </c>
      <c r="F765" s="8">
        <v>11442</v>
      </c>
      <c r="G765" s="8">
        <f t="shared" si="361"/>
        <v>-1144</v>
      </c>
      <c r="H765" s="8">
        <v>107334</v>
      </c>
      <c r="I765" s="8">
        <f t="shared" si="362"/>
        <v>16635</v>
      </c>
      <c r="J765" s="8">
        <v>230112</v>
      </c>
      <c r="K765" s="8">
        <f t="shared" si="363"/>
        <v>813</v>
      </c>
      <c r="L765" s="8">
        <v>374516</v>
      </c>
      <c r="M765" s="8">
        <f t="shared" si="364"/>
        <v>17334</v>
      </c>
      <c r="N765" s="8">
        <v>-144404</v>
      </c>
      <c r="O765" s="8">
        <f t="shared" si="365"/>
        <v>-16521</v>
      </c>
      <c r="P765" s="8">
        <v>119615</v>
      </c>
      <c r="Q765" s="8">
        <f t="shared" si="366"/>
        <v>-2120</v>
      </c>
      <c r="R765" s="8">
        <v>350262</v>
      </c>
      <c r="S765" s="8">
        <f t="shared" si="367"/>
        <v>16313</v>
      </c>
      <c r="T765" s="8">
        <v>-230647</v>
      </c>
      <c r="U765" s="8">
        <f t="shared" si="368"/>
        <v>-18433</v>
      </c>
      <c r="W765" s="8">
        <v>483384</v>
      </c>
      <c r="X765" s="8">
        <f t="shared" si="369"/>
        <v>-6874</v>
      </c>
      <c r="Y765" s="8">
        <v>81908</v>
      </c>
      <c r="Z765" s="8">
        <f t="shared" si="370"/>
        <v>-2745</v>
      </c>
      <c r="AA765" s="8">
        <v>7318</v>
      </c>
      <c r="AB765" s="8">
        <f t="shared" si="387"/>
        <v>296</v>
      </c>
      <c r="AC765" s="8">
        <v>74590</v>
      </c>
      <c r="AD765" s="8">
        <f t="shared" si="388"/>
        <v>-3041</v>
      </c>
      <c r="AE765" s="8">
        <v>212045</v>
      </c>
      <c r="AF765" s="8">
        <f t="shared" si="371"/>
        <v>5365</v>
      </c>
      <c r="AG765" s="8">
        <v>334453</v>
      </c>
      <c r="AH765" s="8">
        <f t="shared" si="372"/>
        <v>-3135</v>
      </c>
      <c r="AI765" s="8">
        <v>-122408</v>
      </c>
      <c r="AJ765" s="8">
        <f t="shared" si="373"/>
        <v>8500</v>
      </c>
      <c r="AK765" s="8">
        <v>116537</v>
      </c>
      <c r="AL765" s="8">
        <f t="shared" si="374"/>
        <v>1597</v>
      </c>
      <c r="AM765" s="8">
        <v>302335</v>
      </c>
      <c r="AN765" s="8">
        <f t="shared" si="375"/>
        <v>-8123</v>
      </c>
      <c r="AO765" s="8">
        <v>-185798</v>
      </c>
      <c r="AP765" s="8">
        <f t="shared" si="376"/>
        <v>9720</v>
      </c>
      <c r="AR765" s="8">
        <v>2574864</v>
      </c>
      <c r="AS765" s="8">
        <f t="shared" si="377"/>
        <v>-34641</v>
      </c>
      <c r="AT765" s="8">
        <v>397449</v>
      </c>
      <c r="AU765" s="8">
        <f t="shared" si="378"/>
        <v>10155</v>
      </c>
      <c r="AV765" s="8">
        <v>33220</v>
      </c>
      <c r="AW765" s="8">
        <f t="shared" si="379"/>
        <v>-4579</v>
      </c>
      <c r="AX765" s="8">
        <v>364229</v>
      </c>
      <c r="AY765" s="8">
        <f t="shared" si="386"/>
        <v>14734</v>
      </c>
      <c r="AZ765" s="8">
        <v>1067233</v>
      </c>
      <c r="BA765" s="8">
        <f t="shared" si="380"/>
        <v>13429</v>
      </c>
      <c r="BB765" s="8">
        <v>1571297</v>
      </c>
      <c r="BC765" s="8">
        <f t="shared" si="381"/>
        <v>-3271</v>
      </c>
      <c r="BD765" s="8">
        <v>-504064</v>
      </c>
      <c r="BE765" s="8">
        <f t="shared" si="382"/>
        <v>16700</v>
      </c>
      <c r="BF765" s="8">
        <v>675584</v>
      </c>
      <c r="BG765" s="8">
        <f t="shared" si="383"/>
        <v>12896</v>
      </c>
      <c r="BH765" s="8">
        <v>1428657</v>
      </c>
      <c r="BI765" s="8">
        <f t="shared" si="384"/>
        <v>2011</v>
      </c>
      <c r="BJ765" s="8">
        <v>-753073</v>
      </c>
      <c r="BK765" s="8">
        <f t="shared" si="358"/>
        <v>10885</v>
      </c>
    </row>
    <row r="766" spans="1:63">
      <c r="A766" s="5">
        <f t="shared" si="385"/>
        <v>44229</v>
      </c>
      <c r="B766" s="8">
        <v>581377</v>
      </c>
      <c r="C766" s="8">
        <f t="shared" si="359"/>
        <v>6083</v>
      </c>
      <c r="D766" s="8">
        <v>118945</v>
      </c>
      <c r="E766" s="8">
        <f t="shared" si="360"/>
        <v>169</v>
      </c>
      <c r="F766" s="8">
        <v>13015</v>
      </c>
      <c r="G766" s="8">
        <f t="shared" si="361"/>
        <v>1573</v>
      </c>
      <c r="H766" s="8">
        <v>105930</v>
      </c>
      <c r="I766" s="8">
        <f t="shared" si="362"/>
        <v>-1404</v>
      </c>
      <c r="J766" s="8">
        <v>235749</v>
      </c>
      <c r="K766" s="8">
        <f t="shared" si="363"/>
        <v>5637</v>
      </c>
      <c r="L766" s="8">
        <v>376703</v>
      </c>
      <c r="M766" s="8">
        <f t="shared" si="364"/>
        <v>2187</v>
      </c>
      <c r="N766" s="8">
        <v>-140954</v>
      </c>
      <c r="O766" s="8">
        <f t="shared" si="365"/>
        <v>3450</v>
      </c>
      <c r="P766" s="8">
        <v>122117</v>
      </c>
      <c r="Q766" s="8">
        <f t="shared" si="366"/>
        <v>2502</v>
      </c>
      <c r="R766" s="8">
        <v>349598</v>
      </c>
      <c r="S766" s="8">
        <f t="shared" si="367"/>
        <v>-664</v>
      </c>
      <c r="T766" s="8">
        <v>-227481</v>
      </c>
      <c r="U766" s="8">
        <f t="shared" si="368"/>
        <v>3166</v>
      </c>
      <c r="W766" s="8">
        <v>483991</v>
      </c>
      <c r="X766" s="8">
        <f t="shared" si="369"/>
        <v>607</v>
      </c>
      <c r="Y766" s="8">
        <v>75375</v>
      </c>
      <c r="Z766" s="8">
        <f t="shared" si="370"/>
        <v>-6533</v>
      </c>
      <c r="AA766" s="8">
        <v>7864</v>
      </c>
      <c r="AB766" s="8">
        <f t="shared" si="387"/>
        <v>546</v>
      </c>
      <c r="AC766" s="8">
        <v>67511</v>
      </c>
      <c r="AD766" s="8">
        <f t="shared" si="388"/>
        <v>-7079</v>
      </c>
      <c r="AE766" s="8">
        <v>213456</v>
      </c>
      <c r="AF766" s="8">
        <f t="shared" si="371"/>
        <v>1411</v>
      </c>
      <c r="AG766" s="8">
        <v>330809</v>
      </c>
      <c r="AH766" s="8">
        <f t="shared" si="372"/>
        <v>-3644</v>
      </c>
      <c r="AI766" s="8">
        <v>-117353</v>
      </c>
      <c r="AJ766" s="8">
        <f t="shared" si="373"/>
        <v>5055</v>
      </c>
      <c r="AK766" s="8">
        <v>116810</v>
      </c>
      <c r="AL766" s="8">
        <f t="shared" si="374"/>
        <v>273</v>
      </c>
      <c r="AM766" s="8">
        <v>298276</v>
      </c>
      <c r="AN766" s="8">
        <f t="shared" si="375"/>
        <v>-4059</v>
      </c>
      <c r="AO766" s="8">
        <v>-181466</v>
      </c>
      <c r="AP766" s="8">
        <f t="shared" si="376"/>
        <v>4332</v>
      </c>
      <c r="AR766" s="8">
        <v>2639800</v>
      </c>
      <c r="AS766" s="8">
        <f t="shared" si="377"/>
        <v>64936</v>
      </c>
      <c r="AT766" s="8">
        <v>374487</v>
      </c>
      <c r="AU766" s="8">
        <f t="shared" si="378"/>
        <v>-22962</v>
      </c>
      <c r="AV766" s="8">
        <v>29340</v>
      </c>
      <c r="AW766" s="8">
        <f t="shared" si="379"/>
        <v>-3880</v>
      </c>
      <c r="AX766" s="8">
        <v>345147</v>
      </c>
      <c r="AY766" s="8">
        <f t="shared" si="386"/>
        <v>-19082</v>
      </c>
      <c r="AZ766" s="8">
        <v>1106519</v>
      </c>
      <c r="BA766" s="8">
        <f t="shared" si="380"/>
        <v>39286</v>
      </c>
      <c r="BB766" s="8">
        <v>1602494</v>
      </c>
      <c r="BC766" s="8">
        <f t="shared" si="381"/>
        <v>31197</v>
      </c>
      <c r="BD766" s="8">
        <v>-495975</v>
      </c>
      <c r="BE766" s="8">
        <f t="shared" si="382"/>
        <v>8089</v>
      </c>
      <c r="BF766" s="8">
        <v>702885</v>
      </c>
      <c r="BG766" s="8">
        <f t="shared" si="383"/>
        <v>27301</v>
      </c>
      <c r="BH766" s="8">
        <v>1445360</v>
      </c>
      <c r="BI766" s="8">
        <f t="shared" si="384"/>
        <v>16703</v>
      </c>
      <c r="BJ766" s="8">
        <v>-742475</v>
      </c>
      <c r="BK766" s="8">
        <f t="shared" si="358"/>
        <v>10598</v>
      </c>
    </row>
    <row r="767" spans="1:63">
      <c r="A767" s="5">
        <f t="shared" si="385"/>
        <v>44236</v>
      </c>
      <c r="B767" s="8">
        <v>601413</v>
      </c>
      <c r="C767" s="8">
        <f t="shared" si="359"/>
        <v>20036</v>
      </c>
      <c r="D767" s="8">
        <v>121840</v>
      </c>
      <c r="E767" s="8">
        <f t="shared" si="360"/>
        <v>2895</v>
      </c>
      <c r="F767" s="8">
        <v>11448</v>
      </c>
      <c r="G767" s="8">
        <f t="shared" si="361"/>
        <v>-1567</v>
      </c>
      <c r="H767" s="8">
        <v>110392</v>
      </c>
      <c r="I767" s="8">
        <f t="shared" si="362"/>
        <v>4462</v>
      </c>
      <c r="J767" s="8">
        <v>245969</v>
      </c>
      <c r="K767" s="8">
        <f t="shared" si="363"/>
        <v>10220</v>
      </c>
      <c r="L767" s="8">
        <v>391885</v>
      </c>
      <c r="M767" s="8">
        <f t="shared" si="364"/>
        <v>15182</v>
      </c>
      <c r="N767" s="8">
        <v>-145916</v>
      </c>
      <c r="O767" s="8">
        <f t="shared" si="365"/>
        <v>-4962</v>
      </c>
      <c r="P767" s="8">
        <v>127193</v>
      </c>
      <c r="Q767" s="8">
        <f t="shared" si="366"/>
        <v>5076</v>
      </c>
      <c r="R767" s="8">
        <v>362705</v>
      </c>
      <c r="S767" s="8">
        <f t="shared" si="367"/>
        <v>13107</v>
      </c>
      <c r="T767" s="8">
        <v>-235512</v>
      </c>
      <c r="U767" s="8">
        <f t="shared" si="368"/>
        <v>-8031</v>
      </c>
      <c r="W767" s="8">
        <v>497713</v>
      </c>
      <c r="X767" s="8">
        <f t="shared" si="369"/>
        <v>13722</v>
      </c>
      <c r="Y767" s="8">
        <v>76425</v>
      </c>
      <c r="Z767" s="8">
        <f t="shared" si="370"/>
        <v>1050</v>
      </c>
      <c r="AA767" s="8">
        <v>6800</v>
      </c>
      <c r="AB767" s="8">
        <f t="shared" si="387"/>
        <v>-1064</v>
      </c>
      <c r="AC767" s="8">
        <v>69625</v>
      </c>
      <c r="AD767" s="8">
        <f t="shared" si="388"/>
        <v>2114</v>
      </c>
      <c r="AE767" s="8">
        <v>215549</v>
      </c>
      <c r="AF767" s="8">
        <f t="shared" si="371"/>
        <v>2093</v>
      </c>
      <c r="AG767" s="8">
        <v>339889</v>
      </c>
      <c r="AH767" s="8">
        <f t="shared" si="372"/>
        <v>9080</v>
      </c>
      <c r="AI767" s="8">
        <v>-124340</v>
      </c>
      <c r="AJ767" s="8">
        <f t="shared" si="373"/>
        <v>-6987</v>
      </c>
      <c r="AK767" s="8">
        <v>117281</v>
      </c>
      <c r="AL767" s="8">
        <f t="shared" si="374"/>
        <v>471</v>
      </c>
      <c r="AM767" s="8">
        <v>309323</v>
      </c>
      <c r="AN767" s="8">
        <f t="shared" si="375"/>
        <v>11047</v>
      </c>
      <c r="AO767" s="8">
        <v>-192042</v>
      </c>
      <c r="AP767" s="8">
        <f t="shared" si="376"/>
        <v>-10576</v>
      </c>
      <c r="AR767" s="8">
        <v>2693387</v>
      </c>
      <c r="AS767" s="8">
        <f t="shared" si="377"/>
        <v>53587</v>
      </c>
      <c r="AT767" s="8">
        <v>387234</v>
      </c>
      <c r="AU767" s="8">
        <f t="shared" si="378"/>
        <v>12747</v>
      </c>
      <c r="AV767" s="8">
        <v>28427</v>
      </c>
      <c r="AW767" s="8">
        <f t="shared" si="379"/>
        <v>-913</v>
      </c>
      <c r="AX767" s="8">
        <v>358807</v>
      </c>
      <c r="AY767" s="8">
        <f t="shared" si="386"/>
        <v>13660</v>
      </c>
      <c r="AZ767" s="8">
        <v>1119009</v>
      </c>
      <c r="BA767" s="8">
        <f t="shared" si="380"/>
        <v>12490</v>
      </c>
      <c r="BB767" s="8">
        <v>1623015</v>
      </c>
      <c r="BC767" s="8">
        <f t="shared" si="381"/>
        <v>20521</v>
      </c>
      <c r="BD767" s="8">
        <v>-504006</v>
      </c>
      <c r="BE767" s="8">
        <f t="shared" si="382"/>
        <v>-8031</v>
      </c>
      <c r="BF767" s="8">
        <v>703383</v>
      </c>
      <c r="BG767" s="8">
        <f t="shared" si="383"/>
        <v>498</v>
      </c>
      <c r="BH767" s="8">
        <v>1464757</v>
      </c>
      <c r="BI767" s="8">
        <f t="shared" si="384"/>
        <v>19397</v>
      </c>
      <c r="BJ767" s="8">
        <v>-761374</v>
      </c>
      <c r="BK767" s="8">
        <f t="shared" si="358"/>
        <v>-18899</v>
      </c>
    </row>
    <row r="768" spans="1:63">
      <c r="A768" s="5">
        <f t="shared" si="385"/>
        <v>44243</v>
      </c>
      <c r="B768" s="8">
        <v>626841</v>
      </c>
      <c r="C768" s="8">
        <f t="shared" si="359"/>
        <v>25428</v>
      </c>
      <c r="D768" s="8">
        <v>120231</v>
      </c>
      <c r="E768" s="8">
        <f t="shared" si="360"/>
        <v>-1609</v>
      </c>
      <c r="F768" s="8">
        <v>9835</v>
      </c>
      <c r="G768" s="8">
        <f t="shared" si="361"/>
        <v>-1613</v>
      </c>
      <c r="H768" s="8">
        <v>110396</v>
      </c>
      <c r="I768" s="8">
        <f t="shared" si="362"/>
        <v>4</v>
      </c>
      <c r="J768" s="8">
        <v>258244</v>
      </c>
      <c r="K768" s="8">
        <f t="shared" si="363"/>
        <v>12275</v>
      </c>
      <c r="L768" s="8">
        <v>406606</v>
      </c>
      <c r="M768" s="8">
        <f t="shared" si="364"/>
        <v>14721</v>
      </c>
      <c r="N768" s="8">
        <v>-148362</v>
      </c>
      <c r="O768" s="8">
        <f t="shared" si="365"/>
        <v>-2446</v>
      </c>
      <c r="P768" s="8">
        <v>136301</v>
      </c>
      <c r="Q768" s="8">
        <f t="shared" si="366"/>
        <v>9108</v>
      </c>
      <c r="R768" s="8">
        <v>376539</v>
      </c>
      <c r="S768" s="8">
        <f t="shared" si="367"/>
        <v>13834</v>
      </c>
      <c r="T768" s="8">
        <v>-240238</v>
      </c>
      <c r="U768" s="8">
        <f t="shared" si="368"/>
        <v>-4726</v>
      </c>
      <c r="W768" s="8">
        <v>497653</v>
      </c>
      <c r="X768" s="8">
        <f t="shared" si="369"/>
        <v>-60</v>
      </c>
      <c r="Y768" s="8">
        <v>76917</v>
      </c>
      <c r="Z768" s="8">
        <f t="shared" si="370"/>
        <v>492</v>
      </c>
      <c r="AA768" s="8">
        <v>7495</v>
      </c>
      <c r="AB768" s="8">
        <f t="shared" si="387"/>
        <v>695</v>
      </c>
      <c r="AC768" s="8">
        <v>69422</v>
      </c>
      <c r="AD768" s="8">
        <f t="shared" si="388"/>
        <v>-203</v>
      </c>
      <c r="AE768" s="8">
        <v>226294</v>
      </c>
      <c r="AF768" s="8">
        <f t="shared" si="371"/>
        <v>10745</v>
      </c>
      <c r="AG768" s="8">
        <v>341623</v>
      </c>
      <c r="AH768" s="8">
        <f t="shared" si="372"/>
        <v>1734</v>
      </c>
      <c r="AI768" s="8">
        <v>-115329</v>
      </c>
      <c r="AJ768" s="8">
        <f t="shared" si="373"/>
        <v>9011</v>
      </c>
      <c r="AK768" s="8">
        <v>124915</v>
      </c>
      <c r="AL768" s="8">
        <f t="shared" si="374"/>
        <v>7634</v>
      </c>
      <c r="AM768" s="8">
        <v>309828</v>
      </c>
      <c r="AN768" s="8">
        <f t="shared" si="375"/>
        <v>505</v>
      </c>
      <c r="AO768" s="8">
        <v>-184913</v>
      </c>
      <c r="AP768" s="8">
        <f t="shared" si="376"/>
        <v>7129</v>
      </c>
      <c r="AR768" s="8">
        <v>2664969</v>
      </c>
      <c r="AS768" s="8">
        <f t="shared" si="377"/>
        <v>-28418</v>
      </c>
      <c r="AT768" s="8">
        <v>395075</v>
      </c>
      <c r="AU768" s="8">
        <f t="shared" si="378"/>
        <v>7841</v>
      </c>
      <c r="AV768" s="8">
        <v>29290</v>
      </c>
      <c r="AW768" s="8">
        <f t="shared" si="379"/>
        <v>863</v>
      </c>
      <c r="AX768" s="8">
        <v>365785</v>
      </c>
      <c r="AY768" s="8">
        <f t="shared" si="386"/>
        <v>6978</v>
      </c>
      <c r="AZ768" s="8">
        <v>1103029</v>
      </c>
      <c r="BA768" s="8">
        <f t="shared" si="380"/>
        <v>-15980</v>
      </c>
      <c r="BB768" s="8">
        <v>1602694</v>
      </c>
      <c r="BC768" s="8">
        <f t="shared" si="381"/>
        <v>-20321</v>
      </c>
      <c r="BD768" s="8">
        <v>-499665</v>
      </c>
      <c r="BE768" s="8">
        <f t="shared" si="382"/>
        <v>4341</v>
      </c>
      <c r="BF768" s="8">
        <v>682992</v>
      </c>
      <c r="BG768" s="8">
        <f t="shared" si="383"/>
        <v>-20391</v>
      </c>
      <c r="BH768" s="8">
        <v>1443418</v>
      </c>
      <c r="BI768" s="8">
        <f t="shared" si="384"/>
        <v>-21339</v>
      </c>
      <c r="BJ768" s="8">
        <v>-760426</v>
      </c>
      <c r="BK768" s="8">
        <f t="shared" si="358"/>
        <v>948</v>
      </c>
    </row>
    <row r="769" spans="1:63">
      <c r="A769" s="5">
        <f t="shared" si="385"/>
        <v>44250</v>
      </c>
      <c r="B769" s="8">
        <v>551290</v>
      </c>
      <c r="C769" s="8">
        <f t="shared" si="359"/>
        <v>-75551</v>
      </c>
      <c r="D769" s="8">
        <v>121662</v>
      </c>
      <c r="E769" s="8">
        <f t="shared" si="360"/>
        <v>1431</v>
      </c>
      <c r="F769" s="8">
        <v>9017</v>
      </c>
      <c r="G769" s="8">
        <f t="shared" si="361"/>
        <v>-818</v>
      </c>
      <c r="H769" s="8">
        <v>112645</v>
      </c>
      <c r="I769" s="8">
        <f t="shared" si="362"/>
        <v>2249</v>
      </c>
      <c r="J769" s="8">
        <v>222347</v>
      </c>
      <c r="K769" s="8">
        <f t="shared" si="363"/>
        <v>-35897</v>
      </c>
      <c r="L769" s="8">
        <v>372248</v>
      </c>
      <c r="M769" s="8">
        <f t="shared" si="364"/>
        <v>-34358</v>
      </c>
      <c r="N769" s="8">
        <v>-149901</v>
      </c>
      <c r="O769" s="8">
        <f t="shared" si="365"/>
        <v>-1539</v>
      </c>
      <c r="P769" s="8">
        <v>100211</v>
      </c>
      <c r="Q769" s="8">
        <f t="shared" si="366"/>
        <v>-36090</v>
      </c>
      <c r="R769" s="8">
        <v>344882</v>
      </c>
      <c r="S769" s="8">
        <f t="shared" si="367"/>
        <v>-31657</v>
      </c>
      <c r="T769" s="8">
        <v>-244671</v>
      </c>
      <c r="U769" s="8">
        <f t="shared" si="368"/>
        <v>-4433</v>
      </c>
      <c r="W769" s="8">
        <v>464978</v>
      </c>
      <c r="X769" s="8">
        <f t="shared" si="369"/>
        <v>-32675</v>
      </c>
      <c r="Y769" s="8">
        <v>76460</v>
      </c>
      <c r="Z769" s="8">
        <f t="shared" si="370"/>
        <v>-457</v>
      </c>
      <c r="AA769" s="8">
        <v>6973</v>
      </c>
      <c r="AB769" s="8">
        <f t="shared" si="387"/>
        <v>-522</v>
      </c>
      <c r="AC769" s="8">
        <v>69487</v>
      </c>
      <c r="AD769" s="8">
        <f t="shared" si="388"/>
        <v>65</v>
      </c>
      <c r="AE769" s="8">
        <v>212191</v>
      </c>
      <c r="AF769" s="8">
        <f t="shared" si="371"/>
        <v>-14103</v>
      </c>
      <c r="AG769" s="8">
        <v>329773</v>
      </c>
      <c r="AH769" s="8">
        <f t="shared" si="372"/>
        <v>-11850</v>
      </c>
      <c r="AI769" s="8">
        <v>-117582</v>
      </c>
      <c r="AJ769" s="8">
        <f t="shared" si="373"/>
        <v>-2253</v>
      </c>
      <c r="AK769" s="8">
        <v>115797</v>
      </c>
      <c r="AL769" s="8">
        <f t="shared" si="374"/>
        <v>-9118</v>
      </c>
      <c r="AM769" s="8">
        <v>304107</v>
      </c>
      <c r="AN769" s="8">
        <f t="shared" si="375"/>
        <v>-5721</v>
      </c>
      <c r="AO769" s="8">
        <v>-188310</v>
      </c>
      <c r="AP769" s="8">
        <f t="shared" si="376"/>
        <v>-3397</v>
      </c>
      <c r="AR769" s="8">
        <v>2462699</v>
      </c>
      <c r="AS769" s="8">
        <f t="shared" si="377"/>
        <v>-202270</v>
      </c>
      <c r="AT769" s="8">
        <v>388302</v>
      </c>
      <c r="AU769" s="8">
        <f t="shared" si="378"/>
        <v>-6773</v>
      </c>
      <c r="AV769" s="8">
        <v>27151</v>
      </c>
      <c r="AW769" s="8">
        <f t="shared" si="379"/>
        <v>-2139</v>
      </c>
      <c r="AX769" s="8">
        <v>361151</v>
      </c>
      <c r="AY769" s="8">
        <f t="shared" si="386"/>
        <v>-4634</v>
      </c>
      <c r="AZ769" s="8">
        <v>1035727</v>
      </c>
      <c r="BA769" s="8">
        <f t="shared" si="380"/>
        <v>-67302</v>
      </c>
      <c r="BB769" s="8">
        <v>1524015</v>
      </c>
      <c r="BC769" s="8">
        <f t="shared" si="381"/>
        <v>-78679</v>
      </c>
      <c r="BD769" s="8">
        <v>-488288</v>
      </c>
      <c r="BE769" s="8">
        <f t="shared" si="382"/>
        <v>11377</v>
      </c>
      <c r="BF769" s="8">
        <v>640774</v>
      </c>
      <c r="BG769" s="8">
        <f t="shared" si="383"/>
        <v>-42218</v>
      </c>
      <c r="BH769" s="8">
        <v>1388993</v>
      </c>
      <c r="BI769" s="8">
        <f t="shared" si="384"/>
        <v>-54425</v>
      </c>
      <c r="BJ769" s="8">
        <v>-748219</v>
      </c>
      <c r="BK769" s="8">
        <f t="shared" si="358"/>
        <v>12207</v>
      </c>
    </row>
    <row r="770" spans="1:63">
      <c r="A770" s="5">
        <f t="shared" si="385"/>
        <v>44257</v>
      </c>
      <c r="B770" s="8">
        <v>548774</v>
      </c>
      <c r="C770" s="8">
        <f t="shared" si="359"/>
        <v>-2516</v>
      </c>
      <c r="D770" s="8">
        <v>117528</v>
      </c>
      <c r="E770" s="8">
        <f t="shared" si="360"/>
        <v>-4134</v>
      </c>
      <c r="F770" s="8">
        <v>9447</v>
      </c>
      <c r="G770" s="8">
        <f t="shared" si="361"/>
        <v>430</v>
      </c>
      <c r="H770" s="8">
        <v>108081</v>
      </c>
      <c r="I770" s="8">
        <f t="shared" si="362"/>
        <v>-4564</v>
      </c>
      <c r="J770" s="8">
        <v>223152</v>
      </c>
      <c r="K770" s="8">
        <f t="shared" si="363"/>
        <v>805</v>
      </c>
      <c r="L770" s="8">
        <v>369676</v>
      </c>
      <c r="M770" s="8">
        <f t="shared" si="364"/>
        <v>-2572</v>
      </c>
      <c r="N770" s="8">
        <v>-146524</v>
      </c>
      <c r="O770" s="8">
        <f t="shared" si="365"/>
        <v>3377</v>
      </c>
      <c r="P770" s="8">
        <v>104189</v>
      </c>
      <c r="Q770" s="8">
        <f t="shared" si="366"/>
        <v>3978</v>
      </c>
      <c r="R770" s="8">
        <v>343251</v>
      </c>
      <c r="S770" s="8">
        <f t="shared" si="367"/>
        <v>-1631</v>
      </c>
      <c r="T770" s="8">
        <v>-239062</v>
      </c>
      <c r="U770" s="8">
        <f t="shared" si="368"/>
        <v>5609</v>
      </c>
      <c r="W770" s="8">
        <v>461010</v>
      </c>
      <c r="X770" s="8">
        <f t="shared" si="369"/>
        <v>-3968</v>
      </c>
      <c r="Y770" s="8">
        <v>74428</v>
      </c>
      <c r="Z770" s="8">
        <f t="shared" si="370"/>
        <v>-2032</v>
      </c>
      <c r="AA770" s="8">
        <v>9004</v>
      </c>
      <c r="AB770" s="8">
        <f t="shared" si="387"/>
        <v>2031</v>
      </c>
      <c r="AC770" s="8">
        <v>65424</v>
      </c>
      <c r="AD770" s="8">
        <f t="shared" si="388"/>
        <v>-4063</v>
      </c>
      <c r="AE770" s="8">
        <v>210643</v>
      </c>
      <c r="AF770" s="8">
        <f t="shared" si="371"/>
        <v>-1548</v>
      </c>
      <c r="AG770" s="8">
        <v>323049</v>
      </c>
      <c r="AH770" s="8">
        <f t="shared" si="372"/>
        <v>-6724</v>
      </c>
      <c r="AI770" s="8">
        <v>-112406</v>
      </c>
      <c r="AJ770" s="8">
        <f t="shared" si="373"/>
        <v>5176</v>
      </c>
      <c r="AK770" s="8">
        <v>115954</v>
      </c>
      <c r="AL770" s="8">
        <f t="shared" si="374"/>
        <v>157</v>
      </c>
      <c r="AM770" s="8">
        <v>298033</v>
      </c>
      <c r="AN770" s="8">
        <f t="shared" si="375"/>
        <v>-6074</v>
      </c>
      <c r="AO770" s="8">
        <v>-182079</v>
      </c>
      <c r="AP770" s="8">
        <f t="shared" si="376"/>
        <v>6231</v>
      </c>
      <c r="AR770" s="8">
        <v>2358552</v>
      </c>
      <c r="AS770" s="8">
        <f t="shared" si="377"/>
        <v>-104147</v>
      </c>
      <c r="AT770" s="8">
        <v>379406</v>
      </c>
      <c r="AU770" s="8">
        <f t="shared" si="378"/>
        <v>-8896</v>
      </c>
      <c r="AV770" s="8">
        <v>30860</v>
      </c>
      <c r="AW770" s="8">
        <f t="shared" si="379"/>
        <v>3709</v>
      </c>
      <c r="AX770" s="8">
        <v>348546</v>
      </c>
      <c r="AY770" s="8">
        <f t="shared" si="386"/>
        <v>-12605</v>
      </c>
      <c r="AZ770" s="8">
        <v>1019683</v>
      </c>
      <c r="BA770" s="8">
        <f t="shared" si="380"/>
        <v>-16044</v>
      </c>
      <c r="BB770" s="8">
        <v>1485640</v>
      </c>
      <c r="BC770" s="8">
        <f t="shared" si="381"/>
        <v>-38375</v>
      </c>
      <c r="BD770" s="8">
        <v>-465957</v>
      </c>
      <c r="BE770" s="8">
        <f t="shared" si="382"/>
        <v>22331</v>
      </c>
      <c r="BF770" s="8">
        <v>620008</v>
      </c>
      <c r="BG770" s="8">
        <f t="shared" si="383"/>
        <v>-20766</v>
      </c>
      <c r="BH770" s="8">
        <v>1349575</v>
      </c>
      <c r="BI770" s="8">
        <f t="shared" si="384"/>
        <v>-39418</v>
      </c>
      <c r="BJ770" s="8">
        <v>-729567</v>
      </c>
      <c r="BK770" s="8">
        <f t="shared" si="358"/>
        <v>18652</v>
      </c>
    </row>
    <row r="771" spans="1:63">
      <c r="A771" s="5">
        <f t="shared" si="385"/>
        <v>44264</v>
      </c>
      <c r="B771" s="8">
        <v>590495</v>
      </c>
      <c r="C771" s="8">
        <f t="shared" si="359"/>
        <v>41721</v>
      </c>
      <c r="D771" s="8">
        <v>113826</v>
      </c>
      <c r="E771" s="8">
        <f t="shared" si="360"/>
        <v>-3702</v>
      </c>
      <c r="F771" s="8">
        <v>14252</v>
      </c>
      <c r="G771" s="8">
        <f t="shared" si="361"/>
        <v>4805</v>
      </c>
      <c r="H771" s="8">
        <v>99574</v>
      </c>
      <c r="I771" s="8">
        <f t="shared" si="362"/>
        <v>-8507</v>
      </c>
      <c r="J771" s="8">
        <v>240927</v>
      </c>
      <c r="K771" s="8">
        <f t="shared" si="363"/>
        <v>17775</v>
      </c>
      <c r="L771" s="8">
        <v>380915</v>
      </c>
      <c r="M771" s="8">
        <f t="shared" si="364"/>
        <v>11239</v>
      </c>
      <c r="N771" s="8">
        <v>-139988</v>
      </c>
      <c r="O771" s="8">
        <f t="shared" si="365"/>
        <v>6536</v>
      </c>
      <c r="P771" s="8">
        <v>119139</v>
      </c>
      <c r="Q771" s="8">
        <f t="shared" si="366"/>
        <v>14950</v>
      </c>
      <c r="R771" s="8">
        <v>354249</v>
      </c>
      <c r="S771" s="8">
        <f t="shared" si="367"/>
        <v>10998</v>
      </c>
      <c r="T771" s="8">
        <v>-235110</v>
      </c>
      <c r="U771" s="8">
        <f t="shared" si="368"/>
        <v>3952</v>
      </c>
      <c r="W771" s="8">
        <v>471502</v>
      </c>
      <c r="X771" s="8">
        <f t="shared" si="369"/>
        <v>10492</v>
      </c>
      <c r="Y771" s="8">
        <v>73970</v>
      </c>
      <c r="Z771" s="8">
        <f t="shared" si="370"/>
        <v>-458</v>
      </c>
      <c r="AA771" s="8">
        <v>9726</v>
      </c>
      <c r="AB771" s="8">
        <f t="shared" si="387"/>
        <v>722</v>
      </c>
      <c r="AC771" s="8">
        <v>64244</v>
      </c>
      <c r="AD771" s="8">
        <f t="shared" si="388"/>
        <v>-1180</v>
      </c>
      <c r="AE771" s="8">
        <v>213668</v>
      </c>
      <c r="AF771" s="8">
        <f t="shared" si="371"/>
        <v>3025</v>
      </c>
      <c r="AG771" s="8">
        <v>328659</v>
      </c>
      <c r="AH771" s="8">
        <f t="shared" si="372"/>
        <v>5610</v>
      </c>
      <c r="AI771" s="8">
        <v>-114991</v>
      </c>
      <c r="AJ771" s="8">
        <f t="shared" si="373"/>
        <v>-2585</v>
      </c>
      <c r="AK771" s="8">
        <v>118823</v>
      </c>
      <c r="AL771" s="8">
        <f t="shared" si="374"/>
        <v>2869</v>
      </c>
      <c r="AM771" s="8">
        <v>304120</v>
      </c>
      <c r="AN771" s="8">
        <f t="shared" si="375"/>
        <v>6087</v>
      </c>
      <c r="AO771" s="8">
        <v>-185297</v>
      </c>
      <c r="AP771" s="8">
        <f t="shared" si="376"/>
        <v>-3218</v>
      </c>
      <c r="AR771" s="8">
        <v>2374719</v>
      </c>
      <c r="AS771" s="8">
        <f t="shared" si="377"/>
        <v>16167</v>
      </c>
      <c r="AT771" s="8">
        <v>389756</v>
      </c>
      <c r="AU771" s="8">
        <f t="shared" si="378"/>
        <v>10350</v>
      </c>
      <c r="AV771" s="8">
        <v>33242</v>
      </c>
      <c r="AW771" s="8">
        <f t="shared" si="379"/>
        <v>2382</v>
      </c>
      <c r="AX771" s="8">
        <v>356514</v>
      </c>
      <c r="AY771" s="8">
        <f t="shared" si="386"/>
        <v>7968</v>
      </c>
      <c r="AZ771" s="8">
        <v>1021511</v>
      </c>
      <c r="BA771" s="8">
        <f t="shared" si="380"/>
        <v>1828</v>
      </c>
      <c r="BB771" s="8">
        <v>1484026</v>
      </c>
      <c r="BC771" s="8">
        <f t="shared" si="381"/>
        <v>-1614</v>
      </c>
      <c r="BD771" s="8">
        <v>-462515</v>
      </c>
      <c r="BE771" s="8">
        <f t="shared" si="382"/>
        <v>3442</v>
      </c>
      <c r="BF771" s="8">
        <v>625832</v>
      </c>
      <c r="BG771" s="8">
        <f t="shared" si="383"/>
        <v>5824</v>
      </c>
      <c r="BH771" s="8">
        <v>1349025</v>
      </c>
      <c r="BI771" s="8">
        <f t="shared" si="384"/>
        <v>-550</v>
      </c>
      <c r="BJ771" s="8">
        <v>-723193</v>
      </c>
      <c r="BK771" s="8">
        <f t="shared" si="358"/>
        <v>6374</v>
      </c>
    </row>
    <row r="772" spans="1:63">
      <c r="A772" s="5">
        <f t="shared" si="385"/>
        <v>44271</v>
      </c>
      <c r="B772" s="8">
        <v>604977</v>
      </c>
      <c r="C772" s="8">
        <f t="shared" si="359"/>
        <v>14482</v>
      </c>
      <c r="D772" s="8">
        <v>116760</v>
      </c>
      <c r="E772" s="8">
        <f t="shared" si="360"/>
        <v>2934</v>
      </c>
      <c r="F772" s="8">
        <v>18074</v>
      </c>
      <c r="G772" s="8">
        <f t="shared" si="361"/>
        <v>3822</v>
      </c>
      <c r="H772" s="8">
        <v>98686</v>
      </c>
      <c r="I772" s="8">
        <f t="shared" si="362"/>
        <v>-888</v>
      </c>
      <c r="J772" s="8">
        <v>242954</v>
      </c>
      <c r="K772" s="8">
        <f t="shared" si="363"/>
        <v>2027</v>
      </c>
      <c r="L772" s="8">
        <v>383965</v>
      </c>
      <c r="M772" s="8">
        <f t="shared" si="364"/>
        <v>3050</v>
      </c>
      <c r="N772" s="8">
        <v>-141011</v>
      </c>
      <c r="O772" s="8">
        <f t="shared" si="365"/>
        <v>-1023</v>
      </c>
      <c r="P772" s="8">
        <v>119596</v>
      </c>
      <c r="Q772" s="8">
        <f t="shared" si="366"/>
        <v>457</v>
      </c>
      <c r="R772" s="8">
        <v>354424</v>
      </c>
      <c r="S772" s="8">
        <f t="shared" si="367"/>
        <v>175</v>
      </c>
      <c r="T772" s="8">
        <v>-234828</v>
      </c>
      <c r="U772" s="8">
        <f t="shared" si="368"/>
        <v>282</v>
      </c>
      <c r="W772" s="8">
        <v>477067</v>
      </c>
      <c r="X772" s="8">
        <f t="shared" si="369"/>
        <v>5565</v>
      </c>
      <c r="Y772" s="8">
        <v>69953</v>
      </c>
      <c r="Z772" s="8">
        <f t="shared" si="370"/>
        <v>-4017</v>
      </c>
      <c r="AA772" s="8">
        <v>8717</v>
      </c>
      <c r="AB772" s="8">
        <f t="shared" si="387"/>
        <v>-1009</v>
      </c>
      <c r="AC772" s="8">
        <v>61236</v>
      </c>
      <c r="AD772" s="8">
        <f t="shared" si="388"/>
        <v>-3008</v>
      </c>
      <c r="AE772" s="8">
        <v>224781</v>
      </c>
      <c r="AF772" s="8">
        <f t="shared" si="371"/>
        <v>11113</v>
      </c>
      <c r="AG772" s="8">
        <v>335189</v>
      </c>
      <c r="AH772" s="8">
        <f t="shared" si="372"/>
        <v>6530</v>
      </c>
      <c r="AI772" s="8">
        <v>-110408</v>
      </c>
      <c r="AJ772" s="8">
        <f t="shared" si="373"/>
        <v>4583</v>
      </c>
      <c r="AK772" s="8">
        <v>129558</v>
      </c>
      <c r="AL772" s="8">
        <f t="shared" si="374"/>
        <v>10735</v>
      </c>
      <c r="AM772" s="8">
        <v>311406</v>
      </c>
      <c r="AN772" s="8">
        <f t="shared" si="375"/>
        <v>7286</v>
      </c>
      <c r="AO772" s="8">
        <v>-181848</v>
      </c>
      <c r="AP772" s="8">
        <f t="shared" si="376"/>
        <v>3449</v>
      </c>
      <c r="AR772" s="8">
        <v>2389663</v>
      </c>
      <c r="AS772" s="8">
        <f t="shared" si="377"/>
        <v>14944</v>
      </c>
      <c r="AT772" s="8">
        <v>399452</v>
      </c>
      <c r="AU772" s="8">
        <f t="shared" si="378"/>
        <v>9696</v>
      </c>
      <c r="AV772" s="8">
        <v>28552</v>
      </c>
      <c r="AW772" s="8">
        <f t="shared" si="379"/>
        <v>-4690</v>
      </c>
      <c r="AX772" s="8">
        <v>370900</v>
      </c>
      <c r="AY772" s="8">
        <f t="shared" si="386"/>
        <v>14386</v>
      </c>
      <c r="AZ772" s="8">
        <v>1028998</v>
      </c>
      <c r="BA772" s="8">
        <f t="shared" si="380"/>
        <v>7487</v>
      </c>
      <c r="BB772" s="8">
        <v>1489985</v>
      </c>
      <c r="BC772" s="8">
        <f t="shared" si="381"/>
        <v>5959</v>
      </c>
      <c r="BD772" s="8">
        <v>-460987</v>
      </c>
      <c r="BE772" s="8">
        <f t="shared" si="382"/>
        <v>1528</v>
      </c>
      <c r="BF772" s="8">
        <v>626938</v>
      </c>
      <c r="BG772" s="8">
        <f t="shared" si="383"/>
        <v>1106</v>
      </c>
      <c r="BH772" s="8">
        <v>1349572</v>
      </c>
      <c r="BI772" s="8">
        <f t="shared" si="384"/>
        <v>547</v>
      </c>
      <c r="BJ772" s="8">
        <v>-722634</v>
      </c>
      <c r="BK772" s="8">
        <f t="shared" si="358"/>
        <v>559</v>
      </c>
    </row>
    <row r="773" spans="1:63">
      <c r="A773" s="5">
        <f t="shared" si="385"/>
        <v>44278</v>
      </c>
      <c r="B773" s="8">
        <v>615294</v>
      </c>
      <c r="C773" s="8">
        <f t="shared" si="359"/>
        <v>10317</v>
      </c>
      <c r="D773" s="8">
        <v>115303</v>
      </c>
      <c r="E773" s="8">
        <f t="shared" si="360"/>
        <v>-1457</v>
      </c>
      <c r="F773" s="8">
        <v>21326</v>
      </c>
      <c r="G773" s="8">
        <f t="shared" si="361"/>
        <v>3252</v>
      </c>
      <c r="H773" s="8">
        <v>93977</v>
      </c>
      <c r="I773" s="8">
        <f t="shared" si="362"/>
        <v>-4709</v>
      </c>
      <c r="J773" s="8">
        <v>262438</v>
      </c>
      <c r="K773" s="8">
        <f t="shared" si="363"/>
        <v>19484</v>
      </c>
      <c r="L773" s="8">
        <v>389530</v>
      </c>
      <c r="M773" s="8">
        <f t="shared" si="364"/>
        <v>5565</v>
      </c>
      <c r="N773" s="8">
        <v>-127092</v>
      </c>
      <c r="O773" s="8">
        <f t="shared" si="365"/>
        <v>13919</v>
      </c>
      <c r="P773" s="8">
        <v>138767</v>
      </c>
      <c r="Q773" s="8">
        <f t="shared" si="366"/>
        <v>19171</v>
      </c>
      <c r="R773" s="8">
        <v>358981</v>
      </c>
      <c r="S773" s="8">
        <f t="shared" si="367"/>
        <v>4557</v>
      </c>
      <c r="T773" s="8">
        <v>-220214</v>
      </c>
      <c r="U773" s="8">
        <f t="shared" si="368"/>
        <v>14614</v>
      </c>
      <c r="W773" s="8">
        <v>472467</v>
      </c>
      <c r="X773" s="8">
        <f t="shared" si="369"/>
        <v>-4600</v>
      </c>
      <c r="Y773" s="8">
        <v>66704</v>
      </c>
      <c r="Z773" s="8">
        <f t="shared" si="370"/>
        <v>-3249</v>
      </c>
      <c r="AA773" s="8">
        <v>9084</v>
      </c>
      <c r="AB773" s="8">
        <f t="shared" si="387"/>
        <v>367</v>
      </c>
      <c r="AC773" s="8">
        <v>57620</v>
      </c>
      <c r="AD773" s="8">
        <f t="shared" si="388"/>
        <v>-3616</v>
      </c>
      <c r="AE773" s="8">
        <v>222407</v>
      </c>
      <c r="AF773" s="8">
        <f t="shared" si="371"/>
        <v>-2374</v>
      </c>
      <c r="AG773" s="8">
        <v>329850</v>
      </c>
      <c r="AH773" s="8">
        <f t="shared" si="372"/>
        <v>-5339</v>
      </c>
      <c r="AI773" s="8">
        <v>-107443</v>
      </c>
      <c r="AJ773" s="8">
        <f t="shared" si="373"/>
        <v>2965</v>
      </c>
      <c r="AK773" s="8">
        <v>127062</v>
      </c>
      <c r="AL773" s="8">
        <f t="shared" si="374"/>
        <v>-2496</v>
      </c>
      <c r="AM773" s="8">
        <v>306058</v>
      </c>
      <c r="AN773" s="8">
        <f t="shared" si="375"/>
        <v>-5348</v>
      </c>
      <c r="AO773" s="8">
        <v>-178996</v>
      </c>
      <c r="AP773" s="8">
        <f t="shared" si="376"/>
        <v>2852</v>
      </c>
      <c r="AR773" s="8">
        <v>2341060</v>
      </c>
      <c r="AS773" s="8">
        <f t="shared" si="377"/>
        <v>-48603</v>
      </c>
      <c r="AT773" s="8">
        <v>416963</v>
      </c>
      <c r="AU773" s="8">
        <f t="shared" si="378"/>
        <v>17511</v>
      </c>
      <c r="AV773" s="8">
        <v>28788</v>
      </c>
      <c r="AW773" s="8">
        <f t="shared" si="379"/>
        <v>236</v>
      </c>
      <c r="AX773" s="8">
        <v>388175</v>
      </c>
      <c r="AY773" s="8">
        <f t="shared" si="386"/>
        <v>17275</v>
      </c>
      <c r="AZ773" s="8">
        <v>976867</v>
      </c>
      <c r="BA773" s="8">
        <f t="shared" si="380"/>
        <v>-52131</v>
      </c>
      <c r="BB773" s="8">
        <v>1456718</v>
      </c>
      <c r="BC773" s="8">
        <f t="shared" si="381"/>
        <v>-33267</v>
      </c>
      <c r="BD773" s="8">
        <v>-479851</v>
      </c>
      <c r="BE773" s="8">
        <f t="shared" si="382"/>
        <v>-18864</v>
      </c>
      <c r="BF773" s="8">
        <v>588699</v>
      </c>
      <c r="BG773" s="8">
        <f t="shared" si="383"/>
        <v>-38239</v>
      </c>
      <c r="BH773" s="8">
        <v>1311506</v>
      </c>
      <c r="BI773" s="8">
        <f t="shared" si="384"/>
        <v>-38066</v>
      </c>
      <c r="BJ773" s="8">
        <v>-722807</v>
      </c>
      <c r="BK773" s="8">
        <f t="shared" si="358"/>
        <v>-173</v>
      </c>
    </row>
    <row r="774" spans="1:63">
      <c r="A774" s="5">
        <f t="shared" si="385"/>
        <v>44285</v>
      </c>
      <c r="B774" s="8">
        <v>589479</v>
      </c>
      <c r="C774" s="8">
        <f t="shared" si="359"/>
        <v>-25815</v>
      </c>
      <c r="D774" s="8">
        <v>108796</v>
      </c>
      <c r="E774" s="8">
        <f t="shared" si="360"/>
        <v>-6507</v>
      </c>
      <c r="F774" s="8">
        <v>27956</v>
      </c>
      <c r="G774" s="8">
        <f t="shared" si="361"/>
        <v>6630</v>
      </c>
      <c r="H774" s="8">
        <v>80840</v>
      </c>
      <c r="I774" s="8">
        <f t="shared" si="362"/>
        <v>-13137</v>
      </c>
      <c r="J774" s="8">
        <v>266478</v>
      </c>
      <c r="K774" s="8">
        <f t="shared" si="363"/>
        <v>4040</v>
      </c>
      <c r="L774" s="8">
        <v>374063</v>
      </c>
      <c r="M774" s="8">
        <f t="shared" si="364"/>
        <v>-15467</v>
      </c>
      <c r="N774" s="8">
        <v>-107585</v>
      </c>
      <c r="O774" s="8">
        <f t="shared" si="365"/>
        <v>19507</v>
      </c>
      <c r="P774" s="8">
        <v>139595</v>
      </c>
      <c r="Q774" s="8">
        <f t="shared" si="366"/>
        <v>828</v>
      </c>
      <c r="R774" s="8">
        <v>344922</v>
      </c>
      <c r="S774" s="8">
        <f t="shared" si="367"/>
        <v>-14059</v>
      </c>
      <c r="T774" s="8">
        <v>-205327</v>
      </c>
      <c r="U774" s="8">
        <f t="shared" si="368"/>
        <v>14887</v>
      </c>
      <c r="W774" s="8">
        <v>470594</v>
      </c>
      <c r="X774" s="8">
        <f t="shared" si="369"/>
        <v>-1873</v>
      </c>
      <c r="Y774" s="8">
        <v>67355</v>
      </c>
      <c r="Z774" s="8">
        <f t="shared" si="370"/>
        <v>651</v>
      </c>
      <c r="AA774" s="8">
        <v>9120</v>
      </c>
      <c r="AB774" s="8">
        <f t="shared" si="387"/>
        <v>36</v>
      </c>
      <c r="AC774" s="8">
        <v>58235</v>
      </c>
      <c r="AD774" s="8">
        <f t="shared" si="388"/>
        <v>615</v>
      </c>
      <c r="AE774" s="8">
        <v>222117</v>
      </c>
      <c r="AF774" s="8">
        <f t="shared" si="371"/>
        <v>-290</v>
      </c>
      <c r="AG774" s="8">
        <v>329503</v>
      </c>
      <c r="AH774" s="8">
        <f t="shared" si="372"/>
        <v>-347</v>
      </c>
      <c r="AI774" s="8">
        <v>-107386</v>
      </c>
      <c r="AJ774" s="8">
        <f t="shared" si="373"/>
        <v>57</v>
      </c>
      <c r="AK774" s="8">
        <v>124849</v>
      </c>
      <c r="AL774" s="8">
        <f t="shared" si="374"/>
        <v>-2213</v>
      </c>
      <c r="AM774" s="8">
        <v>302823</v>
      </c>
      <c r="AN774" s="8">
        <f t="shared" si="375"/>
        <v>-3235</v>
      </c>
      <c r="AO774" s="8">
        <v>-177974</v>
      </c>
      <c r="AP774" s="8">
        <f t="shared" si="376"/>
        <v>1022</v>
      </c>
      <c r="AR774" s="8">
        <v>2320111</v>
      </c>
      <c r="AS774" s="8">
        <f t="shared" si="377"/>
        <v>-20949</v>
      </c>
      <c r="AT774" s="8">
        <v>425822</v>
      </c>
      <c r="AU774" s="8">
        <f t="shared" si="378"/>
        <v>8859</v>
      </c>
      <c r="AV774" s="8">
        <v>30238</v>
      </c>
      <c r="AW774" s="8">
        <f t="shared" si="379"/>
        <v>1450</v>
      </c>
      <c r="AX774" s="8">
        <v>395584</v>
      </c>
      <c r="AY774" s="8">
        <f t="shared" si="386"/>
        <v>7409</v>
      </c>
      <c r="AZ774" s="8">
        <v>974422</v>
      </c>
      <c r="BA774" s="8">
        <f t="shared" si="380"/>
        <v>-2445</v>
      </c>
      <c r="BB774" s="8">
        <v>1452197</v>
      </c>
      <c r="BC774" s="8">
        <f t="shared" si="381"/>
        <v>-4521</v>
      </c>
      <c r="BD774" s="8">
        <v>-477775</v>
      </c>
      <c r="BE774" s="8">
        <f t="shared" si="382"/>
        <v>2076</v>
      </c>
      <c r="BF774" s="8">
        <v>583603</v>
      </c>
      <c r="BG774" s="8">
        <f t="shared" si="383"/>
        <v>-5096</v>
      </c>
      <c r="BH774" s="8">
        <v>1310160</v>
      </c>
      <c r="BI774" s="8">
        <f t="shared" si="384"/>
        <v>-1346</v>
      </c>
      <c r="BJ774" s="8">
        <v>-726557</v>
      </c>
      <c r="BK774" s="8">
        <f t="shared" ref="BK774:BK837" si="389">BJ774-BJ773</f>
        <v>-3750</v>
      </c>
    </row>
    <row r="775" spans="1:63">
      <c r="A775" s="5">
        <f t="shared" si="385"/>
        <v>44292</v>
      </c>
      <c r="B775" s="8">
        <v>603836</v>
      </c>
      <c r="C775" s="8">
        <f t="shared" si="359"/>
        <v>14357</v>
      </c>
      <c r="D775" s="8">
        <v>102507</v>
      </c>
      <c r="E775" s="8">
        <f t="shared" si="360"/>
        <v>-6289</v>
      </c>
      <c r="F775" s="8">
        <v>25470</v>
      </c>
      <c r="G775" s="8">
        <f t="shared" si="361"/>
        <v>-2486</v>
      </c>
      <c r="H775" s="8">
        <v>77037</v>
      </c>
      <c r="I775" s="8">
        <f t="shared" si="362"/>
        <v>-3803</v>
      </c>
      <c r="J775" s="8">
        <v>274328</v>
      </c>
      <c r="K775" s="8">
        <f t="shared" si="363"/>
        <v>7850</v>
      </c>
      <c r="L775" s="8">
        <v>381141</v>
      </c>
      <c r="M775" s="8">
        <f t="shared" si="364"/>
        <v>7078</v>
      </c>
      <c r="N775" s="8">
        <v>-106813</v>
      </c>
      <c r="O775" s="8">
        <f t="shared" si="365"/>
        <v>772</v>
      </c>
      <c r="P775" s="8">
        <v>143471</v>
      </c>
      <c r="Q775" s="8">
        <f t="shared" si="366"/>
        <v>3876</v>
      </c>
      <c r="R775" s="8">
        <v>350656</v>
      </c>
      <c r="S775" s="8">
        <f t="shared" si="367"/>
        <v>5734</v>
      </c>
      <c r="T775" s="8">
        <v>-207185</v>
      </c>
      <c r="U775" s="8">
        <f t="shared" si="368"/>
        <v>-1858</v>
      </c>
      <c r="W775" s="8">
        <v>476527</v>
      </c>
      <c r="X775" s="8">
        <f t="shared" si="369"/>
        <v>5933</v>
      </c>
      <c r="Y775" s="8">
        <v>68056</v>
      </c>
      <c r="Z775" s="8">
        <f t="shared" si="370"/>
        <v>701</v>
      </c>
      <c r="AA775" s="8">
        <v>6711</v>
      </c>
      <c r="AB775" s="8">
        <f t="shared" si="387"/>
        <v>-2409</v>
      </c>
      <c r="AC775" s="8">
        <v>61345</v>
      </c>
      <c r="AD775" s="8">
        <f t="shared" si="388"/>
        <v>3110</v>
      </c>
      <c r="AE775" s="8">
        <v>225619</v>
      </c>
      <c r="AF775" s="8">
        <f t="shared" si="371"/>
        <v>3502</v>
      </c>
      <c r="AG775" s="8">
        <v>335372</v>
      </c>
      <c r="AH775" s="8">
        <f t="shared" si="372"/>
        <v>5869</v>
      </c>
      <c r="AI775" s="8">
        <v>-109753</v>
      </c>
      <c r="AJ775" s="8">
        <f t="shared" si="373"/>
        <v>-2367</v>
      </c>
      <c r="AK775" s="8">
        <v>127246</v>
      </c>
      <c r="AL775" s="8">
        <f t="shared" si="374"/>
        <v>2397</v>
      </c>
      <c r="AM775" s="8">
        <v>307246</v>
      </c>
      <c r="AN775" s="8">
        <f t="shared" si="375"/>
        <v>4423</v>
      </c>
      <c r="AO775" s="8">
        <v>-180000</v>
      </c>
      <c r="AP775" s="8">
        <f t="shared" si="376"/>
        <v>-2026</v>
      </c>
      <c r="AR775" s="8">
        <v>2364959</v>
      </c>
      <c r="AS775" s="8">
        <f t="shared" si="377"/>
        <v>44848</v>
      </c>
      <c r="AT775" s="8">
        <v>413094</v>
      </c>
      <c r="AU775" s="8">
        <f t="shared" si="378"/>
        <v>-12728</v>
      </c>
      <c r="AV775" s="8">
        <v>26475</v>
      </c>
      <c r="AW775" s="8">
        <f t="shared" si="379"/>
        <v>-3763</v>
      </c>
      <c r="AX775" s="8">
        <v>386619</v>
      </c>
      <c r="AY775" s="8">
        <f t="shared" si="386"/>
        <v>-8965</v>
      </c>
      <c r="AZ775" s="8">
        <v>986168</v>
      </c>
      <c r="BA775" s="8">
        <f t="shared" si="380"/>
        <v>11746</v>
      </c>
      <c r="BB775" s="8">
        <v>1464741</v>
      </c>
      <c r="BC775" s="8">
        <f t="shared" si="381"/>
        <v>12544</v>
      </c>
      <c r="BD775" s="8">
        <v>-478573</v>
      </c>
      <c r="BE775" s="8">
        <f t="shared" si="382"/>
        <v>-798</v>
      </c>
      <c r="BF775" s="8">
        <v>605202</v>
      </c>
      <c r="BG775" s="8">
        <f t="shared" si="383"/>
        <v>21599</v>
      </c>
      <c r="BH775" s="8">
        <v>1319109</v>
      </c>
      <c r="BI775" s="8">
        <f t="shared" si="384"/>
        <v>8949</v>
      </c>
      <c r="BJ775" s="8">
        <v>-713907</v>
      </c>
      <c r="BK775" s="8">
        <f t="shared" si="389"/>
        <v>12650</v>
      </c>
    </row>
    <row r="776" spans="1:63">
      <c r="A776" s="5">
        <f t="shared" si="385"/>
        <v>44299</v>
      </c>
      <c r="B776" s="8">
        <v>598089</v>
      </c>
      <c r="C776" s="8">
        <f t="shared" si="359"/>
        <v>-5747</v>
      </c>
      <c r="D776" s="8">
        <v>104578</v>
      </c>
      <c r="E776" s="8">
        <f t="shared" si="360"/>
        <v>2071</v>
      </c>
      <c r="F776" s="8">
        <v>23413</v>
      </c>
      <c r="G776" s="8">
        <f t="shared" si="361"/>
        <v>-2057</v>
      </c>
      <c r="H776" s="8">
        <v>81165</v>
      </c>
      <c r="I776" s="8">
        <f t="shared" si="362"/>
        <v>4128</v>
      </c>
      <c r="J776" s="8">
        <v>273009</v>
      </c>
      <c r="K776" s="8">
        <f t="shared" si="363"/>
        <v>-1319</v>
      </c>
      <c r="L776" s="8">
        <v>381698</v>
      </c>
      <c r="M776" s="8">
        <f t="shared" si="364"/>
        <v>557</v>
      </c>
      <c r="N776" s="8">
        <v>-108689</v>
      </c>
      <c r="O776" s="8">
        <f t="shared" si="365"/>
        <v>-1876</v>
      </c>
      <c r="P776" s="8">
        <v>141186</v>
      </c>
      <c r="Q776" s="8">
        <f t="shared" si="366"/>
        <v>-2285</v>
      </c>
      <c r="R776" s="8">
        <v>352719</v>
      </c>
      <c r="S776" s="8">
        <f t="shared" si="367"/>
        <v>2063</v>
      </c>
      <c r="T776" s="8">
        <v>-211533</v>
      </c>
      <c r="U776" s="8">
        <f t="shared" si="368"/>
        <v>-4348</v>
      </c>
      <c r="W776" s="8">
        <v>477525</v>
      </c>
      <c r="X776" s="8">
        <f t="shared" si="369"/>
        <v>998</v>
      </c>
      <c r="Y776" s="8">
        <v>58799</v>
      </c>
      <c r="Z776" s="8">
        <f t="shared" si="370"/>
        <v>-9257</v>
      </c>
      <c r="AA776" s="8">
        <v>14969</v>
      </c>
      <c r="AB776" s="8">
        <f t="shared" si="387"/>
        <v>8258</v>
      </c>
      <c r="AC776" s="8">
        <v>43830</v>
      </c>
      <c r="AD776" s="8">
        <f t="shared" si="388"/>
        <v>-17515</v>
      </c>
      <c r="AE776" s="8">
        <v>225628</v>
      </c>
      <c r="AF776" s="8">
        <f t="shared" ref="AF776:AF839" si="390">AE776-AE775</f>
        <v>9</v>
      </c>
      <c r="AG776" s="8">
        <v>318246</v>
      </c>
      <c r="AH776" s="8">
        <f t="shared" ref="AH776:AH839" si="391">AG776-AG775</f>
        <v>-17126</v>
      </c>
      <c r="AI776" s="8">
        <v>-92618</v>
      </c>
      <c r="AJ776" s="8">
        <f t="shared" ref="AJ776:AJ839" si="392">AI776-AI775</f>
        <v>17135</v>
      </c>
      <c r="AK776" s="8">
        <v>125764</v>
      </c>
      <c r="AL776" s="8">
        <f t="shared" ref="AL776:AL839" si="393">AK776-AK775</f>
        <v>-1482</v>
      </c>
      <c r="AM776" s="8">
        <v>293227</v>
      </c>
      <c r="AN776" s="8">
        <f t="shared" ref="AN776:AN839" si="394">AM776-AM775</f>
        <v>-14019</v>
      </c>
      <c r="AO776" s="8">
        <v>-167463</v>
      </c>
      <c r="AP776" s="8">
        <f t="shared" si="376"/>
        <v>12537</v>
      </c>
      <c r="AR776" s="8">
        <v>2448675</v>
      </c>
      <c r="AS776" s="8">
        <f t="shared" si="377"/>
        <v>83716</v>
      </c>
      <c r="AT776" s="8">
        <v>428954</v>
      </c>
      <c r="AU776" s="8">
        <f t="shared" si="378"/>
        <v>15860</v>
      </c>
      <c r="AV776" s="8">
        <v>26961</v>
      </c>
      <c r="AW776" s="8">
        <f t="shared" si="379"/>
        <v>486</v>
      </c>
      <c r="AX776" s="8">
        <v>401993</v>
      </c>
      <c r="AY776" s="8">
        <f t="shared" si="386"/>
        <v>15374</v>
      </c>
      <c r="AZ776" s="8">
        <v>1001760</v>
      </c>
      <c r="BA776" s="8">
        <f t="shared" si="380"/>
        <v>15592</v>
      </c>
      <c r="BB776" s="8">
        <v>1496763</v>
      </c>
      <c r="BC776" s="8">
        <f t="shared" si="381"/>
        <v>32022</v>
      </c>
      <c r="BD776" s="8">
        <v>-495003</v>
      </c>
      <c r="BE776" s="8">
        <f t="shared" si="382"/>
        <v>-16430</v>
      </c>
      <c r="BF776" s="8">
        <v>628995</v>
      </c>
      <c r="BG776" s="8">
        <f t="shared" si="383"/>
        <v>23793</v>
      </c>
      <c r="BH776" s="8">
        <v>1364601</v>
      </c>
      <c r="BI776" s="8">
        <f t="shared" si="384"/>
        <v>45492</v>
      </c>
      <c r="BJ776" s="8">
        <v>-735606</v>
      </c>
      <c r="BK776" s="8">
        <f t="shared" si="389"/>
        <v>-21699</v>
      </c>
    </row>
    <row r="777" spans="1:63">
      <c r="A777" s="5">
        <f t="shared" si="385"/>
        <v>44306</v>
      </c>
      <c r="B777" s="8">
        <v>622088</v>
      </c>
      <c r="C777" s="8">
        <f t="shared" ref="C777:C840" si="395">B777-B776</f>
        <v>23999</v>
      </c>
      <c r="D777" s="8">
        <v>111746</v>
      </c>
      <c r="E777" s="8">
        <f t="shared" ref="E777:E840" si="396">D777-D776</f>
        <v>7168</v>
      </c>
      <c r="F777" s="8">
        <v>21754</v>
      </c>
      <c r="G777" s="8">
        <f t="shared" ref="G777:G840" si="397">F777-F776</f>
        <v>-1659</v>
      </c>
      <c r="H777" s="8">
        <v>89992</v>
      </c>
      <c r="I777" s="8">
        <f t="shared" ref="I777:I840" si="398">H777-H776</f>
        <v>8827</v>
      </c>
      <c r="J777" s="8">
        <v>277924</v>
      </c>
      <c r="K777" s="8">
        <f t="shared" ref="K777:K840" si="399">J777-J776</f>
        <v>4915</v>
      </c>
      <c r="L777" s="8">
        <v>393604</v>
      </c>
      <c r="M777" s="8">
        <f t="shared" ref="M777:M840" si="400">L777-L776</f>
        <v>11906</v>
      </c>
      <c r="N777" s="8">
        <v>-115680</v>
      </c>
      <c r="O777" s="8">
        <f t="shared" ref="O777:O840" si="401">N777-N776</f>
        <v>-6991</v>
      </c>
      <c r="P777" s="8">
        <v>142721</v>
      </c>
      <c r="Q777" s="8">
        <f t="shared" ref="Q777:Q840" si="402">P777-P776</f>
        <v>1535</v>
      </c>
      <c r="R777" s="8">
        <v>361406</v>
      </c>
      <c r="S777" s="8">
        <f t="shared" ref="S777:S840" si="403">R777-R776</f>
        <v>8687</v>
      </c>
      <c r="T777" s="8">
        <v>-218685</v>
      </c>
      <c r="U777" s="8">
        <f t="shared" ref="U777:U840" si="404">T777-T776</f>
        <v>-7152</v>
      </c>
      <c r="W777" s="8">
        <v>477120</v>
      </c>
      <c r="X777" s="8">
        <f t="shared" ref="X777:X840" si="405">W777-W776</f>
        <v>-405</v>
      </c>
      <c r="Y777" s="8">
        <v>58438</v>
      </c>
      <c r="Z777" s="8">
        <f t="shared" ref="Z777:Z840" si="406">Y777-Y776</f>
        <v>-361</v>
      </c>
      <c r="AA777" s="8">
        <v>10391</v>
      </c>
      <c r="AB777" s="8">
        <f t="shared" si="387"/>
        <v>-4578</v>
      </c>
      <c r="AC777" s="8">
        <v>48047</v>
      </c>
      <c r="AD777" s="8">
        <f t="shared" si="388"/>
        <v>4217</v>
      </c>
      <c r="AE777" s="8">
        <v>220621</v>
      </c>
      <c r="AF777" s="8">
        <f t="shared" si="390"/>
        <v>-5007</v>
      </c>
      <c r="AG777" s="8">
        <v>326465</v>
      </c>
      <c r="AH777" s="8">
        <f t="shared" si="391"/>
        <v>8219</v>
      </c>
      <c r="AI777" s="8">
        <v>-105844</v>
      </c>
      <c r="AJ777" s="8">
        <f t="shared" si="392"/>
        <v>-13226</v>
      </c>
      <c r="AK777" s="8">
        <v>119203</v>
      </c>
      <c r="AL777" s="8">
        <f t="shared" si="393"/>
        <v>-6561</v>
      </c>
      <c r="AM777" s="8">
        <v>300237</v>
      </c>
      <c r="AN777" s="8">
        <f t="shared" si="394"/>
        <v>7010</v>
      </c>
      <c r="AO777" s="8">
        <v>-181034</v>
      </c>
      <c r="AP777" s="8">
        <f t="shared" ref="AP777:AP840" si="407">AO777-AO776</f>
        <v>-13571</v>
      </c>
      <c r="AR777" s="8">
        <v>2547704</v>
      </c>
      <c r="AS777" s="8">
        <f t="shared" ref="AS777:AS840" si="408">AR777-AR776</f>
        <v>99029</v>
      </c>
      <c r="AT777" s="8">
        <v>414821</v>
      </c>
      <c r="AU777" s="8">
        <f t="shared" ref="AU777:AU840" si="409">AT777-AT776</f>
        <v>-14133</v>
      </c>
      <c r="AV777" s="8">
        <v>30823</v>
      </c>
      <c r="AW777" s="8">
        <f t="shared" ref="AW777:AW840" si="410">AV777-AV776</f>
        <v>3862</v>
      </c>
      <c r="AX777" s="8">
        <v>383998</v>
      </c>
      <c r="AY777" s="8">
        <f t="shared" si="386"/>
        <v>-17995</v>
      </c>
      <c r="AZ777" s="8">
        <v>1030103</v>
      </c>
      <c r="BA777" s="8">
        <f t="shared" ref="BA777:BA840" si="411">AZ777-AZ776</f>
        <v>28343</v>
      </c>
      <c r="BB777" s="8">
        <v>1517664</v>
      </c>
      <c r="BC777" s="8">
        <f t="shared" ref="BC777:BC840" si="412">BB777-BB776</f>
        <v>20901</v>
      </c>
      <c r="BD777" s="8">
        <v>-487561</v>
      </c>
      <c r="BE777" s="8">
        <f t="shared" ref="BE777:BE840" si="413">BD777-BD776</f>
        <v>7442</v>
      </c>
      <c r="BF777" s="8">
        <v>655108</v>
      </c>
      <c r="BG777" s="8">
        <f t="shared" ref="BG777:BG840" si="414">BF777-BF776</f>
        <v>26113</v>
      </c>
      <c r="BH777" s="8">
        <v>1383741</v>
      </c>
      <c r="BI777" s="8">
        <f t="shared" ref="BI777:BI840" si="415">BH777-BH776</f>
        <v>19140</v>
      </c>
      <c r="BJ777" s="8">
        <v>-728633</v>
      </c>
      <c r="BK777" s="8">
        <f t="shared" si="389"/>
        <v>6973</v>
      </c>
    </row>
    <row r="778" spans="1:63">
      <c r="A778" s="5">
        <f t="shared" si="385"/>
        <v>44313</v>
      </c>
      <c r="B778" s="8">
        <v>572191</v>
      </c>
      <c r="C778" s="8">
        <f t="shared" si="395"/>
        <v>-49897</v>
      </c>
      <c r="D778" s="8">
        <v>111556</v>
      </c>
      <c r="E778" s="8">
        <f t="shared" si="396"/>
        <v>-190</v>
      </c>
      <c r="F778" s="8">
        <v>18969</v>
      </c>
      <c r="G778" s="8">
        <f t="shared" si="397"/>
        <v>-2785</v>
      </c>
      <c r="H778" s="8">
        <v>92587</v>
      </c>
      <c r="I778" s="8">
        <f t="shared" si="398"/>
        <v>2595</v>
      </c>
      <c r="J778" s="8">
        <v>264148</v>
      </c>
      <c r="K778" s="8">
        <f t="shared" si="399"/>
        <v>-13776</v>
      </c>
      <c r="L778" s="8">
        <v>377223</v>
      </c>
      <c r="M778" s="8">
        <f t="shared" si="400"/>
        <v>-16381</v>
      </c>
      <c r="N778" s="8">
        <v>-113075</v>
      </c>
      <c r="O778" s="8">
        <f t="shared" si="401"/>
        <v>2605</v>
      </c>
      <c r="P778" s="8">
        <v>128091</v>
      </c>
      <c r="Q778" s="8">
        <f t="shared" si="402"/>
        <v>-14630</v>
      </c>
      <c r="R778" s="8">
        <v>346922</v>
      </c>
      <c r="S778" s="8">
        <f t="shared" si="403"/>
        <v>-14484</v>
      </c>
      <c r="T778" s="8">
        <v>-218831</v>
      </c>
      <c r="U778" s="8">
        <f t="shared" si="404"/>
        <v>-146</v>
      </c>
      <c r="W778" s="8">
        <v>459296</v>
      </c>
      <c r="X778" s="8">
        <f t="shared" si="405"/>
        <v>-17824</v>
      </c>
      <c r="Y778" s="8">
        <v>62286</v>
      </c>
      <c r="Z778" s="8">
        <f t="shared" si="406"/>
        <v>3848</v>
      </c>
      <c r="AA778" s="8">
        <v>8200</v>
      </c>
      <c r="AB778" s="8">
        <f t="shared" si="387"/>
        <v>-2191</v>
      </c>
      <c r="AC778" s="8">
        <v>54086</v>
      </c>
      <c r="AD778" s="8">
        <f t="shared" si="388"/>
        <v>6039</v>
      </c>
      <c r="AE778" s="8">
        <v>213793</v>
      </c>
      <c r="AF778" s="8">
        <f t="shared" si="390"/>
        <v>-6828</v>
      </c>
      <c r="AG778" s="8">
        <v>327686</v>
      </c>
      <c r="AH778" s="8">
        <f t="shared" si="391"/>
        <v>1221</v>
      </c>
      <c r="AI778" s="8">
        <v>-113893</v>
      </c>
      <c r="AJ778" s="8">
        <f t="shared" si="392"/>
        <v>-8049</v>
      </c>
      <c r="AK778" s="8">
        <v>119674</v>
      </c>
      <c r="AL778" s="8">
        <f t="shared" si="393"/>
        <v>471</v>
      </c>
      <c r="AM778" s="8">
        <v>308223</v>
      </c>
      <c r="AN778" s="8">
        <f t="shared" si="394"/>
        <v>7986</v>
      </c>
      <c r="AO778" s="8">
        <v>-188549</v>
      </c>
      <c r="AP778" s="8">
        <f t="shared" si="407"/>
        <v>-7515</v>
      </c>
      <c r="AR778" s="8">
        <v>2399229</v>
      </c>
      <c r="AS778" s="8">
        <f t="shared" si="408"/>
        <v>-148475</v>
      </c>
      <c r="AT778" s="8">
        <v>407085</v>
      </c>
      <c r="AU778" s="8">
        <f t="shared" si="409"/>
        <v>-7736</v>
      </c>
      <c r="AV778" s="8">
        <v>28422</v>
      </c>
      <c r="AW778" s="8">
        <f t="shared" si="410"/>
        <v>-2401</v>
      </c>
      <c r="AX778" s="8">
        <v>378663</v>
      </c>
      <c r="AY778" s="8">
        <f t="shared" si="386"/>
        <v>-5335</v>
      </c>
      <c r="AZ778" s="8">
        <v>980119</v>
      </c>
      <c r="BA778" s="8">
        <f t="shared" si="411"/>
        <v>-49984</v>
      </c>
      <c r="BB778" s="8">
        <v>1450942</v>
      </c>
      <c r="BC778" s="8">
        <f t="shared" si="412"/>
        <v>-66722</v>
      </c>
      <c r="BD778" s="8">
        <v>-470823</v>
      </c>
      <c r="BE778" s="8">
        <f t="shared" si="413"/>
        <v>16738</v>
      </c>
      <c r="BF778" s="8">
        <v>613720</v>
      </c>
      <c r="BG778" s="8">
        <f t="shared" si="414"/>
        <v>-41388</v>
      </c>
      <c r="BH778" s="8">
        <v>1324316</v>
      </c>
      <c r="BI778" s="8">
        <f t="shared" si="415"/>
        <v>-59425</v>
      </c>
      <c r="BJ778" s="8">
        <v>-710596</v>
      </c>
      <c r="BK778" s="8">
        <f t="shared" si="389"/>
        <v>18037</v>
      </c>
    </row>
    <row r="779" spans="1:63">
      <c r="A779" s="5">
        <f t="shared" si="385"/>
        <v>44320</v>
      </c>
      <c r="B779" s="8">
        <v>585496</v>
      </c>
      <c r="C779" s="8">
        <f t="shared" si="395"/>
        <v>13305</v>
      </c>
      <c r="D779" s="8">
        <v>108149</v>
      </c>
      <c r="E779" s="8">
        <f t="shared" si="396"/>
        <v>-3407</v>
      </c>
      <c r="F779" s="8">
        <v>20644</v>
      </c>
      <c r="G779" s="8">
        <f t="shared" si="397"/>
        <v>1675</v>
      </c>
      <c r="H779" s="8">
        <v>87505</v>
      </c>
      <c r="I779" s="8">
        <f t="shared" si="398"/>
        <v>-5082</v>
      </c>
      <c r="J779" s="8">
        <v>268508</v>
      </c>
      <c r="K779" s="8">
        <f t="shared" si="399"/>
        <v>4360</v>
      </c>
      <c r="L779" s="8">
        <v>372634</v>
      </c>
      <c r="M779" s="8">
        <f t="shared" si="400"/>
        <v>-4589</v>
      </c>
      <c r="N779" s="8">
        <v>-104126</v>
      </c>
      <c r="O779" s="8">
        <f t="shared" si="401"/>
        <v>8949</v>
      </c>
      <c r="P779" s="8">
        <v>131216</v>
      </c>
      <c r="Q779" s="8">
        <f t="shared" si="402"/>
        <v>3125</v>
      </c>
      <c r="R779" s="8">
        <v>342311</v>
      </c>
      <c r="S779" s="8">
        <f t="shared" si="403"/>
        <v>-4611</v>
      </c>
      <c r="T779" s="8">
        <v>-211095</v>
      </c>
      <c r="U779" s="8">
        <f t="shared" si="404"/>
        <v>7736</v>
      </c>
      <c r="W779" s="8">
        <v>457234</v>
      </c>
      <c r="X779" s="8">
        <f t="shared" si="405"/>
        <v>-2062</v>
      </c>
      <c r="Y779" s="8">
        <v>65568</v>
      </c>
      <c r="Z779" s="8">
        <f t="shared" si="406"/>
        <v>3282</v>
      </c>
      <c r="AA779" s="8">
        <v>11418</v>
      </c>
      <c r="AB779" s="8">
        <f t="shared" si="387"/>
        <v>3218</v>
      </c>
      <c r="AC779" s="8">
        <v>54150</v>
      </c>
      <c r="AD779" s="8">
        <f t="shared" si="388"/>
        <v>64</v>
      </c>
      <c r="AE779" s="8">
        <v>214907</v>
      </c>
      <c r="AF779" s="8">
        <f t="shared" si="390"/>
        <v>1114</v>
      </c>
      <c r="AG779" s="8">
        <v>324770</v>
      </c>
      <c r="AH779" s="8">
        <f t="shared" si="391"/>
        <v>-2916</v>
      </c>
      <c r="AI779" s="8">
        <v>-109863</v>
      </c>
      <c r="AJ779" s="8">
        <f t="shared" si="392"/>
        <v>4030</v>
      </c>
      <c r="AK779" s="8">
        <v>118341</v>
      </c>
      <c r="AL779" s="8">
        <f t="shared" si="393"/>
        <v>-1333</v>
      </c>
      <c r="AM779" s="8">
        <v>305992</v>
      </c>
      <c r="AN779" s="8">
        <f t="shared" si="394"/>
        <v>-2231</v>
      </c>
      <c r="AO779" s="8">
        <v>-187651</v>
      </c>
      <c r="AP779" s="8">
        <f t="shared" si="407"/>
        <v>898</v>
      </c>
      <c r="AR779" s="8">
        <v>2438342</v>
      </c>
      <c r="AS779" s="8">
        <f t="shared" si="408"/>
        <v>39113</v>
      </c>
      <c r="AT779" s="8">
        <v>395732</v>
      </c>
      <c r="AU779" s="8">
        <f t="shared" si="409"/>
        <v>-11353</v>
      </c>
      <c r="AV779" s="8">
        <v>23184</v>
      </c>
      <c r="AW779" s="8">
        <f t="shared" si="410"/>
        <v>-5238</v>
      </c>
      <c r="AX779" s="8">
        <v>372548</v>
      </c>
      <c r="AY779" s="8">
        <f t="shared" si="386"/>
        <v>-6115</v>
      </c>
      <c r="AZ779" s="8">
        <v>962989</v>
      </c>
      <c r="BA779" s="8">
        <f t="shared" si="411"/>
        <v>-17130</v>
      </c>
      <c r="BB779" s="8">
        <v>1446102</v>
      </c>
      <c r="BC779" s="8">
        <f t="shared" si="412"/>
        <v>-4840</v>
      </c>
      <c r="BD779" s="8">
        <v>-483113</v>
      </c>
      <c r="BE779" s="8">
        <f t="shared" si="413"/>
        <v>-12290</v>
      </c>
      <c r="BF779" s="8">
        <v>599207</v>
      </c>
      <c r="BG779" s="8">
        <f t="shared" si="414"/>
        <v>-14513</v>
      </c>
      <c r="BH779" s="8">
        <v>1321847</v>
      </c>
      <c r="BI779" s="8">
        <f t="shared" si="415"/>
        <v>-2469</v>
      </c>
      <c r="BJ779" s="8">
        <v>-722640</v>
      </c>
      <c r="BK779" s="8">
        <f t="shared" si="389"/>
        <v>-12044</v>
      </c>
    </row>
    <row r="780" spans="1:63">
      <c r="A780" s="5">
        <f t="shared" si="385"/>
        <v>44327</v>
      </c>
      <c r="B780" s="8">
        <v>602999</v>
      </c>
      <c r="C780" s="8">
        <f t="shared" si="395"/>
        <v>17503</v>
      </c>
      <c r="D780" s="8">
        <v>104170</v>
      </c>
      <c r="E780" s="8">
        <f t="shared" si="396"/>
        <v>-3979</v>
      </c>
      <c r="F780" s="8">
        <v>18320</v>
      </c>
      <c r="G780" s="8">
        <f t="shared" si="397"/>
        <v>-2324</v>
      </c>
      <c r="H780" s="8">
        <v>85850</v>
      </c>
      <c r="I780" s="8">
        <f t="shared" si="398"/>
        <v>-1655</v>
      </c>
      <c r="J780" s="8">
        <v>268582</v>
      </c>
      <c r="K780" s="8">
        <f t="shared" si="399"/>
        <v>74</v>
      </c>
      <c r="L780" s="8">
        <v>370558</v>
      </c>
      <c r="M780" s="8">
        <f t="shared" si="400"/>
        <v>-2076</v>
      </c>
      <c r="N780" s="8">
        <v>-101976</v>
      </c>
      <c r="O780" s="8">
        <f t="shared" si="401"/>
        <v>2150</v>
      </c>
      <c r="P780" s="8">
        <v>128992</v>
      </c>
      <c r="Q780" s="8">
        <f t="shared" si="402"/>
        <v>-2224</v>
      </c>
      <c r="R780" s="8">
        <v>343819</v>
      </c>
      <c r="S780" s="8">
        <f t="shared" si="403"/>
        <v>1508</v>
      </c>
      <c r="T780" s="8">
        <v>-214827</v>
      </c>
      <c r="U780" s="8">
        <f t="shared" si="404"/>
        <v>-3732</v>
      </c>
      <c r="W780" s="8">
        <v>489758</v>
      </c>
      <c r="X780" s="8">
        <f t="shared" si="405"/>
        <v>32524</v>
      </c>
      <c r="Y780" s="8">
        <v>75499</v>
      </c>
      <c r="Z780" s="8">
        <f t="shared" si="406"/>
        <v>9931</v>
      </c>
      <c r="AA780" s="8">
        <v>5883</v>
      </c>
      <c r="AB780" s="8">
        <f t="shared" si="387"/>
        <v>-5535</v>
      </c>
      <c r="AC780" s="8">
        <v>69616</v>
      </c>
      <c r="AD780" s="8">
        <f t="shared" si="388"/>
        <v>15466</v>
      </c>
      <c r="AE780" s="8">
        <v>218011</v>
      </c>
      <c r="AF780" s="8">
        <f t="shared" si="390"/>
        <v>3104</v>
      </c>
      <c r="AG780" s="8">
        <v>354048</v>
      </c>
      <c r="AH780" s="8">
        <f t="shared" si="391"/>
        <v>29278</v>
      </c>
      <c r="AI780" s="8">
        <v>-136037</v>
      </c>
      <c r="AJ780" s="8">
        <f t="shared" si="392"/>
        <v>-26174</v>
      </c>
      <c r="AK780" s="8">
        <v>120445</v>
      </c>
      <c r="AL780" s="8">
        <f t="shared" si="393"/>
        <v>2104</v>
      </c>
      <c r="AM780" s="8">
        <v>334940</v>
      </c>
      <c r="AN780" s="8">
        <f t="shared" si="394"/>
        <v>28948</v>
      </c>
      <c r="AO780" s="8">
        <v>-214495</v>
      </c>
      <c r="AP780" s="8">
        <f t="shared" si="407"/>
        <v>-26844</v>
      </c>
      <c r="AR780" s="8">
        <v>2557937</v>
      </c>
      <c r="AS780" s="8">
        <f t="shared" si="408"/>
        <v>119595</v>
      </c>
      <c r="AT780" s="8">
        <v>344039</v>
      </c>
      <c r="AU780" s="8">
        <f t="shared" si="409"/>
        <v>-51693</v>
      </c>
      <c r="AV780" s="8">
        <v>27703</v>
      </c>
      <c r="AW780" s="8">
        <f t="shared" si="410"/>
        <v>4519</v>
      </c>
      <c r="AX780" s="8">
        <v>316336</v>
      </c>
      <c r="AY780" s="8">
        <f t="shared" si="386"/>
        <v>-56212</v>
      </c>
      <c r="AZ780" s="8">
        <v>1044214</v>
      </c>
      <c r="BA780" s="8">
        <f t="shared" si="411"/>
        <v>81225</v>
      </c>
      <c r="BB780" s="8">
        <v>1483050</v>
      </c>
      <c r="BC780" s="8">
        <f t="shared" si="412"/>
        <v>36948</v>
      </c>
      <c r="BD780" s="8">
        <v>-438836</v>
      </c>
      <c r="BE780" s="8">
        <f t="shared" si="413"/>
        <v>44277</v>
      </c>
      <c r="BF780" s="8">
        <v>672426</v>
      </c>
      <c r="BG780" s="8">
        <f t="shared" si="414"/>
        <v>73219</v>
      </c>
      <c r="BH780" s="8">
        <v>1346389</v>
      </c>
      <c r="BI780" s="8">
        <f t="shared" si="415"/>
        <v>24542</v>
      </c>
      <c r="BJ780" s="8">
        <v>-673963</v>
      </c>
      <c r="BK780" s="8">
        <f t="shared" si="389"/>
        <v>48677</v>
      </c>
    </row>
    <row r="781" spans="1:63">
      <c r="A781" s="5">
        <f t="shared" si="385"/>
        <v>44334</v>
      </c>
      <c r="B781" s="8">
        <v>623254</v>
      </c>
      <c r="C781" s="8">
        <f t="shared" si="395"/>
        <v>20255</v>
      </c>
      <c r="D781" s="8">
        <v>100828</v>
      </c>
      <c r="E781" s="8">
        <f t="shared" si="396"/>
        <v>-3342</v>
      </c>
      <c r="F781" s="8">
        <v>17608</v>
      </c>
      <c r="G781" s="8">
        <f t="shared" si="397"/>
        <v>-712</v>
      </c>
      <c r="H781" s="8">
        <v>83220</v>
      </c>
      <c r="I781" s="8">
        <f t="shared" si="398"/>
        <v>-2630</v>
      </c>
      <c r="J781" s="8">
        <v>274477</v>
      </c>
      <c r="K781" s="8">
        <f t="shared" si="399"/>
        <v>5895</v>
      </c>
      <c r="L781" s="8">
        <v>376679</v>
      </c>
      <c r="M781" s="8">
        <f t="shared" si="400"/>
        <v>6121</v>
      </c>
      <c r="N781" s="8">
        <v>-102202</v>
      </c>
      <c r="O781" s="8">
        <f t="shared" si="401"/>
        <v>-226</v>
      </c>
      <c r="P781" s="8">
        <v>132155</v>
      </c>
      <c r="Q781" s="8">
        <f t="shared" si="402"/>
        <v>3163</v>
      </c>
      <c r="R781" s="8">
        <v>348387</v>
      </c>
      <c r="S781" s="8">
        <f t="shared" si="403"/>
        <v>4568</v>
      </c>
      <c r="T781" s="8">
        <v>-216232</v>
      </c>
      <c r="U781" s="8">
        <f t="shared" si="404"/>
        <v>-1405</v>
      </c>
      <c r="W781" s="8">
        <v>467317</v>
      </c>
      <c r="X781" s="8">
        <f t="shared" si="405"/>
        <v>-22441</v>
      </c>
      <c r="Y781" s="8">
        <v>60786</v>
      </c>
      <c r="Z781" s="8">
        <f t="shared" si="406"/>
        <v>-14713</v>
      </c>
      <c r="AA781" s="8">
        <v>9941</v>
      </c>
      <c r="AB781" s="8">
        <f t="shared" si="387"/>
        <v>4058</v>
      </c>
      <c r="AC781" s="8">
        <v>50845</v>
      </c>
      <c r="AD781" s="8">
        <f t="shared" si="388"/>
        <v>-18771</v>
      </c>
      <c r="AE781" s="8">
        <v>217298</v>
      </c>
      <c r="AF781" s="8">
        <f t="shared" si="390"/>
        <v>-713</v>
      </c>
      <c r="AG781" s="8">
        <v>330207</v>
      </c>
      <c r="AH781" s="8">
        <f t="shared" si="391"/>
        <v>-23841</v>
      </c>
      <c r="AI781" s="8">
        <v>-112909</v>
      </c>
      <c r="AJ781" s="8">
        <f t="shared" si="392"/>
        <v>23128</v>
      </c>
      <c r="AK781" s="8">
        <v>117985</v>
      </c>
      <c r="AL781" s="8">
        <f t="shared" si="393"/>
        <v>-2460</v>
      </c>
      <c r="AM781" s="8">
        <v>311114</v>
      </c>
      <c r="AN781" s="8">
        <f t="shared" si="394"/>
        <v>-23826</v>
      </c>
      <c r="AO781" s="8">
        <v>-193129</v>
      </c>
      <c r="AP781" s="8">
        <f t="shared" si="407"/>
        <v>21366</v>
      </c>
      <c r="AR781" s="8">
        <v>2493255</v>
      </c>
      <c r="AS781" s="8">
        <f t="shared" si="408"/>
        <v>-64682</v>
      </c>
      <c r="AT781" s="8">
        <v>326504</v>
      </c>
      <c r="AU781" s="8">
        <f t="shared" si="409"/>
        <v>-17535</v>
      </c>
      <c r="AV781" s="8">
        <v>35479</v>
      </c>
      <c r="AW781" s="8">
        <f t="shared" si="410"/>
        <v>7776</v>
      </c>
      <c r="AX781" s="8">
        <v>291025</v>
      </c>
      <c r="AY781" s="8">
        <f t="shared" si="386"/>
        <v>-25311</v>
      </c>
      <c r="AZ781" s="8">
        <v>1055357</v>
      </c>
      <c r="BA781" s="8">
        <f t="shared" si="411"/>
        <v>11143</v>
      </c>
      <c r="BB781" s="8">
        <v>1443686</v>
      </c>
      <c r="BC781" s="8">
        <f t="shared" si="412"/>
        <v>-39364</v>
      </c>
      <c r="BD781" s="8">
        <v>-388329</v>
      </c>
      <c r="BE781" s="8">
        <f t="shared" si="413"/>
        <v>50507</v>
      </c>
      <c r="BF781" s="8">
        <v>685471</v>
      </c>
      <c r="BG781" s="8">
        <f t="shared" si="414"/>
        <v>13045</v>
      </c>
      <c r="BH781" s="8">
        <v>1313409</v>
      </c>
      <c r="BI781" s="8">
        <f t="shared" si="415"/>
        <v>-32980</v>
      </c>
      <c r="BJ781" s="8">
        <v>-627938</v>
      </c>
      <c r="BK781" s="8">
        <f t="shared" si="389"/>
        <v>46025</v>
      </c>
    </row>
    <row r="782" spans="1:63">
      <c r="A782" s="5">
        <f t="shared" si="385"/>
        <v>44341</v>
      </c>
      <c r="B782" s="8">
        <v>619928</v>
      </c>
      <c r="C782" s="8">
        <f t="shared" si="395"/>
        <v>-3326</v>
      </c>
      <c r="D782" s="8">
        <v>102989</v>
      </c>
      <c r="E782" s="8">
        <f t="shared" si="396"/>
        <v>2161</v>
      </c>
      <c r="F782" s="8">
        <v>17662</v>
      </c>
      <c r="G782" s="8">
        <f t="shared" si="397"/>
        <v>54</v>
      </c>
      <c r="H782" s="8">
        <v>85327</v>
      </c>
      <c r="I782" s="8">
        <f t="shared" si="398"/>
        <v>2107</v>
      </c>
      <c r="J782" s="8">
        <v>276598</v>
      </c>
      <c r="K782" s="8">
        <f t="shared" si="399"/>
        <v>2121</v>
      </c>
      <c r="L782" s="8">
        <v>380832</v>
      </c>
      <c r="M782" s="8">
        <f t="shared" si="400"/>
        <v>4153</v>
      </c>
      <c r="N782" s="8">
        <v>-104234</v>
      </c>
      <c r="O782" s="8">
        <f t="shared" si="401"/>
        <v>-2032</v>
      </c>
      <c r="P782" s="8">
        <v>133544</v>
      </c>
      <c r="Q782" s="8">
        <f t="shared" si="402"/>
        <v>1389</v>
      </c>
      <c r="R782" s="8">
        <v>353034</v>
      </c>
      <c r="S782" s="8">
        <f t="shared" si="403"/>
        <v>4647</v>
      </c>
      <c r="T782" s="8">
        <v>-219490</v>
      </c>
      <c r="U782" s="8">
        <f t="shared" si="404"/>
        <v>-3258</v>
      </c>
      <c r="W782" s="8">
        <v>456909</v>
      </c>
      <c r="X782" s="8">
        <f t="shared" si="405"/>
        <v>-10408</v>
      </c>
      <c r="Y782" s="8">
        <v>49794</v>
      </c>
      <c r="Z782" s="8">
        <f t="shared" si="406"/>
        <v>-10992</v>
      </c>
      <c r="AA782" s="8">
        <v>24562</v>
      </c>
      <c r="AB782" s="8">
        <f t="shared" si="387"/>
        <v>14621</v>
      </c>
      <c r="AC782" s="8">
        <v>25232</v>
      </c>
      <c r="AD782" s="8">
        <f t="shared" si="388"/>
        <v>-25613</v>
      </c>
      <c r="AE782" s="8">
        <v>222168</v>
      </c>
      <c r="AF782" s="8">
        <f t="shared" si="390"/>
        <v>4870</v>
      </c>
      <c r="AG782" s="8">
        <v>304453</v>
      </c>
      <c r="AH782" s="8">
        <f t="shared" si="391"/>
        <v>-25754</v>
      </c>
      <c r="AI782" s="8">
        <v>-82285</v>
      </c>
      <c r="AJ782" s="8">
        <f t="shared" si="392"/>
        <v>30624</v>
      </c>
      <c r="AK782" s="8">
        <v>124346</v>
      </c>
      <c r="AL782" s="8">
        <f t="shared" si="393"/>
        <v>6361</v>
      </c>
      <c r="AM782" s="8">
        <v>287101</v>
      </c>
      <c r="AN782" s="8">
        <f t="shared" si="394"/>
        <v>-24013</v>
      </c>
      <c r="AO782" s="8">
        <v>-162755</v>
      </c>
      <c r="AP782" s="8">
        <f t="shared" si="407"/>
        <v>30374</v>
      </c>
      <c r="AR782" s="8">
        <v>2433267</v>
      </c>
      <c r="AS782" s="8">
        <f t="shared" si="408"/>
        <v>-59988</v>
      </c>
      <c r="AT782" s="8">
        <v>307277</v>
      </c>
      <c r="AU782" s="8">
        <f t="shared" si="409"/>
        <v>-19227</v>
      </c>
      <c r="AV782" s="8">
        <v>39186</v>
      </c>
      <c r="AW782" s="8">
        <f t="shared" si="410"/>
        <v>3707</v>
      </c>
      <c r="AX782" s="8">
        <v>268091</v>
      </c>
      <c r="AY782" s="8">
        <f t="shared" si="386"/>
        <v>-22934</v>
      </c>
      <c r="AZ782" s="8">
        <v>1066095</v>
      </c>
      <c r="BA782" s="8">
        <f t="shared" si="411"/>
        <v>10738</v>
      </c>
      <c r="BB782" s="8">
        <v>1411506</v>
      </c>
      <c r="BC782" s="8">
        <f t="shared" si="412"/>
        <v>-32180</v>
      </c>
      <c r="BD782" s="8">
        <v>-345411</v>
      </c>
      <c r="BE782" s="8">
        <f t="shared" si="413"/>
        <v>42918</v>
      </c>
      <c r="BF782" s="8">
        <v>689172</v>
      </c>
      <c r="BG782" s="8">
        <f t="shared" si="414"/>
        <v>3701</v>
      </c>
      <c r="BH782" s="8">
        <v>1283485</v>
      </c>
      <c r="BI782" s="8">
        <f t="shared" si="415"/>
        <v>-29924</v>
      </c>
      <c r="BJ782" s="8">
        <v>-594313</v>
      </c>
      <c r="BK782" s="8">
        <f t="shared" si="389"/>
        <v>33625</v>
      </c>
    </row>
    <row r="783" spans="1:63">
      <c r="A783" s="5">
        <f t="shared" si="385"/>
        <v>44348</v>
      </c>
      <c r="B783" s="8">
        <v>650311</v>
      </c>
      <c r="C783" s="8">
        <f t="shared" si="395"/>
        <v>30383</v>
      </c>
      <c r="D783" s="8">
        <v>106687</v>
      </c>
      <c r="E783" s="8">
        <f t="shared" si="396"/>
        <v>3698</v>
      </c>
      <c r="F783" s="8">
        <v>20603</v>
      </c>
      <c r="G783" s="8">
        <f t="shared" si="397"/>
        <v>2941</v>
      </c>
      <c r="H783" s="8">
        <v>86084</v>
      </c>
      <c r="I783" s="8">
        <f t="shared" si="398"/>
        <v>757</v>
      </c>
      <c r="J783" s="8">
        <v>286011</v>
      </c>
      <c r="K783" s="8">
        <f t="shared" si="399"/>
        <v>9413</v>
      </c>
      <c r="L783" s="8">
        <v>395242</v>
      </c>
      <c r="M783" s="8">
        <f t="shared" si="400"/>
        <v>14410</v>
      </c>
      <c r="N783" s="8">
        <v>-109231</v>
      </c>
      <c r="O783" s="8">
        <f t="shared" si="401"/>
        <v>-4997</v>
      </c>
      <c r="P783" s="8">
        <v>143369</v>
      </c>
      <c r="Q783" s="8">
        <f t="shared" si="402"/>
        <v>9825</v>
      </c>
      <c r="R783" s="8">
        <v>367088</v>
      </c>
      <c r="S783" s="8">
        <f t="shared" si="403"/>
        <v>14054</v>
      </c>
      <c r="T783" s="8">
        <v>-223719</v>
      </c>
      <c r="U783" s="8">
        <f t="shared" si="404"/>
        <v>-4229</v>
      </c>
      <c r="W783" s="8">
        <v>457200</v>
      </c>
      <c r="X783" s="8">
        <f t="shared" si="405"/>
        <v>291</v>
      </c>
      <c r="Y783" s="8">
        <v>45155</v>
      </c>
      <c r="Z783" s="8">
        <f t="shared" si="406"/>
        <v>-4639</v>
      </c>
      <c r="AA783" s="8">
        <v>24270</v>
      </c>
      <c r="AB783" s="8">
        <f t="shared" si="387"/>
        <v>-292</v>
      </c>
      <c r="AC783" s="8">
        <v>20885</v>
      </c>
      <c r="AD783" s="8">
        <f t="shared" si="388"/>
        <v>-4347</v>
      </c>
      <c r="AE783" s="8">
        <v>224809</v>
      </c>
      <c r="AF783" s="8">
        <f t="shared" si="390"/>
        <v>2641</v>
      </c>
      <c r="AG783" s="8">
        <v>301414</v>
      </c>
      <c r="AH783" s="8">
        <f t="shared" si="391"/>
        <v>-3039</v>
      </c>
      <c r="AI783" s="8">
        <v>-76605</v>
      </c>
      <c r="AJ783" s="8">
        <f t="shared" si="392"/>
        <v>5680</v>
      </c>
      <c r="AK783" s="8">
        <v>124884</v>
      </c>
      <c r="AL783" s="8">
        <f t="shared" si="393"/>
        <v>538</v>
      </c>
      <c r="AM783" s="8">
        <v>283850</v>
      </c>
      <c r="AN783" s="8">
        <f t="shared" si="394"/>
        <v>-3251</v>
      </c>
      <c r="AO783" s="8">
        <v>-158966</v>
      </c>
      <c r="AP783" s="8">
        <f t="shared" si="407"/>
        <v>3789</v>
      </c>
      <c r="AR783" s="8">
        <v>2527672</v>
      </c>
      <c r="AS783" s="8">
        <f t="shared" si="408"/>
        <v>94405</v>
      </c>
      <c r="AT783" s="8">
        <v>317219</v>
      </c>
      <c r="AU783" s="8">
        <f t="shared" si="409"/>
        <v>9942</v>
      </c>
      <c r="AV783" s="8">
        <v>27283</v>
      </c>
      <c r="AW783" s="8">
        <f t="shared" si="410"/>
        <v>-11903</v>
      </c>
      <c r="AX783" s="8">
        <v>289936</v>
      </c>
      <c r="AY783" s="8">
        <f t="shared" si="386"/>
        <v>21845</v>
      </c>
      <c r="AZ783" s="8">
        <v>1070880</v>
      </c>
      <c r="BA783" s="8">
        <f t="shared" si="411"/>
        <v>4785</v>
      </c>
      <c r="BB783" s="8">
        <v>1454203</v>
      </c>
      <c r="BC783" s="8">
        <f t="shared" si="412"/>
        <v>42697</v>
      </c>
      <c r="BD783" s="8">
        <v>-383323</v>
      </c>
      <c r="BE783" s="8">
        <f t="shared" si="413"/>
        <v>-37912</v>
      </c>
      <c r="BF783" s="8">
        <v>691333</v>
      </c>
      <c r="BG783" s="8">
        <f t="shared" si="414"/>
        <v>2161</v>
      </c>
      <c r="BH783" s="8">
        <v>1319624</v>
      </c>
      <c r="BI783" s="8">
        <f t="shared" si="415"/>
        <v>36139</v>
      </c>
      <c r="BJ783" s="8">
        <v>-628291</v>
      </c>
      <c r="BK783" s="8">
        <f t="shared" si="389"/>
        <v>-33978</v>
      </c>
    </row>
    <row r="784" spans="1:63">
      <c r="A784" s="5">
        <f t="shared" si="385"/>
        <v>44355</v>
      </c>
      <c r="B784" s="8">
        <v>667461</v>
      </c>
      <c r="C784" s="8">
        <f t="shared" si="395"/>
        <v>17150</v>
      </c>
      <c r="D784" s="8">
        <v>97425</v>
      </c>
      <c r="E784" s="8">
        <f t="shared" si="396"/>
        <v>-9262</v>
      </c>
      <c r="F784" s="8">
        <v>16105</v>
      </c>
      <c r="G784" s="8">
        <f t="shared" si="397"/>
        <v>-4498</v>
      </c>
      <c r="H784" s="8">
        <v>81320</v>
      </c>
      <c r="I784" s="8">
        <f t="shared" si="398"/>
        <v>-4764</v>
      </c>
      <c r="J784" s="8">
        <v>290650</v>
      </c>
      <c r="K784" s="8">
        <f t="shared" si="399"/>
        <v>4639</v>
      </c>
      <c r="L784" s="8">
        <v>392689</v>
      </c>
      <c r="M784" s="8">
        <f t="shared" si="400"/>
        <v>-2553</v>
      </c>
      <c r="N784" s="8">
        <v>-102039</v>
      </c>
      <c r="O784" s="8">
        <f t="shared" si="401"/>
        <v>7192</v>
      </c>
      <c r="P784" s="8">
        <v>145856</v>
      </c>
      <c r="Q784" s="8">
        <f t="shared" si="402"/>
        <v>2487</v>
      </c>
      <c r="R784" s="8">
        <v>362300</v>
      </c>
      <c r="S784" s="8">
        <f t="shared" si="403"/>
        <v>-4788</v>
      </c>
      <c r="T784" s="8">
        <v>-216444</v>
      </c>
      <c r="U784" s="8">
        <f t="shared" si="404"/>
        <v>7275</v>
      </c>
      <c r="W784" s="8">
        <v>463283</v>
      </c>
      <c r="X784" s="8">
        <f t="shared" si="405"/>
        <v>6083</v>
      </c>
      <c r="Y784" s="8">
        <v>47345</v>
      </c>
      <c r="Z784" s="8">
        <f t="shared" si="406"/>
        <v>2190</v>
      </c>
      <c r="AA784" s="8">
        <v>20625</v>
      </c>
      <c r="AB784" s="8">
        <f t="shared" si="387"/>
        <v>-3645</v>
      </c>
      <c r="AC784" s="8">
        <v>26720</v>
      </c>
      <c r="AD784" s="8">
        <f t="shared" si="388"/>
        <v>5835</v>
      </c>
      <c r="AE784" s="8">
        <v>228825</v>
      </c>
      <c r="AF784" s="8">
        <f t="shared" si="390"/>
        <v>4016</v>
      </c>
      <c r="AG784" s="8">
        <v>306851</v>
      </c>
      <c r="AH784" s="8">
        <f t="shared" si="391"/>
        <v>5437</v>
      </c>
      <c r="AI784" s="8">
        <v>-78026</v>
      </c>
      <c r="AJ784" s="8">
        <f t="shared" si="392"/>
        <v>-1421</v>
      </c>
      <c r="AK784" s="8">
        <v>126832</v>
      </c>
      <c r="AL784" s="8">
        <f t="shared" si="393"/>
        <v>1948</v>
      </c>
      <c r="AM784" s="8">
        <v>289019</v>
      </c>
      <c r="AN784" s="8">
        <f t="shared" si="394"/>
        <v>5169</v>
      </c>
      <c r="AO784" s="8">
        <v>-162187</v>
      </c>
      <c r="AP784" s="8">
        <f t="shared" si="407"/>
        <v>-3221</v>
      </c>
      <c r="AR784" s="8">
        <v>2559044</v>
      </c>
      <c r="AS784" s="8">
        <f t="shared" si="408"/>
        <v>31372</v>
      </c>
      <c r="AT784" s="8">
        <v>308518</v>
      </c>
      <c r="AU784" s="8">
        <f t="shared" si="409"/>
        <v>-8701</v>
      </c>
      <c r="AV784" s="8">
        <v>32919</v>
      </c>
      <c r="AW784" s="8">
        <f t="shared" si="410"/>
        <v>5636</v>
      </c>
      <c r="AX784" s="8">
        <v>275599</v>
      </c>
      <c r="AY784" s="8">
        <f t="shared" si="386"/>
        <v>-14337</v>
      </c>
      <c r="AZ784" s="8">
        <v>1088332</v>
      </c>
      <c r="BA784" s="8">
        <f t="shared" si="411"/>
        <v>17452</v>
      </c>
      <c r="BB784" s="8">
        <v>1456185</v>
      </c>
      <c r="BC784" s="8">
        <f t="shared" si="412"/>
        <v>1982</v>
      </c>
      <c r="BD784" s="8">
        <v>-367853</v>
      </c>
      <c r="BE784" s="8">
        <f t="shared" si="413"/>
        <v>15470</v>
      </c>
      <c r="BF784" s="8">
        <v>710380</v>
      </c>
      <c r="BG784" s="8">
        <f t="shared" si="414"/>
        <v>19047</v>
      </c>
      <c r="BH784" s="8">
        <v>1314031</v>
      </c>
      <c r="BI784" s="8">
        <f t="shared" si="415"/>
        <v>-5593</v>
      </c>
      <c r="BJ784" s="8">
        <v>-603651</v>
      </c>
      <c r="BK784" s="8">
        <f t="shared" si="389"/>
        <v>24640</v>
      </c>
    </row>
    <row r="785" spans="1:63">
      <c r="A785" s="5">
        <f t="shared" si="385"/>
        <v>44362</v>
      </c>
      <c r="B785" s="8">
        <v>662386</v>
      </c>
      <c r="C785" s="8">
        <f t="shared" si="395"/>
        <v>-5075</v>
      </c>
      <c r="D785" s="8">
        <v>86192</v>
      </c>
      <c r="E785" s="8">
        <f t="shared" si="396"/>
        <v>-11233</v>
      </c>
      <c r="F785" s="8">
        <v>18966</v>
      </c>
      <c r="G785" s="8">
        <f t="shared" si="397"/>
        <v>2861</v>
      </c>
      <c r="H785" s="8">
        <v>67226</v>
      </c>
      <c r="I785" s="8">
        <f t="shared" si="398"/>
        <v>-14094</v>
      </c>
      <c r="J785" s="8">
        <v>309129</v>
      </c>
      <c r="K785" s="8">
        <f t="shared" si="399"/>
        <v>18479</v>
      </c>
      <c r="L785" s="8">
        <v>392067</v>
      </c>
      <c r="M785" s="8">
        <f t="shared" si="400"/>
        <v>-622</v>
      </c>
      <c r="N785" s="8">
        <v>-82938</v>
      </c>
      <c r="O785" s="8">
        <f t="shared" si="401"/>
        <v>19101</v>
      </c>
      <c r="P785" s="8">
        <v>161072</v>
      </c>
      <c r="Q785" s="8">
        <f t="shared" si="402"/>
        <v>15216</v>
      </c>
      <c r="R785" s="8">
        <v>362151</v>
      </c>
      <c r="S785" s="8">
        <f t="shared" si="403"/>
        <v>-149</v>
      </c>
      <c r="T785" s="8">
        <v>-201079</v>
      </c>
      <c r="U785" s="8">
        <f t="shared" si="404"/>
        <v>15365</v>
      </c>
      <c r="W785" s="8">
        <v>468746</v>
      </c>
      <c r="X785" s="8">
        <f t="shared" si="405"/>
        <v>5463</v>
      </c>
      <c r="Y785" s="8">
        <v>45930</v>
      </c>
      <c r="Z785" s="8">
        <f t="shared" si="406"/>
        <v>-1415</v>
      </c>
      <c r="AA785" s="8">
        <v>26838</v>
      </c>
      <c r="AB785" s="8">
        <f t="shared" si="387"/>
        <v>6213</v>
      </c>
      <c r="AC785" s="8">
        <v>19092</v>
      </c>
      <c r="AD785" s="8">
        <f t="shared" si="388"/>
        <v>-7628</v>
      </c>
      <c r="AE785" s="8">
        <v>238351</v>
      </c>
      <c r="AF785" s="8">
        <f t="shared" si="390"/>
        <v>9526</v>
      </c>
      <c r="AG785" s="8">
        <v>305327</v>
      </c>
      <c r="AH785" s="8">
        <f t="shared" si="391"/>
        <v>-1524</v>
      </c>
      <c r="AI785" s="8">
        <v>-66976</v>
      </c>
      <c r="AJ785" s="8">
        <f t="shared" si="392"/>
        <v>11050</v>
      </c>
      <c r="AK785" s="8">
        <v>131510</v>
      </c>
      <c r="AL785" s="8">
        <f t="shared" si="393"/>
        <v>4678</v>
      </c>
      <c r="AM785" s="8">
        <v>286295</v>
      </c>
      <c r="AN785" s="8">
        <f t="shared" si="394"/>
        <v>-2724</v>
      </c>
      <c r="AO785" s="8">
        <v>-154785</v>
      </c>
      <c r="AP785" s="8">
        <f t="shared" si="407"/>
        <v>7402</v>
      </c>
      <c r="AR785" s="8">
        <v>2538875</v>
      </c>
      <c r="AS785" s="8">
        <f t="shared" si="408"/>
        <v>-20169</v>
      </c>
      <c r="AT785" s="8">
        <v>288661</v>
      </c>
      <c r="AU785" s="8">
        <f t="shared" si="409"/>
        <v>-19857</v>
      </c>
      <c r="AV785" s="8">
        <v>35931</v>
      </c>
      <c r="AW785" s="8">
        <f t="shared" si="410"/>
        <v>3012</v>
      </c>
      <c r="AX785" s="8">
        <v>252730</v>
      </c>
      <c r="AY785" s="8">
        <f t="shared" si="386"/>
        <v>-22869</v>
      </c>
      <c r="AZ785" s="8">
        <v>1091522</v>
      </c>
      <c r="BA785" s="8">
        <f t="shared" si="411"/>
        <v>3190</v>
      </c>
      <c r="BB785" s="8">
        <v>1419762</v>
      </c>
      <c r="BC785" s="8">
        <f t="shared" si="412"/>
        <v>-36423</v>
      </c>
      <c r="BD785" s="8">
        <v>-328240</v>
      </c>
      <c r="BE785" s="8">
        <f t="shared" si="413"/>
        <v>39613</v>
      </c>
      <c r="BF785" s="8">
        <v>700802</v>
      </c>
      <c r="BG785" s="8">
        <f t="shared" si="414"/>
        <v>-9578</v>
      </c>
      <c r="BH785" s="8">
        <v>1268488</v>
      </c>
      <c r="BI785" s="8">
        <f t="shared" si="415"/>
        <v>-45543</v>
      </c>
      <c r="BJ785" s="8">
        <v>-567686</v>
      </c>
      <c r="BK785" s="8">
        <f t="shared" si="389"/>
        <v>35965</v>
      </c>
    </row>
    <row r="786" spans="1:63">
      <c r="A786" s="5">
        <f t="shared" si="385"/>
        <v>44369</v>
      </c>
      <c r="B786" s="8">
        <v>631820</v>
      </c>
      <c r="C786" s="8">
        <f t="shared" si="395"/>
        <v>-30566</v>
      </c>
      <c r="D786" s="8">
        <v>69664</v>
      </c>
      <c r="E786" s="8">
        <f t="shared" si="396"/>
        <v>-16528</v>
      </c>
      <c r="F786" s="8">
        <v>17512</v>
      </c>
      <c r="G786" s="8">
        <f t="shared" si="397"/>
        <v>-1454</v>
      </c>
      <c r="H786" s="8">
        <v>52152</v>
      </c>
      <c r="I786" s="8">
        <f t="shared" si="398"/>
        <v>-15074</v>
      </c>
      <c r="J786" s="8">
        <v>302391</v>
      </c>
      <c r="K786" s="8">
        <f t="shared" si="399"/>
        <v>-6738</v>
      </c>
      <c r="L786" s="8">
        <v>362247</v>
      </c>
      <c r="M786" s="8">
        <f t="shared" si="400"/>
        <v>-29820</v>
      </c>
      <c r="N786" s="8">
        <v>-59856</v>
      </c>
      <c r="O786" s="8">
        <f t="shared" si="401"/>
        <v>23082</v>
      </c>
      <c r="P786" s="8">
        <v>155045</v>
      </c>
      <c r="Q786" s="8">
        <f t="shared" si="402"/>
        <v>-6027</v>
      </c>
      <c r="R786" s="8">
        <v>332191</v>
      </c>
      <c r="S786" s="8">
        <f t="shared" si="403"/>
        <v>-29960</v>
      </c>
      <c r="T786" s="8">
        <v>-177146</v>
      </c>
      <c r="U786" s="8">
        <f t="shared" si="404"/>
        <v>23933</v>
      </c>
      <c r="W786" s="8">
        <v>464731</v>
      </c>
      <c r="X786" s="8">
        <f t="shared" si="405"/>
        <v>-4015</v>
      </c>
      <c r="Y786" s="8">
        <v>47358</v>
      </c>
      <c r="Z786" s="8">
        <f t="shared" si="406"/>
        <v>1428</v>
      </c>
      <c r="AA786" s="8">
        <v>27226</v>
      </c>
      <c r="AB786" s="8">
        <f t="shared" si="387"/>
        <v>388</v>
      </c>
      <c r="AC786" s="8">
        <v>20132</v>
      </c>
      <c r="AD786" s="8">
        <f t="shared" si="388"/>
        <v>1040</v>
      </c>
      <c r="AE786" s="8">
        <v>236858</v>
      </c>
      <c r="AF786" s="8">
        <f t="shared" si="390"/>
        <v>-1493</v>
      </c>
      <c r="AG786" s="8">
        <v>302471</v>
      </c>
      <c r="AH786" s="8">
        <f t="shared" si="391"/>
        <v>-2856</v>
      </c>
      <c r="AI786" s="8">
        <v>-65613</v>
      </c>
      <c r="AJ786" s="8">
        <f t="shared" si="392"/>
        <v>1363</v>
      </c>
      <c r="AK786" s="8">
        <v>128535</v>
      </c>
      <c r="AL786" s="8">
        <f t="shared" si="393"/>
        <v>-2975</v>
      </c>
      <c r="AM786" s="8">
        <v>283938</v>
      </c>
      <c r="AN786" s="8">
        <f t="shared" si="394"/>
        <v>-2357</v>
      </c>
      <c r="AO786" s="8">
        <v>-155403</v>
      </c>
      <c r="AP786" s="8">
        <f t="shared" si="407"/>
        <v>-618</v>
      </c>
      <c r="AR786" s="8">
        <v>2414293</v>
      </c>
      <c r="AS786" s="8">
        <f t="shared" si="408"/>
        <v>-124582</v>
      </c>
      <c r="AT786" s="8">
        <v>273265</v>
      </c>
      <c r="AU786" s="8">
        <f t="shared" si="409"/>
        <v>-15396</v>
      </c>
      <c r="AV786" s="8">
        <v>29800</v>
      </c>
      <c r="AW786" s="8">
        <f t="shared" si="410"/>
        <v>-6131</v>
      </c>
      <c r="AX786" s="8">
        <v>243465</v>
      </c>
      <c r="AY786" s="8">
        <f t="shared" si="386"/>
        <v>-9265</v>
      </c>
      <c r="AZ786" s="8">
        <v>1029438</v>
      </c>
      <c r="BA786" s="8">
        <f t="shared" si="411"/>
        <v>-62084</v>
      </c>
      <c r="BB786" s="8">
        <v>1325596</v>
      </c>
      <c r="BC786" s="8">
        <f t="shared" si="412"/>
        <v>-94166</v>
      </c>
      <c r="BD786" s="8">
        <v>-296158</v>
      </c>
      <c r="BE786" s="8">
        <f t="shared" si="413"/>
        <v>32082</v>
      </c>
      <c r="BF786" s="8">
        <v>642037</v>
      </c>
      <c r="BG786" s="8">
        <f t="shared" si="414"/>
        <v>-58765</v>
      </c>
      <c r="BH786" s="8">
        <v>1178567</v>
      </c>
      <c r="BI786" s="8">
        <f t="shared" si="415"/>
        <v>-89921</v>
      </c>
      <c r="BJ786" s="8">
        <v>-536530</v>
      </c>
      <c r="BK786" s="8">
        <f t="shared" si="389"/>
        <v>31156</v>
      </c>
    </row>
    <row r="787" spans="1:63">
      <c r="A787" s="5">
        <f t="shared" si="385"/>
        <v>44376</v>
      </c>
      <c r="B787" s="8">
        <v>577346</v>
      </c>
      <c r="C787" s="8">
        <f t="shared" si="395"/>
        <v>-54474</v>
      </c>
      <c r="D787" s="8">
        <v>69818</v>
      </c>
      <c r="E787" s="8">
        <f t="shared" si="396"/>
        <v>154</v>
      </c>
      <c r="F787" s="8">
        <v>21644</v>
      </c>
      <c r="G787" s="8">
        <f t="shared" si="397"/>
        <v>4132</v>
      </c>
      <c r="H787" s="8">
        <v>48174</v>
      </c>
      <c r="I787" s="8">
        <f t="shared" si="398"/>
        <v>-3978</v>
      </c>
      <c r="J787" s="8">
        <v>286544</v>
      </c>
      <c r="K787" s="8">
        <f t="shared" si="399"/>
        <v>-15847</v>
      </c>
      <c r="L787" s="8">
        <v>343328</v>
      </c>
      <c r="M787" s="8">
        <f t="shared" si="400"/>
        <v>-18919</v>
      </c>
      <c r="N787" s="8">
        <v>-56784</v>
      </c>
      <c r="O787" s="8">
        <f t="shared" si="401"/>
        <v>3072</v>
      </c>
      <c r="P787" s="8">
        <v>146341</v>
      </c>
      <c r="Q787" s="8">
        <f t="shared" si="402"/>
        <v>-8704</v>
      </c>
      <c r="R787" s="8">
        <v>316807</v>
      </c>
      <c r="S787" s="8">
        <f t="shared" si="403"/>
        <v>-15384</v>
      </c>
      <c r="T787" s="8">
        <v>-170466</v>
      </c>
      <c r="U787" s="8">
        <f t="shared" si="404"/>
        <v>6680</v>
      </c>
      <c r="W787" s="8">
        <v>431181</v>
      </c>
      <c r="X787" s="8">
        <f t="shared" si="405"/>
        <v>-33550</v>
      </c>
      <c r="Y787" s="8">
        <v>47665</v>
      </c>
      <c r="Z787" s="8">
        <f t="shared" si="406"/>
        <v>307</v>
      </c>
      <c r="AA787" s="8">
        <v>31852</v>
      </c>
      <c r="AB787" s="8">
        <f t="shared" si="387"/>
        <v>4626</v>
      </c>
      <c r="AC787" s="8">
        <v>15813</v>
      </c>
      <c r="AD787" s="8">
        <f t="shared" si="388"/>
        <v>-4319</v>
      </c>
      <c r="AE787" s="8">
        <v>219666</v>
      </c>
      <c r="AF787" s="8">
        <f t="shared" si="390"/>
        <v>-17192</v>
      </c>
      <c r="AG787" s="8">
        <v>278533</v>
      </c>
      <c r="AH787" s="8">
        <f t="shared" si="391"/>
        <v>-23938</v>
      </c>
      <c r="AI787" s="8">
        <v>-58867</v>
      </c>
      <c r="AJ787" s="8">
        <f t="shared" si="392"/>
        <v>6746</v>
      </c>
      <c r="AK787" s="8">
        <v>117410</v>
      </c>
      <c r="AL787" s="8">
        <f t="shared" si="393"/>
        <v>-11125</v>
      </c>
      <c r="AM787" s="8">
        <v>265821</v>
      </c>
      <c r="AN787" s="8">
        <f t="shared" si="394"/>
        <v>-18117</v>
      </c>
      <c r="AO787" s="8">
        <v>-148411</v>
      </c>
      <c r="AP787" s="8">
        <f t="shared" si="407"/>
        <v>6992</v>
      </c>
      <c r="AR787" s="8">
        <v>2063095</v>
      </c>
      <c r="AS787" s="8">
        <f t="shared" si="408"/>
        <v>-351198</v>
      </c>
      <c r="AT787" s="8">
        <v>277442</v>
      </c>
      <c r="AU787" s="8">
        <f t="shared" si="409"/>
        <v>4177</v>
      </c>
      <c r="AV787" s="8">
        <v>32008</v>
      </c>
      <c r="AW787" s="8">
        <f t="shared" si="410"/>
        <v>2208</v>
      </c>
      <c r="AX787" s="8">
        <v>245434</v>
      </c>
      <c r="AY787" s="8">
        <f t="shared" si="386"/>
        <v>1969</v>
      </c>
      <c r="AZ787" s="8">
        <v>898237</v>
      </c>
      <c r="BA787" s="8">
        <f t="shared" si="411"/>
        <v>-131201</v>
      </c>
      <c r="BB787" s="8">
        <v>1185111</v>
      </c>
      <c r="BC787" s="8">
        <f t="shared" si="412"/>
        <v>-140485</v>
      </c>
      <c r="BD787" s="8">
        <v>-286874</v>
      </c>
      <c r="BE787" s="8">
        <f t="shared" si="413"/>
        <v>9284</v>
      </c>
      <c r="BF787" s="8">
        <v>533078</v>
      </c>
      <c r="BG787" s="8">
        <f t="shared" si="414"/>
        <v>-108959</v>
      </c>
      <c r="BH787" s="8">
        <v>1070133</v>
      </c>
      <c r="BI787" s="8">
        <f t="shared" si="415"/>
        <v>-108434</v>
      </c>
      <c r="BJ787" s="8">
        <v>-537055</v>
      </c>
      <c r="BK787" s="8">
        <f t="shared" si="389"/>
        <v>-525</v>
      </c>
    </row>
    <row r="788" spans="1:63">
      <c r="A788" s="5">
        <f t="shared" si="385"/>
        <v>44383</v>
      </c>
      <c r="B788" s="8">
        <v>575457</v>
      </c>
      <c r="C788" s="8">
        <f t="shared" si="395"/>
        <v>-1889</v>
      </c>
      <c r="D788" s="8">
        <v>69447</v>
      </c>
      <c r="E788" s="8">
        <f t="shared" si="396"/>
        <v>-371</v>
      </c>
      <c r="F788" s="8">
        <v>21273</v>
      </c>
      <c r="G788" s="8">
        <f t="shared" si="397"/>
        <v>-371</v>
      </c>
      <c r="H788" s="8">
        <v>48174</v>
      </c>
      <c r="I788" s="8">
        <f t="shared" si="398"/>
        <v>0</v>
      </c>
      <c r="J788" s="8">
        <v>286440</v>
      </c>
      <c r="K788" s="8">
        <f t="shared" si="399"/>
        <v>-104</v>
      </c>
      <c r="L788" s="8">
        <v>340151</v>
      </c>
      <c r="M788" s="8">
        <f t="shared" si="400"/>
        <v>-3177</v>
      </c>
      <c r="N788" s="8">
        <v>-53711</v>
      </c>
      <c r="O788" s="8">
        <f t="shared" si="401"/>
        <v>3073</v>
      </c>
      <c r="P788" s="8">
        <v>148294</v>
      </c>
      <c r="Q788" s="8">
        <f t="shared" si="402"/>
        <v>1953</v>
      </c>
      <c r="R788" s="8">
        <v>312258</v>
      </c>
      <c r="S788" s="8">
        <f t="shared" si="403"/>
        <v>-4549</v>
      </c>
      <c r="T788" s="8">
        <v>-163964</v>
      </c>
      <c r="U788" s="8">
        <f t="shared" si="404"/>
        <v>6502</v>
      </c>
      <c r="W788" s="8">
        <v>426916</v>
      </c>
      <c r="X788" s="8">
        <f t="shared" si="405"/>
        <v>-4265</v>
      </c>
      <c r="Y788" s="8">
        <v>45502</v>
      </c>
      <c r="Z788" s="8">
        <f t="shared" si="406"/>
        <v>-2163</v>
      </c>
      <c r="AA788" s="8">
        <v>24538</v>
      </c>
      <c r="AB788" s="8">
        <f t="shared" si="387"/>
        <v>-7314</v>
      </c>
      <c r="AC788" s="8">
        <v>20964</v>
      </c>
      <c r="AD788" s="8">
        <f t="shared" si="388"/>
        <v>5151</v>
      </c>
      <c r="AE788" s="8">
        <v>214481</v>
      </c>
      <c r="AF788" s="8">
        <f t="shared" si="390"/>
        <v>-5185</v>
      </c>
      <c r="AG788" s="8">
        <v>277754</v>
      </c>
      <c r="AH788" s="8">
        <f t="shared" si="391"/>
        <v>-779</v>
      </c>
      <c r="AI788" s="8">
        <v>-63273</v>
      </c>
      <c r="AJ788" s="8">
        <f t="shared" si="392"/>
        <v>-4406</v>
      </c>
      <c r="AK788" s="8">
        <v>111752</v>
      </c>
      <c r="AL788" s="8">
        <f t="shared" si="393"/>
        <v>-5658</v>
      </c>
      <c r="AM788" s="8">
        <v>264633</v>
      </c>
      <c r="AN788" s="8">
        <f t="shared" si="394"/>
        <v>-1188</v>
      </c>
      <c r="AO788" s="8">
        <v>-152881</v>
      </c>
      <c r="AP788" s="8">
        <f t="shared" si="407"/>
        <v>-4470</v>
      </c>
      <c r="AR788" s="8">
        <v>2095646</v>
      </c>
      <c r="AS788" s="8">
        <f t="shared" si="408"/>
        <v>32551</v>
      </c>
      <c r="AT788" s="8">
        <v>268938</v>
      </c>
      <c r="AU788" s="8">
        <f t="shared" si="409"/>
        <v>-8504</v>
      </c>
      <c r="AV788" s="8">
        <v>49567</v>
      </c>
      <c r="AW788" s="8">
        <f t="shared" si="410"/>
        <v>17559</v>
      </c>
      <c r="AX788" s="8">
        <v>219371</v>
      </c>
      <c r="AY788" s="8">
        <f t="shared" si="386"/>
        <v>-26063</v>
      </c>
      <c r="AZ788" s="8">
        <v>902446</v>
      </c>
      <c r="BA788" s="8">
        <f t="shared" si="411"/>
        <v>4209</v>
      </c>
      <c r="BB788" s="8">
        <v>1164571</v>
      </c>
      <c r="BC788" s="8">
        <f t="shared" si="412"/>
        <v>-20540</v>
      </c>
      <c r="BD788" s="8">
        <v>-262125</v>
      </c>
      <c r="BE788" s="8">
        <f t="shared" si="413"/>
        <v>24749</v>
      </c>
      <c r="BF788" s="8">
        <v>534766</v>
      </c>
      <c r="BG788" s="8">
        <f t="shared" si="414"/>
        <v>1688</v>
      </c>
      <c r="BH788" s="8">
        <v>1048109</v>
      </c>
      <c r="BI788" s="8">
        <f t="shared" si="415"/>
        <v>-22024</v>
      </c>
      <c r="BJ788" s="8">
        <v>-513343</v>
      </c>
      <c r="BK788" s="8">
        <f t="shared" si="389"/>
        <v>23712</v>
      </c>
    </row>
    <row r="789" spans="1:63">
      <c r="A789" s="5">
        <f t="shared" si="385"/>
        <v>44390</v>
      </c>
      <c r="B789" s="8">
        <v>575087</v>
      </c>
      <c r="C789" s="8">
        <f t="shared" si="395"/>
        <v>-370</v>
      </c>
      <c r="D789" s="8">
        <v>71642</v>
      </c>
      <c r="E789" s="8">
        <f t="shared" si="396"/>
        <v>2195</v>
      </c>
      <c r="F789" s="8">
        <v>22715</v>
      </c>
      <c r="G789" s="8">
        <f t="shared" si="397"/>
        <v>1442</v>
      </c>
      <c r="H789" s="8">
        <v>48927</v>
      </c>
      <c r="I789" s="8">
        <f t="shared" si="398"/>
        <v>753</v>
      </c>
      <c r="J789" s="8">
        <v>282472</v>
      </c>
      <c r="K789" s="8">
        <f t="shared" si="399"/>
        <v>-3968</v>
      </c>
      <c r="L789" s="8">
        <v>339291</v>
      </c>
      <c r="M789" s="8">
        <f t="shared" si="400"/>
        <v>-860</v>
      </c>
      <c r="N789" s="8">
        <v>-56819</v>
      </c>
      <c r="O789" s="8">
        <f t="shared" si="401"/>
        <v>-3108</v>
      </c>
      <c r="P789" s="8">
        <v>143341</v>
      </c>
      <c r="Q789" s="8">
        <f t="shared" si="402"/>
        <v>-4953</v>
      </c>
      <c r="R789" s="8">
        <v>310839</v>
      </c>
      <c r="S789" s="8">
        <f t="shared" si="403"/>
        <v>-1419</v>
      </c>
      <c r="T789" s="8">
        <v>-167498</v>
      </c>
      <c r="U789" s="8">
        <f t="shared" si="404"/>
        <v>-3534</v>
      </c>
      <c r="W789" s="8">
        <v>417092</v>
      </c>
      <c r="X789" s="8">
        <f t="shared" si="405"/>
        <v>-9824</v>
      </c>
      <c r="Y789" s="8">
        <v>44955</v>
      </c>
      <c r="Z789" s="8">
        <f t="shared" si="406"/>
        <v>-547</v>
      </c>
      <c r="AA789" s="8">
        <v>28251</v>
      </c>
      <c r="AB789" s="8">
        <f t="shared" si="387"/>
        <v>3713</v>
      </c>
      <c r="AC789" s="8">
        <v>16704</v>
      </c>
      <c r="AD789" s="8">
        <f t="shared" si="388"/>
        <v>-4260</v>
      </c>
      <c r="AE789" s="8">
        <v>216713</v>
      </c>
      <c r="AF789" s="8">
        <f t="shared" si="390"/>
        <v>2232</v>
      </c>
      <c r="AG789" s="8">
        <v>276536</v>
      </c>
      <c r="AH789" s="8">
        <f t="shared" si="391"/>
        <v>-1218</v>
      </c>
      <c r="AI789" s="8">
        <v>-59823</v>
      </c>
      <c r="AJ789" s="8">
        <f t="shared" si="392"/>
        <v>3450</v>
      </c>
      <c r="AK789" s="8">
        <v>116381</v>
      </c>
      <c r="AL789" s="8">
        <f t="shared" si="393"/>
        <v>4629</v>
      </c>
      <c r="AM789" s="8">
        <v>264363</v>
      </c>
      <c r="AN789" s="8">
        <f t="shared" si="394"/>
        <v>-270</v>
      </c>
      <c r="AO789" s="8">
        <v>-147982</v>
      </c>
      <c r="AP789" s="8">
        <f t="shared" si="407"/>
        <v>4899</v>
      </c>
      <c r="AR789" s="8">
        <v>2055274</v>
      </c>
      <c r="AS789" s="8">
        <f t="shared" si="408"/>
        <v>-40372</v>
      </c>
      <c r="AT789" s="8">
        <v>253104</v>
      </c>
      <c r="AU789" s="8">
        <f t="shared" si="409"/>
        <v>-15834</v>
      </c>
      <c r="AV789" s="8">
        <v>44305</v>
      </c>
      <c r="AW789" s="8">
        <f t="shared" si="410"/>
        <v>-5262</v>
      </c>
      <c r="AX789" s="8">
        <v>208799</v>
      </c>
      <c r="AY789" s="8">
        <f t="shared" si="386"/>
        <v>-10572</v>
      </c>
      <c r="AZ789" s="8">
        <v>891231</v>
      </c>
      <c r="BA789" s="8">
        <f t="shared" si="411"/>
        <v>-11215</v>
      </c>
      <c r="BB789" s="8">
        <v>1135351</v>
      </c>
      <c r="BC789" s="8">
        <f t="shared" si="412"/>
        <v>-29220</v>
      </c>
      <c r="BD789" s="8">
        <v>-244120</v>
      </c>
      <c r="BE789" s="8">
        <f t="shared" si="413"/>
        <v>18005</v>
      </c>
      <c r="BF789" s="8">
        <v>527310</v>
      </c>
      <c r="BG789" s="8">
        <f t="shared" si="414"/>
        <v>-7456</v>
      </c>
      <c r="BH789" s="8">
        <v>1025187</v>
      </c>
      <c r="BI789" s="8">
        <f t="shared" si="415"/>
        <v>-22922</v>
      </c>
      <c r="BJ789" s="8">
        <v>-497877</v>
      </c>
      <c r="BK789" s="8">
        <f t="shared" si="389"/>
        <v>15466</v>
      </c>
    </row>
    <row r="790" spans="1:63">
      <c r="A790" s="5">
        <f t="shared" si="385"/>
        <v>44397</v>
      </c>
      <c r="B790" s="8">
        <v>567643</v>
      </c>
      <c r="C790" s="8">
        <f t="shared" si="395"/>
        <v>-7444</v>
      </c>
      <c r="D790" s="8">
        <v>76230</v>
      </c>
      <c r="E790" s="8">
        <f t="shared" si="396"/>
        <v>4588</v>
      </c>
      <c r="F790" s="8">
        <v>19083</v>
      </c>
      <c r="G790" s="8">
        <f t="shared" si="397"/>
        <v>-3632</v>
      </c>
      <c r="H790" s="8">
        <v>57147</v>
      </c>
      <c r="I790" s="8">
        <f t="shared" si="398"/>
        <v>8220</v>
      </c>
      <c r="J790" s="8">
        <v>274944</v>
      </c>
      <c r="K790" s="8">
        <f t="shared" si="399"/>
        <v>-7528</v>
      </c>
      <c r="L790" s="8">
        <v>339827</v>
      </c>
      <c r="M790" s="8">
        <f t="shared" si="400"/>
        <v>536</v>
      </c>
      <c r="N790" s="8">
        <v>-64883</v>
      </c>
      <c r="O790" s="8">
        <f t="shared" si="401"/>
        <v>-8064</v>
      </c>
      <c r="P790" s="8">
        <v>139346</v>
      </c>
      <c r="Q790" s="8">
        <f t="shared" si="402"/>
        <v>-3995</v>
      </c>
      <c r="R790" s="8">
        <v>309533</v>
      </c>
      <c r="S790" s="8">
        <f t="shared" si="403"/>
        <v>-1306</v>
      </c>
      <c r="T790" s="8">
        <v>-170187</v>
      </c>
      <c r="U790" s="8">
        <f t="shared" si="404"/>
        <v>-2689</v>
      </c>
      <c r="W790" s="8">
        <v>420801</v>
      </c>
      <c r="X790" s="8">
        <f t="shared" si="405"/>
        <v>3709</v>
      </c>
      <c r="Y790" s="8">
        <v>47537</v>
      </c>
      <c r="Z790" s="8">
        <f t="shared" si="406"/>
        <v>2582</v>
      </c>
      <c r="AA790" s="8">
        <v>26040</v>
      </c>
      <c r="AB790" s="8">
        <f t="shared" si="387"/>
        <v>-2211</v>
      </c>
      <c r="AC790" s="8">
        <v>21497</v>
      </c>
      <c r="AD790" s="8">
        <f t="shared" si="388"/>
        <v>4793</v>
      </c>
      <c r="AE790" s="8">
        <v>213943</v>
      </c>
      <c r="AF790" s="8">
        <f t="shared" si="390"/>
        <v>-2770</v>
      </c>
      <c r="AG790" s="8">
        <v>279992</v>
      </c>
      <c r="AH790" s="8">
        <f t="shared" si="391"/>
        <v>3456</v>
      </c>
      <c r="AI790" s="8">
        <v>-66049</v>
      </c>
      <c r="AJ790" s="8">
        <f t="shared" si="392"/>
        <v>-6226</v>
      </c>
      <c r="AK790" s="8">
        <v>114850</v>
      </c>
      <c r="AL790" s="8">
        <f t="shared" si="393"/>
        <v>-1531</v>
      </c>
      <c r="AM790" s="8">
        <v>268181</v>
      </c>
      <c r="AN790" s="8">
        <f t="shared" si="394"/>
        <v>3818</v>
      </c>
      <c r="AO790" s="8">
        <v>-153331</v>
      </c>
      <c r="AP790" s="8">
        <f t="shared" si="407"/>
        <v>-5349</v>
      </c>
      <c r="AR790" s="8">
        <v>2063723</v>
      </c>
      <c r="AS790" s="8">
        <f t="shared" si="408"/>
        <v>8449</v>
      </c>
      <c r="AT790" s="8">
        <v>262463</v>
      </c>
      <c r="AU790" s="8">
        <f t="shared" si="409"/>
        <v>9359</v>
      </c>
      <c r="AV790" s="8">
        <v>39161</v>
      </c>
      <c r="AW790" s="8">
        <f t="shared" si="410"/>
        <v>-5144</v>
      </c>
      <c r="AX790" s="8">
        <v>223302</v>
      </c>
      <c r="AY790" s="8">
        <f t="shared" si="386"/>
        <v>14503</v>
      </c>
      <c r="AZ790" s="8">
        <v>888366</v>
      </c>
      <c r="BA790" s="8">
        <f t="shared" si="411"/>
        <v>-2865</v>
      </c>
      <c r="BB790" s="8">
        <v>1145149</v>
      </c>
      <c r="BC790" s="8">
        <f t="shared" si="412"/>
        <v>9798</v>
      </c>
      <c r="BD790" s="8">
        <v>-256783</v>
      </c>
      <c r="BE790" s="8">
        <f t="shared" si="413"/>
        <v>-12663</v>
      </c>
      <c r="BF790" s="8">
        <v>530703</v>
      </c>
      <c r="BG790" s="8">
        <f t="shared" si="414"/>
        <v>3393</v>
      </c>
      <c r="BH790" s="8">
        <v>1034869</v>
      </c>
      <c r="BI790" s="8">
        <f t="shared" si="415"/>
        <v>9682</v>
      </c>
      <c r="BJ790" s="8">
        <v>-504166</v>
      </c>
      <c r="BK790" s="8">
        <f t="shared" si="389"/>
        <v>-6289</v>
      </c>
    </row>
    <row r="791" spans="1:63">
      <c r="A791" s="5">
        <f t="shared" si="385"/>
        <v>44404</v>
      </c>
      <c r="B791" s="8">
        <v>508178</v>
      </c>
      <c r="C791" s="8">
        <f t="shared" si="395"/>
        <v>-59465</v>
      </c>
      <c r="D791" s="8">
        <v>80620</v>
      </c>
      <c r="E791" s="8">
        <f t="shared" si="396"/>
        <v>4390</v>
      </c>
      <c r="F791" s="8">
        <v>19358</v>
      </c>
      <c r="G791" s="8">
        <f t="shared" si="397"/>
        <v>275</v>
      </c>
      <c r="H791" s="8">
        <v>61262</v>
      </c>
      <c r="I791" s="8">
        <f t="shared" si="398"/>
        <v>4115</v>
      </c>
      <c r="J791" s="8">
        <v>246705</v>
      </c>
      <c r="K791" s="8">
        <f t="shared" si="399"/>
        <v>-28239</v>
      </c>
      <c r="L791" s="8">
        <v>310179</v>
      </c>
      <c r="M791" s="8">
        <f t="shared" si="400"/>
        <v>-29648</v>
      </c>
      <c r="N791" s="8">
        <v>-63474</v>
      </c>
      <c r="O791" s="8">
        <f t="shared" si="401"/>
        <v>1409</v>
      </c>
      <c r="P791" s="8">
        <v>123778</v>
      </c>
      <c r="Q791" s="8">
        <f t="shared" si="402"/>
        <v>-15568</v>
      </c>
      <c r="R791" s="8">
        <v>282946</v>
      </c>
      <c r="S791" s="8">
        <f t="shared" si="403"/>
        <v>-26587</v>
      </c>
      <c r="T791" s="8">
        <v>-159168</v>
      </c>
      <c r="U791" s="8">
        <f t="shared" si="404"/>
        <v>11019</v>
      </c>
      <c r="W791" s="8">
        <v>398615</v>
      </c>
      <c r="X791" s="8">
        <f t="shared" si="405"/>
        <v>-22186</v>
      </c>
      <c r="Y791" s="8">
        <v>48934</v>
      </c>
      <c r="Z791" s="8">
        <f t="shared" si="406"/>
        <v>1397</v>
      </c>
      <c r="AA791" s="8">
        <v>26741</v>
      </c>
      <c r="AB791" s="8">
        <f t="shared" si="387"/>
        <v>701</v>
      </c>
      <c r="AC791" s="8">
        <v>22193</v>
      </c>
      <c r="AD791" s="8">
        <f t="shared" si="388"/>
        <v>696</v>
      </c>
      <c r="AE791" s="8">
        <v>203251</v>
      </c>
      <c r="AF791" s="8">
        <f t="shared" si="390"/>
        <v>-10692</v>
      </c>
      <c r="AG791" s="8">
        <v>268285</v>
      </c>
      <c r="AH791" s="8">
        <f t="shared" si="391"/>
        <v>-11707</v>
      </c>
      <c r="AI791" s="8">
        <v>-65034</v>
      </c>
      <c r="AJ791" s="8">
        <f t="shared" si="392"/>
        <v>1015</v>
      </c>
      <c r="AK791" s="8">
        <v>106077</v>
      </c>
      <c r="AL791" s="8">
        <f t="shared" si="393"/>
        <v>-8773</v>
      </c>
      <c r="AM791" s="8">
        <v>257235</v>
      </c>
      <c r="AN791" s="8">
        <f t="shared" si="394"/>
        <v>-10946</v>
      </c>
      <c r="AO791" s="8">
        <v>-151158</v>
      </c>
      <c r="AP791" s="8">
        <f t="shared" si="407"/>
        <v>2173</v>
      </c>
      <c r="AR791" s="8">
        <v>1976722</v>
      </c>
      <c r="AS791" s="8">
        <f t="shared" si="408"/>
        <v>-87001</v>
      </c>
      <c r="AT791" s="8">
        <v>261685</v>
      </c>
      <c r="AU791" s="8">
        <f t="shared" si="409"/>
        <v>-778</v>
      </c>
      <c r="AV791" s="8">
        <v>33676</v>
      </c>
      <c r="AW791" s="8">
        <f t="shared" si="410"/>
        <v>-5485</v>
      </c>
      <c r="AX791" s="8">
        <v>228009</v>
      </c>
      <c r="AY791" s="8">
        <f t="shared" si="386"/>
        <v>4707</v>
      </c>
      <c r="AZ791" s="8">
        <v>867464</v>
      </c>
      <c r="BA791" s="8">
        <f t="shared" si="411"/>
        <v>-20902</v>
      </c>
      <c r="BB791" s="8">
        <v>1115187</v>
      </c>
      <c r="BC791" s="8">
        <f t="shared" si="412"/>
        <v>-29962</v>
      </c>
      <c r="BD791" s="8">
        <v>-247723</v>
      </c>
      <c r="BE791" s="8">
        <f t="shared" si="413"/>
        <v>9060</v>
      </c>
      <c r="BF791" s="8">
        <v>509505</v>
      </c>
      <c r="BG791" s="8">
        <f t="shared" si="414"/>
        <v>-21198</v>
      </c>
      <c r="BH791" s="8">
        <v>1004617</v>
      </c>
      <c r="BI791" s="8">
        <f t="shared" si="415"/>
        <v>-30252</v>
      </c>
      <c r="BJ791" s="8">
        <v>-495112</v>
      </c>
      <c r="BK791" s="8">
        <f t="shared" si="389"/>
        <v>9054</v>
      </c>
    </row>
    <row r="792" spans="1:63">
      <c r="A792" s="5">
        <v>44411</v>
      </c>
      <c r="B792" s="8">
        <v>504327</v>
      </c>
      <c r="C792" s="8">
        <f t="shared" si="395"/>
        <v>-3851</v>
      </c>
      <c r="D792" s="8">
        <v>84986</v>
      </c>
      <c r="E792" s="8">
        <f t="shared" si="396"/>
        <v>4366</v>
      </c>
      <c r="F792" s="8">
        <v>20299</v>
      </c>
      <c r="G792" s="8">
        <f t="shared" si="397"/>
        <v>941</v>
      </c>
      <c r="H792" s="8">
        <v>64687</v>
      </c>
      <c r="I792" s="8">
        <f t="shared" si="398"/>
        <v>3425</v>
      </c>
      <c r="J792" s="8">
        <v>239638</v>
      </c>
      <c r="K792" s="8">
        <f t="shared" si="399"/>
        <v>-7067</v>
      </c>
      <c r="L792" s="8">
        <v>303002</v>
      </c>
      <c r="M792" s="8">
        <f t="shared" si="400"/>
        <v>-7177</v>
      </c>
      <c r="N792" s="8">
        <v>-63364</v>
      </c>
      <c r="O792" s="8">
        <f t="shared" si="401"/>
        <v>110</v>
      </c>
      <c r="P792" s="8">
        <v>113678</v>
      </c>
      <c r="Q792" s="8">
        <f t="shared" si="402"/>
        <v>-10100</v>
      </c>
      <c r="R792" s="8">
        <v>275968</v>
      </c>
      <c r="S792" s="8">
        <f t="shared" si="403"/>
        <v>-6978</v>
      </c>
      <c r="T792" s="8">
        <v>-162290</v>
      </c>
      <c r="U792" s="8">
        <f t="shared" si="404"/>
        <v>-3122</v>
      </c>
      <c r="W792" s="8">
        <v>399064</v>
      </c>
      <c r="X792" s="8">
        <f t="shared" si="405"/>
        <v>449</v>
      </c>
      <c r="Y792" s="8">
        <v>47657</v>
      </c>
      <c r="Z792" s="8">
        <f t="shared" si="406"/>
        <v>-1277</v>
      </c>
      <c r="AA792" s="8">
        <v>29728</v>
      </c>
      <c r="AB792" s="8">
        <f t="shared" si="387"/>
        <v>2987</v>
      </c>
      <c r="AC792" s="8">
        <v>17929</v>
      </c>
      <c r="AD792" s="8">
        <f t="shared" si="388"/>
        <v>-4264</v>
      </c>
      <c r="AE792" s="8">
        <v>207719</v>
      </c>
      <c r="AF792" s="8">
        <f t="shared" si="390"/>
        <v>4468</v>
      </c>
      <c r="AG792" s="8">
        <v>266328</v>
      </c>
      <c r="AH792" s="8">
        <f t="shared" si="391"/>
        <v>-1957</v>
      </c>
      <c r="AI792" s="8">
        <v>-58609</v>
      </c>
      <c r="AJ792" s="8">
        <f t="shared" si="392"/>
        <v>6425</v>
      </c>
      <c r="AK792" s="8">
        <v>108510</v>
      </c>
      <c r="AL792" s="8">
        <f t="shared" si="393"/>
        <v>2433</v>
      </c>
      <c r="AM792" s="8">
        <v>254949</v>
      </c>
      <c r="AN792" s="8">
        <f t="shared" si="394"/>
        <v>-2286</v>
      </c>
      <c r="AO792" s="8">
        <v>-146439</v>
      </c>
      <c r="AP792" s="8">
        <f t="shared" si="407"/>
        <v>4719</v>
      </c>
      <c r="AR792" s="8">
        <v>1992118</v>
      </c>
      <c r="AS792" s="8">
        <f t="shared" si="408"/>
        <v>15396</v>
      </c>
      <c r="AT792" s="8">
        <v>275002</v>
      </c>
      <c r="AU792" s="8">
        <f t="shared" si="409"/>
        <v>13317</v>
      </c>
      <c r="AV792" s="8">
        <v>28502</v>
      </c>
      <c r="AW792" s="8">
        <f t="shared" si="410"/>
        <v>-5174</v>
      </c>
      <c r="AX792" s="8">
        <v>246500</v>
      </c>
      <c r="AY792" s="8">
        <f t="shared" si="386"/>
        <v>18491</v>
      </c>
      <c r="AZ792" s="8">
        <v>853451</v>
      </c>
      <c r="BA792" s="8">
        <f t="shared" si="411"/>
        <v>-14013</v>
      </c>
      <c r="BB792" s="8">
        <v>1110338</v>
      </c>
      <c r="BC792" s="8">
        <f t="shared" si="412"/>
        <v>-4849</v>
      </c>
      <c r="BD792" s="8">
        <v>-256887</v>
      </c>
      <c r="BE792" s="8">
        <f t="shared" si="413"/>
        <v>-9164</v>
      </c>
      <c r="BF792" s="8">
        <v>502906</v>
      </c>
      <c r="BG792" s="8">
        <f t="shared" si="414"/>
        <v>-6599</v>
      </c>
      <c r="BH792" s="8">
        <v>1000449</v>
      </c>
      <c r="BI792" s="8">
        <f t="shared" si="415"/>
        <v>-4168</v>
      </c>
      <c r="BJ792" s="8">
        <v>-497543</v>
      </c>
      <c r="BK792" s="8">
        <f t="shared" si="389"/>
        <v>-2431</v>
      </c>
    </row>
    <row r="793" spans="1:63">
      <c r="A793" s="5">
        <v>44418</v>
      </c>
      <c r="B793" s="8">
        <v>501924</v>
      </c>
      <c r="C793" s="8">
        <f t="shared" si="395"/>
        <v>-2403</v>
      </c>
      <c r="D793" s="8">
        <v>83650</v>
      </c>
      <c r="E793" s="8">
        <f t="shared" si="396"/>
        <v>-1336</v>
      </c>
      <c r="F793" s="8">
        <v>20108</v>
      </c>
      <c r="G793" s="8">
        <f t="shared" si="397"/>
        <v>-191</v>
      </c>
      <c r="H793" s="8">
        <v>63542</v>
      </c>
      <c r="I793" s="8">
        <f t="shared" si="398"/>
        <v>-1145</v>
      </c>
      <c r="J793" s="8">
        <v>236725</v>
      </c>
      <c r="K793" s="8">
        <f t="shared" si="399"/>
        <v>-2913</v>
      </c>
      <c r="L793" s="8">
        <v>300940</v>
      </c>
      <c r="M793" s="8">
        <f t="shared" si="400"/>
        <v>-2062</v>
      </c>
      <c r="N793" s="8">
        <v>-64215</v>
      </c>
      <c r="O793" s="8">
        <f t="shared" si="401"/>
        <v>-851</v>
      </c>
      <c r="P793" s="8">
        <v>112527</v>
      </c>
      <c r="Q793" s="8">
        <f t="shared" si="402"/>
        <v>-1151</v>
      </c>
      <c r="R793" s="8">
        <v>277870</v>
      </c>
      <c r="S793" s="8">
        <f t="shared" si="403"/>
        <v>1902</v>
      </c>
      <c r="T793" s="8">
        <v>-165343</v>
      </c>
      <c r="U793" s="8">
        <f t="shared" si="404"/>
        <v>-3053</v>
      </c>
      <c r="W793" s="8">
        <v>402359</v>
      </c>
      <c r="X793" s="8">
        <f t="shared" si="405"/>
        <v>3295</v>
      </c>
      <c r="Y793" s="8">
        <v>52039</v>
      </c>
      <c r="Z793" s="8">
        <f t="shared" si="406"/>
        <v>4382</v>
      </c>
      <c r="AA793" s="8">
        <v>26813</v>
      </c>
      <c r="AB793" s="8">
        <f t="shared" si="387"/>
        <v>-2915</v>
      </c>
      <c r="AC793" s="8">
        <v>25226</v>
      </c>
      <c r="AD793" s="8">
        <f t="shared" si="388"/>
        <v>7297</v>
      </c>
      <c r="AE793" s="8">
        <v>204991</v>
      </c>
      <c r="AF793" s="8">
        <f t="shared" si="390"/>
        <v>-2728</v>
      </c>
      <c r="AG793" s="8">
        <v>271788</v>
      </c>
      <c r="AH793" s="8">
        <f t="shared" si="391"/>
        <v>5460</v>
      </c>
      <c r="AI793" s="8">
        <v>-66797</v>
      </c>
      <c r="AJ793" s="8">
        <f t="shared" si="392"/>
        <v>-8188</v>
      </c>
      <c r="AK793" s="8">
        <v>107182</v>
      </c>
      <c r="AL793" s="8">
        <f t="shared" si="393"/>
        <v>-1328</v>
      </c>
      <c r="AM793" s="8">
        <v>260731</v>
      </c>
      <c r="AN793" s="8">
        <f t="shared" si="394"/>
        <v>5782</v>
      </c>
      <c r="AO793" s="8">
        <v>-153549</v>
      </c>
      <c r="AP793" s="8">
        <f t="shared" si="407"/>
        <v>-7110</v>
      </c>
      <c r="AR793" s="8">
        <v>1973657</v>
      </c>
      <c r="AS793" s="8">
        <f t="shared" si="408"/>
        <v>-18461</v>
      </c>
      <c r="AT793" s="8">
        <v>283457</v>
      </c>
      <c r="AU793" s="8">
        <f t="shared" si="409"/>
        <v>8455</v>
      </c>
      <c r="AV793" s="8">
        <v>29413</v>
      </c>
      <c r="AW793" s="8">
        <f t="shared" si="410"/>
        <v>911</v>
      </c>
      <c r="AX793" s="8">
        <v>254044</v>
      </c>
      <c r="AY793" s="8">
        <f t="shared" si="386"/>
        <v>7544</v>
      </c>
      <c r="AZ793" s="8">
        <v>843649</v>
      </c>
      <c r="BA793" s="8">
        <f t="shared" si="411"/>
        <v>-9802</v>
      </c>
      <c r="BB793" s="8">
        <v>1098087</v>
      </c>
      <c r="BC793" s="8">
        <f t="shared" si="412"/>
        <v>-12251</v>
      </c>
      <c r="BD793" s="8">
        <v>-254438</v>
      </c>
      <c r="BE793" s="8">
        <f t="shared" si="413"/>
        <v>2449</v>
      </c>
      <c r="BF793" s="8">
        <v>509128</v>
      </c>
      <c r="BG793" s="8">
        <f t="shared" si="414"/>
        <v>6222</v>
      </c>
      <c r="BH793" s="8">
        <v>995588</v>
      </c>
      <c r="BI793" s="8">
        <f t="shared" si="415"/>
        <v>-4861</v>
      </c>
      <c r="BJ793" s="8">
        <v>-486460</v>
      </c>
      <c r="BK793" s="8">
        <f t="shared" si="389"/>
        <v>11083</v>
      </c>
    </row>
    <row r="794" spans="1:63">
      <c r="A794" s="5">
        <v>44425</v>
      </c>
      <c r="B794" s="8">
        <v>502103</v>
      </c>
      <c r="C794" s="8">
        <f t="shared" si="395"/>
        <v>179</v>
      </c>
      <c r="D794" s="8">
        <v>86883</v>
      </c>
      <c r="E794" s="8">
        <f t="shared" si="396"/>
        <v>3233</v>
      </c>
      <c r="F794" s="8">
        <v>17788</v>
      </c>
      <c r="G794" s="8">
        <f t="shared" si="397"/>
        <v>-2320</v>
      </c>
      <c r="H794" s="8">
        <v>69095</v>
      </c>
      <c r="I794" s="8">
        <f t="shared" si="398"/>
        <v>5553</v>
      </c>
      <c r="J794" s="8">
        <v>233221</v>
      </c>
      <c r="K794" s="8">
        <f t="shared" si="399"/>
        <v>-3504</v>
      </c>
      <c r="L794" s="8">
        <v>301562</v>
      </c>
      <c r="M794" s="8">
        <f t="shared" si="400"/>
        <v>622</v>
      </c>
      <c r="N794" s="8">
        <v>-68341</v>
      </c>
      <c r="O794" s="8">
        <f t="shared" si="401"/>
        <v>-4126</v>
      </c>
      <c r="P794" s="8">
        <v>108444</v>
      </c>
      <c r="Q794" s="8">
        <f t="shared" si="402"/>
        <v>-4083</v>
      </c>
      <c r="R794" s="8">
        <v>280440</v>
      </c>
      <c r="S794" s="8">
        <f t="shared" si="403"/>
        <v>2570</v>
      </c>
      <c r="T794" s="8">
        <v>-171996</v>
      </c>
      <c r="U794" s="8">
        <f t="shared" si="404"/>
        <v>-6653</v>
      </c>
      <c r="W794" s="8">
        <v>407639</v>
      </c>
      <c r="X794" s="8">
        <f t="shared" si="405"/>
        <v>5280</v>
      </c>
      <c r="Y794" s="8">
        <v>50895</v>
      </c>
      <c r="Z794" s="8">
        <f t="shared" si="406"/>
        <v>-1144</v>
      </c>
      <c r="AA794" s="8">
        <v>23155</v>
      </c>
      <c r="AB794" s="8">
        <f t="shared" si="387"/>
        <v>-3658</v>
      </c>
      <c r="AC794" s="8">
        <v>27740</v>
      </c>
      <c r="AD794" s="8">
        <f t="shared" si="388"/>
        <v>2514</v>
      </c>
      <c r="AE794" s="8">
        <v>204632</v>
      </c>
      <c r="AF794" s="8">
        <f t="shared" si="390"/>
        <v>-359</v>
      </c>
      <c r="AG794" s="8">
        <v>277465</v>
      </c>
      <c r="AH794" s="8">
        <f t="shared" si="391"/>
        <v>5677</v>
      </c>
      <c r="AI794" s="8">
        <v>-72833</v>
      </c>
      <c r="AJ794" s="8">
        <f t="shared" si="392"/>
        <v>-6036</v>
      </c>
      <c r="AK794" s="8">
        <v>106745</v>
      </c>
      <c r="AL794" s="8">
        <f t="shared" si="393"/>
        <v>-437</v>
      </c>
      <c r="AM794" s="8">
        <v>265581</v>
      </c>
      <c r="AN794" s="8">
        <f t="shared" si="394"/>
        <v>4850</v>
      </c>
      <c r="AO794" s="8">
        <v>-158836</v>
      </c>
      <c r="AP794" s="8">
        <f t="shared" si="407"/>
        <v>-5287</v>
      </c>
      <c r="AR794" s="8">
        <v>1989268</v>
      </c>
      <c r="AS794" s="8">
        <f t="shared" si="408"/>
        <v>15611</v>
      </c>
      <c r="AT794" s="8">
        <v>301051</v>
      </c>
      <c r="AU794" s="8">
        <f t="shared" si="409"/>
        <v>17594</v>
      </c>
      <c r="AV794" s="8">
        <v>22140</v>
      </c>
      <c r="AW794" s="8">
        <f t="shared" si="410"/>
        <v>-7273</v>
      </c>
      <c r="AX794" s="8">
        <v>278911</v>
      </c>
      <c r="AY794" s="8">
        <f t="shared" si="386"/>
        <v>24867</v>
      </c>
      <c r="AZ794" s="8">
        <v>834872</v>
      </c>
      <c r="BA794" s="8">
        <f t="shared" si="411"/>
        <v>-8777</v>
      </c>
      <c r="BB794" s="8">
        <v>1110516</v>
      </c>
      <c r="BC794" s="8">
        <f t="shared" si="412"/>
        <v>12429</v>
      </c>
      <c r="BD794" s="8">
        <v>-275644</v>
      </c>
      <c r="BE794" s="8">
        <f t="shared" si="413"/>
        <v>-21206</v>
      </c>
      <c r="BF794" s="8">
        <v>504067</v>
      </c>
      <c r="BG794" s="8">
        <f t="shared" si="414"/>
        <v>-5061</v>
      </c>
      <c r="BH794" s="8">
        <v>1006925</v>
      </c>
      <c r="BI794" s="8">
        <f t="shared" si="415"/>
        <v>11337</v>
      </c>
      <c r="BJ794" s="8">
        <v>-502858</v>
      </c>
      <c r="BK794" s="8">
        <f t="shared" si="389"/>
        <v>-16398</v>
      </c>
    </row>
    <row r="795" spans="1:63">
      <c r="A795" s="5">
        <v>44432</v>
      </c>
      <c r="B795" s="8">
        <v>495595</v>
      </c>
      <c r="C795" s="8">
        <f t="shared" si="395"/>
        <v>-6508</v>
      </c>
      <c r="D795" s="8">
        <v>83711</v>
      </c>
      <c r="E795" s="8">
        <f t="shared" si="396"/>
        <v>-3172</v>
      </c>
      <c r="F795" s="8">
        <v>16724</v>
      </c>
      <c r="G795" s="8">
        <f t="shared" si="397"/>
        <v>-1064</v>
      </c>
      <c r="H795" s="8">
        <v>66987</v>
      </c>
      <c r="I795" s="8">
        <f t="shared" si="398"/>
        <v>-2108</v>
      </c>
      <c r="J795" s="8">
        <v>227960</v>
      </c>
      <c r="K795" s="8">
        <f t="shared" si="399"/>
        <v>-5261</v>
      </c>
      <c r="L795" s="8">
        <v>295102</v>
      </c>
      <c r="M795" s="8">
        <f t="shared" si="400"/>
        <v>-6460</v>
      </c>
      <c r="N795" s="8">
        <v>-67142</v>
      </c>
      <c r="O795" s="8">
        <f t="shared" si="401"/>
        <v>1199</v>
      </c>
      <c r="P795" s="8">
        <v>104832</v>
      </c>
      <c r="Q795" s="8">
        <f t="shared" si="402"/>
        <v>-3612</v>
      </c>
      <c r="R795" s="8">
        <v>275087</v>
      </c>
      <c r="S795" s="8">
        <f t="shared" si="403"/>
        <v>-5353</v>
      </c>
      <c r="T795" s="8">
        <v>-170255</v>
      </c>
      <c r="U795" s="8">
        <f t="shared" si="404"/>
        <v>1741</v>
      </c>
      <c r="W795" s="8">
        <v>404589</v>
      </c>
      <c r="X795" s="8">
        <f t="shared" si="405"/>
        <v>-3050</v>
      </c>
      <c r="Y795" s="8">
        <v>48521</v>
      </c>
      <c r="Z795" s="8">
        <f t="shared" si="406"/>
        <v>-2374</v>
      </c>
      <c r="AA795" s="8">
        <v>27793</v>
      </c>
      <c r="AB795" s="8">
        <f t="shared" si="387"/>
        <v>4638</v>
      </c>
      <c r="AC795" s="8">
        <v>20728</v>
      </c>
      <c r="AD795" s="8">
        <f t="shared" si="388"/>
        <v>-7012</v>
      </c>
      <c r="AE795" s="8">
        <v>203939</v>
      </c>
      <c r="AF795" s="8">
        <f t="shared" si="390"/>
        <v>-693</v>
      </c>
      <c r="AG795" s="8">
        <v>263865</v>
      </c>
      <c r="AH795" s="8">
        <f t="shared" si="391"/>
        <v>-13600</v>
      </c>
      <c r="AI795" s="8">
        <v>-59926</v>
      </c>
      <c r="AJ795" s="8">
        <f t="shared" si="392"/>
        <v>12907</v>
      </c>
      <c r="AK795" s="8">
        <v>105917</v>
      </c>
      <c r="AL795" s="8">
        <f t="shared" si="393"/>
        <v>-828</v>
      </c>
      <c r="AM795" s="8">
        <v>252472</v>
      </c>
      <c r="AN795" s="8">
        <f t="shared" si="394"/>
        <v>-13109</v>
      </c>
      <c r="AO795" s="8">
        <v>-146555</v>
      </c>
      <c r="AP795" s="8">
        <f t="shared" si="407"/>
        <v>12281</v>
      </c>
      <c r="AR795" s="8">
        <v>1985043</v>
      </c>
      <c r="AS795" s="8">
        <f t="shared" si="408"/>
        <v>-4225</v>
      </c>
      <c r="AT795" s="8">
        <v>297686</v>
      </c>
      <c r="AU795" s="8">
        <f t="shared" si="409"/>
        <v>-3365</v>
      </c>
      <c r="AV795" s="8">
        <v>26692</v>
      </c>
      <c r="AW795" s="8">
        <f t="shared" si="410"/>
        <v>4552</v>
      </c>
      <c r="AX795" s="8">
        <v>270994</v>
      </c>
      <c r="AY795" s="8">
        <f t="shared" si="386"/>
        <v>-7917</v>
      </c>
      <c r="AZ795" s="8">
        <v>832390</v>
      </c>
      <c r="BA795" s="8">
        <f t="shared" si="411"/>
        <v>-2482</v>
      </c>
      <c r="BB795" s="8">
        <v>1089892</v>
      </c>
      <c r="BC795" s="8">
        <f t="shared" si="412"/>
        <v>-20624</v>
      </c>
      <c r="BD795" s="8">
        <v>-257502</v>
      </c>
      <c r="BE795" s="8">
        <f t="shared" si="413"/>
        <v>18142</v>
      </c>
      <c r="BF795" s="8">
        <v>498781</v>
      </c>
      <c r="BG795" s="8">
        <f t="shared" si="414"/>
        <v>-5286</v>
      </c>
      <c r="BH795" s="8">
        <v>984795</v>
      </c>
      <c r="BI795" s="8">
        <f t="shared" si="415"/>
        <v>-22130</v>
      </c>
      <c r="BJ795" s="8">
        <v>-486014</v>
      </c>
      <c r="BK795" s="8">
        <f t="shared" si="389"/>
        <v>16844</v>
      </c>
    </row>
    <row r="796" spans="1:63">
      <c r="A796" s="5">
        <v>44439</v>
      </c>
      <c r="B796" s="8">
        <v>470377</v>
      </c>
      <c r="C796" s="8">
        <f t="shared" si="395"/>
        <v>-25218</v>
      </c>
      <c r="D796" s="8">
        <v>77703</v>
      </c>
      <c r="E796" s="8">
        <f t="shared" si="396"/>
        <v>-6008</v>
      </c>
      <c r="F796" s="8">
        <v>22397</v>
      </c>
      <c r="G796" s="8">
        <f t="shared" si="397"/>
        <v>5673</v>
      </c>
      <c r="H796" s="8">
        <v>55306</v>
      </c>
      <c r="I796" s="8">
        <f t="shared" si="398"/>
        <v>-11681</v>
      </c>
      <c r="J796" s="8">
        <v>224974</v>
      </c>
      <c r="K796" s="8">
        <f t="shared" si="399"/>
        <v>-2986</v>
      </c>
      <c r="L796" s="8">
        <v>282017</v>
      </c>
      <c r="M796" s="8">
        <f t="shared" si="400"/>
        <v>-13085</v>
      </c>
      <c r="N796" s="8">
        <v>-57043</v>
      </c>
      <c r="O796" s="8">
        <f t="shared" si="401"/>
        <v>10099</v>
      </c>
      <c r="P796" s="8">
        <v>104276</v>
      </c>
      <c r="Q796" s="8">
        <f t="shared" si="402"/>
        <v>-556</v>
      </c>
      <c r="R796" s="8">
        <v>263823</v>
      </c>
      <c r="S796" s="8">
        <f t="shared" si="403"/>
        <v>-11264</v>
      </c>
      <c r="T796" s="8">
        <v>-159547</v>
      </c>
      <c r="U796" s="8">
        <f t="shared" si="404"/>
        <v>10708</v>
      </c>
      <c r="W796" s="8">
        <v>384278</v>
      </c>
      <c r="X796" s="8">
        <f t="shared" si="405"/>
        <v>-20311</v>
      </c>
      <c r="Y796" s="8">
        <v>49587</v>
      </c>
      <c r="Z796" s="8">
        <f t="shared" si="406"/>
        <v>1066</v>
      </c>
      <c r="AA796" s="8">
        <v>37731</v>
      </c>
      <c r="AB796" s="8">
        <f t="shared" si="387"/>
        <v>9938</v>
      </c>
      <c r="AC796" s="8">
        <v>11856</v>
      </c>
      <c r="AD796" s="8">
        <f t="shared" si="388"/>
        <v>-8872</v>
      </c>
      <c r="AE796" s="8">
        <v>200101</v>
      </c>
      <c r="AF796" s="8">
        <f t="shared" si="390"/>
        <v>-3838</v>
      </c>
      <c r="AG796" s="8">
        <v>247752</v>
      </c>
      <c r="AH796" s="8">
        <f t="shared" si="391"/>
        <v>-16113</v>
      </c>
      <c r="AI796" s="8">
        <v>-47651</v>
      </c>
      <c r="AJ796" s="8">
        <f t="shared" si="392"/>
        <v>12275</v>
      </c>
      <c r="AK796" s="8">
        <v>103171</v>
      </c>
      <c r="AL796" s="8">
        <f t="shared" si="393"/>
        <v>-2746</v>
      </c>
      <c r="AM796" s="8">
        <v>237244</v>
      </c>
      <c r="AN796" s="8">
        <f t="shared" si="394"/>
        <v>-15228</v>
      </c>
      <c r="AO796" s="8">
        <v>-134073</v>
      </c>
      <c r="AP796" s="8">
        <f t="shared" si="407"/>
        <v>12482</v>
      </c>
      <c r="AR796" s="8">
        <v>1806045</v>
      </c>
      <c r="AS796" s="8">
        <f t="shared" si="408"/>
        <v>-178998</v>
      </c>
      <c r="AT796" s="8">
        <v>290205</v>
      </c>
      <c r="AU796" s="8">
        <f t="shared" si="409"/>
        <v>-7481</v>
      </c>
      <c r="AV796" s="8">
        <v>31420</v>
      </c>
      <c r="AW796" s="8">
        <f t="shared" si="410"/>
        <v>4728</v>
      </c>
      <c r="AX796" s="8">
        <v>258785</v>
      </c>
      <c r="AY796" s="8">
        <f t="shared" si="386"/>
        <v>-12209</v>
      </c>
      <c r="AZ796" s="8">
        <v>796315</v>
      </c>
      <c r="BA796" s="8">
        <f t="shared" si="411"/>
        <v>-36075</v>
      </c>
      <c r="BB796" s="8">
        <v>1032939</v>
      </c>
      <c r="BC796" s="8">
        <f t="shared" si="412"/>
        <v>-56953</v>
      </c>
      <c r="BD796" s="8">
        <v>-236624</v>
      </c>
      <c r="BE796" s="8">
        <f t="shared" si="413"/>
        <v>20878</v>
      </c>
      <c r="BF796" s="8">
        <v>461632</v>
      </c>
      <c r="BG796" s="8">
        <f t="shared" si="414"/>
        <v>-37149</v>
      </c>
      <c r="BH796" s="8">
        <v>937115</v>
      </c>
      <c r="BI796" s="8">
        <f t="shared" si="415"/>
        <v>-47680</v>
      </c>
      <c r="BJ796" s="8">
        <v>-475483</v>
      </c>
      <c r="BK796" s="8">
        <f t="shared" si="389"/>
        <v>10531</v>
      </c>
    </row>
    <row r="797" spans="1:63">
      <c r="A797" s="5">
        <v>44446</v>
      </c>
      <c r="B797" s="8">
        <v>460098</v>
      </c>
      <c r="C797" s="8">
        <f t="shared" si="395"/>
        <v>-10279</v>
      </c>
      <c r="D797" s="8">
        <v>75114</v>
      </c>
      <c r="E797" s="8">
        <f t="shared" si="396"/>
        <v>-2589</v>
      </c>
      <c r="F797" s="8">
        <v>22034</v>
      </c>
      <c r="G797" s="8">
        <f t="shared" si="397"/>
        <v>-363</v>
      </c>
      <c r="H797" s="8">
        <v>53080</v>
      </c>
      <c r="I797" s="8">
        <f t="shared" si="398"/>
        <v>-2226</v>
      </c>
      <c r="J797" s="8">
        <v>221838</v>
      </c>
      <c r="K797" s="8">
        <f t="shared" si="399"/>
        <v>-3136</v>
      </c>
      <c r="L797" s="8">
        <v>276392</v>
      </c>
      <c r="M797" s="8">
        <f t="shared" si="400"/>
        <v>-5625</v>
      </c>
      <c r="N797" s="8">
        <v>-54554</v>
      </c>
      <c r="O797" s="8">
        <f t="shared" si="401"/>
        <v>2489</v>
      </c>
      <c r="P797" s="8">
        <v>102053</v>
      </c>
      <c r="Q797" s="8">
        <f t="shared" si="402"/>
        <v>-2223</v>
      </c>
      <c r="R797" s="8">
        <v>257653</v>
      </c>
      <c r="S797" s="8">
        <f t="shared" si="403"/>
        <v>-6170</v>
      </c>
      <c r="T797" s="8">
        <v>-155600</v>
      </c>
      <c r="U797" s="8">
        <f t="shared" si="404"/>
        <v>3947</v>
      </c>
      <c r="W797" s="8">
        <v>398937</v>
      </c>
      <c r="X797" s="8">
        <f t="shared" si="405"/>
        <v>14659</v>
      </c>
      <c r="Y797" s="8">
        <v>47384</v>
      </c>
      <c r="Z797" s="8">
        <f t="shared" si="406"/>
        <v>-2203</v>
      </c>
      <c r="AA797" s="8">
        <v>55146</v>
      </c>
      <c r="AB797" s="8">
        <f t="shared" si="387"/>
        <v>17415</v>
      </c>
      <c r="AC797" s="8">
        <v>-7762</v>
      </c>
      <c r="AD797" s="8">
        <f t="shared" si="388"/>
        <v>-19618</v>
      </c>
      <c r="AE797" s="8">
        <v>203569</v>
      </c>
      <c r="AF797" s="8">
        <f t="shared" si="390"/>
        <v>3468</v>
      </c>
      <c r="AG797" s="8">
        <v>229993</v>
      </c>
      <c r="AH797" s="8">
        <f t="shared" si="391"/>
        <v>-17759</v>
      </c>
      <c r="AI797" s="8">
        <v>-26424</v>
      </c>
      <c r="AJ797" s="8">
        <f t="shared" si="392"/>
        <v>21227</v>
      </c>
      <c r="AK797" s="8">
        <v>107862</v>
      </c>
      <c r="AL797" s="8">
        <f t="shared" si="393"/>
        <v>4691</v>
      </c>
      <c r="AM797" s="8">
        <v>219087</v>
      </c>
      <c r="AN797" s="8">
        <f t="shared" si="394"/>
        <v>-18157</v>
      </c>
      <c r="AO797" s="8">
        <v>-111225</v>
      </c>
      <c r="AP797" s="8">
        <f t="shared" si="407"/>
        <v>22848</v>
      </c>
      <c r="AR797" s="8">
        <v>1824181</v>
      </c>
      <c r="AS797" s="8">
        <f t="shared" si="408"/>
        <v>18136</v>
      </c>
      <c r="AT797" s="8">
        <v>266717</v>
      </c>
      <c r="AU797" s="8">
        <f t="shared" si="409"/>
        <v>-23488</v>
      </c>
      <c r="AV797" s="8">
        <v>51545</v>
      </c>
      <c r="AW797" s="8">
        <f t="shared" si="410"/>
        <v>20125</v>
      </c>
      <c r="AX797" s="8">
        <v>215172</v>
      </c>
      <c r="AY797" s="8">
        <f t="shared" si="386"/>
        <v>-43613</v>
      </c>
      <c r="AZ797" s="8">
        <v>821274</v>
      </c>
      <c r="BA797" s="8">
        <f t="shared" si="411"/>
        <v>24959</v>
      </c>
      <c r="BB797" s="8">
        <v>1023168</v>
      </c>
      <c r="BC797" s="8">
        <f t="shared" si="412"/>
        <v>-9771</v>
      </c>
      <c r="BD797" s="8">
        <v>-201894</v>
      </c>
      <c r="BE797" s="8">
        <f t="shared" si="413"/>
        <v>34730</v>
      </c>
      <c r="BF797" s="8">
        <v>485304</v>
      </c>
      <c r="BG797" s="8">
        <f t="shared" si="414"/>
        <v>23672</v>
      </c>
      <c r="BH797" s="8">
        <v>927889</v>
      </c>
      <c r="BI797" s="8">
        <f t="shared" si="415"/>
        <v>-9226</v>
      </c>
      <c r="BJ797" s="8">
        <v>-442585</v>
      </c>
      <c r="BK797" s="8">
        <f t="shared" si="389"/>
        <v>32898</v>
      </c>
    </row>
    <row r="798" spans="1:63">
      <c r="A798" s="5">
        <v>44453</v>
      </c>
      <c r="B798" s="8">
        <v>445998</v>
      </c>
      <c r="C798" s="8">
        <f t="shared" si="395"/>
        <v>-14100</v>
      </c>
      <c r="D798" s="8">
        <v>71620</v>
      </c>
      <c r="E798" s="8">
        <f t="shared" si="396"/>
        <v>-3494</v>
      </c>
      <c r="F798" s="8">
        <v>24526</v>
      </c>
      <c r="G798" s="8">
        <f t="shared" si="397"/>
        <v>2492</v>
      </c>
      <c r="H798" s="8">
        <v>47094</v>
      </c>
      <c r="I798" s="8">
        <f t="shared" si="398"/>
        <v>-5986</v>
      </c>
      <c r="J798" s="8">
        <v>228035</v>
      </c>
      <c r="K798" s="8">
        <f t="shared" si="399"/>
        <v>6197</v>
      </c>
      <c r="L798" s="8">
        <v>276444</v>
      </c>
      <c r="M798" s="8">
        <f t="shared" si="400"/>
        <v>52</v>
      </c>
      <c r="N798" s="8">
        <v>-48409</v>
      </c>
      <c r="O798" s="8">
        <f t="shared" si="401"/>
        <v>6145</v>
      </c>
      <c r="P798" s="8">
        <v>106635</v>
      </c>
      <c r="Q798" s="8">
        <f t="shared" si="402"/>
        <v>4582</v>
      </c>
      <c r="R798" s="8">
        <v>258600</v>
      </c>
      <c r="S798" s="8">
        <f t="shared" si="403"/>
        <v>947</v>
      </c>
      <c r="T798" s="8">
        <v>-151965</v>
      </c>
      <c r="U798" s="8">
        <f t="shared" si="404"/>
        <v>3635</v>
      </c>
      <c r="W798" s="8">
        <v>401560</v>
      </c>
      <c r="X798" s="8">
        <f t="shared" si="405"/>
        <v>2623</v>
      </c>
      <c r="Y798" s="8">
        <v>43848</v>
      </c>
      <c r="Z798" s="8">
        <f t="shared" si="406"/>
        <v>-3536</v>
      </c>
      <c r="AA798" s="8">
        <v>60180</v>
      </c>
      <c r="AB798" s="8">
        <f t="shared" si="387"/>
        <v>5034</v>
      </c>
      <c r="AC798" s="8">
        <v>-16332</v>
      </c>
      <c r="AD798" s="8">
        <f t="shared" si="388"/>
        <v>-8570</v>
      </c>
      <c r="AE798" s="8">
        <v>204894</v>
      </c>
      <c r="AF798" s="8">
        <f t="shared" si="390"/>
        <v>1325</v>
      </c>
      <c r="AG798" s="8">
        <v>224878</v>
      </c>
      <c r="AH798" s="8">
        <f t="shared" si="391"/>
        <v>-5115</v>
      </c>
      <c r="AI798" s="8">
        <v>-19984</v>
      </c>
      <c r="AJ798" s="8">
        <f t="shared" si="392"/>
        <v>6440</v>
      </c>
      <c r="AK798" s="8">
        <v>110427</v>
      </c>
      <c r="AL798" s="8">
        <f t="shared" si="393"/>
        <v>2565</v>
      </c>
      <c r="AM798" s="8">
        <v>214970</v>
      </c>
      <c r="AN798" s="8">
        <f t="shared" si="394"/>
        <v>-4117</v>
      </c>
      <c r="AO798" s="8">
        <v>-104543</v>
      </c>
      <c r="AP798" s="8">
        <f t="shared" si="407"/>
        <v>6682</v>
      </c>
      <c r="AR798" s="8">
        <v>1819484</v>
      </c>
      <c r="AS798" s="8">
        <f t="shared" si="408"/>
        <v>-4697</v>
      </c>
      <c r="AT798" s="8">
        <v>257697</v>
      </c>
      <c r="AU798" s="8">
        <f t="shared" si="409"/>
        <v>-9020</v>
      </c>
      <c r="AV798" s="8">
        <v>45468</v>
      </c>
      <c r="AW798" s="8">
        <f t="shared" si="410"/>
        <v>-6077</v>
      </c>
      <c r="AX798" s="8">
        <v>212229</v>
      </c>
      <c r="AY798" s="8">
        <f t="shared" si="386"/>
        <v>-2943</v>
      </c>
      <c r="AZ798" s="8">
        <v>818371</v>
      </c>
      <c r="BA798" s="8">
        <f t="shared" si="411"/>
        <v>-2903</v>
      </c>
      <c r="BB798" s="8">
        <v>1020753</v>
      </c>
      <c r="BC798" s="8">
        <f t="shared" si="412"/>
        <v>-2415</v>
      </c>
      <c r="BD798" s="8">
        <v>-202382</v>
      </c>
      <c r="BE798" s="8">
        <f t="shared" si="413"/>
        <v>-488</v>
      </c>
      <c r="BF798" s="8">
        <v>489763</v>
      </c>
      <c r="BG798" s="8">
        <f t="shared" si="414"/>
        <v>4459</v>
      </c>
      <c r="BH798" s="8">
        <v>926689</v>
      </c>
      <c r="BI798" s="8">
        <f t="shared" si="415"/>
        <v>-1200</v>
      </c>
      <c r="BJ798" s="8">
        <v>-436926</v>
      </c>
      <c r="BK798" s="8">
        <f t="shared" si="389"/>
        <v>5659</v>
      </c>
    </row>
    <row r="799" spans="1:63">
      <c r="A799" s="5">
        <v>44460</v>
      </c>
      <c r="B799" s="8">
        <v>445944</v>
      </c>
      <c r="C799" s="8">
        <f t="shared" si="395"/>
        <v>-54</v>
      </c>
      <c r="D799" s="8">
        <v>68475</v>
      </c>
      <c r="E799" s="8">
        <f t="shared" si="396"/>
        <v>-3145</v>
      </c>
      <c r="F799" s="8">
        <v>29495</v>
      </c>
      <c r="G799" s="8">
        <f t="shared" si="397"/>
        <v>4969</v>
      </c>
      <c r="H799" s="8">
        <v>38980</v>
      </c>
      <c r="I799" s="8">
        <f t="shared" si="398"/>
        <v>-8114</v>
      </c>
      <c r="J799" s="8">
        <v>228726</v>
      </c>
      <c r="K799" s="8">
        <f t="shared" si="399"/>
        <v>691</v>
      </c>
      <c r="L799" s="8">
        <v>266838</v>
      </c>
      <c r="M799" s="8">
        <f t="shared" si="400"/>
        <v>-9606</v>
      </c>
      <c r="N799" s="8">
        <v>-38112</v>
      </c>
      <c r="O799" s="8">
        <f t="shared" si="401"/>
        <v>10297</v>
      </c>
      <c r="P799" s="8">
        <v>106417</v>
      </c>
      <c r="Q799" s="8">
        <f t="shared" si="402"/>
        <v>-218</v>
      </c>
      <c r="R799" s="8">
        <v>249271</v>
      </c>
      <c r="S799" s="8">
        <f t="shared" si="403"/>
        <v>-9329</v>
      </c>
      <c r="T799" s="8">
        <v>-142854</v>
      </c>
      <c r="U799" s="8">
        <f t="shared" si="404"/>
        <v>9111</v>
      </c>
      <c r="W799" s="8">
        <v>406065</v>
      </c>
      <c r="X799" s="8">
        <f t="shared" si="405"/>
        <v>4505</v>
      </c>
      <c r="Y799" s="8">
        <v>40404</v>
      </c>
      <c r="Z799" s="8">
        <f t="shared" si="406"/>
        <v>-3444</v>
      </c>
      <c r="AA799" s="8">
        <v>58957</v>
      </c>
      <c r="AB799" s="8">
        <f t="shared" si="387"/>
        <v>-1223</v>
      </c>
      <c r="AC799" s="8">
        <v>-18553</v>
      </c>
      <c r="AD799" s="8">
        <f t="shared" si="388"/>
        <v>-2221</v>
      </c>
      <c r="AE799" s="8">
        <v>200435</v>
      </c>
      <c r="AF799" s="8">
        <f t="shared" si="390"/>
        <v>-4459</v>
      </c>
      <c r="AG799" s="8">
        <v>223514</v>
      </c>
      <c r="AH799" s="8">
        <f t="shared" si="391"/>
        <v>-1364</v>
      </c>
      <c r="AI799" s="8">
        <v>-23079</v>
      </c>
      <c r="AJ799" s="8">
        <f t="shared" si="392"/>
        <v>-3095</v>
      </c>
      <c r="AK799" s="8">
        <v>107149</v>
      </c>
      <c r="AL799" s="8">
        <f t="shared" si="393"/>
        <v>-3278</v>
      </c>
      <c r="AM799" s="8">
        <v>213050</v>
      </c>
      <c r="AN799" s="8">
        <f t="shared" si="394"/>
        <v>-1920</v>
      </c>
      <c r="AO799" s="8">
        <v>-105901</v>
      </c>
      <c r="AP799" s="8">
        <f t="shared" si="407"/>
        <v>-1358</v>
      </c>
      <c r="AR799" s="8">
        <v>1825578</v>
      </c>
      <c r="AS799" s="8">
        <f t="shared" si="408"/>
        <v>6094</v>
      </c>
      <c r="AT799" s="8">
        <v>255464</v>
      </c>
      <c r="AU799" s="8">
        <f t="shared" si="409"/>
        <v>-2233</v>
      </c>
      <c r="AV799" s="8">
        <v>41114</v>
      </c>
      <c r="AW799" s="8">
        <f t="shared" si="410"/>
        <v>-4354</v>
      </c>
      <c r="AX799" s="8">
        <v>214350</v>
      </c>
      <c r="AY799" s="8">
        <f t="shared" si="386"/>
        <v>2121</v>
      </c>
      <c r="AZ799" s="8">
        <v>816396</v>
      </c>
      <c r="BA799" s="8">
        <f t="shared" si="411"/>
        <v>-1975</v>
      </c>
      <c r="BB799" s="8">
        <v>1023067</v>
      </c>
      <c r="BC799" s="8">
        <f t="shared" si="412"/>
        <v>2314</v>
      </c>
      <c r="BD799" s="8">
        <v>-206671</v>
      </c>
      <c r="BE799" s="8">
        <f t="shared" si="413"/>
        <v>-4289</v>
      </c>
      <c r="BF799" s="8">
        <v>488703</v>
      </c>
      <c r="BG799" s="8">
        <f t="shared" si="414"/>
        <v>-1060</v>
      </c>
      <c r="BH799" s="8">
        <v>929934</v>
      </c>
      <c r="BI799" s="8">
        <f t="shared" si="415"/>
        <v>3245</v>
      </c>
      <c r="BJ799" s="8">
        <v>-441231</v>
      </c>
      <c r="BK799" s="8">
        <f t="shared" si="389"/>
        <v>-4305</v>
      </c>
    </row>
    <row r="800" spans="1:63">
      <c r="A800" s="5">
        <v>44467</v>
      </c>
      <c r="B800" s="8">
        <v>438193</v>
      </c>
      <c r="C800" s="8">
        <f t="shared" si="395"/>
        <v>-7751</v>
      </c>
      <c r="D800" s="8">
        <v>69233</v>
      </c>
      <c r="E800" s="8">
        <f t="shared" si="396"/>
        <v>758</v>
      </c>
      <c r="F800" s="8">
        <v>21743</v>
      </c>
      <c r="G800" s="8">
        <f t="shared" si="397"/>
        <v>-7752</v>
      </c>
      <c r="H800" s="8">
        <v>47490</v>
      </c>
      <c r="I800" s="8">
        <f t="shared" si="398"/>
        <v>8510</v>
      </c>
      <c r="J800" s="8">
        <v>218080</v>
      </c>
      <c r="K800" s="8">
        <f t="shared" si="399"/>
        <v>-10646</v>
      </c>
      <c r="L800" s="8">
        <v>273289</v>
      </c>
      <c r="M800" s="8">
        <f t="shared" si="400"/>
        <v>6451</v>
      </c>
      <c r="N800" s="8">
        <v>-55209</v>
      </c>
      <c r="O800" s="8">
        <f t="shared" si="401"/>
        <v>-17097</v>
      </c>
      <c r="P800" s="8">
        <v>98154</v>
      </c>
      <c r="Q800" s="8">
        <f t="shared" si="402"/>
        <v>-8263</v>
      </c>
      <c r="R800" s="8">
        <v>252184</v>
      </c>
      <c r="S800" s="8">
        <f t="shared" si="403"/>
        <v>2913</v>
      </c>
      <c r="T800" s="8">
        <v>-154030</v>
      </c>
      <c r="U800" s="8">
        <f t="shared" si="404"/>
        <v>-11176</v>
      </c>
      <c r="W800" s="8">
        <v>397196</v>
      </c>
      <c r="X800" s="8">
        <f t="shared" si="405"/>
        <v>-8869</v>
      </c>
      <c r="Y800" s="8">
        <v>44286</v>
      </c>
      <c r="Z800" s="8">
        <f t="shared" si="406"/>
        <v>3882</v>
      </c>
      <c r="AA800" s="8">
        <v>59250</v>
      </c>
      <c r="AB800" s="8">
        <f t="shared" si="387"/>
        <v>293</v>
      </c>
      <c r="AC800" s="8">
        <v>-14964</v>
      </c>
      <c r="AD800" s="8">
        <f t="shared" si="388"/>
        <v>3589</v>
      </c>
      <c r="AE800" s="8">
        <v>195066</v>
      </c>
      <c r="AF800" s="8">
        <f t="shared" si="390"/>
        <v>-5369</v>
      </c>
      <c r="AG800" s="8">
        <v>219585</v>
      </c>
      <c r="AH800" s="8">
        <f t="shared" si="391"/>
        <v>-3929</v>
      </c>
      <c r="AI800" s="8">
        <v>-24519</v>
      </c>
      <c r="AJ800" s="8">
        <f t="shared" si="392"/>
        <v>-1440</v>
      </c>
      <c r="AK800" s="8">
        <v>102701</v>
      </c>
      <c r="AL800" s="8">
        <f t="shared" si="393"/>
        <v>-4448</v>
      </c>
      <c r="AM800" s="8">
        <v>209724</v>
      </c>
      <c r="AN800" s="8">
        <f t="shared" si="394"/>
        <v>-3326</v>
      </c>
      <c r="AO800" s="8">
        <v>-107023</v>
      </c>
      <c r="AP800" s="8">
        <f t="shared" si="407"/>
        <v>-1122</v>
      </c>
      <c r="AR800" s="8">
        <v>1824772</v>
      </c>
      <c r="AS800" s="8">
        <f t="shared" si="408"/>
        <v>-806</v>
      </c>
      <c r="AT800" s="8">
        <v>275176</v>
      </c>
      <c r="AU800" s="8">
        <f t="shared" si="409"/>
        <v>19712</v>
      </c>
      <c r="AV800" s="8">
        <v>30435</v>
      </c>
      <c r="AW800" s="8">
        <f t="shared" si="410"/>
        <v>-10679</v>
      </c>
      <c r="AX800" s="8">
        <v>244741</v>
      </c>
      <c r="AY800" s="8">
        <f t="shared" si="386"/>
        <v>30391</v>
      </c>
      <c r="AZ800" s="8">
        <v>806130</v>
      </c>
      <c r="BA800" s="8">
        <f t="shared" si="411"/>
        <v>-10266</v>
      </c>
      <c r="BB800" s="8">
        <v>1038041</v>
      </c>
      <c r="BC800" s="8">
        <f t="shared" si="412"/>
        <v>14974</v>
      </c>
      <c r="BD800" s="8">
        <v>-231911</v>
      </c>
      <c r="BE800" s="8">
        <f t="shared" si="413"/>
        <v>-25240</v>
      </c>
      <c r="BF800" s="8">
        <v>482273</v>
      </c>
      <c r="BG800" s="8">
        <f t="shared" si="414"/>
        <v>-6430</v>
      </c>
      <c r="BH800" s="8">
        <v>941761</v>
      </c>
      <c r="BI800" s="8">
        <f t="shared" si="415"/>
        <v>11827</v>
      </c>
      <c r="BJ800" s="8">
        <v>-459488</v>
      </c>
      <c r="BK800" s="8">
        <f t="shared" si="389"/>
        <v>-18257</v>
      </c>
    </row>
    <row r="801" spans="1:63">
      <c r="A801" s="5">
        <v>44474</v>
      </c>
      <c r="B801" s="8">
        <v>448531</v>
      </c>
      <c r="C801" s="8">
        <f t="shared" si="395"/>
        <v>10338</v>
      </c>
      <c r="D801" s="8">
        <v>86867</v>
      </c>
      <c r="E801" s="8">
        <f t="shared" si="396"/>
        <v>17634</v>
      </c>
      <c r="F801" s="8">
        <v>11689</v>
      </c>
      <c r="G801" s="8">
        <f t="shared" si="397"/>
        <v>-10054</v>
      </c>
      <c r="H801" s="8">
        <v>75178</v>
      </c>
      <c r="I801" s="8">
        <f t="shared" si="398"/>
        <v>27688</v>
      </c>
      <c r="J801" s="8">
        <v>206206</v>
      </c>
      <c r="K801" s="8">
        <f t="shared" si="399"/>
        <v>-11874</v>
      </c>
      <c r="L801" s="8">
        <v>293262</v>
      </c>
      <c r="M801" s="8">
        <f t="shared" si="400"/>
        <v>19973</v>
      </c>
      <c r="N801" s="8">
        <v>-87056</v>
      </c>
      <c r="O801" s="8">
        <f t="shared" si="401"/>
        <v>-31847</v>
      </c>
      <c r="P801" s="8">
        <v>86338</v>
      </c>
      <c r="Q801" s="8">
        <f t="shared" si="402"/>
        <v>-11816</v>
      </c>
      <c r="R801" s="8">
        <v>271466</v>
      </c>
      <c r="S801" s="8">
        <f t="shared" si="403"/>
        <v>19282</v>
      </c>
      <c r="T801" s="8">
        <v>-185128</v>
      </c>
      <c r="U801" s="8">
        <f t="shared" si="404"/>
        <v>-31098</v>
      </c>
      <c r="W801" s="8">
        <v>444953</v>
      </c>
      <c r="X801" s="8">
        <f t="shared" si="405"/>
        <v>47757</v>
      </c>
      <c r="Y801" s="8">
        <v>40070</v>
      </c>
      <c r="Z801" s="8">
        <f t="shared" si="406"/>
        <v>-4216</v>
      </c>
      <c r="AA801" s="8">
        <v>72134</v>
      </c>
      <c r="AB801" s="8">
        <f t="shared" si="387"/>
        <v>12884</v>
      </c>
      <c r="AC801" s="8">
        <v>-32064</v>
      </c>
      <c r="AD801" s="8">
        <f t="shared" si="388"/>
        <v>-17100</v>
      </c>
      <c r="AE801" s="8">
        <v>220314</v>
      </c>
      <c r="AF801" s="8">
        <f t="shared" si="390"/>
        <v>25248</v>
      </c>
      <c r="AG801" s="8">
        <v>230187</v>
      </c>
      <c r="AH801" s="8">
        <f t="shared" si="391"/>
        <v>10602</v>
      </c>
      <c r="AI801" s="8">
        <v>-9873</v>
      </c>
      <c r="AJ801" s="8">
        <f t="shared" si="392"/>
        <v>14646</v>
      </c>
      <c r="AK801" s="8">
        <v>126052</v>
      </c>
      <c r="AL801" s="8">
        <f t="shared" si="393"/>
        <v>23351</v>
      </c>
      <c r="AM801" s="8">
        <v>221275</v>
      </c>
      <c r="AN801" s="8">
        <f t="shared" si="394"/>
        <v>11551</v>
      </c>
      <c r="AO801" s="8">
        <v>-95223</v>
      </c>
      <c r="AP801" s="8">
        <f t="shared" si="407"/>
        <v>11800</v>
      </c>
      <c r="AR801" s="8">
        <v>1826338</v>
      </c>
      <c r="AS801" s="8">
        <f t="shared" si="408"/>
        <v>1566</v>
      </c>
      <c r="AT801" s="8">
        <v>285156</v>
      </c>
      <c r="AU801" s="8">
        <f t="shared" si="409"/>
        <v>9980</v>
      </c>
      <c r="AV801" s="8">
        <v>34560</v>
      </c>
      <c r="AW801" s="8">
        <f t="shared" si="410"/>
        <v>4125</v>
      </c>
      <c r="AX801" s="8">
        <v>250596</v>
      </c>
      <c r="AY801" s="8">
        <f t="shared" si="386"/>
        <v>5855</v>
      </c>
      <c r="AZ801" s="8">
        <v>784573</v>
      </c>
      <c r="BA801" s="8">
        <f t="shared" si="411"/>
        <v>-21557</v>
      </c>
      <c r="BB801" s="8">
        <v>1036739</v>
      </c>
      <c r="BC801" s="8">
        <f t="shared" si="412"/>
        <v>-1302</v>
      </c>
      <c r="BD801" s="8">
        <v>-252166</v>
      </c>
      <c r="BE801" s="8">
        <f t="shared" si="413"/>
        <v>-20255</v>
      </c>
      <c r="BF801" s="8">
        <v>472584</v>
      </c>
      <c r="BG801" s="8">
        <f t="shared" si="414"/>
        <v>-9689</v>
      </c>
      <c r="BH801" s="8">
        <v>942266</v>
      </c>
      <c r="BI801" s="8">
        <f t="shared" si="415"/>
        <v>505</v>
      </c>
      <c r="BJ801" s="8">
        <v>-469682</v>
      </c>
      <c r="BK801" s="8">
        <f t="shared" si="389"/>
        <v>-10194</v>
      </c>
    </row>
    <row r="802" spans="1:63">
      <c r="A802" s="5">
        <v>44481</v>
      </c>
      <c r="B802" s="8">
        <v>460957</v>
      </c>
      <c r="C802" s="8">
        <f t="shared" si="395"/>
        <v>12426</v>
      </c>
      <c r="D802" s="8">
        <v>87083</v>
      </c>
      <c r="E802" s="8">
        <f t="shared" si="396"/>
        <v>216</v>
      </c>
      <c r="F802" s="8">
        <v>14099</v>
      </c>
      <c r="G802" s="8">
        <f t="shared" si="397"/>
        <v>2410</v>
      </c>
      <c r="H802" s="8">
        <v>72984</v>
      </c>
      <c r="I802" s="8">
        <f t="shared" si="398"/>
        <v>-2194</v>
      </c>
      <c r="J802" s="8">
        <v>218004</v>
      </c>
      <c r="K802" s="8">
        <f t="shared" si="399"/>
        <v>11798</v>
      </c>
      <c r="L802" s="8">
        <v>300117</v>
      </c>
      <c r="M802" s="8">
        <f t="shared" si="400"/>
        <v>6855</v>
      </c>
      <c r="N802" s="8">
        <v>-82113</v>
      </c>
      <c r="O802" s="8">
        <f t="shared" si="401"/>
        <v>4943</v>
      </c>
      <c r="P802" s="8">
        <v>94536</v>
      </c>
      <c r="Q802" s="8">
        <f t="shared" si="402"/>
        <v>8198</v>
      </c>
      <c r="R802" s="8">
        <v>277909</v>
      </c>
      <c r="S802" s="8">
        <f t="shared" si="403"/>
        <v>6443</v>
      </c>
      <c r="T802" s="8">
        <v>-183373</v>
      </c>
      <c r="U802" s="8">
        <f t="shared" si="404"/>
        <v>1755</v>
      </c>
      <c r="W802" s="8">
        <v>470906</v>
      </c>
      <c r="X802" s="8">
        <f t="shared" si="405"/>
        <v>25953</v>
      </c>
      <c r="Y802" s="8">
        <v>39400</v>
      </c>
      <c r="Z802" s="8">
        <f t="shared" si="406"/>
        <v>-670</v>
      </c>
      <c r="AA802" s="8">
        <v>79724</v>
      </c>
      <c r="AB802" s="8">
        <f t="shared" si="387"/>
        <v>7590</v>
      </c>
      <c r="AC802" s="8">
        <v>-40324</v>
      </c>
      <c r="AD802" s="8">
        <f t="shared" si="388"/>
        <v>-8260</v>
      </c>
      <c r="AE802" s="8">
        <v>233149</v>
      </c>
      <c r="AF802" s="8">
        <f t="shared" si="390"/>
        <v>12835</v>
      </c>
      <c r="AG802" s="8">
        <v>236325</v>
      </c>
      <c r="AH802" s="8">
        <f t="shared" si="391"/>
        <v>6138</v>
      </c>
      <c r="AI802" s="8">
        <v>-3176</v>
      </c>
      <c r="AJ802" s="8">
        <f t="shared" si="392"/>
        <v>6697</v>
      </c>
      <c r="AK802" s="8">
        <v>132989</v>
      </c>
      <c r="AL802" s="8">
        <f t="shared" si="393"/>
        <v>6937</v>
      </c>
      <c r="AM802" s="8">
        <v>222985</v>
      </c>
      <c r="AN802" s="8">
        <f t="shared" si="394"/>
        <v>1710</v>
      </c>
      <c r="AO802" s="8">
        <v>-89996</v>
      </c>
      <c r="AP802" s="8">
        <f t="shared" si="407"/>
        <v>5227</v>
      </c>
      <c r="AR802" s="8">
        <v>1830438</v>
      </c>
      <c r="AS802" s="8">
        <f t="shared" si="408"/>
        <v>4100</v>
      </c>
      <c r="AT802" s="8">
        <v>278361</v>
      </c>
      <c r="AU802" s="8">
        <f t="shared" si="409"/>
        <v>-6795</v>
      </c>
      <c r="AV802" s="8">
        <v>50430</v>
      </c>
      <c r="AW802" s="8">
        <f t="shared" si="410"/>
        <v>15870</v>
      </c>
      <c r="AX802" s="8">
        <v>227931</v>
      </c>
      <c r="AY802" s="8">
        <f t="shared" si="386"/>
        <v>-22665</v>
      </c>
      <c r="AZ802" s="8">
        <v>804575</v>
      </c>
      <c r="BA802" s="8">
        <f t="shared" si="411"/>
        <v>20002</v>
      </c>
      <c r="BB802" s="8">
        <v>1034898</v>
      </c>
      <c r="BC802" s="8">
        <f t="shared" si="412"/>
        <v>-1841</v>
      </c>
      <c r="BD802" s="8">
        <v>-230323</v>
      </c>
      <c r="BE802" s="8">
        <f t="shared" si="413"/>
        <v>21843</v>
      </c>
      <c r="BF802" s="8">
        <v>489535</v>
      </c>
      <c r="BG802" s="8">
        <f t="shared" si="414"/>
        <v>16951</v>
      </c>
      <c r="BH802" s="8">
        <v>945085</v>
      </c>
      <c r="BI802" s="8">
        <f t="shared" si="415"/>
        <v>2819</v>
      </c>
      <c r="BJ802" s="8">
        <v>-455550</v>
      </c>
      <c r="BK802" s="8">
        <f t="shared" si="389"/>
        <v>14132</v>
      </c>
    </row>
    <row r="803" spans="1:63">
      <c r="A803" s="5">
        <v>44488</v>
      </c>
      <c r="B803" s="8">
        <v>481777</v>
      </c>
      <c r="C803" s="8">
        <f t="shared" si="395"/>
        <v>20820</v>
      </c>
      <c r="D803" s="8">
        <v>95324</v>
      </c>
      <c r="E803" s="8">
        <f t="shared" si="396"/>
        <v>8241</v>
      </c>
      <c r="F803" s="8">
        <v>13113</v>
      </c>
      <c r="G803" s="8">
        <f t="shared" si="397"/>
        <v>-986</v>
      </c>
      <c r="H803" s="8">
        <v>82211</v>
      </c>
      <c r="I803" s="8">
        <f t="shared" si="398"/>
        <v>9227</v>
      </c>
      <c r="J803" s="8">
        <v>223944</v>
      </c>
      <c r="K803" s="8">
        <f t="shared" si="399"/>
        <v>5940</v>
      </c>
      <c r="L803" s="8">
        <v>317775</v>
      </c>
      <c r="M803" s="8">
        <f t="shared" si="400"/>
        <v>17658</v>
      </c>
      <c r="N803" s="8">
        <v>-93831</v>
      </c>
      <c r="O803" s="8">
        <f t="shared" si="401"/>
        <v>-11718</v>
      </c>
      <c r="P803" s="8">
        <v>98430</v>
      </c>
      <c r="Q803" s="8">
        <f t="shared" si="402"/>
        <v>3894</v>
      </c>
      <c r="R803" s="8">
        <v>292917</v>
      </c>
      <c r="S803" s="8">
        <f t="shared" si="403"/>
        <v>15008</v>
      </c>
      <c r="T803" s="8">
        <v>-194487</v>
      </c>
      <c r="U803" s="8">
        <f t="shared" si="404"/>
        <v>-11114</v>
      </c>
      <c r="W803" s="8">
        <v>490823</v>
      </c>
      <c r="X803" s="8">
        <f t="shared" si="405"/>
        <v>19917</v>
      </c>
      <c r="Y803" s="8">
        <v>41515</v>
      </c>
      <c r="Z803" s="8">
        <f t="shared" si="406"/>
        <v>2115</v>
      </c>
      <c r="AA803" s="8">
        <v>73674</v>
      </c>
      <c r="AB803" s="8">
        <f t="shared" si="387"/>
        <v>-6050</v>
      </c>
      <c r="AC803" s="8">
        <v>-32159</v>
      </c>
      <c r="AD803" s="8">
        <f t="shared" si="388"/>
        <v>8165</v>
      </c>
      <c r="AE803" s="8">
        <v>240851</v>
      </c>
      <c r="AF803" s="8">
        <f t="shared" si="390"/>
        <v>7702</v>
      </c>
      <c r="AG803" s="8">
        <v>258278</v>
      </c>
      <c r="AH803" s="8">
        <f t="shared" si="391"/>
        <v>21953</v>
      </c>
      <c r="AI803" s="8">
        <v>-17427</v>
      </c>
      <c r="AJ803" s="8">
        <f t="shared" si="392"/>
        <v>-14251</v>
      </c>
      <c r="AK803" s="8">
        <v>137542</v>
      </c>
      <c r="AL803" s="8">
        <f t="shared" si="393"/>
        <v>4553</v>
      </c>
      <c r="AM803" s="8">
        <v>241305</v>
      </c>
      <c r="AN803" s="8">
        <f t="shared" si="394"/>
        <v>18320</v>
      </c>
      <c r="AO803" s="8">
        <v>-103763</v>
      </c>
      <c r="AP803" s="8">
        <f t="shared" si="407"/>
        <v>-13767</v>
      </c>
      <c r="AR803" s="8">
        <v>1830900</v>
      </c>
      <c r="AS803" s="8">
        <f t="shared" si="408"/>
        <v>462</v>
      </c>
      <c r="AT803" s="8">
        <v>266344</v>
      </c>
      <c r="AU803" s="8">
        <f t="shared" si="409"/>
        <v>-12017</v>
      </c>
      <c r="AV803" s="8">
        <v>46776</v>
      </c>
      <c r="AW803" s="8">
        <f t="shared" si="410"/>
        <v>-3654</v>
      </c>
      <c r="AX803" s="8">
        <v>219568</v>
      </c>
      <c r="AY803" s="8">
        <f t="shared" si="386"/>
        <v>-8363</v>
      </c>
      <c r="AZ803" s="8">
        <v>808589</v>
      </c>
      <c r="BA803" s="8">
        <f t="shared" si="411"/>
        <v>4014</v>
      </c>
      <c r="BB803" s="8">
        <v>1036819</v>
      </c>
      <c r="BC803" s="8">
        <f t="shared" si="412"/>
        <v>1921</v>
      </c>
      <c r="BD803" s="8">
        <v>-228230</v>
      </c>
      <c r="BE803" s="8">
        <f t="shared" si="413"/>
        <v>2093</v>
      </c>
      <c r="BF803" s="8">
        <v>494512</v>
      </c>
      <c r="BG803" s="8">
        <f t="shared" si="414"/>
        <v>4977</v>
      </c>
      <c r="BH803" s="8">
        <v>947231</v>
      </c>
      <c r="BI803" s="8">
        <f t="shared" si="415"/>
        <v>2146</v>
      </c>
      <c r="BJ803" s="8">
        <v>-452719</v>
      </c>
      <c r="BK803" s="8">
        <f t="shared" si="389"/>
        <v>2831</v>
      </c>
    </row>
    <row r="804" spans="1:63">
      <c r="A804" s="5">
        <v>44495</v>
      </c>
      <c r="B804" s="8">
        <v>478248</v>
      </c>
      <c r="C804" s="8">
        <f t="shared" si="395"/>
        <v>-3529</v>
      </c>
      <c r="D804" s="8">
        <v>99885</v>
      </c>
      <c r="E804" s="8">
        <f t="shared" si="396"/>
        <v>4561</v>
      </c>
      <c r="F804" s="8">
        <v>14254</v>
      </c>
      <c r="G804" s="8">
        <f t="shared" si="397"/>
        <v>1141</v>
      </c>
      <c r="H804" s="8">
        <v>85631</v>
      </c>
      <c r="I804" s="8">
        <f t="shared" si="398"/>
        <v>3420</v>
      </c>
      <c r="J804" s="8">
        <v>222730</v>
      </c>
      <c r="K804" s="8">
        <f t="shared" si="399"/>
        <v>-1214</v>
      </c>
      <c r="L804" s="8">
        <v>318014</v>
      </c>
      <c r="M804" s="8">
        <f t="shared" si="400"/>
        <v>239</v>
      </c>
      <c r="N804" s="8">
        <v>-95284</v>
      </c>
      <c r="O804" s="8">
        <f t="shared" si="401"/>
        <v>-1453</v>
      </c>
      <c r="P804" s="8">
        <v>98745</v>
      </c>
      <c r="Q804" s="8">
        <f t="shared" si="402"/>
        <v>315</v>
      </c>
      <c r="R804" s="8">
        <v>294434</v>
      </c>
      <c r="S804" s="8">
        <f t="shared" si="403"/>
        <v>1517</v>
      </c>
      <c r="T804" s="8">
        <v>-195689</v>
      </c>
      <c r="U804" s="8">
        <f t="shared" si="404"/>
        <v>-1202</v>
      </c>
      <c r="W804" s="8">
        <v>484541</v>
      </c>
      <c r="X804" s="8">
        <f t="shared" si="405"/>
        <v>-6282</v>
      </c>
      <c r="Y804" s="8">
        <v>46405</v>
      </c>
      <c r="Z804" s="8">
        <f t="shared" si="406"/>
        <v>4890</v>
      </c>
      <c r="AA804" s="8">
        <v>61546</v>
      </c>
      <c r="AB804" s="8">
        <f t="shared" si="387"/>
        <v>-12128</v>
      </c>
      <c r="AC804" s="8">
        <v>-15141</v>
      </c>
      <c r="AD804" s="8">
        <f t="shared" si="388"/>
        <v>17018</v>
      </c>
      <c r="AE804" s="8">
        <v>231895</v>
      </c>
      <c r="AF804" s="8">
        <f t="shared" si="390"/>
        <v>-8956</v>
      </c>
      <c r="AG804" s="8">
        <v>268771</v>
      </c>
      <c r="AH804" s="8">
        <f t="shared" si="391"/>
        <v>10493</v>
      </c>
      <c r="AI804" s="8">
        <v>-36876</v>
      </c>
      <c r="AJ804" s="8">
        <f t="shared" si="392"/>
        <v>-19449</v>
      </c>
      <c r="AK804" s="8">
        <v>126996</v>
      </c>
      <c r="AL804" s="8">
        <f t="shared" si="393"/>
        <v>-10546</v>
      </c>
      <c r="AM804" s="8">
        <v>249968</v>
      </c>
      <c r="AN804" s="8">
        <f t="shared" si="394"/>
        <v>8663</v>
      </c>
      <c r="AO804" s="8">
        <v>-122972</v>
      </c>
      <c r="AP804" s="8">
        <f t="shared" si="407"/>
        <v>-19209</v>
      </c>
      <c r="AR804" s="8">
        <v>1880818</v>
      </c>
      <c r="AS804" s="8">
        <f t="shared" si="408"/>
        <v>49918</v>
      </c>
      <c r="AT804" s="8">
        <v>277195</v>
      </c>
      <c r="AU804" s="8">
        <f t="shared" si="409"/>
        <v>10851</v>
      </c>
      <c r="AV804" s="8">
        <v>32405</v>
      </c>
      <c r="AW804" s="8">
        <f t="shared" si="410"/>
        <v>-14371</v>
      </c>
      <c r="AX804" s="8">
        <v>244790</v>
      </c>
      <c r="AY804" s="8">
        <f t="shared" si="386"/>
        <v>25222</v>
      </c>
      <c r="AZ804" s="8">
        <v>810313</v>
      </c>
      <c r="BA804" s="8">
        <f t="shared" si="411"/>
        <v>1724</v>
      </c>
      <c r="BB804" s="8">
        <v>1077184</v>
      </c>
      <c r="BC804" s="8">
        <f t="shared" si="412"/>
        <v>40365</v>
      </c>
      <c r="BD804" s="8">
        <v>-266871</v>
      </c>
      <c r="BE804" s="8">
        <f t="shared" si="413"/>
        <v>-38641</v>
      </c>
      <c r="BF804" s="8">
        <v>491492</v>
      </c>
      <c r="BG804" s="8">
        <f t="shared" si="414"/>
        <v>-3020</v>
      </c>
      <c r="BH804" s="8">
        <v>983319</v>
      </c>
      <c r="BI804" s="8">
        <f t="shared" si="415"/>
        <v>36088</v>
      </c>
      <c r="BJ804" s="8">
        <v>-491827</v>
      </c>
      <c r="BK804" s="8">
        <f t="shared" si="389"/>
        <v>-39108</v>
      </c>
    </row>
    <row r="805" spans="1:63">
      <c r="A805" s="5">
        <v>44502</v>
      </c>
      <c r="B805" s="8">
        <v>488744</v>
      </c>
      <c r="C805" s="8">
        <f t="shared" si="395"/>
        <v>10496</v>
      </c>
      <c r="D805" s="8">
        <v>101441</v>
      </c>
      <c r="E805" s="8">
        <f t="shared" si="396"/>
        <v>1556</v>
      </c>
      <c r="F805" s="8">
        <v>12693</v>
      </c>
      <c r="G805" s="8">
        <f t="shared" si="397"/>
        <v>-1561</v>
      </c>
      <c r="H805" s="8">
        <v>88748</v>
      </c>
      <c r="I805" s="8">
        <f t="shared" si="398"/>
        <v>3117</v>
      </c>
      <c r="J805" s="8">
        <v>226653</v>
      </c>
      <c r="K805" s="8">
        <f t="shared" si="399"/>
        <v>3923</v>
      </c>
      <c r="L805" s="8">
        <v>322156</v>
      </c>
      <c r="M805" s="8">
        <f t="shared" si="400"/>
        <v>4142</v>
      </c>
      <c r="N805" s="8">
        <v>-95503</v>
      </c>
      <c r="O805" s="8">
        <f t="shared" si="401"/>
        <v>-219</v>
      </c>
      <c r="P805" s="8">
        <v>102993</v>
      </c>
      <c r="Q805" s="8">
        <f t="shared" si="402"/>
        <v>4248</v>
      </c>
      <c r="R805" s="8">
        <v>296131</v>
      </c>
      <c r="S805" s="8">
        <f t="shared" si="403"/>
        <v>1697</v>
      </c>
      <c r="T805" s="8">
        <v>-193138</v>
      </c>
      <c r="U805" s="8">
        <f t="shared" si="404"/>
        <v>2551</v>
      </c>
      <c r="W805" s="8">
        <v>492363</v>
      </c>
      <c r="X805" s="8">
        <f t="shared" si="405"/>
        <v>7822</v>
      </c>
      <c r="Y805" s="8">
        <v>52026</v>
      </c>
      <c r="Z805" s="8">
        <f t="shared" si="406"/>
        <v>5621</v>
      </c>
      <c r="AA805" s="8">
        <v>58360</v>
      </c>
      <c r="AB805" s="8">
        <f t="shared" si="387"/>
        <v>-3186</v>
      </c>
      <c r="AC805" s="8">
        <v>-6334</v>
      </c>
      <c r="AD805" s="8">
        <f t="shared" si="388"/>
        <v>8807</v>
      </c>
      <c r="AE805" s="8">
        <v>228664</v>
      </c>
      <c r="AF805" s="8">
        <f t="shared" si="390"/>
        <v>-3231</v>
      </c>
      <c r="AG805" s="8">
        <v>273085</v>
      </c>
      <c r="AH805" s="8">
        <f t="shared" si="391"/>
        <v>4314</v>
      </c>
      <c r="AI805" s="8">
        <v>-44421</v>
      </c>
      <c r="AJ805" s="8">
        <f t="shared" si="392"/>
        <v>-7545</v>
      </c>
      <c r="AK805" s="8">
        <v>123857</v>
      </c>
      <c r="AL805" s="8">
        <f t="shared" si="393"/>
        <v>-3139</v>
      </c>
      <c r="AM805" s="8">
        <v>255709</v>
      </c>
      <c r="AN805" s="8">
        <f t="shared" si="394"/>
        <v>5741</v>
      </c>
      <c r="AO805" s="8">
        <v>-131852</v>
      </c>
      <c r="AP805" s="8">
        <f t="shared" si="407"/>
        <v>-8880</v>
      </c>
      <c r="AR805" s="8">
        <v>1988278</v>
      </c>
      <c r="AS805" s="8">
        <f t="shared" si="408"/>
        <v>107460</v>
      </c>
      <c r="AT805" s="8">
        <v>350148</v>
      </c>
      <c r="AU805" s="8">
        <f t="shared" si="409"/>
        <v>72953</v>
      </c>
      <c r="AV805" s="8">
        <v>25588</v>
      </c>
      <c r="AW805" s="8">
        <f t="shared" si="410"/>
        <v>-6817</v>
      </c>
      <c r="AX805" s="8">
        <v>324560</v>
      </c>
      <c r="AY805" s="8">
        <f t="shared" si="386"/>
        <v>79770</v>
      </c>
      <c r="AZ805" s="8">
        <v>798554</v>
      </c>
      <c r="BA805" s="8">
        <f t="shared" si="411"/>
        <v>-11759</v>
      </c>
      <c r="BB805" s="8">
        <v>1137373</v>
      </c>
      <c r="BC805" s="8">
        <f t="shared" si="412"/>
        <v>60189</v>
      </c>
      <c r="BD805" s="8">
        <v>-338819</v>
      </c>
      <c r="BE805" s="8">
        <f t="shared" si="413"/>
        <v>-71948</v>
      </c>
      <c r="BF805" s="8">
        <v>478327</v>
      </c>
      <c r="BG805" s="8">
        <f t="shared" si="414"/>
        <v>-13165</v>
      </c>
      <c r="BH805" s="8">
        <v>1038121</v>
      </c>
      <c r="BI805" s="8">
        <f t="shared" si="415"/>
        <v>54802</v>
      </c>
      <c r="BJ805" s="8">
        <v>-559794</v>
      </c>
      <c r="BK805" s="8">
        <f t="shared" si="389"/>
        <v>-67967</v>
      </c>
    </row>
    <row r="806" spans="1:63">
      <c r="A806" s="5">
        <v>44509</v>
      </c>
      <c r="B806" s="8">
        <v>484856</v>
      </c>
      <c r="C806" s="8">
        <f t="shared" si="395"/>
        <v>-3888</v>
      </c>
      <c r="D806" s="8">
        <v>89994</v>
      </c>
      <c r="E806" s="8">
        <f t="shared" si="396"/>
        <v>-11447</v>
      </c>
      <c r="F806" s="8">
        <v>17389</v>
      </c>
      <c r="G806" s="8">
        <f t="shared" si="397"/>
        <v>4696</v>
      </c>
      <c r="H806" s="8">
        <v>72605</v>
      </c>
      <c r="I806" s="8">
        <f t="shared" si="398"/>
        <v>-16143</v>
      </c>
      <c r="J806" s="8">
        <v>232604</v>
      </c>
      <c r="K806" s="8">
        <f t="shared" si="399"/>
        <v>5951</v>
      </c>
      <c r="L806" s="8">
        <v>306883</v>
      </c>
      <c r="M806" s="8">
        <f t="shared" si="400"/>
        <v>-15273</v>
      </c>
      <c r="N806" s="8">
        <v>-74279</v>
      </c>
      <c r="O806" s="8">
        <f t="shared" si="401"/>
        <v>21224</v>
      </c>
      <c r="P806" s="8">
        <v>107934</v>
      </c>
      <c r="Q806" s="8">
        <f t="shared" si="402"/>
        <v>4941</v>
      </c>
      <c r="R806" s="8">
        <v>282566</v>
      </c>
      <c r="S806" s="8">
        <f t="shared" si="403"/>
        <v>-13565</v>
      </c>
      <c r="T806" s="8">
        <v>-174632</v>
      </c>
      <c r="U806" s="8">
        <f t="shared" si="404"/>
        <v>18506</v>
      </c>
      <c r="W806" s="8">
        <v>499172</v>
      </c>
      <c r="X806" s="8">
        <f t="shared" si="405"/>
        <v>6809</v>
      </c>
      <c r="Y806" s="8">
        <v>56442</v>
      </c>
      <c r="Z806" s="8">
        <f t="shared" si="406"/>
        <v>4416</v>
      </c>
      <c r="AA806" s="8">
        <v>47143</v>
      </c>
      <c r="AB806" s="8">
        <f t="shared" si="387"/>
        <v>-11217</v>
      </c>
      <c r="AC806" s="8">
        <v>9299</v>
      </c>
      <c r="AD806" s="8">
        <f t="shared" si="388"/>
        <v>15633</v>
      </c>
      <c r="AE806" s="8">
        <v>224723</v>
      </c>
      <c r="AF806" s="8">
        <f t="shared" si="390"/>
        <v>-3941</v>
      </c>
      <c r="AG806" s="8">
        <v>286564</v>
      </c>
      <c r="AH806" s="8">
        <f t="shared" si="391"/>
        <v>13479</v>
      </c>
      <c r="AI806" s="8">
        <v>-61841</v>
      </c>
      <c r="AJ806" s="8">
        <f t="shared" si="392"/>
        <v>-17420</v>
      </c>
      <c r="AK806" s="8">
        <v>116953</v>
      </c>
      <c r="AL806" s="8">
        <f t="shared" si="393"/>
        <v>-6904</v>
      </c>
      <c r="AM806" s="8">
        <v>267542</v>
      </c>
      <c r="AN806" s="8">
        <f t="shared" si="394"/>
        <v>11833</v>
      </c>
      <c r="AO806" s="8">
        <v>-150589</v>
      </c>
      <c r="AP806" s="8">
        <f t="shared" si="407"/>
        <v>-18737</v>
      </c>
      <c r="AR806" s="8">
        <v>2002111</v>
      </c>
      <c r="AS806" s="8">
        <f t="shared" si="408"/>
        <v>13833</v>
      </c>
      <c r="AT806" s="8">
        <v>348003</v>
      </c>
      <c r="AU806" s="8">
        <f t="shared" si="409"/>
        <v>-2145</v>
      </c>
      <c r="AV806" s="8">
        <v>28394</v>
      </c>
      <c r="AW806" s="8">
        <f t="shared" si="410"/>
        <v>2806</v>
      </c>
      <c r="AX806" s="8">
        <v>319609</v>
      </c>
      <c r="AY806" s="8">
        <f t="shared" si="386"/>
        <v>-4951</v>
      </c>
      <c r="AZ806" s="8">
        <v>822749</v>
      </c>
      <c r="BA806" s="8">
        <f t="shared" si="411"/>
        <v>24195</v>
      </c>
      <c r="BB806" s="8">
        <v>1157807</v>
      </c>
      <c r="BC806" s="8">
        <f t="shared" si="412"/>
        <v>20434</v>
      </c>
      <c r="BD806" s="8">
        <v>-335058</v>
      </c>
      <c r="BE806" s="8">
        <f t="shared" si="413"/>
        <v>3761</v>
      </c>
      <c r="BF806" s="8">
        <v>489784</v>
      </c>
      <c r="BG806" s="8">
        <f t="shared" si="414"/>
        <v>11457</v>
      </c>
      <c r="BH806" s="8">
        <v>1058348</v>
      </c>
      <c r="BI806" s="8">
        <f t="shared" si="415"/>
        <v>20227</v>
      </c>
      <c r="BJ806" s="8">
        <v>-568564</v>
      </c>
      <c r="BK806" s="8">
        <f t="shared" si="389"/>
        <v>-8770</v>
      </c>
    </row>
    <row r="807" spans="1:63">
      <c r="A807" s="5">
        <v>44516</v>
      </c>
      <c r="B807" s="8">
        <v>495844</v>
      </c>
      <c r="C807" s="8">
        <f t="shared" si="395"/>
        <v>10988</v>
      </c>
      <c r="D807" s="8">
        <v>91121</v>
      </c>
      <c r="E807" s="8">
        <f t="shared" si="396"/>
        <v>1127</v>
      </c>
      <c r="F807" s="8">
        <v>14909</v>
      </c>
      <c r="G807" s="8">
        <f t="shared" si="397"/>
        <v>-2480</v>
      </c>
      <c r="H807" s="8">
        <v>76212</v>
      </c>
      <c r="I807" s="8">
        <f t="shared" si="398"/>
        <v>3607</v>
      </c>
      <c r="J807" s="8">
        <v>236406</v>
      </c>
      <c r="K807" s="8">
        <f t="shared" si="399"/>
        <v>3802</v>
      </c>
      <c r="L807" s="8">
        <v>310995</v>
      </c>
      <c r="M807" s="8">
        <f t="shared" si="400"/>
        <v>4112</v>
      </c>
      <c r="N807" s="8">
        <v>-74589</v>
      </c>
      <c r="O807" s="8">
        <f t="shared" si="401"/>
        <v>-310</v>
      </c>
      <c r="P807" s="8">
        <v>113117</v>
      </c>
      <c r="Q807" s="8">
        <f t="shared" si="402"/>
        <v>5183</v>
      </c>
      <c r="R807" s="8">
        <v>287018</v>
      </c>
      <c r="S807" s="8">
        <f t="shared" si="403"/>
        <v>4452</v>
      </c>
      <c r="T807" s="8">
        <v>-173901</v>
      </c>
      <c r="U807" s="8">
        <f t="shared" si="404"/>
        <v>731</v>
      </c>
      <c r="W807" s="8">
        <v>519884</v>
      </c>
      <c r="X807" s="8">
        <f t="shared" si="405"/>
        <v>20712</v>
      </c>
      <c r="Y807" s="8">
        <v>61233</v>
      </c>
      <c r="Z807" s="8">
        <f t="shared" si="406"/>
        <v>4791</v>
      </c>
      <c r="AA807" s="8">
        <v>23745</v>
      </c>
      <c r="AB807" s="8">
        <f t="shared" si="387"/>
        <v>-23398</v>
      </c>
      <c r="AC807" s="8">
        <v>37488</v>
      </c>
      <c r="AD807" s="8">
        <f t="shared" si="388"/>
        <v>28189</v>
      </c>
      <c r="AE807" s="8">
        <v>224442</v>
      </c>
      <c r="AF807" s="8">
        <f t="shared" si="390"/>
        <v>-281</v>
      </c>
      <c r="AG807" s="8">
        <v>318049</v>
      </c>
      <c r="AH807" s="8">
        <f t="shared" si="391"/>
        <v>31485</v>
      </c>
      <c r="AI807" s="8">
        <v>-93607</v>
      </c>
      <c r="AJ807" s="8">
        <f t="shared" si="392"/>
        <v>-31766</v>
      </c>
      <c r="AK807" s="8">
        <v>113781</v>
      </c>
      <c r="AL807" s="8">
        <f t="shared" si="393"/>
        <v>-3172</v>
      </c>
      <c r="AM807" s="8">
        <v>294329</v>
      </c>
      <c r="AN807" s="8">
        <f t="shared" si="394"/>
        <v>26787</v>
      </c>
      <c r="AO807" s="8">
        <v>-180548</v>
      </c>
      <c r="AP807" s="8">
        <f t="shared" si="407"/>
        <v>-29959</v>
      </c>
      <c r="AR807" s="8">
        <v>2075468</v>
      </c>
      <c r="AS807" s="8">
        <f t="shared" si="408"/>
        <v>73357</v>
      </c>
      <c r="AT807" s="8">
        <v>366930</v>
      </c>
      <c r="AU807" s="8">
        <f t="shared" si="409"/>
        <v>18927</v>
      </c>
      <c r="AV807" s="8">
        <v>25795</v>
      </c>
      <c r="AW807" s="8">
        <f t="shared" si="410"/>
        <v>-2599</v>
      </c>
      <c r="AX807" s="8">
        <v>341135</v>
      </c>
      <c r="AY807" s="8">
        <f t="shared" si="386"/>
        <v>21526</v>
      </c>
      <c r="AZ807" s="8">
        <v>841085</v>
      </c>
      <c r="BA807" s="8">
        <f t="shared" si="411"/>
        <v>18336</v>
      </c>
      <c r="BB807" s="8">
        <v>1197784</v>
      </c>
      <c r="BC807" s="8">
        <f t="shared" si="412"/>
        <v>39977</v>
      </c>
      <c r="BD807" s="8">
        <v>-356699</v>
      </c>
      <c r="BE807" s="8">
        <f t="shared" si="413"/>
        <v>-21641</v>
      </c>
      <c r="BF807" s="8">
        <v>485939</v>
      </c>
      <c r="BG807" s="8">
        <f t="shared" si="414"/>
        <v>-3845</v>
      </c>
      <c r="BH807" s="8">
        <v>1073978</v>
      </c>
      <c r="BI807" s="8">
        <f t="shared" si="415"/>
        <v>15630</v>
      </c>
      <c r="BJ807" s="8">
        <v>-588039</v>
      </c>
      <c r="BK807" s="8">
        <f t="shared" si="389"/>
        <v>-19475</v>
      </c>
    </row>
    <row r="808" spans="1:63">
      <c r="A808" s="5">
        <v>44523</v>
      </c>
      <c r="B808" s="8">
        <v>498334</v>
      </c>
      <c r="C808" s="8">
        <f t="shared" si="395"/>
        <v>2490</v>
      </c>
      <c r="D808" s="8">
        <v>94904</v>
      </c>
      <c r="E808" s="8">
        <f t="shared" si="396"/>
        <v>3783</v>
      </c>
      <c r="F808" s="8">
        <v>12550</v>
      </c>
      <c r="G808" s="8">
        <f t="shared" si="397"/>
        <v>-2359</v>
      </c>
      <c r="H808" s="8">
        <v>82354</v>
      </c>
      <c r="I808" s="8">
        <f t="shared" si="398"/>
        <v>6142</v>
      </c>
      <c r="J808" s="8">
        <v>234989</v>
      </c>
      <c r="K808" s="8">
        <f t="shared" si="399"/>
        <v>-1417</v>
      </c>
      <c r="L808" s="8">
        <v>317944</v>
      </c>
      <c r="M808" s="8">
        <f t="shared" si="400"/>
        <v>6949</v>
      </c>
      <c r="N808" s="8">
        <v>-82955</v>
      </c>
      <c r="O808" s="8">
        <f t="shared" si="401"/>
        <v>-8366</v>
      </c>
      <c r="P808" s="8">
        <v>110763</v>
      </c>
      <c r="Q808" s="8">
        <f t="shared" si="402"/>
        <v>-2354</v>
      </c>
      <c r="R808" s="8">
        <v>293349</v>
      </c>
      <c r="S808" s="8">
        <f t="shared" si="403"/>
        <v>6331</v>
      </c>
      <c r="T808" s="8">
        <v>-182586</v>
      </c>
      <c r="U808" s="8">
        <f t="shared" si="404"/>
        <v>-8685</v>
      </c>
      <c r="W808" s="8">
        <v>497835</v>
      </c>
      <c r="X808" s="8">
        <f t="shared" si="405"/>
        <v>-22049</v>
      </c>
      <c r="Y808" s="8">
        <v>66417</v>
      </c>
      <c r="Z808" s="8">
        <f t="shared" si="406"/>
        <v>5184</v>
      </c>
      <c r="AA808" s="8">
        <v>12858</v>
      </c>
      <c r="AB808" s="8">
        <f t="shared" si="387"/>
        <v>-10887</v>
      </c>
      <c r="AC808" s="8">
        <v>53559</v>
      </c>
      <c r="AD808" s="8">
        <f t="shared" si="388"/>
        <v>16071</v>
      </c>
      <c r="AE808" s="8">
        <v>216198</v>
      </c>
      <c r="AF808" s="8">
        <f t="shared" si="390"/>
        <v>-8244</v>
      </c>
      <c r="AG808" s="8">
        <v>320805</v>
      </c>
      <c r="AH808" s="8">
        <f t="shared" si="391"/>
        <v>2756</v>
      </c>
      <c r="AI808" s="8">
        <v>-104607</v>
      </c>
      <c r="AJ808" s="8">
        <f t="shared" si="392"/>
        <v>-11000</v>
      </c>
      <c r="AK808" s="8">
        <v>109014</v>
      </c>
      <c r="AL808" s="8">
        <f t="shared" si="393"/>
        <v>-4767</v>
      </c>
      <c r="AM808" s="8">
        <v>301505</v>
      </c>
      <c r="AN808" s="8">
        <f t="shared" si="394"/>
        <v>7176</v>
      </c>
      <c r="AO808" s="8">
        <v>-192491</v>
      </c>
      <c r="AP808" s="8">
        <f t="shared" si="407"/>
        <v>-11943</v>
      </c>
      <c r="AR808" s="8">
        <v>2099574</v>
      </c>
      <c r="AS808" s="8">
        <f t="shared" si="408"/>
        <v>24106</v>
      </c>
      <c r="AT808" s="8">
        <v>389868</v>
      </c>
      <c r="AU808" s="8">
        <f t="shared" si="409"/>
        <v>22938</v>
      </c>
      <c r="AV808" s="8">
        <v>23177</v>
      </c>
      <c r="AW808" s="8">
        <f t="shared" si="410"/>
        <v>-2618</v>
      </c>
      <c r="AX808" s="8">
        <v>366691</v>
      </c>
      <c r="AY808" s="8">
        <f t="shared" si="386"/>
        <v>25556</v>
      </c>
      <c r="AZ808" s="8">
        <v>841994</v>
      </c>
      <c r="BA808" s="8">
        <f t="shared" si="411"/>
        <v>909</v>
      </c>
      <c r="BB808" s="8">
        <v>1224677</v>
      </c>
      <c r="BC808" s="8">
        <f t="shared" si="412"/>
        <v>26893</v>
      </c>
      <c r="BD808" s="8">
        <v>-382683</v>
      </c>
      <c r="BE808" s="8">
        <f t="shared" si="413"/>
        <v>-25984</v>
      </c>
      <c r="BF808" s="8">
        <v>488115</v>
      </c>
      <c r="BG808" s="8">
        <f t="shared" si="414"/>
        <v>2176</v>
      </c>
      <c r="BH808" s="8">
        <v>1103078</v>
      </c>
      <c r="BI808" s="8">
        <f t="shared" si="415"/>
        <v>29100</v>
      </c>
      <c r="BJ808" s="8">
        <v>-614963</v>
      </c>
      <c r="BK808" s="8">
        <f t="shared" si="389"/>
        <v>-26924</v>
      </c>
    </row>
    <row r="809" spans="1:63">
      <c r="A809" s="5">
        <v>44530</v>
      </c>
      <c r="B809" s="8">
        <v>436518</v>
      </c>
      <c r="C809" s="8">
        <f t="shared" si="395"/>
        <v>-61816</v>
      </c>
      <c r="D809" s="8">
        <v>82530</v>
      </c>
      <c r="E809" s="8">
        <f t="shared" si="396"/>
        <v>-12374</v>
      </c>
      <c r="F809" s="8">
        <v>18170</v>
      </c>
      <c r="G809" s="8">
        <f t="shared" si="397"/>
        <v>5620</v>
      </c>
      <c r="H809" s="8">
        <v>64360</v>
      </c>
      <c r="I809" s="8">
        <f t="shared" si="398"/>
        <v>-17994</v>
      </c>
      <c r="J809" s="8">
        <v>219321</v>
      </c>
      <c r="K809" s="8">
        <f t="shared" si="399"/>
        <v>-15668</v>
      </c>
      <c r="L809" s="8">
        <v>276812</v>
      </c>
      <c r="M809" s="8">
        <f t="shared" si="400"/>
        <v>-41132</v>
      </c>
      <c r="N809" s="8">
        <v>-57491</v>
      </c>
      <c r="O809" s="8">
        <f t="shared" si="401"/>
        <v>25464</v>
      </c>
      <c r="P809" s="8">
        <v>109210</v>
      </c>
      <c r="Q809" s="8">
        <f t="shared" si="402"/>
        <v>-1553</v>
      </c>
      <c r="R809" s="8">
        <v>265304</v>
      </c>
      <c r="S809" s="8">
        <f t="shared" si="403"/>
        <v>-28045</v>
      </c>
      <c r="T809" s="8">
        <v>-156094</v>
      </c>
      <c r="U809" s="8">
        <f t="shared" si="404"/>
        <v>26492</v>
      </c>
      <c r="W809" s="8">
        <v>430317</v>
      </c>
      <c r="X809" s="8">
        <f t="shared" si="405"/>
        <v>-67518</v>
      </c>
      <c r="Y809" s="8">
        <v>55113</v>
      </c>
      <c r="Z809" s="8">
        <f t="shared" si="406"/>
        <v>-11304</v>
      </c>
      <c r="AA809" s="8">
        <v>17432</v>
      </c>
      <c r="AB809" s="8">
        <f t="shared" si="387"/>
        <v>4574</v>
      </c>
      <c r="AC809" s="8">
        <v>37681</v>
      </c>
      <c r="AD809" s="8">
        <f t="shared" si="388"/>
        <v>-15878</v>
      </c>
      <c r="AE809" s="8">
        <v>203133</v>
      </c>
      <c r="AF809" s="8">
        <f t="shared" si="390"/>
        <v>-13065</v>
      </c>
      <c r="AG809" s="8">
        <v>287219</v>
      </c>
      <c r="AH809" s="8">
        <f t="shared" si="391"/>
        <v>-33586</v>
      </c>
      <c r="AI809" s="8">
        <v>-84086</v>
      </c>
      <c r="AJ809" s="8">
        <f t="shared" si="392"/>
        <v>20521</v>
      </c>
      <c r="AK809" s="8">
        <v>101164</v>
      </c>
      <c r="AL809" s="8">
        <f t="shared" si="393"/>
        <v>-7850</v>
      </c>
      <c r="AM809" s="8">
        <v>277952</v>
      </c>
      <c r="AN809" s="8">
        <f t="shared" si="394"/>
        <v>-23553</v>
      </c>
      <c r="AO809" s="8">
        <v>-176788</v>
      </c>
      <c r="AP809" s="8">
        <f t="shared" si="407"/>
        <v>15703</v>
      </c>
      <c r="AR809" s="8">
        <v>1681394</v>
      </c>
      <c r="AS809" s="8">
        <f t="shared" si="408"/>
        <v>-418180</v>
      </c>
      <c r="AT809" s="8">
        <v>351592</v>
      </c>
      <c r="AU809" s="8">
        <f t="shared" si="409"/>
        <v>-38276</v>
      </c>
      <c r="AV809" s="8">
        <v>36323</v>
      </c>
      <c r="AW809" s="8">
        <f t="shared" si="410"/>
        <v>13146</v>
      </c>
      <c r="AX809" s="8">
        <v>315269</v>
      </c>
      <c r="AY809" s="8">
        <f t="shared" si="386"/>
        <v>-51422</v>
      </c>
      <c r="AZ809" s="8">
        <v>719059</v>
      </c>
      <c r="BA809" s="8">
        <f t="shared" si="411"/>
        <v>-122935</v>
      </c>
      <c r="BB809" s="8">
        <v>1054738</v>
      </c>
      <c r="BC809" s="8">
        <f t="shared" si="412"/>
        <v>-169939</v>
      </c>
      <c r="BD809" s="8">
        <v>-335679</v>
      </c>
      <c r="BE809" s="8">
        <f t="shared" si="413"/>
        <v>47004</v>
      </c>
      <c r="BF809" s="8">
        <v>396219</v>
      </c>
      <c r="BG809" s="8">
        <f t="shared" si="414"/>
        <v>-91896</v>
      </c>
      <c r="BH809" s="8">
        <v>1002393</v>
      </c>
      <c r="BI809" s="8">
        <f t="shared" si="415"/>
        <v>-100685</v>
      </c>
      <c r="BJ809" s="8">
        <v>-606174</v>
      </c>
      <c r="BK809" s="8">
        <f t="shared" si="389"/>
        <v>8789</v>
      </c>
    </row>
    <row r="810" spans="1:63">
      <c r="A810" s="5">
        <v>44537</v>
      </c>
      <c r="B810" s="8">
        <v>425461</v>
      </c>
      <c r="C810" s="8">
        <f t="shared" si="395"/>
        <v>-11057</v>
      </c>
      <c r="D810" s="8">
        <v>75120</v>
      </c>
      <c r="E810" s="8">
        <f t="shared" si="396"/>
        <v>-7410</v>
      </c>
      <c r="F810" s="8">
        <v>16292</v>
      </c>
      <c r="G810" s="8">
        <f t="shared" si="397"/>
        <v>-1878</v>
      </c>
      <c r="H810" s="8">
        <v>58828</v>
      </c>
      <c r="I810" s="8">
        <f t="shared" si="398"/>
        <v>-5532</v>
      </c>
      <c r="J810" s="8">
        <v>221137</v>
      </c>
      <c r="K810" s="8">
        <f t="shared" si="399"/>
        <v>1816</v>
      </c>
      <c r="L810" s="8">
        <v>276283</v>
      </c>
      <c r="M810" s="8">
        <f t="shared" si="400"/>
        <v>-529</v>
      </c>
      <c r="N810" s="8">
        <v>-55146</v>
      </c>
      <c r="O810" s="8">
        <f t="shared" si="401"/>
        <v>2345</v>
      </c>
      <c r="P810" s="8">
        <v>112359</v>
      </c>
      <c r="Q810" s="8">
        <f t="shared" si="402"/>
        <v>3149</v>
      </c>
      <c r="R810" s="8">
        <v>263325</v>
      </c>
      <c r="S810" s="8">
        <f t="shared" si="403"/>
        <v>-1979</v>
      </c>
      <c r="T810" s="8">
        <v>-150966</v>
      </c>
      <c r="U810" s="8">
        <f t="shared" si="404"/>
        <v>5128</v>
      </c>
      <c r="W810" s="8">
        <v>418151</v>
      </c>
      <c r="X810" s="8">
        <f t="shared" si="405"/>
        <v>-12166</v>
      </c>
      <c r="Y810" s="8">
        <v>49998</v>
      </c>
      <c r="Z810" s="8">
        <f t="shared" si="406"/>
        <v>-5115</v>
      </c>
      <c r="AA810" s="8">
        <v>22100</v>
      </c>
      <c r="AB810" s="8">
        <f t="shared" si="387"/>
        <v>4668</v>
      </c>
      <c r="AC810" s="8">
        <v>27898</v>
      </c>
      <c r="AD810" s="8">
        <f t="shared" si="388"/>
        <v>-9783</v>
      </c>
      <c r="AE810" s="8">
        <v>200373</v>
      </c>
      <c r="AF810" s="8">
        <f t="shared" si="390"/>
        <v>-2760</v>
      </c>
      <c r="AG810" s="8">
        <v>271582</v>
      </c>
      <c r="AH810" s="8">
        <f t="shared" si="391"/>
        <v>-15637</v>
      </c>
      <c r="AI810" s="8">
        <v>-71209</v>
      </c>
      <c r="AJ810" s="8">
        <f t="shared" si="392"/>
        <v>12877</v>
      </c>
      <c r="AK810" s="8">
        <v>102386</v>
      </c>
      <c r="AL810" s="8">
        <f t="shared" si="393"/>
        <v>1222</v>
      </c>
      <c r="AM810" s="8">
        <v>262847</v>
      </c>
      <c r="AN810" s="8">
        <f t="shared" si="394"/>
        <v>-15105</v>
      </c>
      <c r="AO810" s="8">
        <v>-160461</v>
      </c>
      <c r="AP810" s="8">
        <f t="shared" si="407"/>
        <v>16327</v>
      </c>
      <c r="AR810" s="8">
        <v>1724182</v>
      </c>
      <c r="AS810" s="8">
        <f t="shared" si="408"/>
        <v>42788</v>
      </c>
      <c r="AT810" s="8">
        <v>358318</v>
      </c>
      <c r="AU810" s="8">
        <f t="shared" si="409"/>
        <v>6726</v>
      </c>
      <c r="AV810" s="8">
        <v>25817</v>
      </c>
      <c r="AW810" s="8">
        <f t="shared" si="410"/>
        <v>-10506</v>
      </c>
      <c r="AX810" s="8">
        <v>332501</v>
      </c>
      <c r="AY810" s="8">
        <f t="shared" ref="AY810:AY873" si="416">AX810-AX809</f>
        <v>17232</v>
      </c>
      <c r="AZ810" s="8">
        <v>734976</v>
      </c>
      <c r="BA810" s="8">
        <f t="shared" si="411"/>
        <v>15917</v>
      </c>
      <c r="BB810" s="8">
        <v>1101882</v>
      </c>
      <c r="BC810" s="8">
        <f t="shared" si="412"/>
        <v>47144</v>
      </c>
      <c r="BD810" s="8">
        <v>-366906</v>
      </c>
      <c r="BE810" s="8">
        <f t="shared" si="413"/>
        <v>-31227</v>
      </c>
      <c r="BF810" s="8">
        <v>413381</v>
      </c>
      <c r="BG810" s="8">
        <f t="shared" si="414"/>
        <v>17162</v>
      </c>
      <c r="BH810" s="8">
        <v>1048382</v>
      </c>
      <c r="BI810" s="8">
        <f t="shared" si="415"/>
        <v>45989</v>
      </c>
      <c r="BJ810" s="8">
        <v>-635001</v>
      </c>
      <c r="BK810" s="8">
        <f t="shared" si="389"/>
        <v>-28827</v>
      </c>
    </row>
    <row r="811" spans="1:63">
      <c r="A811" s="5">
        <v>44544</v>
      </c>
      <c r="B811" s="8">
        <v>451435</v>
      </c>
      <c r="C811" s="8">
        <f t="shared" si="395"/>
        <v>25974</v>
      </c>
      <c r="D811" s="8">
        <v>65328</v>
      </c>
      <c r="E811" s="8">
        <f t="shared" si="396"/>
        <v>-9792</v>
      </c>
      <c r="F811" s="8">
        <v>20545</v>
      </c>
      <c r="G811" s="8">
        <f t="shared" si="397"/>
        <v>4253</v>
      </c>
      <c r="H811" s="8">
        <v>44783</v>
      </c>
      <c r="I811" s="8">
        <f t="shared" si="398"/>
        <v>-14045</v>
      </c>
      <c r="J811" s="8">
        <v>241395</v>
      </c>
      <c r="K811" s="8">
        <f t="shared" si="399"/>
        <v>20258</v>
      </c>
      <c r="L811" s="8">
        <v>274505</v>
      </c>
      <c r="M811" s="8">
        <f t="shared" si="400"/>
        <v>-1778</v>
      </c>
      <c r="N811" s="8">
        <v>-33110</v>
      </c>
      <c r="O811" s="8">
        <f t="shared" si="401"/>
        <v>22036</v>
      </c>
      <c r="P811" s="8">
        <v>134300</v>
      </c>
      <c r="Q811" s="8">
        <f t="shared" si="402"/>
        <v>21941</v>
      </c>
      <c r="R811" s="8">
        <v>261547</v>
      </c>
      <c r="S811" s="8">
        <f t="shared" si="403"/>
        <v>-1778</v>
      </c>
      <c r="T811" s="8">
        <v>-127247</v>
      </c>
      <c r="U811" s="8">
        <f t="shared" si="404"/>
        <v>23719</v>
      </c>
      <c r="W811" s="8">
        <v>434693</v>
      </c>
      <c r="X811" s="8">
        <f t="shared" si="405"/>
        <v>16542</v>
      </c>
      <c r="Y811" s="8">
        <v>57967</v>
      </c>
      <c r="Z811" s="8">
        <f t="shared" si="406"/>
        <v>7969</v>
      </c>
      <c r="AA811" s="8">
        <v>17433</v>
      </c>
      <c r="AB811" s="8">
        <f t="shared" ref="AB811:AB874" si="417">AA811-AA810</f>
        <v>-4667</v>
      </c>
      <c r="AC811" s="8">
        <v>40534</v>
      </c>
      <c r="AD811" s="8">
        <f t="shared" ref="AD811:AD874" si="418">AC811-AC810</f>
        <v>12636</v>
      </c>
      <c r="AE811" s="8">
        <v>190833</v>
      </c>
      <c r="AF811" s="8">
        <f t="shared" si="390"/>
        <v>-9540</v>
      </c>
      <c r="AG811" s="8">
        <v>284949</v>
      </c>
      <c r="AH811" s="8">
        <f t="shared" si="391"/>
        <v>13367</v>
      </c>
      <c r="AI811" s="8">
        <v>-94116</v>
      </c>
      <c r="AJ811" s="8">
        <f t="shared" si="392"/>
        <v>-22907</v>
      </c>
      <c r="AK811" s="8">
        <v>93459</v>
      </c>
      <c r="AL811" s="8">
        <f t="shared" si="393"/>
        <v>-8927</v>
      </c>
      <c r="AM811" s="8">
        <v>274976</v>
      </c>
      <c r="AN811" s="8">
        <f t="shared" si="394"/>
        <v>12129</v>
      </c>
      <c r="AO811" s="8">
        <v>-181517</v>
      </c>
      <c r="AP811" s="8">
        <f t="shared" si="407"/>
        <v>-21056</v>
      </c>
      <c r="AR811" s="8">
        <v>1757032</v>
      </c>
      <c r="AS811" s="8">
        <f t="shared" si="408"/>
        <v>32850</v>
      </c>
      <c r="AT811" s="8">
        <v>371134</v>
      </c>
      <c r="AU811" s="8">
        <f t="shared" si="409"/>
        <v>12816</v>
      </c>
      <c r="AV811" s="8">
        <v>25154</v>
      </c>
      <c r="AW811" s="8">
        <f t="shared" si="410"/>
        <v>-663</v>
      </c>
      <c r="AX811" s="8">
        <v>345980</v>
      </c>
      <c r="AY811" s="8">
        <f t="shared" si="416"/>
        <v>13479</v>
      </c>
      <c r="AZ811" s="8">
        <v>736906</v>
      </c>
      <c r="BA811" s="8">
        <f t="shared" si="411"/>
        <v>1930</v>
      </c>
      <c r="BB811" s="8">
        <v>1117122</v>
      </c>
      <c r="BC811" s="8">
        <f t="shared" si="412"/>
        <v>15240</v>
      </c>
      <c r="BD811" s="8">
        <v>-380216</v>
      </c>
      <c r="BE811" s="8">
        <f t="shared" si="413"/>
        <v>-13310</v>
      </c>
      <c r="BF811" s="8">
        <v>415996</v>
      </c>
      <c r="BG811" s="8">
        <f t="shared" si="414"/>
        <v>2615</v>
      </c>
      <c r="BH811" s="8">
        <v>1064334</v>
      </c>
      <c r="BI811" s="8">
        <f t="shared" si="415"/>
        <v>15952</v>
      </c>
      <c r="BJ811" s="8">
        <v>-648338</v>
      </c>
      <c r="BK811" s="8">
        <f t="shared" si="389"/>
        <v>-13337</v>
      </c>
    </row>
    <row r="812" spans="1:63">
      <c r="A812" s="5">
        <v>44551</v>
      </c>
      <c r="B812" s="8">
        <v>456215</v>
      </c>
      <c r="C812" s="8">
        <f t="shared" si="395"/>
        <v>4780</v>
      </c>
      <c r="D812" s="8">
        <v>62160</v>
      </c>
      <c r="E812" s="8">
        <f t="shared" si="396"/>
        <v>-3168</v>
      </c>
      <c r="F812" s="8">
        <v>23082</v>
      </c>
      <c r="G812" s="8">
        <f t="shared" si="397"/>
        <v>2537</v>
      </c>
      <c r="H812" s="8">
        <v>39078</v>
      </c>
      <c r="I812" s="8">
        <f t="shared" si="398"/>
        <v>-5705</v>
      </c>
      <c r="J812" s="8">
        <v>242220</v>
      </c>
      <c r="K812" s="8">
        <f t="shared" si="399"/>
        <v>825</v>
      </c>
      <c r="L812" s="8">
        <v>269153</v>
      </c>
      <c r="M812" s="8">
        <f t="shared" si="400"/>
        <v>-5352</v>
      </c>
      <c r="N812" s="8">
        <v>-26933</v>
      </c>
      <c r="O812" s="8">
        <f t="shared" si="401"/>
        <v>6177</v>
      </c>
      <c r="P812" s="8">
        <v>134468</v>
      </c>
      <c r="Q812" s="8">
        <f t="shared" si="402"/>
        <v>168</v>
      </c>
      <c r="R812" s="8">
        <v>256087</v>
      </c>
      <c r="S812" s="8">
        <f t="shared" si="403"/>
        <v>-5460</v>
      </c>
      <c r="T812" s="8">
        <v>-121619</v>
      </c>
      <c r="U812" s="8">
        <f t="shared" si="404"/>
        <v>5628</v>
      </c>
      <c r="W812" s="8">
        <v>452464</v>
      </c>
      <c r="X812" s="8">
        <f t="shared" si="405"/>
        <v>17771</v>
      </c>
      <c r="Y812" s="8">
        <v>63601</v>
      </c>
      <c r="Z812" s="8">
        <f t="shared" si="406"/>
        <v>5634</v>
      </c>
      <c r="AA812" s="8">
        <v>13050</v>
      </c>
      <c r="AB812" s="8">
        <f t="shared" si="417"/>
        <v>-4383</v>
      </c>
      <c r="AC812" s="8">
        <v>50551</v>
      </c>
      <c r="AD812" s="8">
        <f t="shared" si="418"/>
        <v>10017</v>
      </c>
      <c r="AE812" s="8">
        <v>198416</v>
      </c>
      <c r="AF812" s="8">
        <f t="shared" si="390"/>
        <v>7583</v>
      </c>
      <c r="AG812" s="8">
        <v>303231</v>
      </c>
      <c r="AH812" s="8">
        <f t="shared" si="391"/>
        <v>18282</v>
      </c>
      <c r="AI812" s="8">
        <v>-104815</v>
      </c>
      <c r="AJ812" s="8">
        <f t="shared" si="392"/>
        <v>-10699</v>
      </c>
      <c r="AK812" s="8">
        <v>98675</v>
      </c>
      <c r="AL812" s="8">
        <f t="shared" si="393"/>
        <v>5216</v>
      </c>
      <c r="AM812" s="8">
        <v>291004</v>
      </c>
      <c r="AN812" s="8">
        <f t="shared" si="394"/>
        <v>16028</v>
      </c>
      <c r="AO812" s="8">
        <v>-192329</v>
      </c>
      <c r="AP812" s="8">
        <f t="shared" si="407"/>
        <v>-10812</v>
      </c>
      <c r="AR812" s="8">
        <v>1801189</v>
      </c>
      <c r="AS812" s="8">
        <f t="shared" si="408"/>
        <v>44157</v>
      </c>
      <c r="AT812" s="8">
        <v>385219</v>
      </c>
      <c r="AU812" s="8">
        <f t="shared" si="409"/>
        <v>14085</v>
      </c>
      <c r="AV812" s="8">
        <v>24803</v>
      </c>
      <c r="AW812" s="8">
        <f t="shared" si="410"/>
        <v>-351</v>
      </c>
      <c r="AX812" s="8">
        <v>360416</v>
      </c>
      <c r="AY812" s="8">
        <f t="shared" si="416"/>
        <v>14436</v>
      </c>
      <c r="AZ812" s="8">
        <v>738039</v>
      </c>
      <c r="BA812" s="8">
        <f t="shared" si="411"/>
        <v>1133</v>
      </c>
      <c r="BB812" s="8">
        <v>1138073</v>
      </c>
      <c r="BC812" s="8">
        <f t="shared" si="412"/>
        <v>20951</v>
      </c>
      <c r="BD812" s="8">
        <v>-400034</v>
      </c>
      <c r="BE812" s="8">
        <f t="shared" si="413"/>
        <v>-19818</v>
      </c>
      <c r="BF812" s="8">
        <v>414926</v>
      </c>
      <c r="BG812" s="8">
        <f t="shared" si="414"/>
        <v>-1070</v>
      </c>
      <c r="BH812" s="8">
        <v>1077838</v>
      </c>
      <c r="BI812" s="8">
        <f t="shared" si="415"/>
        <v>13504</v>
      </c>
      <c r="BJ812" s="8">
        <v>-662912</v>
      </c>
      <c r="BK812" s="8">
        <f t="shared" si="389"/>
        <v>-14574</v>
      </c>
    </row>
    <row r="813" spans="1:63">
      <c r="A813" s="5">
        <v>44558</v>
      </c>
      <c r="B813" s="8">
        <v>419844</v>
      </c>
      <c r="C813" s="8">
        <f t="shared" si="395"/>
        <v>-36371</v>
      </c>
      <c r="D813" s="8">
        <v>64328</v>
      </c>
      <c r="E813" s="8">
        <f t="shared" si="396"/>
        <v>2168</v>
      </c>
      <c r="F813" s="8">
        <v>18934</v>
      </c>
      <c r="G813" s="8">
        <f t="shared" si="397"/>
        <v>-4148</v>
      </c>
      <c r="H813" s="8">
        <v>45394</v>
      </c>
      <c r="I813" s="8">
        <f t="shared" si="398"/>
        <v>6316</v>
      </c>
      <c r="J813" s="8">
        <v>226501</v>
      </c>
      <c r="K813" s="8">
        <f t="shared" si="399"/>
        <v>-15719</v>
      </c>
      <c r="L813" s="8">
        <v>264816</v>
      </c>
      <c r="M813" s="8">
        <f t="shared" si="400"/>
        <v>-4337</v>
      </c>
      <c r="N813" s="8">
        <v>-38315</v>
      </c>
      <c r="O813" s="8">
        <f t="shared" si="401"/>
        <v>-11382</v>
      </c>
      <c r="P813" s="8">
        <v>119715</v>
      </c>
      <c r="Q813" s="8">
        <f t="shared" si="402"/>
        <v>-14753</v>
      </c>
      <c r="R813" s="8">
        <v>252149</v>
      </c>
      <c r="S813" s="8">
        <f t="shared" si="403"/>
        <v>-3938</v>
      </c>
      <c r="T813" s="8">
        <v>-132434</v>
      </c>
      <c r="U813" s="8">
        <f t="shared" si="404"/>
        <v>-10815</v>
      </c>
      <c r="W813" s="8">
        <v>430303</v>
      </c>
      <c r="X813" s="8">
        <f t="shared" si="405"/>
        <v>-22161</v>
      </c>
      <c r="Y813" s="8">
        <v>72021</v>
      </c>
      <c r="Z813" s="8">
        <f t="shared" si="406"/>
        <v>8420</v>
      </c>
      <c r="AA813" s="8">
        <v>10859</v>
      </c>
      <c r="AB813" s="8">
        <f t="shared" si="417"/>
        <v>-2191</v>
      </c>
      <c r="AC813" s="8">
        <v>61162</v>
      </c>
      <c r="AD813" s="8">
        <f t="shared" si="418"/>
        <v>10611</v>
      </c>
      <c r="AE813" s="8">
        <v>194365</v>
      </c>
      <c r="AF813" s="8">
        <f t="shared" si="390"/>
        <v>-4051</v>
      </c>
      <c r="AG813" s="8">
        <v>310675</v>
      </c>
      <c r="AH813" s="8">
        <f t="shared" si="391"/>
        <v>7444</v>
      </c>
      <c r="AI813" s="8">
        <v>-116310</v>
      </c>
      <c r="AJ813" s="8">
        <f t="shared" si="392"/>
        <v>-11495</v>
      </c>
      <c r="AK813" s="8">
        <v>95193</v>
      </c>
      <c r="AL813" s="8">
        <f t="shared" si="393"/>
        <v>-3482</v>
      </c>
      <c r="AM813" s="8">
        <v>298519</v>
      </c>
      <c r="AN813" s="8">
        <f t="shared" si="394"/>
        <v>7515</v>
      </c>
      <c r="AO813" s="8">
        <v>-203326</v>
      </c>
      <c r="AP813" s="8">
        <f t="shared" si="407"/>
        <v>-10997</v>
      </c>
      <c r="AR813" s="8">
        <v>1843102</v>
      </c>
      <c r="AS813" s="8">
        <f t="shared" si="408"/>
        <v>41913</v>
      </c>
      <c r="AT813" s="8">
        <v>399264</v>
      </c>
      <c r="AU813" s="8">
        <f t="shared" si="409"/>
        <v>14045</v>
      </c>
      <c r="AV813" s="8">
        <v>25919</v>
      </c>
      <c r="AW813" s="8">
        <f t="shared" si="410"/>
        <v>1116</v>
      </c>
      <c r="AX813" s="8">
        <v>373345</v>
      </c>
      <c r="AY813" s="8">
        <f t="shared" si="416"/>
        <v>12929</v>
      </c>
      <c r="AZ813" s="8">
        <v>743813</v>
      </c>
      <c r="BA813" s="8">
        <f t="shared" si="411"/>
        <v>5774</v>
      </c>
      <c r="BB813" s="8">
        <v>1157890</v>
      </c>
      <c r="BC813" s="8">
        <f t="shared" si="412"/>
        <v>19817</v>
      </c>
      <c r="BD813" s="8">
        <v>-414077</v>
      </c>
      <c r="BE813" s="8">
        <f t="shared" si="413"/>
        <v>-14043</v>
      </c>
      <c r="BF813" s="8">
        <v>421048</v>
      </c>
      <c r="BG813" s="8">
        <f t="shared" si="414"/>
        <v>6122</v>
      </c>
      <c r="BH813" s="8">
        <v>1095371</v>
      </c>
      <c r="BI813" s="8">
        <f t="shared" si="415"/>
        <v>17533</v>
      </c>
      <c r="BJ813" s="8">
        <v>-674323</v>
      </c>
      <c r="BK813" s="8">
        <f t="shared" si="389"/>
        <v>-11411</v>
      </c>
    </row>
    <row r="814" spans="1:63">
      <c r="A814" s="5">
        <v>44565</v>
      </c>
      <c r="B814" s="8">
        <v>422697</v>
      </c>
      <c r="C814" s="8">
        <f t="shared" si="395"/>
        <v>2853</v>
      </c>
      <c r="D814" s="8">
        <v>72005</v>
      </c>
      <c r="E814" s="8">
        <f t="shared" si="396"/>
        <v>7677</v>
      </c>
      <c r="F814" s="8">
        <v>18817</v>
      </c>
      <c r="G814" s="8">
        <f t="shared" si="397"/>
        <v>-117</v>
      </c>
      <c r="H814" s="8">
        <v>53188</v>
      </c>
      <c r="I814" s="8">
        <f t="shared" si="398"/>
        <v>7794</v>
      </c>
      <c r="J814" s="8">
        <v>218199</v>
      </c>
      <c r="K814" s="8">
        <f t="shared" si="399"/>
        <v>-8302</v>
      </c>
      <c r="L814" s="8">
        <v>268933</v>
      </c>
      <c r="M814" s="8">
        <f t="shared" si="400"/>
        <v>4117</v>
      </c>
      <c r="N814" s="8">
        <v>-50734</v>
      </c>
      <c r="O814" s="8">
        <f t="shared" si="401"/>
        <v>-12419</v>
      </c>
      <c r="P814" s="8">
        <v>111604</v>
      </c>
      <c r="Q814" s="8">
        <f t="shared" si="402"/>
        <v>-8111</v>
      </c>
      <c r="R814" s="8">
        <v>253561</v>
      </c>
      <c r="S814" s="8">
        <f t="shared" si="403"/>
        <v>1412</v>
      </c>
      <c r="T814" s="8">
        <v>-141957</v>
      </c>
      <c r="U814" s="8">
        <f t="shared" si="404"/>
        <v>-9523</v>
      </c>
      <c r="W814" s="8">
        <v>436279</v>
      </c>
      <c r="X814" s="8">
        <f t="shared" si="405"/>
        <v>5976</v>
      </c>
      <c r="Y814" s="8">
        <v>82429</v>
      </c>
      <c r="Z814" s="8">
        <f t="shared" si="406"/>
        <v>10408</v>
      </c>
      <c r="AA814" s="8">
        <v>11661</v>
      </c>
      <c r="AB814" s="8">
        <f t="shared" si="417"/>
        <v>802</v>
      </c>
      <c r="AC814" s="8">
        <v>70768</v>
      </c>
      <c r="AD814" s="8">
        <f t="shared" si="418"/>
        <v>9606</v>
      </c>
      <c r="AE814" s="8">
        <v>190961</v>
      </c>
      <c r="AF814" s="8">
        <f t="shared" si="390"/>
        <v>-3404</v>
      </c>
      <c r="AG814" s="8">
        <v>314880</v>
      </c>
      <c r="AH814" s="8">
        <f t="shared" si="391"/>
        <v>4205</v>
      </c>
      <c r="AI814" s="8">
        <v>-123919</v>
      </c>
      <c r="AJ814" s="8">
        <f t="shared" si="392"/>
        <v>-7609</v>
      </c>
      <c r="AK814" s="8">
        <v>91986</v>
      </c>
      <c r="AL814" s="8">
        <f t="shared" si="393"/>
        <v>-3207</v>
      </c>
      <c r="AM814" s="8">
        <v>302972</v>
      </c>
      <c r="AN814" s="8">
        <f t="shared" si="394"/>
        <v>4453</v>
      </c>
      <c r="AO814" s="8">
        <v>-210986</v>
      </c>
      <c r="AP814" s="8">
        <f t="shared" si="407"/>
        <v>-7660</v>
      </c>
      <c r="AR814" s="8">
        <v>1865691</v>
      </c>
      <c r="AS814" s="8">
        <f t="shared" si="408"/>
        <v>22589</v>
      </c>
      <c r="AT814" s="8">
        <v>390165</v>
      </c>
      <c r="AU814" s="8">
        <f t="shared" si="409"/>
        <v>-9099</v>
      </c>
      <c r="AV814" s="8">
        <v>24260</v>
      </c>
      <c r="AW814" s="8">
        <f t="shared" si="410"/>
        <v>-1659</v>
      </c>
      <c r="AX814" s="8">
        <v>365905</v>
      </c>
      <c r="AY814" s="8">
        <f t="shared" si="416"/>
        <v>-7440</v>
      </c>
      <c r="AZ814" s="8">
        <v>746805</v>
      </c>
      <c r="BA814" s="8">
        <f t="shared" si="411"/>
        <v>2992</v>
      </c>
      <c r="BB814" s="8">
        <v>1134493</v>
      </c>
      <c r="BC814" s="8">
        <f t="shared" si="412"/>
        <v>-23397</v>
      </c>
      <c r="BD814" s="8">
        <v>-387688</v>
      </c>
      <c r="BE814" s="8">
        <f t="shared" si="413"/>
        <v>26389</v>
      </c>
      <c r="BF814" s="8">
        <v>423057</v>
      </c>
      <c r="BG814" s="8">
        <f t="shared" si="414"/>
        <v>2009</v>
      </c>
      <c r="BH814" s="8">
        <v>1071912</v>
      </c>
      <c r="BI814" s="8">
        <f t="shared" si="415"/>
        <v>-23459</v>
      </c>
      <c r="BJ814" s="8">
        <v>-648855</v>
      </c>
      <c r="BK814" s="8">
        <f t="shared" si="389"/>
        <v>25468</v>
      </c>
    </row>
    <row r="815" spans="1:63">
      <c r="A815" s="5">
        <v>44572</v>
      </c>
      <c r="B815" s="8">
        <v>430663</v>
      </c>
      <c r="C815" s="8">
        <f t="shared" si="395"/>
        <v>7966</v>
      </c>
      <c r="D815" s="8">
        <v>75189</v>
      </c>
      <c r="E815" s="8">
        <f t="shared" si="396"/>
        <v>3184</v>
      </c>
      <c r="F815" s="8">
        <v>19282</v>
      </c>
      <c r="G815" s="8">
        <f t="shared" si="397"/>
        <v>465</v>
      </c>
      <c r="H815" s="8">
        <v>55907</v>
      </c>
      <c r="I815" s="8">
        <f t="shared" si="398"/>
        <v>2719</v>
      </c>
      <c r="J815" s="8">
        <v>210434</v>
      </c>
      <c r="K815" s="8">
        <f t="shared" si="399"/>
        <v>-7765</v>
      </c>
      <c r="L815" s="8">
        <v>267003</v>
      </c>
      <c r="M815" s="8">
        <f t="shared" si="400"/>
        <v>-1930</v>
      </c>
      <c r="N815" s="8">
        <v>-56569</v>
      </c>
      <c r="O815" s="8">
        <f t="shared" si="401"/>
        <v>-5835</v>
      </c>
      <c r="P815" s="8">
        <v>106296</v>
      </c>
      <c r="Q815" s="8">
        <f t="shared" si="402"/>
        <v>-5308</v>
      </c>
      <c r="R815" s="8">
        <v>251435</v>
      </c>
      <c r="S815" s="8">
        <f t="shared" si="403"/>
        <v>-2126</v>
      </c>
      <c r="T815" s="8">
        <v>-145139</v>
      </c>
      <c r="U815" s="8">
        <f t="shared" si="404"/>
        <v>-3182</v>
      </c>
      <c r="W815" s="8">
        <v>454258</v>
      </c>
      <c r="X815" s="8">
        <f t="shared" si="405"/>
        <v>17979</v>
      </c>
      <c r="Y815" s="8">
        <v>84290</v>
      </c>
      <c r="Z815" s="8">
        <f t="shared" si="406"/>
        <v>1861</v>
      </c>
      <c r="AA815" s="8">
        <v>11370</v>
      </c>
      <c r="AB815" s="8">
        <f t="shared" si="417"/>
        <v>-291</v>
      </c>
      <c r="AC815" s="8">
        <v>72920</v>
      </c>
      <c r="AD815" s="8">
        <f t="shared" si="418"/>
        <v>2152</v>
      </c>
      <c r="AE815" s="8">
        <v>197224</v>
      </c>
      <c r="AF815" s="8">
        <f t="shared" si="390"/>
        <v>6263</v>
      </c>
      <c r="AG815" s="8">
        <v>319669</v>
      </c>
      <c r="AH815" s="8">
        <f t="shared" si="391"/>
        <v>4789</v>
      </c>
      <c r="AI815" s="8">
        <v>-122445</v>
      </c>
      <c r="AJ815" s="8">
        <f t="shared" si="392"/>
        <v>1474</v>
      </c>
      <c r="AK815" s="8">
        <v>91403</v>
      </c>
      <c r="AL815" s="8">
        <f t="shared" si="393"/>
        <v>-583</v>
      </c>
      <c r="AM815" s="8">
        <v>307919</v>
      </c>
      <c r="AN815" s="8">
        <f t="shared" si="394"/>
        <v>4947</v>
      </c>
      <c r="AO815" s="8">
        <v>-216516</v>
      </c>
      <c r="AP815" s="8">
        <f t="shared" si="407"/>
        <v>-5530</v>
      </c>
      <c r="AR815" s="8">
        <v>1861529</v>
      </c>
      <c r="AS815" s="8">
        <f t="shared" si="408"/>
        <v>-4162</v>
      </c>
      <c r="AT815" s="8">
        <v>374917</v>
      </c>
      <c r="AU815" s="8">
        <f t="shared" si="409"/>
        <v>-15248</v>
      </c>
      <c r="AV815" s="8">
        <v>30538</v>
      </c>
      <c r="AW815" s="8">
        <f t="shared" si="410"/>
        <v>6278</v>
      </c>
      <c r="AX815" s="8">
        <v>344379</v>
      </c>
      <c r="AY815" s="8">
        <f t="shared" si="416"/>
        <v>-21526</v>
      </c>
      <c r="AZ815" s="8">
        <v>774397</v>
      </c>
      <c r="BA815" s="8">
        <f t="shared" si="411"/>
        <v>27592</v>
      </c>
      <c r="BB815" s="8">
        <v>1139877</v>
      </c>
      <c r="BC815" s="8">
        <f t="shared" si="412"/>
        <v>5384</v>
      </c>
      <c r="BD815" s="8">
        <v>-365480</v>
      </c>
      <c r="BE815" s="8">
        <f t="shared" si="413"/>
        <v>22208</v>
      </c>
      <c r="BF815" s="8">
        <v>426092</v>
      </c>
      <c r="BG815" s="8">
        <f t="shared" si="414"/>
        <v>3035</v>
      </c>
      <c r="BH815" s="8">
        <v>1077674</v>
      </c>
      <c r="BI815" s="8">
        <f t="shared" si="415"/>
        <v>5762</v>
      </c>
      <c r="BJ815" s="8">
        <v>-651582</v>
      </c>
      <c r="BK815" s="8">
        <f t="shared" si="389"/>
        <v>-2727</v>
      </c>
    </row>
    <row r="816" spans="1:63">
      <c r="A816" s="5">
        <v>44579</v>
      </c>
      <c r="B816" s="8">
        <v>434799</v>
      </c>
      <c r="C816" s="8">
        <f t="shared" si="395"/>
        <v>4136</v>
      </c>
      <c r="D816" s="8">
        <v>78122</v>
      </c>
      <c r="E816" s="8">
        <f t="shared" si="396"/>
        <v>2933</v>
      </c>
      <c r="F816" s="8">
        <v>19914</v>
      </c>
      <c r="G816" s="8">
        <f t="shared" si="397"/>
        <v>632</v>
      </c>
      <c r="H816" s="8">
        <v>58208</v>
      </c>
      <c r="I816" s="8">
        <f t="shared" si="398"/>
        <v>2301</v>
      </c>
      <c r="J816" s="8">
        <v>213176</v>
      </c>
      <c r="K816" s="8">
        <f t="shared" si="399"/>
        <v>2742</v>
      </c>
      <c r="L816" s="8">
        <v>271537</v>
      </c>
      <c r="M816" s="8">
        <f t="shared" si="400"/>
        <v>4534</v>
      </c>
      <c r="N816" s="8">
        <v>-58361</v>
      </c>
      <c r="O816" s="8">
        <f t="shared" si="401"/>
        <v>-1792</v>
      </c>
      <c r="P816" s="8">
        <v>110979</v>
      </c>
      <c r="Q816" s="8">
        <f t="shared" si="402"/>
        <v>4683</v>
      </c>
      <c r="R816" s="8">
        <v>258274</v>
      </c>
      <c r="S816" s="8">
        <f t="shared" si="403"/>
        <v>6839</v>
      </c>
      <c r="T816" s="8">
        <v>-147295</v>
      </c>
      <c r="U816" s="8">
        <f t="shared" si="404"/>
        <v>-2156</v>
      </c>
      <c r="W816" s="8">
        <v>458623</v>
      </c>
      <c r="X816" s="8">
        <f t="shared" si="405"/>
        <v>4365</v>
      </c>
      <c r="Y816" s="8">
        <v>81918</v>
      </c>
      <c r="Z816" s="8">
        <f t="shared" si="406"/>
        <v>-2372</v>
      </c>
      <c r="AA816" s="8">
        <v>17175</v>
      </c>
      <c r="AB816" s="8">
        <f t="shared" si="417"/>
        <v>5805</v>
      </c>
      <c r="AC816" s="8">
        <v>64743</v>
      </c>
      <c r="AD816" s="8">
        <f t="shared" si="418"/>
        <v>-8177</v>
      </c>
      <c r="AE816" s="8">
        <v>203051</v>
      </c>
      <c r="AF816" s="8">
        <f t="shared" si="390"/>
        <v>5827</v>
      </c>
      <c r="AG816" s="8">
        <v>312061</v>
      </c>
      <c r="AH816" s="8">
        <f t="shared" si="391"/>
        <v>-7608</v>
      </c>
      <c r="AI816" s="8">
        <v>-109010</v>
      </c>
      <c r="AJ816" s="8">
        <f t="shared" si="392"/>
        <v>13435</v>
      </c>
      <c r="AK816" s="8">
        <v>89208</v>
      </c>
      <c r="AL816" s="8">
        <f t="shared" si="393"/>
        <v>-2195</v>
      </c>
      <c r="AM816" s="8">
        <v>298339</v>
      </c>
      <c r="AN816" s="8">
        <f t="shared" si="394"/>
        <v>-9580</v>
      </c>
      <c r="AO816" s="8">
        <v>-209131</v>
      </c>
      <c r="AP816" s="8">
        <f t="shared" si="407"/>
        <v>7385</v>
      </c>
      <c r="AR816" s="8">
        <v>1828316</v>
      </c>
      <c r="AS816" s="8">
        <f t="shared" si="408"/>
        <v>-33213</v>
      </c>
      <c r="AT816" s="8">
        <v>359364</v>
      </c>
      <c r="AU816" s="8">
        <f t="shared" si="409"/>
        <v>-15553</v>
      </c>
      <c r="AV816" s="8">
        <v>32841</v>
      </c>
      <c r="AW816" s="8">
        <f t="shared" si="410"/>
        <v>2303</v>
      </c>
      <c r="AX816" s="8">
        <v>326523</v>
      </c>
      <c r="AY816" s="8">
        <f t="shared" si="416"/>
        <v>-17856</v>
      </c>
      <c r="AZ816" s="8">
        <v>774180</v>
      </c>
      <c r="BA816" s="8">
        <f t="shared" si="411"/>
        <v>-217</v>
      </c>
      <c r="BB816" s="8">
        <v>1113261</v>
      </c>
      <c r="BC816" s="8">
        <f t="shared" si="412"/>
        <v>-26616</v>
      </c>
      <c r="BD816" s="8">
        <v>-339081</v>
      </c>
      <c r="BE816" s="8">
        <f t="shared" si="413"/>
        <v>26399</v>
      </c>
      <c r="BF816" s="8">
        <v>422811</v>
      </c>
      <c r="BG816" s="8">
        <f t="shared" si="414"/>
        <v>-3281</v>
      </c>
      <c r="BH816" s="8">
        <v>1053586</v>
      </c>
      <c r="BI816" s="8">
        <f t="shared" si="415"/>
        <v>-24088</v>
      </c>
      <c r="BJ816" s="8">
        <v>-630775</v>
      </c>
      <c r="BK816" s="8">
        <f t="shared" si="389"/>
        <v>20807</v>
      </c>
    </row>
    <row r="817" spans="1:63">
      <c r="A817" s="5">
        <v>44586</v>
      </c>
      <c r="B817" s="8">
        <v>455930</v>
      </c>
      <c r="C817" s="8">
        <f t="shared" si="395"/>
        <v>21131</v>
      </c>
      <c r="D817" s="8">
        <v>85958</v>
      </c>
      <c r="E817" s="8">
        <f t="shared" si="396"/>
        <v>7836</v>
      </c>
      <c r="F817" s="8">
        <v>17185</v>
      </c>
      <c r="G817" s="8">
        <f t="shared" si="397"/>
        <v>-2729</v>
      </c>
      <c r="H817" s="8">
        <v>68773</v>
      </c>
      <c r="I817" s="8">
        <f t="shared" si="398"/>
        <v>10565</v>
      </c>
      <c r="J817" s="8">
        <v>209028</v>
      </c>
      <c r="K817" s="8">
        <f t="shared" si="399"/>
        <v>-4148</v>
      </c>
      <c r="L817" s="8">
        <v>288373</v>
      </c>
      <c r="M817" s="8">
        <f t="shared" si="400"/>
        <v>16836</v>
      </c>
      <c r="N817" s="8">
        <v>-79345</v>
      </c>
      <c r="O817" s="8">
        <f t="shared" si="401"/>
        <v>-20984</v>
      </c>
      <c r="P817" s="8">
        <v>108255</v>
      </c>
      <c r="Q817" s="8">
        <f t="shared" si="402"/>
        <v>-2724</v>
      </c>
      <c r="R817" s="8">
        <v>275719</v>
      </c>
      <c r="S817" s="8">
        <f t="shared" si="403"/>
        <v>17445</v>
      </c>
      <c r="T817" s="8">
        <v>-167464</v>
      </c>
      <c r="U817" s="8">
        <f t="shared" si="404"/>
        <v>-20169</v>
      </c>
      <c r="W817" s="8">
        <v>451424</v>
      </c>
      <c r="X817" s="8">
        <f t="shared" si="405"/>
        <v>-7199</v>
      </c>
      <c r="Y817" s="8">
        <v>76372</v>
      </c>
      <c r="Z817" s="8">
        <f t="shared" si="406"/>
        <v>-5546</v>
      </c>
      <c r="AA817" s="8">
        <v>12038</v>
      </c>
      <c r="AB817" s="8">
        <f t="shared" si="417"/>
        <v>-5137</v>
      </c>
      <c r="AC817" s="8">
        <v>64334</v>
      </c>
      <c r="AD817" s="8">
        <f t="shared" si="418"/>
        <v>-409</v>
      </c>
      <c r="AE817" s="8">
        <v>205443</v>
      </c>
      <c r="AF817" s="8">
        <f t="shared" si="390"/>
        <v>2392</v>
      </c>
      <c r="AG817" s="8">
        <v>310075</v>
      </c>
      <c r="AH817" s="8">
        <f t="shared" si="391"/>
        <v>-1986</v>
      </c>
      <c r="AI817" s="8">
        <v>-104632</v>
      </c>
      <c r="AJ817" s="8">
        <f t="shared" si="392"/>
        <v>4378</v>
      </c>
      <c r="AK817" s="8">
        <v>90469</v>
      </c>
      <c r="AL817" s="8">
        <f t="shared" si="393"/>
        <v>1261</v>
      </c>
      <c r="AM817" s="8">
        <v>295195</v>
      </c>
      <c r="AN817" s="8">
        <f t="shared" si="394"/>
        <v>-3144</v>
      </c>
      <c r="AO817" s="8">
        <v>-204726</v>
      </c>
      <c r="AP817" s="8">
        <f t="shared" si="407"/>
        <v>4405</v>
      </c>
      <c r="AR817" s="8">
        <v>1903794</v>
      </c>
      <c r="AS817" s="8">
        <f t="shared" si="408"/>
        <v>75478</v>
      </c>
      <c r="AT817" s="8">
        <v>395086</v>
      </c>
      <c r="AU817" s="8">
        <f t="shared" si="409"/>
        <v>35722</v>
      </c>
      <c r="AV817" s="8">
        <v>29481</v>
      </c>
      <c r="AW817" s="8">
        <f t="shared" si="410"/>
        <v>-3360</v>
      </c>
      <c r="AX817" s="8">
        <v>365605</v>
      </c>
      <c r="AY817" s="8">
        <f t="shared" si="416"/>
        <v>39082</v>
      </c>
      <c r="AZ817" s="8">
        <v>774282</v>
      </c>
      <c r="BA817" s="8">
        <f t="shared" si="411"/>
        <v>102</v>
      </c>
      <c r="BB817" s="8">
        <v>1161211</v>
      </c>
      <c r="BC817" s="8">
        <f t="shared" si="412"/>
        <v>47950</v>
      </c>
      <c r="BD817" s="8">
        <v>-386929</v>
      </c>
      <c r="BE817" s="8">
        <f t="shared" si="413"/>
        <v>-47848</v>
      </c>
      <c r="BF817" s="8">
        <v>418761</v>
      </c>
      <c r="BG817" s="8">
        <f t="shared" si="414"/>
        <v>-4050</v>
      </c>
      <c r="BH817" s="8">
        <v>1097074</v>
      </c>
      <c r="BI817" s="8">
        <f t="shared" si="415"/>
        <v>43488</v>
      </c>
      <c r="BJ817" s="8">
        <v>-678313</v>
      </c>
      <c r="BK817" s="8">
        <f t="shared" si="389"/>
        <v>-47538</v>
      </c>
    </row>
    <row r="818" spans="1:63">
      <c r="A818" s="5">
        <v>44593</v>
      </c>
      <c r="B818" s="8">
        <v>496168</v>
      </c>
      <c r="C818" s="8">
        <f t="shared" si="395"/>
        <v>40238</v>
      </c>
      <c r="D818" s="8">
        <v>95553</v>
      </c>
      <c r="E818" s="8">
        <f t="shared" si="396"/>
        <v>9595</v>
      </c>
      <c r="F818" s="8">
        <v>15077</v>
      </c>
      <c r="G818" s="8">
        <f t="shared" si="397"/>
        <v>-2108</v>
      </c>
      <c r="H818" s="8">
        <v>80476</v>
      </c>
      <c r="I818" s="8">
        <f t="shared" si="398"/>
        <v>11703</v>
      </c>
      <c r="J818" s="8">
        <v>216488</v>
      </c>
      <c r="K818" s="8">
        <f t="shared" si="399"/>
        <v>7460</v>
      </c>
      <c r="L818" s="8">
        <v>307565</v>
      </c>
      <c r="M818" s="8">
        <f t="shared" si="400"/>
        <v>19192</v>
      </c>
      <c r="N818" s="8">
        <v>-91077</v>
      </c>
      <c r="O818" s="8">
        <f t="shared" si="401"/>
        <v>-11732</v>
      </c>
      <c r="P818" s="8">
        <v>116852</v>
      </c>
      <c r="Q818" s="8">
        <f t="shared" si="402"/>
        <v>8597</v>
      </c>
      <c r="R818" s="8">
        <v>294356</v>
      </c>
      <c r="S818" s="8">
        <f t="shared" si="403"/>
        <v>18637</v>
      </c>
      <c r="T818" s="8">
        <v>-177504</v>
      </c>
      <c r="U818" s="8">
        <f t="shared" si="404"/>
        <v>-10040</v>
      </c>
      <c r="W818" s="8">
        <v>478164</v>
      </c>
      <c r="X818" s="8">
        <f t="shared" si="405"/>
        <v>26740</v>
      </c>
      <c r="Y818" s="8">
        <v>85425</v>
      </c>
      <c r="Z818" s="8">
        <f t="shared" si="406"/>
        <v>9053</v>
      </c>
      <c r="AA818" s="8">
        <v>8682</v>
      </c>
      <c r="AB818" s="8">
        <f t="shared" si="417"/>
        <v>-3356</v>
      </c>
      <c r="AC818" s="8">
        <v>76743</v>
      </c>
      <c r="AD818" s="8">
        <f t="shared" si="418"/>
        <v>12409</v>
      </c>
      <c r="AE818" s="8">
        <v>200369</v>
      </c>
      <c r="AF818" s="8">
        <f t="shared" si="390"/>
        <v>-5074</v>
      </c>
      <c r="AG818" s="8">
        <v>327615</v>
      </c>
      <c r="AH818" s="8">
        <f t="shared" si="391"/>
        <v>17540</v>
      </c>
      <c r="AI818" s="8">
        <v>-127246</v>
      </c>
      <c r="AJ818" s="8">
        <f t="shared" si="392"/>
        <v>-22614</v>
      </c>
      <c r="AK818" s="8">
        <v>90301</v>
      </c>
      <c r="AL818" s="8">
        <f t="shared" si="393"/>
        <v>-168</v>
      </c>
      <c r="AM818" s="8">
        <v>312526</v>
      </c>
      <c r="AN818" s="8">
        <f t="shared" si="394"/>
        <v>17331</v>
      </c>
      <c r="AO818" s="8">
        <v>-222225</v>
      </c>
      <c r="AP818" s="8">
        <f t="shared" si="407"/>
        <v>-17499</v>
      </c>
      <c r="AR818" s="8">
        <v>1979521</v>
      </c>
      <c r="AS818" s="8">
        <f t="shared" si="408"/>
        <v>75727</v>
      </c>
      <c r="AT818" s="8">
        <v>403360</v>
      </c>
      <c r="AU818" s="8">
        <f t="shared" si="409"/>
        <v>8274</v>
      </c>
      <c r="AV818" s="8">
        <v>30809</v>
      </c>
      <c r="AW818" s="8">
        <f t="shared" si="410"/>
        <v>1328</v>
      </c>
      <c r="AX818" s="8">
        <v>372551</v>
      </c>
      <c r="AY818" s="8">
        <f t="shared" si="416"/>
        <v>6946</v>
      </c>
      <c r="AZ818" s="8">
        <v>777986</v>
      </c>
      <c r="BA818" s="8">
        <f t="shared" si="411"/>
        <v>3704</v>
      </c>
      <c r="BB818" s="8">
        <v>1187385</v>
      </c>
      <c r="BC818" s="8">
        <f t="shared" si="412"/>
        <v>26174</v>
      </c>
      <c r="BD818" s="8">
        <v>-409399</v>
      </c>
      <c r="BE818" s="8">
        <f t="shared" si="413"/>
        <v>-22470</v>
      </c>
      <c r="BF818" s="8">
        <v>434263</v>
      </c>
      <c r="BG818" s="8">
        <f t="shared" si="414"/>
        <v>15502</v>
      </c>
      <c r="BH818" s="8">
        <v>1119860</v>
      </c>
      <c r="BI818" s="8">
        <f t="shared" si="415"/>
        <v>22786</v>
      </c>
      <c r="BJ818" s="8">
        <v>-685597</v>
      </c>
      <c r="BK818" s="8">
        <f t="shared" si="389"/>
        <v>-7284</v>
      </c>
    </row>
    <row r="819" spans="1:63">
      <c r="A819" s="5">
        <v>44600</v>
      </c>
      <c r="B819" s="8">
        <v>484568</v>
      </c>
      <c r="C819" s="8">
        <f t="shared" si="395"/>
        <v>-11600</v>
      </c>
      <c r="D819" s="8">
        <v>90249</v>
      </c>
      <c r="E819" s="8">
        <f t="shared" si="396"/>
        <v>-5304</v>
      </c>
      <c r="F819" s="8">
        <v>17467</v>
      </c>
      <c r="G819" s="8">
        <f t="shared" si="397"/>
        <v>2390</v>
      </c>
      <c r="H819" s="8">
        <v>72782</v>
      </c>
      <c r="I819" s="8">
        <f t="shared" si="398"/>
        <v>-7694</v>
      </c>
      <c r="J819" s="8">
        <v>220247</v>
      </c>
      <c r="K819" s="8">
        <f t="shared" si="399"/>
        <v>3759</v>
      </c>
      <c r="L819" s="8">
        <v>301916</v>
      </c>
      <c r="M819" s="8">
        <f t="shared" si="400"/>
        <v>-5649</v>
      </c>
      <c r="N819" s="8">
        <v>-81669</v>
      </c>
      <c r="O819" s="8">
        <f t="shared" si="401"/>
        <v>9408</v>
      </c>
      <c r="P819" s="8">
        <v>116228</v>
      </c>
      <c r="Q819" s="8">
        <f t="shared" si="402"/>
        <v>-624</v>
      </c>
      <c r="R819" s="8">
        <v>287524</v>
      </c>
      <c r="S819" s="8">
        <f t="shared" si="403"/>
        <v>-6832</v>
      </c>
      <c r="T819" s="8">
        <v>-171296</v>
      </c>
      <c r="U819" s="8">
        <f t="shared" si="404"/>
        <v>6208</v>
      </c>
      <c r="W819" s="8">
        <v>510347</v>
      </c>
      <c r="X819" s="8">
        <f t="shared" si="405"/>
        <v>32183</v>
      </c>
      <c r="Y819" s="8">
        <v>96193</v>
      </c>
      <c r="Z819" s="8">
        <f t="shared" si="406"/>
        <v>10768</v>
      </c>
      <c r="AA819" s="8">
        <v>8055</v>
      </c>
      <c r="AB819" s="8">
        <f t="shared" si="417"/>
        <v>-627</v>
      </c>
      <c r="AC819" s="8">
        <v>88138</v>
      </c>
      <c r="AD819" s="8">
        <f t="shared" si="418"/>
        <v>11395</v>
      </c>
      <c r="AE819" s="8">
        <v>205484</v>
      </c>
      <c r="AF819" s="8">
        <f t="shared" si="390"/>
        <v>5115</v>
      </c>
      <c r="AG819" s="8">
        <v>339200</v>
      </c>
      <c r="AH819" s="8">
        <f t="shared" si="391"/>
        <v>11585</v>
      </c>
      <c r="AI819" s="8">
        <v>-133716</v>
      </c>
      <c r="AJ819" s="8">
        <f t="shared" si="392"/>
        <v>-6470</v>
      </c>
      <c r="AK819" s="8">
        <v>94748</v>
      </c>
      <c r="AL819" s="8">
        <f t="shared" si="393"/>
        <v>4447</v>
      </c>
      <c r="AM819" s="8">
        <v>321413</v>
      </c>
      <c r="AN819" s="8">
        <f t="shared" si="394"/>
        <v>8887</v>
      </c>
      <c r="AO819" s="8">
        <v>-226665</v>
      </c>
      <c r="AP819" s="8">
        <f t="shared" si="407"/>
        <v>-4440</v>
      </c>
      <c r="AR819" s="8">
        <v>1998012</v>
      </c>
      <c r="AS819" s="8">
        <f t="shared" si="408"/>
        <v>18491</v>
      </c>
      <c r="AT819" s="8">
        <v>375456</v>
      </c>
      <c r="AU819" s="8">
        <f t="shared" si="409"/>
        <v>-27904</v>
      </c>
      <c r="AV819" s="8">
        <v>38124</v>
      </c>
      <c r="AW819" s="8">
        <f t="shared" si="410"/>
        <v>7315</v>
      </c>
      <c r="AX819" s="8">
        <v>337332</v>
      </c>
      <c r="AY819" s="8">
        <f t="shared" si="416"/>
        <v>-35219</v>
      </c>
      <c r="AZ819" s="8">
        <v>792004</v>
      </c>
      <c r="BA819" s="8">
        <f t="shared" si="411"/>
        <v>14018</v>
      </c>
      <c r="BB819" s="8">
        <v>1176251</v>
      </c>
      <c r="BC819" s="8">
        <f t="shared" si="412"/>
        <v>-11134</v>
      </c>
      <c r="BD819" s="8">
        <v>-384247</v>
      </c>
      <c r="BE819" s="8">
        <f t="shared" si="413"/>
        <v>25152</v>
      </c>
      <c r="BF819" s="8">
        <v>445330</v>
      </c>
      <c r="BG819" s="8">
        <f t="shared" si="414"/>
        <v>11067</v>
      </c>
      <c r="BH819" s="8">
        <v>1108248</v>
      </c>
      <c r="BI819" s="8">
        <f t="shared" si="415"/>
        <v>-11612</v>
      </c>
      <c r="BJ819" s="8">
        <v>-662918</v>
      </c>
      <c r="BK819" s="8">
        <f t="shared" si="389"/>
        <v>22679</v>
      </c>
    </row>
    <row r="820" spans="1:63">
      <c r="A820" s="5">
        <v>44607</v>
      </c>
      <c r="B820" s="8">
        <v>486365</v>
      </c>
      <c r="C820" s="8">
        <f t="shared" si="395"/>
        <v>1797</v>
      </c>
      <c r="D820" s="8">
        <v>86865</v>
      </c>
      <c r="E820" s="8">
        <f t="shared" si="396"/>
        <v>-3384</v>
      </c>
      <c r="F820" s="8">
        <v>16484</v>
      </c>
      <c r="G820" s="8">
        <f t="shared" si="397"/>
        <v>-983</v>
      </c>
      <c r="H820" s="8">
        <v>70381</v>
      </c>
      <c r="I820" s="8">
        <f t="shared" si="398"/>
        <v>-2401</v>
      </c>
      <c r="J820" s="8">
        <v>219410</v>
      </c>
      <c r="K820" s="8">
        <f t="shared" si="399"/>
        <v>-837</v>
      </c>
      <c r="L820" s="8">
        <v>301086</v>
      </c>
      <c r="M820" s="8">
        <f t="shared" si="400"/>
        <v>-830</v>
      </c>
      <c r="N820" s="8">
        <v>-81676</v>
      </c>
      <c r="O820" s="8">
        <f t="shared" si="401"/>
        <v>-7</v>
      </c>
      <c r="P820" s="8">
        <v>113122</v>
      </c>
      <c r="Q820" s="8">
        <f t="shared" si="402"/>
        <v>-3106</v>
      </c>
      <c r="R820" s="8">
        <v>286780</v>
      </c>
      <c r="S820" s="8">
        <f t="shared" si="403"/>
        <v>-744</v>
      </c>
      <c r="T820" s="8">
        <v>-173658</v>
      </c>
      <c r="U820" s="8">
        <f t="shared" si="404"/>
        <v>-2362</v>
      </c>
      <c r="W820" s="8">
        <v>524560</v>
      </c>
      <c r="X820" s="8">
        <f t="shared" si="405"/>
        <v>14213</v>
      </c>
      <c r="Y820" s="8">
        <v>97397</v>
      </c>
      <c r="Z820" s="8">
        <f t="shared" si="406"/>
        <v>1204</v>
      </c>
      <c r="AA820" s="8">
        <v>8227</v>
      </c>
      <c r="AB820" s="8">
        <f t="shared" si="417"/>
        <v>172</v>
      </c>
      <c r="AC820" s="8">
        <v>89170</v>
      </c>
      <c r="AD820" s="8">
        <f t="shared" si="418"/>
        <v>1032</v>
      </c>
      <c r="AE820" s="8">
        <v>215547</v>
      </c>
      <c r="AF820" s="8">
        <f t="shared" si="390"/>
        <v>10063</v>
      </c>
      <c r="AG820" s="8">
        <v>350841</v>
      </c>
      <c r="AH820" s="8">
        <f t="shared" si="391"/>
        <v>11641</v>
      </c>
      <c r="AI820" s="8">
        <v>-135294</v>
      </c>
      <c r="AJ820" s="8">
        <f t="shared" si="392"/>
        <v>-1578</v>
      </c>
      <c r="AK820" s="8">
        <v>104489</v>
      </c>
      <c r="AL820" s="8">
        <f t="shared" si="393"/>
        <v>9741</v>
      </c>
      <c r="AM820" s="8">
        <v>332087</v>
      </c>
      <c r="AN820" s="8">
        <f t="shared" si="394"/>
        <v>10674</v>
      </c>
      <c r="AO820" s="8">
        <v>-227598</v>
      </c>
      <c r="AP820" s="8">
        <f t="shared" si="407"/>
        <v>-933</v>
      </c>
      <c r="AR820" s="8">
        <v>2062677</v>
      </c>
      <c r="AS820" s="8">
        <f t="shared" si="408"/>
        <v>64665</v>
      </c>
      <c r="AT820" s="8">
        <v>362876</v>
      </c>
      <c r="AU820" s="8">
        <f t="shared" si="409"/>
        <v>-12580</v>
      </c>
      <c r="AV820" s="8">
        <v>37362</v>
      </c>
      <c r="AW820" s="8">
        <f t="shared" si="410"/>
        <v>-762</v>
      </c>
      <c r="AX820" s="8">
        <v>325514</v>
      </c>
      <c r="AY820" s="8">
        <f t="shared" si="416"/>
        <v>-11818</v>
      </c>
      <c r="AZ820" s="8">
        <v>827291</v>
      </c>
      <c r="BA820" s="8">
        <f t="shared" si="411"/>
        <v>35287</v>
      </c>
      <c r="BB820" s="8">
        <v>1204416</v>
      </c>
      <c r="BC820" s="8">
        <f t="shared" si="412"/>
        <v>28165</v>
      </c>
      <c r="BD820" s="8">
        <v>-377125</v>
      </c>
      <c r="BE820" s="8">
        <f t="shared" si="413"/>
        <v>7122</v>
      </c>
      <c r="BF820" s="8">
        <v>465132</v>
      </c>
      <c r="BG820" s="8">
        <f t="shared" si="414"/>
        <v>19802</v>
      </c>
      <c r="BH820" s="8">
        <v>1132239</v>
      </c>
      <c r="BI820" s="8">
        <f t="shared" si="415"/>
        <v>23991</v>
      </c>
      <c r="BJ820" s="8">
        <v>-667107</v>
      </c>
      <c r="BK820" s="8">
        <f t="shared" si="389"/>
        <v>-4189</v>
      </c>
    </row>
    <row r="821" spans="1:63">
      <c r="A821" s="5">
        <v>44614</v>
      </c>
      <c r="B821" s="8">
        <v>457440</v>
      </c>
      <c r="C821" s="8">
        <f t="shared" si="395"/>
        <v>-28925</v>
      </c>
      <c r="D821" s="8">
        <v>92853</v>
      </c>
      <c r="E821" s="8">
        <f t="shared" si="396"/>
        <v>5988</v>
      </c>
      <c r="F821" s="8">
        <v>13653</v>
      </c>
      <c r="G821" s="8">
        <f t="shared" si="397"/>
        <v>-2831</v>
      </c>
      <c r="H821" s="8">
        <v>79200</v>
      </c>
      <c r="I821" s="8">
        <f t="shared" si="398"/>
        <v>8819</v>
      </c>
      <c r="J821" s="8">
        <v>202854</v>
      </c>
      <c r="K821" s="8">
        <f t="shared" si="399"/>
        <v>-16556</v>
      </c>
      <c r="L821" s="8">
        <v>294797</v>
      </c>
      <c r="M821" s="8">
        <f t="shared" si="400"/>
        <v>-6289</v>
      </c>
      <c r="N821" s="8">
        <v>-91943</v>
      </c>
      <c r="O821" s="8">
        <f t="shared" si="401"/>
        <v>-10267</v>
      </c>
      <c r="P821" s="8">
        <v>98825</v>
      </c>
      <c r="Q821" s="8">
        <f t="shared" si="402"/>
        <v>-14297</v>
      </c>
      <c r="R821" s="8">
        <v>282002</v>
      </c>
      <c r="S821" s="8">
        <f t="shared" si="403"/>
        <v>-4778</v>
      </c>
      <c r="T821" s="8">
        <v>-183177</v>
      </c>
      <c r="U821" s="8">
        <f t="shared" si="404"/>
        <v>-9519</v>
      </c>
      <c r="W821" s="8">
        <v>489168</v>
      </c>
      <c r="X821" s="8">
        <f t="shared" si="405"/>
        <v>-35392</v>
      </c>
      <c r="Y821" s="8">
        <v>97780</v>
      </c>
      <c r="Z821" s="8">
        <f t="shared" si="406"/>
        <v>383</v>
      </c>
      <c r="AA821" s="8">
        <v>7363</v>
      </c>
      <c r="AB821" s="8">
        <f t="shared" si="417"/>
        <v>-864</v>
      </c>
      <c r="AC821" s="8">
        <v>90417</v>
      </c>
      <c r="AD821" s="8">
        <f t="shared" si="418"/>
        <v>1247</v>
      </c>
      <c r="AE821" s="8">
        <v>198090</v>
      </c>
      <c r="AF821" s="8">
        <f t="shared" si="390"/>
        <v>-17457</v>
      </c>
      <c r="AG821" s="8">
        <v>335979</v>
      </c>
      <c r="AH821" s="8">
        <f t="shared" si="391"/>
        <v>-14862</v>
      </c>
      <c r="AI821" s="8">
        <v>-137889</v>
      </c>
      <c r="AJ821" s="8">
        <f t="shared" si="392"/>
        <v>-2595</v>
      </c>
      <c r="AK821" s="8">
        <v>91564</v>
      </c>
      <c r="AL821" s="8">
        <f t="shared" si="393"/>
        <v>-12925</v>
      </c>
      <c r="AM821" s="8">
        <v>324158</v>
      </c>
      <c r="AN821" s="8">
        <f t="shared" si="394"/>
        <v>-7929</v>
      </c>
      <c r="AO821" s="8">
        <v>-232594</v>
      </c>
      <c r="AP821" s="8">
        <f t="shared" si="407"/>
        <v>-4996</v>
      </c>
      <c r="AR821" s="8">
        <v>1947320</v>
      </c>
      <c r="AS821" s="8">
        <f t="shared" si="408"/>
        <v>-115357</v>
      </c>
      <c r="AT821" s="8">
        <v>388162</v>
      </c>
      <c r="AU821" s="8">
        <f t="shared" si="409"/>
        <v>25286</v>
      </c>
      <c r="AV821" s="8">
        <v>33726</v>
      </c>
      <c r="AW821" s="8">
        <f t="shared" si="410"/>
        <v>-3636</v>
      </c>
      <c r="AX821" s="8">
        <v>354436</v>
      </c>
      <c r="AY821" s="8">
        <f t="shared" si="416"/>
        <v>28922</v>
      </c>
      <c r="AZ821" s="8">
        <v>773016</v>
      </c>
      <c r="BA821" s="8">
        <f t="shared" si="411"/>
        <v>-54275</v>
      </c>
      <c r="BB821" s="8">
        <v>1178264</v>
      </c>
      <c r="BC821" s="8">
        <f t="shared" si="412"/>
        <v>-26152</v>
      </c>
      <c r="BD821" s="8">
        <v>-405248</v>
      </c>
      <c r="BE821" s="8">
        <f t="shared" si="413"/>
        <v>-28123</v>
      </c>
      <c r="BF821" s="8">
        <v>416613</v>
      </c>
      <c r="BG821" s="8">
        <f t="shared" si="414"/>
        <v>-48519</v>
      </c>
      <c r="BH821" s="8">
        <v>1119241</v>
      </c>
      <c r="BI821" s="8">
        <f t="shared" si="415"/>
        <v>-12998</v>
      </c>
      <c r="BJ821" s="8">
        <v>-702628</v>
      </c>
      <c r="BK821" s="8">
        <f t="shared" si="389"/>
        <v>-35521</v>
      </c>
    </row>
    <row r="822" spans="1:63">
      <c r="A822" s="5">
        <v>44621</v>
      </c>
      <c r="B822" s="8">
        <v>439766</v>
      </c>
      <c r="C822" s="8">
        <f t="shared" si="395"/>
        <v>-17674</v>
      </c>
      <c r="D822" s="8">
        <v>92532</v>
      </c>
      <c r="E822" s="8">
        <f t="shared" si="396"/>
        <v>-321</v>
      </c>
      <c r="F822" s="8">
        <v>11101</v>
      </c>
      <c r="G822" s="8">
        <f t="shared" si="397"/>
        <v>-2552</v>
      </c>
      <c r="H822" s="8">
        <v>81431</v>
      </c>
      <c r="I822" s="8">
        <f t="shared" si="398"/>
        <v>2231</v>
      </c>
      <c r="J822" s="8">
        <v>196247</v>
      </c>
      <c r="K822" s="8">
        <f t="shared" si="399"/>
        <v>-6607</v>
      </c>
      <c r="L822" s="8">
        <v>294988</v>
      </c>
      <c r="M822" s="8">
        <f t="shared" si="400"/>
        <v>191</v>
      </c>
      <c r="N822" s="8">
        <v>-98741</v>
      </c>
      <c r="O822" s="8">
        <f t="shared" si="401"/>
        <v>-6798</v>
      </c>
      <c r="P822" s="8">
        <v>89643</v>
      </c>
      <c r="Q822" s="8">
        <f t="shared" si="402"/>
        <v>-9182</v>
      </c>
      <c r="R822" s="8">
        <v>279149</v>
      </c>
      <c r="S822" s="8">
        <f t="shared" si="403"/>
        <v>-2853</v>
      </c>
      <c r="T822" s="8">
        <v>-189506</v>
      </c>
      <c r="U822" s="8">
        <f t="shared" si="404"/>
        <v>-6329</v>
      </c>
      <c r="W822" s="8">
        <v>452265</v>
      </c>
      <c r="X822" s="8">
        <f t="shared" si="405"/>
        <v>-36903</v>
      </c>
      <c r="Y822" s="8">
        <v>99359</v>
      </c>
      <c r="Z822" s="8">
        <f t="shared" si="406"/>
        <v>1579</v>
      </c>
      <c r="AA822" s="8">
        <v>4530</v>
      </c>
      <c r="AB822" s="8">
        <f t="shared" si="417"/>
        <v>-2833</v>
      </c>
      <c r="AC822" s="8">
        <v>94829</v>
      </c>
      <c r="AD822" s="8">
        <f t="shared" si="418"/>
        <v>4412</v>
      </c>
      <c r="AE822" s="8">
        <v>190288</v>
      </c>
      <c r="AF822" s="8">
        <f t="shared" si="390"/>
        <v>-7802</v>
      </c>
      <c r="AG822" s="8">
        <v>326183</v>
      </c>
      <c r="AH822" s="8">
        <f t="shared" si="391"/>
        <v>-9796</v>
      </c>
      <c r="AI822" s="8">
        <v>-135895</v>
      </c>
      <c r="AJ822" s="8">
        <f t="shared" si="392"/>
        <v>1994</v>
      </c>
      <c r="AK822" s="8">
        <v>84233</v>
      </c>
      <c r="AL822" s="8">
        <f t="shared" si="393"/>
        <v>-7331</v>
      </c>
      <c r="AM822" s="8">
        <v>314962</v>
      </c>
      <c r="AN822" s="8">
        <f t="shared" si="394"/>
        <v>-9196</v>
      </c>
      <c r="AO822" s="8">
        <v>-230729</v>
      </c>
      <c r="AP822" s="8">
        <f t="shared" si="407"/>
        <v>1865</v>
      </c>
      <c r="AR822" s="8">
        <v>1977728</v>
      </c>
      <c r="AS822" s="8">
        <f t="shared" si="408"/>
        <v>30408</v>
      </c>
      <c r="AT822" s="8">
        <v>370463</v>
      </c>
      <c r="AU822" s="8">
        <f t="shared" si="409"/>
        <v>-17699</v>
      </c>
      <c r="AV822" s="8">
        <v>21241</v>
      </c>
      <c r="AW822" s="8">
        <f t="shared" si="410"/>
        <v>-12485</v>
      </c>
      <c r="AX822" s="8">
        <v>349222</v>
      </c>
      <c r="AY822" s="8">
        <f t="shared" si="416"/>
        <v>-5214</v>
      </c>
      <c r="AZ822" s="8">
        <v>772574</v>
      </c>
      <c r="BA822" s="8">
        <f t="shared" si="411"/>
        <v>-442</v>
      </c>
      <c r="BB822" s="8">
        <v>1188097</v>
      </c>
      <c r="BC822" s="8">
        <f t="shared" si="412"/>
        <v>9833</v>
      </c>
      <c r="BD822" s="8">
        <v>-415523</v>
      </c>
      <c r="BE822" s="8">
        <f t="shared" si="413"/>
        <v>-10275</v>
      </c>
      <c r="BF822" s="8">
        <v>412349</v>
      </c>
      <c r="BG822" s="8">
        <f t="shared" si="414"/>
        <v>-4264</v>
      </c>
      <c r="BH822" s="8">
        <v>1129760</v>
      </c>
      <c r="BI822" s="8">
        <f t="shared" si="415"/>
        <v>10519</v>
      </c>
      <c r="BJ822" s="8">
        <v>-717411</v>
      </c>
      <c r="BK822" s="8">
        <f t="shared" si="389"/>
        <v>-14783</v>
      </c>
    </row>
    <row r="823" spans="1:63">
      <c r="A823" s="5">
        <v>44628</v>
      </c>
      <c r="B823" s="8">
        <v>418231</v>
      </c>
      <c r="C823" s="8">
        <f t="shared" si="395"/>
        <v>-21535</v>
      </c>
      <c r="D823" s="8">
        <v>88983</v>
      </c>
      <c r="E823" s="8">
        <f t="shared" si="396"/>
        <v>-3549</v>
      </c>
      <c r="F823" s="8">
        <v>3314</v>
      </c>
      <c r="G823" s="8">
        <f t="shared" si="397"/>
        <v>-7787</v>
      </c>
      <c r="H823" s="8">
        <v>85669</v>
      </c>
      <c r="I823" s="8">
        <f t="shared" si="398"/>
        <v>4238</v>
      </c>
      <c r="J823" s="8">
        <v>192935</v>
      </c>
      <c r="K823" s="8">
        <f t="shared" si="399"/>
        <v>-3312</v>
      </c>
      <c r="L823" s="8">
        <v>300170</v>
      </c>
      <c r="M823" s="8">
        <f t="shared" si="400"/>
        <v>5182</v>
      </c>
      <c r="N823" s="8">
        <v>-107235</v>
      </c>
      <c r="O823" s="8">
        <f t="shared" si="401"/>
        <v>-8494</v>
      </c>
      <c r="P823" s="8">
        <v>86772</v>
      </c>
      <c r="Q823" s="8">
        <f t="shared" si="402"/>
        <v>-2871</v>
      </c>
      <c r="R823" s="8">
        <v>285891</v>
      </c>
      <c r="S823" s="8">
        <f t="shared" si="403"/>
        <v>6742</v>
      </c>
      <c r="T823" s="8">
        <v>-199119</v>
      </c>
      <c r="U823" s="8">
        <f t="shared" si="404"/>
        <v>-9613</v>
      </c>
      <c r="W823" s="8">
        <v>439326</v>
      </c>
      <c r="X823" s="8">
        <f t="shared" si="405"/>
        <v>-12939</v>
      </c>
      <c r="Y823" s="8">
        <v>99880</v>
      </c>
      <c r="Z823" s="8">
        <f t="shared" si="406"/>
        <v>521</v>
      </c>
      <c r="AA823" s="8">
        <v>3253</v>
      </c>
      <c r="AB823" s="8">
        <f t="shared" si="417"/>
        <v>-1277</v>
      </c>
      <c r="AC823" s="8">
        <v>96627</v>
      </c>
      <c r="AD823" s="8">
        <f t="shared" si="418"/>
        <v>1798</v>
      </c>
      <c r="AE823" s="8">
        <v>187436</v>
      </c>
      <c r="AF823" s="8">
        <f t="shared" si="390"/>
        <v>-2852</v>
      </c>
      <c r="AG823" s="8">
        <v>333598</v>
      </c>
      <c r="AH823" s="8">
        <f t="shared" si="391"/>
        <v>7415</v>
      </c>
      <c r="AI823" s="8">
        <v>-146162</v>
      </c>
      <c r="AJ823" s="8">
        <f t="shared" si="392"/>
        <v>-10267</v>
      </c>
      <c r="AK823" s="8">
        <v>82725</v>
      </c>
      <c r="AL823" s="8">
        <f t="shared" si="393"/>
        <v>-1508</v>
      </c>
      <c r="AM823" s="8">
        <v>322679</v>
      </c>
      <c r="AN823" s="8">
        <f t="shared" si="394"/>
        <v>7717</v>
      </c>
      <c r="AO823" s="8">
        <v>-239954</v>
      </c>
      <c r="AP823" s="8">
        <f t="shared" si="407"/>
        <v>-9225</v>
      </c>
      <c r="AR823" s="8">
        <v>2054595</v>
      </c>
      <c r="AS823" s="8">
        <f t="shared" si="408"/>
        <v>76867</v>
      </c>
      <c r="AT823" s="8">
        <v>379149</v>
      </c>
      <c r="AU823" s="8">
        <f t="shared" si="409"/>
        <v>8686</v>
      </c>
      <c r="AV823" s="8">
        <v>10365</v>
      </c>
      <c r="AW823" s="8">
        <f t="shared" si="410"/>
        <v>-10876</v>
      </c>
      <c r="AX823" s="8">
        <v>368784</v>
      </c>
      <c r="AY823" s="8">
        <f t="shared" si="416"/>
        <v>19562</v>
      </c>
      <c r="AZ823" s="8">
        <v>825784</v>
      </c>
      <c r="BA823" s="8">
        <f t="shared" si="411"/>
        <v>53210</v>
      </c>
      <c r="BB823" s="8">
        <v>1261589</v>
      </c>
      <c r="BC823" s="8">
        <f t="shared" si="412"/>
        <v>73492</v>
      </c>
      <c r="BD823" s="8">
        <v>-435805</v>
      </c>
      <c r="BE823" s="8">
        <f t="shared" si="413"/>
        <v>-20282</v>
      </c>
      <c r="BF823" s="8">
        <v>460722</v>
      </c>
      <c r="BG823" s="8">
        <f t="shared" si="414"/>
        <v>48373</v>
      </c>
      <c r="BH823" s="8">
        <v>1192709</v>
      </c>
      <c r="BI823" s="8">
        <f t="shared" si="415"/>
        <v>62949</v>
      </c>
      <c r="BJ823" s="8">
        <v>-731987</v>
      </c>
      <c r="BK823" s="8">
        <f t="shared" si="389"/>
        <v>-14576</v>
      </c>
    </row>
    <row r="824" spans="1:63">
      <c r="A824" s="5">
        <v>44635</v>
      </c>
      <c r="B824" s="8">
        <v>414017</v>
      </c>
      <c r="C824" s="8">
        <f t="shared" si="395"/>
        <v>-4214</v>
      </c>
      <c r="D824" s="8">
        <v>91336</v>
      </c>
      <c r="E824" s="8">
        <f t="shared" si="396"/>
        <v>2353</v>
      </c>
      <c r="F824" s="8">
        <v>2165</v>
      </c>
      <c r="G824" s="8">
        <f t="shared" si="397"/>
        <v>-1149</v>
      </c>
      <c r="H824" s="8">
        <v>89171</v>
      </c>
      <c r="I824" s="8">
        <f t="shared" si="398"/>
        <v>3502</v>
      </c>
      <c r="J824" s="8">
        <v>192126</v>
      </c>
      <c r="K824" s="8">
        <f t="shared" si="399"/>
        <v>-809</v>
      </c>
      <c r="L824" s="8">
        <v>301407</v>
      </c>
      <c r="M824" s="8">
        <f t="shared" si="400"/>
        <v>1237</v>
      </c>
      <c r="N824" s="8">
        <v>-109281</v>
      </c>
      <c r="O824" s="8">
        <f t="shared" si="401"/>
        <v>-2046</v>
      </c>
      <c r="P824" s="8">
        <v>89267</v>
      </c>
      <c r="Q824" s="8">
        <f t="shared" si="402"/>
        <v>2495</v>
      </c>
      <c r="R824" s="8">
        <v>286753</v>
      </c>
      <c r="S824" s="8">
        <f t="shared" si="403"/>
        <v>862</v>
      </c>
      <c r="T824" s="8">
        <v>-197486</v>
      </c>
      <c r="U824" s="8">
        <f t="shared" si="404"/>
        <v>1633</v>
      </c>
      <c r="W824" s="8">
        <v>447497</v>
      </c>
      <c r="X824" s="8">
        <f t="shared" si="405"/>
        <v>8171</v>
      </c>
      <c r="Y824" s="8">
        <v>105001</v>
      </c>
      <c r="Z824" s="8">
        <f t="shared" si="406"/>
        <v>5121</v>
      </c>
      <c r="AA824" s="8">
        <v>1842</v>
      </c>
      <c r="AB824" s="8">
        <f t="shared" si="417"/>
        <v>-1411</v>
      </c>
      <c r="AC824" s="8">
        <v>103159</v>
      </c>
      <c r="AD824" s="8">
        <f t="shared" si="418"/>
        <v>6532</v>
      </c>
      <c r="AE824" s="8">
        <v>179216</v>
      </c>
      <c r="AF824" s="8">
        <f t="shared" si="390"/>
        <v>-8220</v>
      </c>
      <c r="AG824" s="8">
        <v>334444</v>
      </c>
      <c r="AH824" s="8">
        <f t="shared" si="391"/>
        <v>846</v>
      </c>
      <c r="AI824" s="8">
        <v>-155228</v>
      </c>
      <c r="AJ824" s="8">
        <f t="shared" si="392"/>
        <v>-9066</v>
      </c>
      <c r="AK824" s="8">
        <v>76930</v>
      </c>
      <c r="AL824" s="8">
        <f t="shared" si="393"/>
        <v>-5795</v>
      </c>
      <c r="AM824" s="8">
        <v>324563</v>
      </c>
      <c r="AN824" s="8">
        <f t="shared" si="394"/>
        <v>1884</v>
      </c>
      <c r="AO824" s="8">
        <v>-247633</v>
      </c>
      <c r="AP824" s="8">
        <f t="shared" si="407"/>
        <v>-7679</v>
      </c>
      <c r="AR824" s="8">
        <v>2083011</v>
      </c>
      <c r="AS824" s="8">
        <f t="shared" si="408"/>
        <v>28416</v>
      </c>
      <c r="AT824" s="8">
        <v>381282</v>
      </c>
      <c r="AU824" s="8">
        <f t="shared" si="409"/>
        <v>2133</v>
      </c>
      <c r="AV824" s="8">
        <v>8373</v>
      </c>
      <c r="AW824" s="8">
        <f t="shared" si="410"/>
        <v>-1992</v>
      </c>
      <c r="AX824" s="8">
        <v>372909</v>
      </c>
      <c r="AY824" s="8">
        <f t="shared" si="416"/>
        <v>4125</v>
      </c>
      <c r="AZ824" s="8">
        <v>817765</v>
      </c>
      <c r="BA824" s="8">
        <f t="shared" si="411"/>
        <v>-8019</v>
      </c>
      <c r="BB824" s="8">
        <v>1268682</v>
      </c>
      <c r="BC824" s="8">
        <f t="shared" si="412"/>
        <v>7093</v>
      </c>
      <c r="BD824" s="8">
        <v>-450917</v>
      </c>
      <c r="BE824" s="8">
        <f t="shared" si="413"/>
        <v>-15112</v>
      </c>
      <c r="BF824" s="8">
        <v>468386</v>
      </c>
      <c r="BG824" s="8">
        <f t="shared" si="414"/>
        <v>7664</v>
      </c>
      <c r="BH824" s="8">
        <v>1194704</v>
      </c>
      <c r="BI824" s="8">
        <f t="shared" si="415"/>
        <v>1995</v>
      </c>
      <c r="BJ824" s="8">
        <v>-726318</v>
      </c>
      <c r="BK824" s="8">
        <f t="shared" si="389"/>
        <v>5669</v>
      </c>
    </row>
    <row r="825" spans="1:63">
      <c r="A825" s="5">
        <v>44642</v>
      </c>
      <c r="B825" s="8">
        <v>415464</v>
      </c>
      <c r="C825" s="8">
        <f t="shared" si="395"/>
        <v>1447</v>
      </c>
      <c r="D825" s="8">
        <v>87821</v>
      </c>
      <c r="E825" s="8">
        <f t="shared" si="396"/>
        <v>-3515</v>
      </c>
      <c r="F825" s="8">
        <v>3743</v>
      </c>
      <c r="G825" s="8">
        <f t="shared" si="397"/>
        <v>1578</v>
      </c>
      <c r="H825" s="8">
        <v>84078</v>
      </c>
      <c r="I825" s="8">
        <f t="shared" si="398"/>
        <v>-5093</v>
      </c>
      <c r="J825" s="8">
        <v>191581</v>
      </c>
      <c r="K825" s="8">
        <f t="shared" si="399"/>
        <v>-545</v>
      </c>
      <c r="L825" s="8">
        <v>297860</v>
      </c>
      <c r="M825" s="8">
        <f t="shared" si="400"/>
        <v>-3547</v>
      </c>
      <c r="N825" s="8">
        <v>-106279</v>
      </c>
      <c r="O825" s="8">
        <f t="shared" si="401"/>
        <v>3002</v>
      </c>
      <c r="P825" s="8">
        <v>88720</v>
      </c>
      <c r="Q825" s="8">
        <f t="shared" si="402"/>
        <v>-547</v>
      </c>
      <c r="R825" s="8">
        <v>283243</v>
      </c>
      <c r="S825" s="8">
        <f t="shared" si="403"/>
        <v>-3510</v>
      </c>
      <c r="T825" s="8">
        <v>-194523</v>
      </c>
      <c r="U825" s="8">
        <f t="shared" si="404"/>
        <v>2963</v>
      </c>
      <c r="W825" s="8">
        <v>457776</v>
      </c>
      <c r="X825" s="8">
        <f t="shared" si="405"/>
        <v>10279</v>
      </c>
      <c r="Y825" s="8">
        <v>103731</v>
      </c>
      <c r="Z825" s="8">
        <f t="shared" si="406"/>
        <v>-1270</v>
      </c>
      <c r="AA825" s="8">
        <v>2567</v>
      </c>
      <c r="AB825" s="8">
        <f t="shared" si="417"/>
        <v>725</v>
      </c>
      <c r="AC825" s="8">
        <v>101164</v>
      </c>
      <c r="AD825" s="8">
        <f t="shared" si="418"/>
        <v>-1995</v>
      </c>
      <c r="AE825" s="8">
        <v>182220</v>
      </c>
      <c r="AF825" s="8">
        <f t="shared" si="390"/>
        <v>3004</v>
      </c>
      <c r="AG825" s="8">
        <v>334650</v>
      </c>
      <c r="AH825" s="8">
        <f t="shared" si="391"/>
        <v>206</v>
      </c>
      <c r="AI825" s="8">
        <v>-152430</v>
      </c>
      <c r="AJ825" s="8">
        <f t="shared" si="392"/>
        <v>2798</v>
      </c>
      <c r="AK825" s="8">
        <v>78780</v>
      </c>
      <c r="AL825" s="8">
        <f t="shared" si="393"/>
        <v>1850</v>
      </c>
      <c r="AM825" s="8">
        <v>324041</v>
      </c>
      <c r="AN825" s="8">
        <f t="shared" si="394"/>
        <v>-522</v>
      </c>
      <c r="AO825" s="8">
        <v>-245261</v>
      </c>
      <c r="AP825" s="8">
        <f t="shared" si="407"/>
        <v>2372</v>
      </c>
      <c r="AR825" s="8">
        <v>2149285</v>
      </c>
      <c r="AS825" s="8">
        <f t="shared" si="408"/>
        <v>66274</v>
      </c>
      <c r="AT825" s="8">
        <v>391467</v>
      </c>
      <c r="AU825" s="8">
        <f t="shared" si="409"/>
        <v>10185</v>
      </c>
      <c r="AV825" s="8">
        <v>7366</v>
      </c>
      <c r="AW825" s="8">
        <f t="shared" si="410"/>
        <v>-1007</v>
      </c>
      <c r="AX825" s="8">
        <v>384101</v>
      </c>
      <c r="AY825" s="8">
        <f t="shared" si="416"/>
        <v>11192</v>
      </c>
      <c r="AZ825" s="8">
        <v>829927</v>
      </c>
      <c r="BA825" s="8">
        <f t="shared" si="411"/>
        <v>12162</v>
      </c>
      <c r="BB825" s="8">
        <v>1284705</v>
      </c>
      <c r="BC825" s="8">
        <f t="shared" si="412"/>
        <v>16023</v>
      </c>
      <c r="BD825" s="8">
        <v>-454778</v>
      </c>
      <c r="BE825" s="8">
        <f t="shared" si="413"/>
        <v>-3861</v>
      </c>
      <c r="BF825" s="8">
        <v>470413</v>
      </c>
      <c r="BG825" s="8">
        <f t="shared" si="414"/>
        <v>2027</v>
      </c>
      <c r="BH825" s="8">
        <v>1207501</v>
      </c>
      <c r="BI825" s="8">
        <f t="shared" si="415"/>
        <v>12797</v>
      </c>
      <c r="BJ825" s="8">
        <v>-737088</v>
      </c>
      <c r="BK825" s="8">
        <f t="shared" si="389"/>
        <v>-10770</v>
      </c>
    </row>
    <row r="826" spans="1:63">
      <c r="A826" s="5">
        <v>44649</v>
      </c>
      <c r="B826" s="8">
        <v>400221</v>
      </c>
      <c r="C826" s="8">
        <f t="shared" si="395"/>
        <v>-15243</v>
      </c>
      <c r="D826" s="8">
        <v>82827</v>
      </c>
      <c r="E826" s="8">
        <f t="shared" si="396"/>
        <v>-4994</v>
      </c>
      <c r="F826" s="8">
        <v>4226</v>
      </c>
      <c r="G826" s="8">
        <f t="shared" si="397"/>
        <v>483</v>
      </c>
      <c r="H826" s="8">
        <v>78601</v>
      </c>
      <c r="I826" s="8">
        <f t="shared" si="398"/>
        <v>-5477</v>
      </c>
      <c r="J826" s="8">
        <v>187565</v>
      </c>
      <c r="K826" s="8">
        <f t="shared" si="399"/>
        <v>-4016</v>
      </c>
      <c r="L826" s="8">
        <v>284891</v>
      </c>
      <c r="M826" s="8">
        <f t="shared" si="400"/>
        <v>-12969</v>
      </c>
      <c r="N826" s="8">
        <v>-97326</v>
      </c>
      <c r="O826" s="8">
        <f t="shared" si="401"/>
        <v>8953</v>
      </c>
      <c r="P826" s="8">
        <v>86979</v>
      </c>
      <c r="Q826" s="8">
        <f t="shared" si="402"/>
        <v>-1741</v>
      </c>
      <c r="R826" s="8">
        <v>273093</v>
      </c>
      <c r="S826" s="8">
        <f t="shared" si="403"/>
        <v>-10150</v>
      </c>
      <c r="T826" s="8">
        <v>-186114</v>
      </c>
      <c r="U826" s="8">
        <f t="shared" si="404"/>
        <v>8409</v>
      </c>
      <c r="W826" s="8">
        <v>455338</v>
      </c>
      <c r="X826" s="8">
        <f t="shared" si="405"/>
        <v>-2438</v>
      </c>
      <c r="Y826" s="8">
        <v>102370</v>
      </c>
      <c r="Z826" s="8">
        <f t="shared" si="406"/>
        <v>-1361</v>
      </c>
      <c r="AA826" s="8">
        <v>2422</v>
      </c>
      <c r="AB826" s="8">
        <f t="shared" si="417"/>
        <v>-145</v>
      </c>
      <c r="AC826" s="8">
        <v>99948</v>
      </c>
      <c r="AD826" s="8">
        <f t="shared" si="418"/>
        <v>-1216</v>
      </c>
      <c r="AE826" s="8">
        <v>182117</v>
      </c>
      <c r="AF826" s="8">
        <f t="shared" si="390"/>
        <v>-103</v>
      </c>
      <c r="AG826" s="8">
        <v>329387</v>
      </c>
      <c r="AH826" s="8">
        <f t="shared" si="391"/>
        <v>-5263</v>
      </c>
      <c r="AI826" s="8">
        <v>-147270</v>
      </c>
      <c r="AJ826" s="8">
        <f t="shared" si="392"/>
        <v>5160</v>
      </c>
      <c r="AK826" s="8">
        <v>79958</v>
      </c>
      <c r="AL826" s="8">
        <f t="shared" si="393"/>
        <v>1178</v>
      </c>
      <c r="AM826" s="8">
        <v>319497</v>
      </c>
      <c r="AN826" s="8">
        <f t="shared" si="394"/>
        <v>-4544</v>
      </c>
      <c r="AO826" s="8">
        <v>-239539</v>
      </c>
      <c r="AP826" s="8">
        <f t="shared" si="407"/>
        <v>5722</v>
      </c>
      <c r="AR826" s="8">
        <v>2062031</v>
      </c>
      <c r="AS826" s="8">
        <f t="shared" si="408"/>
        <v>-87254</v>
      </c>
      <c r="AT826" s="8">
        <v>366925</v>
      </c>
      <c r="AU826" s="8">
        <f t="shared" si="409"/>
        <v>-24542</v>
      </c>
      <c r="AV826" s="8">
        <v>12321</v>
      </c>
      <c r="AW826" s="8">
        <f t="shared" si="410"/>
        <v>4955</v>
      </c>
      <c r="AX826" s="8">
        <v>354604</v>
      </c>
      <c r="AY826" s="8">
        <f t="shared" si="416"/>
        <v>-29497</v>
      </c>
      <c r="AZ826" s="8">
        <v>834986</v>
      </c>
      <c r="BA826" s="8">
        <f t="shared" si="411"/>
        <v>5059</v>
      </c>
      <c r="BB826" s="8">
        <v>1238952</v>
      </c>
      <c r="BC826" s="8">
        <f t="shared" si="412"/>
        <v>-45753</v>
      </c>
      <c r="BD826" s="8">
        <v>-403966</v>
      </c>
      <c r="BE826" s="8">
        <f t="shared" si="413"/>
        <v>50812</v>
      </c>
      <c r="BF826" s="8">
        <v>468695</v>
      </c>
      <c r="BG826" s="8">
        <f t="shared" si="414"/>
        <v>-1718</v>
      </c>
      <c r="BH826" s="8">
        <v>1162965</v>
      </c>
      <c r="BI826" s="8">
        <f t="shared" si="415"/>
        <v>-44536</v>
      </c>
      <c r="BJ826" s="8">
        <v>-694270</v>
      </c>
      <c r="BK826" s="8">
        <f t="shared" si="389"/>
        <v>42818</v>
      </c>
    </row>
    <row r="827" spans="1:63">
      <c r="A827" s="5">
        <v>44656</v>
      </c>
      <c r="B827" s="8">
        <v>410957</v>
      </c>
      <c r="C827" s="8">
        <f t="shared" si="395"/>
        <v>10736</v>
      </c>
      <c r="D827" s="8">
        <v>81630</v>
      </c>
      <c r="E827" s="8">
        <f t="shared" si="396"/>
        <v>-1197</v>
      </c>
      <c r="F827" s="8">
        <v>4880</v>
      </c>
      <c r="G827" s="8">
        <f t="shared" si="397"/>
        <v>654</v>
      </c>
      <c r="H827" s="8">
        <v>76750</v>
      </c>
      <c r="I827" s="8">
        <f t="shared" si="398"/>
        <v>-1851</v>
      </c>
      <c r="J827" s="8">
        <v>188830</v>
      </c>
      <c r="K827" s="8">
        <f t="shared" si="399"/>
        <v>1265</v>
      </c>
      <c r="L827" s="8">
        <v>288795</v>
      </c>
      <c r="M827" s="8">
        <f t="shared" si="400"/>
        <v>3904</v>
      </c>
      <c r="N827" s="8">
        <v>-99965</v>
      </c>
      <c r="O827" s="8">
        <f t="shared" si="401"/>
        <v>-2639</v>
      </c>
      <c r="P827" s="8">
        <v>87920</v>
      </c>
      <c r="Q827" s="8">
        <f t="shared" si="402"/>
        <v>941</v>
      </c>
      <c r="R827" s="8">
        <v>274862</v>
      </c>
      <c r="S827" s="8">
        <f t="shared" si="403"/>
        <v>1769</v>
      </c>
      <c r="T827" s="8">
        <v>-186942</v>
      </c>
      <c r="U827" s="8">
        <f t="shared" si="404"/>
        <v>-828</v>
      </c>
      <c r="W827" s="8">
        <v>460780</v>
      </c>
      <c r="X827" s="8">
        <f t="shared" si="405"/>
        <v>5442</v>
      </c>
      <c r="Y827" s="8">
        <v>103224</v>
      </c>
      <c r="Z827" s="8">
        <f t="shared" si="406"/>
        <v>854</v>
      </c>
      <c r="AA827" s="8">
        <v>2680</v>
      </c>
      <c r="AB827" s="8">
        <f t="shared" si="417"/>
        <v>258</v>
      </c>
      <c r="AC827" s="8">
        <v>100544</v>
      </c>
      <c r="AD827" s="8">
        <f t="shared" si="418"/>
        <v>596</v>
      </c>
      <c r="AE827" s="8">
        <v>180848</v>
      </c>
      <c r="AF827" s="8">
        <f t="shared" si="390"/>
        <v>-1269</v>
      </c>
      <c r="AG827" s="8">
        <v>331427</v>
      </c>
      <c r="AH827" s="8">
        <f t="shared" si="391"/>
        <v>2040</v>
      </c>
      <c r="AI827" s="8">
        <v>-150579</v>
      </c>
      <c r="AJ827" s="8">
        <f t="shared" si="392"/>
        <v>-3309</v>
      </c>
      <c r="AK827" s="8">
        <v>80559</v>
      </c>
      <c r="AL827" s="8">
        <f t="shared" si="393"/>
        <v>601</v>
      </c>
      <c r="AM827" s="8">
        <v>320543</v>
      </c>
      <c r="AN827" s="8">
        <f t="shared" si="394"/>
        <v>1046</v>
      </c>
      <c r="AO827" s="8">
        <v>-239984</v>
      </c>
      <c r="AP827" s="8">
        <f t="shared" si="407"/>
        <v>-445</v>
      </c>
      <c r="AR827" s="8">
        <v>2170866</v>
      </c>
      <c r="AS827" s="8">
        <f t="shared" si="408"/>
        <v>108835</v>
      </c>
      <c r="AT827" s="8">
        <v>371413</v>
      </c>
      <c r="AU827" s="8">
        <f t="shared" si="409"/>
        <v>4488</v>
      </c>
      <c r="AV827" s="8">
        <v>9107</v>
      </c>
      <c r="AW827" s="8">
        <f t="shared" si="410"/>
        <v>-3214</v>
      </c>
      <c r="AX827" s="8">
        <v>362306</v>
      </c>
      <c r="AY827" s="8">
        <f t="shared" si="416"/>
        <v>7702</v>
      </c>
      <c r="AZ827" s="8">
        <v>858181</v>
      </c>
      <c r="BA827" s="8">
        <f t="shared" si="411"/>
        <v>23195</v>
      </c>
      <c r="BB827" s="8">
        <v>1268136</v>
      </c>
      <c r="BC827" s="8">
        <f t="shared" si="412"/>
        <v>29184</v>
      </c>
      <c r="BD827" s="8">
        <v>-409955</v>
      </c>
      <c r="BE827" s="8">
        <f t="shared" si="413"/>
        <v>-5989</v>
      </c>
      <c r="BF827" s="8">
        <v>488278</v>
      </c>
      <c r="BG827" s="8">
        <f t="shared" si="414"/>
        <v>19583</v>
      </c>
      <c r="BH827" s="8">
        <v>1189147</v>
      </c>
      <c r="BI827" s="8">
        <f t="shared" si="415"/>
        <v>26182</v>
      </c>
      <c r="BJ827" s="8">
        <v>-700869</v>
      </c>
      <c r="BK827" s="8">
        <f t="shared" si="389"/>
        <v>-6599</v>
      </c>
    </row>
    <row r="828" spans="1:63">
      <c r="A828" s="5">
        <v>44663</v>
      </c>
      <c r="B828" s="8">
        <v>432997</v>
      </c>
      <c r="C828" s="8">
        <f t="shared" si="395"/>
        <v>22040</v>
      </c>
      <c r="D828" s="8">
        <v>86136</v>
      </c>
      <c r="E828" s="8">
        <f t="shared" si="396"/>
        <v>4506</v>
      </c>
      <c r="F828" s="8">
        <v>2073</v>
      </c>
      <c r="G828" s="8">
        <f t="shared" si="397"/>
        <v>-2807</v>
      </c>
      <c r="H828" s="8">
        <v>84063</v>
      </c>
      <c r="I828" s="8">
        <f t="shared" si="398"/>
        <v>7313</v>
      </c>
      <c r="J828" s="8">
        <v>195198</v>
      </c>
      <c r="K828" s="8">
        <f t="shared" si="399"/>
        <v>6368</v>
      </c>
      <c r="L828" s="8">
        <v>308282</v>
      </c>
      <c r="M828" s="8">
        <f t="shared" si="400"/>
        <v>19487</v>
      </c>
      <c r="N828" s="8">
        <v>-113084</v>
      </c>
      <c r="O828" s="8">
        <f t="shared" si="401"/>
        <v>-13119</v>
      </c>
      <c r="P828" s="8">
        <v>92590</v>
      </c>
      <c r="Q828" s="8">
        <f t="shared" si="402"/>
        <v>4670</v>
      </c>
      <c r="R828" s="8">
        <v>291230</v>
      </c>
      <c r="S828" s="8">
        <f t="shared" si="403"/>
        <v>16368</v>
      </c>
      <c r="T828" s="8">
        <v>-198640</v>
      </c>
      <c r="U828" s="8">
        <f t="shared" si="404"/>
        <v>-11698</v>
      </c>
      <c r="W828" s="8">
        <v>461136</v>
      </c>
      <c r="X828" s="8">
        <f t="shared" si="405"/>
        <v>356</v>
      </c>
      <c r="Y828" s="8">
        <v>97314</v>
      </c>
      <c r="Z828" s="8">
        <f t="shared" si="406"/>
        <v>-5910</v>
      </c>
      <c r="AA828" s="8">
        <v>3903</v>
      </c>
      <c r="AB828" s="8">
        <f t="shared" si="417"/>
        <v>1223</v>
      </c>
      <c r="AC828" s="8">
        <v>93411</v>
      </c>
      <c r="AD828" s="8">
        <f t="shared" si="418"/>
        <v>-7133</v>
      </c>
      <c r="AE828" s="8">
        <v>188155</v>
      </c>
      <c r="AF828" s="8">
        <f t="shared" si="390"/>
        <v>7307</v>
      </c>
      <c r="AG828" s="8">
        <v>332799</v>
      </c>
      <c r="AH828" s="8">
        <f t="shared" si="391"/>
        <v>1372</v>
      </c>
      <c r="AI828" s="8">
        <v>-144644</v>
      </c>
      <c r="AJ828" s="8">
        <f t="shared" si="392"/>
        <v>5935</v>
      </c>
      <c r="AK828" s="8">
        <v>87637</v>
      </c>
      <c r="AL828" s="8">
        <f t="shared" si="393"/>
        <v>7078</v>
      </c>
      <c r="AM828" s="8">
        <v>322626</v>
      </c>
      <c r="AN828" s="8">
        <f t="shared" si="394"/>
        <v>2083</v>
      </c>
      <c r="AO828" s="8">
        <v>-234989</v>
      </c>
      <c r="AP828" s="8">
        <f t="shared" si="407"/>
        <v>4995</v>
      </c>
      <c r="AR828" s="8">
        <v>2263395</v>
      </c>
      <c r="AS828" s="8">
        <f t="shared" si="408"/>
        <v>92529</v>
      </c>
      <c r="AT828" s="8">
        <v>379808</v>
      </c>
      <c r="AU828" s="8">
        <f t="shared" si="409"/>
        <v>8395</v>
      </c>
      <c r="AV828" s="8">
        <v>9856</v>
      </c>
      <c r="AW828" s="8">
        <f t="shared" si="410"/>
        <v>749</v>
      </c>
      <c r="AX828" s="8">
        <v>369952</v>
      </c>
      <c r="AY828" s="8">
        <f t="shared" si="416"/>
        <v>7646</v>
      </c>
      <c r="AZ828" s="8">
        <v>886449</v>
      </c>
      <c r="BA828" s="8">
        <f t="shared" si="411"/>
        <v>28268</v>
      </c>
      <c r="BB828" s="8">
        <v>1315054</v>
      </c>
      <c r="BC828" s="8">
        <f t="shared" si="412"/>
        <v>46918</v>
      </c>
      <c r="BD828" s="8">
        <v>-428605</v>
      </c>
      <c r="BE828" s="8">
        <f t="shared" si="413"/>
        <v>-18650</v>
      </c>
      <c r="BF828" s="8">
        <v>519345</v>
      </c>
      <c r="BG828" s="8">
        <f t="shared" si="414"/>
        <v>31067</v>
      </c>
      <c r="BH828" s="8">
        <v>1234026</v>
      </c>
      <c r="BI828" s="8">
        <f t="shared" si="415"/>
        <v>44879</v>
      </c>
      <c r="BJ828" s="8">
        <v>-714681</v>
      </c>
      <c r="BK828" s="8">
        <f t="shared" si="389"/>
        <v>-13812</v>
      </c>
    </row>
    <row r="829" spans="1:63">
      <c r="A829" s="5">
        <v>44670</v>
      </c>
      <c r="B829" s="8">
        <v>471333</v>
      </c>
      <c r="C829" s="8">
        <f t="shared" si="395"/>
        <v>38336</v>
      </c>
      <c r="D829" s="8">
        <v>99507</v>
      </c>
      <c r="E829" s="8">
        <f t="shared" si="396"/>
        <v>13371</v>
      </c>
      <c r="F829" s="8">
        <v>3419</v>
      </c>
      <c r="G829" s="8">
        <f t="shared" si="397"/>
        <v>1346</v>
      </c>
      <c r="H829" s="8">
        <v>96088</v>
      </c>
      <c r="I829" s="8">
        <f t="shared" si="398"/>
        <v>12025</v>
      </c>
      <c r="J829" s="8">
        <v>198535</v>
      </c>
      <c r="K829" s="8">
        <f t="shared" si="399"/>
        <v>3337</v>
      </c>
      <c r="L829" s="8">
        <v>322503</v>
      </c>
      <c r="M829" s="8">
        <f t="shared" si="400"/>
        <v>14221</v>
      </c>
      <c r="N829" s="8">
        <v>-123968</v>
      </c>
      <c r="O829" s="8">
        <f t="shared" si="401"/>
        <v>-10884</v>
      </c>
      <c r="P829" s="8">
        <v>96138</v>
      </c>
      <c r="Q829" s="8">
        <f t="shared" si="402"/>
        <v>3548</v>
      </c>
      <c r="R829" s="8">
        <v>304357</v>
      </c>
      <c r="S829" s="8">
        <f t="shared" si="403"/>
        <v>13127</v>
      </c>
      <c r="T829" s="8">
        <v>-208219</v>
      </c>
      <c r="U829" s="8">
        <f t="shared" si="404"/>
        <v>-9579</v>
      </c>
      <c r="W829" s="8">
        <v>466468</v>
      </c>
      <c r="X829" s="8">
        <f t="shared" si="405"/>
        <v>5332</v>
      </c>
      <c r="Y829" s="8">
        <v>102570</v>
      </c>
      <c r="Z829" s="8">
        <f t="shared" si="406"/>
        <v>5256</v>
      </c>
      <c r="AA829" s="8">
        <v>3028</v>
      </c>
      <c r="AB829" s="8">
        <f t="shared" si="417"/>
        <v>-875</v>
      </c>
      <c r="AC829" s="8">
        <v>99542</v>
      </c>
      <c r="AD829" s="8">
        <f t="shared" si="418"/>
        <v>6131</v>
      </c>
      <c r="AE829" s="8">
        <v>188223</v>
      </c>
      <c r="AF829" s="8">
        <f t="shared" si="390"/>
        <v>68</v>
      </c>
      <c r="AG829" s="8">
        <v>339415</v>
      </c>
      <c r="AH829" s="8">
        <f t="shared" si="391"/>
        <v>6616</v>
      </c>
      <c r="AI829" s="8">
        <v>-151192</v>
      </c>
      <c r="AJ829" s="8">
        <f t="shared" si="392"/>
        <v>-6548</v>
      </c>
      <c r="AK829" s="8">
        <v>89113</v>
      </c>
      <c r="AL829" s="8">
        <f t="shared" si="393"/>
        <v>1476</v>
      </c>
      <c r="AM829" s="8">
        <v>330194</v>
      </c>
      <c r="AN829" s="8">
        <f t="shared" si="394"/>
        <v>7568</v>
      </c>
      <c r="AO829" s="8">
        <v>-241081</v>
      </c>
      <c r="AP829" s="8">
        <f t="shared" si="407"/>
        <v>-6092</v>
      </c>
      <c r="AR829" s="8">
        <v>2363241</v>
      </c>
      <c r="AS829" s="8">
        <f t="shared" si="408"/>
        <v>99846</v>
      </c>
      <c r="AT829" s="8">
        <v>390912</v>
      </c>
      <c r="AU829" s="8">
        <f t="shared" si="409"/>
        <v>11104</v>
      </c>
      <c r="AV829" s="8">
        <v>11802</v>
      </c>
      <c r="AW829" s="8">
        <f t="shared" si="410"/>
        <v>1946</v>
      </c>
      <c r="AX829" s="8">
        <v>379110</v>
      </c>
      <c r="AY829" s="8">
        <f t="shared" si="416"/>
        <v>9158</v>
      </c>
      <c r="AZ829" s="8">
        <v>900358</v>
      </c>
      <c r="BA829" s="8">
        <f t="shared" si="411"/>
        <v>13909</v>
      </c>
      <c r="BB829" s="8">
        <v>1349547</v>
      </c>
      <c r="BC829" s="8">
        <f t="shared" si="412"/>
        <v>34493</v>
      </c>
      <c r="BD829" s="8">
        <v>-449189</v>
      </c>
      <c r="BE829" s="8">
        <f t="shared" si="413"/>
        <v>-20584</v>
      </c>
      <c r="BF829" s="8">
        <v>529952</v>
      </c>
      <c r="BG829" s="8">
        <f t="shared" si="414"/>
        <v>10607</v>
      </c>
      <c r="BH829" s="8">
        <v>1265139</v>
      </c>
      <c r="BI829" s="8">
        <f t="shared" si="415"/>
        <v>31113</v>
      </c>
      <c r="BJ829" s="8">
        <v>-735187</v>
      </c>
      <c r="BK829" s="8">
        <f t="shared" si="389"/>
        <v>-20506</v>
      </c>
    </row>
    <row r="830" spans="1:63">
      <c r="A830" s="5">
        <v>44677</v>
      </c>
      <c r="B830" s="8">
        <v>440799</v>
      </c>
      <c r="C830" s="8">
        <f t="shared" si="395"/>
        <v>-30534</v>
      </c>
      <c r="D830" s="8">
        <v>102359</v>
      </c>
      <c r="E830" s="8">
        <f t="shared" si="396"/>
        <v>2852</v>
      </c>
      <c r="F830" s="8">
        <v>4676</v>
      </c>
      <c r="G830" s="8">
        <f t="shared" si="397"/>
        <v>1257</v>
      </c>
      <c r="H830" s="8">
        <v>97683</v>
      </c>
      <c r="I830" s="8">
        <f t="shared" si="398"/>
        <v>1595</v>
      </c>
      <c r="J830" s="8">
        <v>192612</v>
      </c>
      <c r="K830" s="8">
        <f t="shared" si="399"/>
        <v>-5923</v>
      </c>
      <c r="L830" s="8">
        <v>314978</v>
      </c>
      <c r="M830" s="8">
        <f t="shared" si="400"/>
        <v>-7525</v>
      </c>
      <c r="N830" s="8">
        <v>-122366</v>
      </c>
      <c r="O830" s="8">
        <f t="shared" si="401"/>
        <v>1602</v>
      </c>
      <c r="P830" s="8">
        <v>92574</v>
      </c>
      <c r="Q830" s="8">
        <f t="shared" si="402"/>
        <v>-3564</v>
      </c>
      <c r="R830" s="8">
        <v>297788</v>
      </c>
      <c r="S830" s="8">
        <f t="shared" si="403"/>
        <v>-6569</v>
      </c>
      <c r="T830" s="8">
        <v>-205214</v>
      </c>
      <c r="U830" s="8">
        <f t="shared" si="404"/>
        <v>3005</v>
      </c>
      <c r="W830" s="8">
        <v>424438</v>
      </c>
      <c r="X830" s="8">
        <f t="shared" si="405"/>
        <v>-42030</v>
      </c>
      <c r="Y830" s="8">
        <v>97181</v>
      </c>
      <c r="Z830" s="8">
        <f t="shared" si="406"/>
        <v>-5389</v>
      </c>
      <c r="AA830" s="8">
        <v>5890</v>
      </c>
      <c r="AB830" s="8">
        <f t="shared" si="417"/>
        <v>2862</v>
      </c>
      <c r="AC830" s="8">
        <v>91291</v>
      </c>
      <c r="AD830" s="8">
        <f t="shared" si="418"/>
        <v>-8251</v>
      </c>
      <c r="AE830" s="8">
        <v>180385</v>
      </c>
      <c r="AF830" s="8">
        <f t="shared" si="390"/>
        <v>-7838</v>
      </c>
      <c r="AG830" s="8">
        <v>316060</v>
      </c>
      <c r="AH830" s="8">
        <f t="shared" si="391"/>
        <v>-23355</v>
      </c>
      <c r="AI830" s="8">
        <v>-135675</v>
      </c>
      <c r="AJ830" s="8">
        <f t="shared" si="392"/>
        <v>15517</v>
      </c>
      <c r="AK830" s="8">
        <v>83769</v>
      </c>
      <c r="AL830" s="8">
        <f t="shared" si="393"/>
        <v>-5344</v>
      </c>
      <c r="AM830" s="8">
        <v>310345</v>
      </c>
      <c r="AN830" s="8">
        <f t="shared" si="394"/>
        <v>-19849</v>
      </c>
      <c r="AO830" s="8">
        <v>-226576</v>
      </c>
      <c r="AP830" s="8">
        <f t="shared" si="407"/>
        <v>14505</v>
      </c>
      <c r="AR830" s="8">
        <v>2157559</v>
      </c>
      <c r="AS830" s="8">
        <f t="shared" si="408"/>
        <v>-205682</v>
      </c>
      <c r="AT830" s="8">
        <v>377761</v>
      </c>
      <c r="AU830" s="8">
        <f t="shared" si="409"/>
        <v>-13151</v>
      </c>
      <c r="AV830" s="8">
        <v>17106</v>
      </c>
      <c r="AW830" s="8">
        <f t="shared" si="410"/>
        <v>5304</v>
      </c>
      <c r="AX830" s="8">
        <v>360655</v>
      </c>
      <c r="AY830" s="8">
        <f t="shared" si="416"/>
        <v>-18455</v>
      </c>
      <c r="AZ830" s="8">
        <v>818991</v>
      </c>
      <c r="BA830" s="8">
        <f t="shared" si="411"/>
        <v>-81367</v>
      </c>
      <c r="BB830" s="8">
        <v>1245644</v>
      </c>
      <c r="BC830" s="8">
        <f t="shared" si="412"/>
        <v>-103903</v>
      </c>
      <c r="BD830" s="8">
        <v>-426653</v>
      </c>
      <c r="BE830" s="8">
        <f t="shared" si="413"/>
        <v>22536</v>
      </c>
      <c r="BF830" s="8">
        <v>462482</v>
      </c>
      <c r="BG830" s="8">
        <f t="shared" si="414"/>
        <v>-67470</v>
      </c>
      <c r="BH830" s="8">
        <v>1174399</v>
      </c>
      <c r="BI830" s="8">
        <f t="shared" si="415"/>
        <v>-90740</v>
      </c>
      <c r="BJ830" s="8">
        <v>-711917</v>
      </c>
      <c r="BK830" s="8">
        <f t="shared" si="389"/>
        <v>23270</v>
      </c>
    </row>
    <row r="831" spans="1:63">
      <c r="A831" s="5">
        <v>44684</v>
      </c>
      <c r="B831" s="8">
        <v>425185</v>
      </c>
      <c r="C831" s="8">
        <f t="shared" si="395"/>
        <v>-15614</v>
      </c>
      <c r="D831" s="8">
        <v>90639</v>
      </c>
      <c r="E831" s="8">
        <f t="shared" si="396"/>
        <v>-11720</v>
      </c>
      <c r="F831" s="8">
        <v>4996</v>
      </c>
      <c r="G831" s="8">
        <f t="shared" si="397"/>
        <v>320</v>
      </c>
      <c r="H831" s="8">
        <v>85643</v>
      </c>
      <c r="I831" s="8">
        <f t="shared" si="398"/>
        <v>-12040</v>
      </c>
      <c r="J831" s="8">
        <v>188684</v>
      </c>
      <c r="K831" s="8">
        <f t="shared" si="399"/>
        <v>-3928</v>
      </c>
      <c r="L831" s="8">
        <v>298242</v>
      </c>
      <c r="M831" s="8">
        <f t="shared" si="400"/>
        <v>-16736</v>
      </c>
      <c r="N831" s="8">
        <v>-109558</v>
      </c>
      <c r="O831" s="8">
        <f t="shared" si="401"/>
        <v>12808</v>
      </c>
      <c r="P831" s="8">
        <v>87825</v>
      </c>
      <c r="Q831" s="8">
        <f t="shared" si="402"/>
        <v>-4749</v>
      </c>
      <c r="R831" s="8">
        <v>282316</v>
      </c>
      <c r="S831" s="8">
        <f t="shared" si="403"/>
        <v>-15472</v>
      </c>
      <c r="T831" s="8">
        <v>-194491</v>
      </c>
      <c r="U831" s="8">
        <f t="shared" si="404"/>
        <v>10723</v>
      </c>
      <c r="W831" s="8">
        <v>410282</v>
      </c>
      <c r="X831" s="8">
        <f t="shared" si="405"/>
        <v>-14156</v>
      </c>
      <c r="Y831" s="8">
        <v>86009</v>
      </c>
      <c r="Z831" s="8">
        <f t="shared" si="406"/>
        <v>-11172</v>
      </c>
      <c r="AA831" s="8">
        <v>12258</v>
      </c>
      <c r="AB831" s="8">
        <f t="shared" si="417"/>
        <v>6368</v>
      </c>
      <c r="AC831" s="8">
        <v>73751</v>
      </c>
      <c r="AD831" s="8">
        <f t="shared" si="418"/>
        <v>-17540</v>
      </c>
      <c r="AE831" s="8">
        <v>183946</v>
      </c>
      <c r="AF831" s="8">
        <f t="shared" si="390"/>
        <v>3561</v>
      </c>
      <c r="AG831" s="8">
        <v>296467</v>
      </c>
      <c r="AH831" s="8">
        <f t="shared" si="391"/>
        <v>-19593</v>
      </c>
      <c r="AI831" s="8">
        <v>-112521</v>
      </c>
      <c r="AJ831" s="8">
        <f t="shared" si="392"/>
        <v>23154</v>
      </c>
      <c r="AK831" s="8">
        <v>82721</v>
      </c>
      <c r="AL831" s="8">
        <f t="shared" si="393"/>
        <v>-1048</v>
      </c>
      <c r="AM831" s="8">
        <v>290884</v>
      </c>
      <c r="AN831" s="8">
        <f t="shared" si="394"/>
        <v>-19461</v>
      </c>
      <c r="AO831" s="8">
        <v>-208163</v>
      </c>
      <c r="AP831" s="8">
        <f t="shared" si="407"/>
        <v>18413</v>
      </c>
      <c r="AR831" s="8">
        <v>2172898</v>
      </c>
      <c r="AS831" s="8">
        <f t="shared" si="408"/>
        <v>15339</v>
      </c>
      <c r="AT831" s="8">
        <v>382981</v>
      </c>
      <c r="AU831" s="8">
        <f t="shared" si="409"/>
        <v>5220</v>
      </c>
      <c r="AV831" s="8">
        <v>29463</v>
      </c>
      <c r="AW831" s="8">
        <f t="shared" si="410"/>
        <v>12357</v>
      </c>
      <c r="AX831" s="8">
        <v>353518</v>
      </c>
      <c r="AY831" s="8">
        <f t="shared" si="416"/>
        <v>-7137</v>
      </c>
      <c r="AZ831" s="8">
        <v>801955</v>
      </c>
      <c r="BA831" s="8">
        <f t="shared" si="411"/>
        <v>-17036</v>
      </c>
      <c r="BB831" s="8">
        <v>1229091</v>
      </c>
      <c r="BC831" s="8">
        <f t="shared" si="412"/>
        <v>-16553</v>
      </c>
      <c r="BD831" s="8">
        <v>-427136</v>
      </c>
      <c r="BE831" s="8">
        <f t="shared" si="413"/>
        <v>-483</v>
      </c>
      <c r="BF831" s="8">
        <v>443505</v>
      </c>
      <c r="BG831" s="8">
        <f t="shared" si="414"/>
        <v>-18977</v>
      </c>
      <c r="BH831" s="8">
        <v>1156859</v>
      </c>
      <c r="BI831" s="8">
        <f t="shared" si="415"/>
        <v>-17540</v>
      </c>
      <c r="BJ831" s="8">
        <v>-713354</v>
      </c>
      <c r="BK831" s="8">
        <f t="shared" si="389"/>
        <v>-1437</v>
      </c>
    </row>
    <row r="832" spans="1:63">
      <c r="A832" s="5">
        <v>44691</v>
      </c>
      <c r="B832" s="8">
        <v>437582</v>
      </c>
      <c r="C832" s="8">
        <f t="shared" si="395"/>
        <v>12397</v>
      </c>
      <c r="D832" s="8">
        <v>93251</v>
      </c>
      <c r="E832" s="8">
        <f t="shared" si="396"/>
        <v>2612</v>
      </c>
      <c r="F832" s="8">
        <v>4875</v>
      </c>
      <c r="G832" s="8">
        <f t="shared" si="397"/>
        <v>-121</v>
      </c>
      <c r="H832" s="8">
        <v>88376</v>
      </c>
      <c r="I832" s="8">
        <f t="shared" si="398"/>
        <v>2733</v>
      </c>
      <c r="J832" s="8">
        <v>191893</v>
      </c>
      <c r="K832" s="8">
        <f t="shared" si="399"/>
        <v>3209</v>
      </c>
      <c r="L832" s="8">
        <v>308141</v>
      </c>
      <c r="M832" s="8">
        <f t="shared" si="400"/>
        <v>9899</v>
      </c>
      <c r="N832" s="8">
        <v>-116248</v>
      </c>
      <c r="O832" s="8">
        <f t="shared" si="401"/>
        <v>-6690</v>
      </c>
      <c r="P832" s="8">
        <v>91206</v>
      </c>
      <c r="Q832" s="8">
        <f t="shared" si="402"/>
        <v>3381</v>
      </c>
      <c r="R832" s="8">
        <v>293042</v>
      </c>
      <c r="S832" s="8">
        <f t="shared" si="403"/>
        <v>10726</v>
      </c>
      <c r="T832" s="8">
        <v>-201836</v>
      </c>
      <c r="U832" s="8">
        <f t="shared" si="404"/>
        <v>-7345</v>
      </c>
      <c r="W832" s="8">
        <v>409858</v>
      </c>
      <c r="X832" s="8">
        <f t="shared" si="405"/>
        <v>-424</v>
      </c>
      <c r="Y832" s="8">
        <v>70684</v>
      </c>
      <c r="Z832" s="8">
        <f t="shared" si="406"/>
        <v>-15325</v>
      </c>
      <c r="AA832" s="8">
        <v>18370</v>
      </c>
      <c r="AB832" s="8">
        <f t="shared" si="417"/>
        <v>6112</v>
      </c>
      <c r="AC832" s="8">
        <v>52314</v>
      </c>
      <c r="AD832" s="8">
        <f t="shared" si="418"/>
        <v>-21437</v>
      </c>
      <c r="AE832" s="8">
        <v>188599</v>
      </c>
      <c r="AF832" s="8">
        <f t="shared" si="390"/>
        <v>4653</v>
      </c>
      <c r="AG832" s="8">
        <v>285719</v>
      </c>
      <c r="AH832" s="8">
        <f t="shared" si="391"/>
        <v>-10748</v>
      </c>
      <c r="AI832" s="8">
        <v>-97120</v>
      </c>
      <c r="AJ832" s="8">
        <f t="shared" si="392"/>
        <v>15401</v>
      </c>
      <c r="AK832" s="8">
        <v>87922</v>
      </c>
      <c r="AL832" s="8">
        <f t="shared" si="393"/>
        <v>5201</v>
      </c>
      <c r="AM832" s="8">
        <v>278449</v>
      </c>
      <c r="AN832" s="8">
        <f t="shared" si="394"/>
        <v>-12435</v>
      </c>
      <c r="AO832" s="8">
        <v>-190527</v>
      </c>
      <c r="AP832" s="8">
        <f t="shared" si="407"/>
        <v>17636</v>
      </c>
      <c r="AR832" s="8">
        <v>2168588</v>
      </c>
      <c r="AS832" s="8">
        <f t="shared" si="408"/>
        <v>-4310</v>
      </c>
      <c r="AT832" s="8">
        <v>375782</v>
      </c>
      <c r="AU832" s="8">
        <f t="shared" si="409"/>
        <v>-7199</v>
      </c>
      <c r="AV832" s="8">
        <v>37220</v>
      </c>
      <c r="AW832" s="8">
        <f t="shared" si="410"/>
        <v>7757</v>
      </c>
      <c r="AX832" s="8">
        <v>338562</v>
      </c>
      <c r="AY832" s="8">
        <f t="shared" si="416"/>
        <v>-14956</v>
      </c>
      <c r="AZ832" s="8">
        <v>801384</v>
      </c>
      <c r="BA832" s="8">
        <f t="shared" si="411"/>
        <v>-571</v>
      </c>
      <c r="BB832" s="8">
        <v>1190649</v>
      </c>
      <c r="BC832" s="8">
        <f t="shared" si="412"/>
        <v>-38442</v>
      </c>
      <c r="BD832" s="8">
        <v>-389265</v>
      </c>
      <c r="BE832" s="8">
        <f t="shared" si="413"/>
        <v>37871</v>
      </c>
      <c r="BF832" s="8">
        <v>448424</v>
      </c>
      <c r="BG832" s="8">
        <f t="shared" si="414"/>
        <v>4919</v>
      </c>
      <c r="BH832" s="8">
        <v>1120078</v>
      </c>
      <c r="BI832" s="8">
        <f t="shared" si="415"/>
        <v>-36781</v>
      </c>
      <c r="BJ832" s="8">
        <v>-671654</v>
      </c>
      <c r="BK832" s="8">
        <f t="shared" si="389"/>
        <v>41700</v>
      </c>
    </row>
    <row r="833" spans="1:63">
      <c r="A833" s="5">
        <v>44698</v>
      </c>
      <c r="B833" s="8">
        <v>447084</v>
      </c>
      <c r="C833" s="8">
        <f t="shared" si="395"/>
        <v>9502</v>
      </c>
      <c r="D833" s="8">
        <v>92173</v>
      </c>
      <c r="E833" s="8">
        <f t="shared" si="396"/>
        <v>-1078</v>
      </c>
      <c r="F833" s="8">
        <v>5936</v>
      </c>
      <c r="G833" s="8">
        <f t="shared" si="397"/>
        <v>1061</v>
      </c>
      <c r="H833" s="8">
        <v>86237</v>
      </c>
      <c r="I833" s="8">
        <f t="shared" si="398"/>
        <v>-2139</v>
      </c>
      <c r="J833" s="8">
        <v>194745</v>
      </c>
      <c r="K833" s="8">
        <f t="shared" si="399"/>
        <v>2852</v>
      </c>
      <c r="L833" s="8">
        <v>311927</v>
      </c>
      <c r="M833" s="8">
        <f t="shared" si="400"/>
        <v>3786</v>
      </c>
      <c r="N833" s="8">
        <v>-117182</v>
      </c>
      <c r="O833" s="8">
        <f t="shared" si="401"/>
        <v>-934</v>
      </c>
      <c r="P833" s="8">
        <v>94606</v>
      </c>
      <c r="Q833" s="8">
        <f t="shared" si="402"/>
        <v>3400</v>
      </c>
      <c r="R833" s="8">
        <v>297289</v>
      </c>
      <c r="S833" s="8">
        <f t="shared" si="403"/>
        <v>4247</v>
      </c>
      <c r="T833" s="8">
        <v>-202683</v>
      </c>
      <c r="U833" s="8">
        <f t="shared" si="404"/>
        <v>-847</v>
      </c>
      <c r="W833" s="8">
        <v>413267</v>
      </c>
      <c r="X833" s="8">
        <f t="shared" si="405"/>
        <v>3409</v>
      </c>
      <c r="Y833" s="8">
        <v>58853</v>
      </c>
      <c r="Z833" s="8">
        <f t="shared" si="406"/>
        <v>-11831</v>
      </c>
      <c r="AA833" s="8">
        <v>22930</v>
      </c>
      <c r="AB833" s="8">
        <f t="shared" si="417"/>
        <v>4560</v>
      </c>
      <c r="AC833" s="8">
        <v>35923</v>
      </c>
      <c r="AD833" s="8">
        <f t="shared" si="418"/>
        <v>-16391</v>
      </c>
      <c r="AE833" s="8">
        <v>191289</v>
      </c>
      <c r="AF833" s="8">
        <f t="shared" si="390"/>
        <v>2690</v>
      </c>
      <c r="AG833" s="8">
        <v>280452</v>
      </c>
      <c r="AH833" s="8">
        <f t="shared" si="391"/>
        <v>-5267</v>
      </c>
      <c r="AI833" s="8">
        <v>-89163</v>
      </c>
      <c r="AJ833" s="8">
        <f t="shared" si="392"/>
        <v>7957</v>
      </c>
      <c r="AK833" s="8">
        <v>93209</v>
      </c>
      <c r="AL833" s="8">
        <f t="shared" si="393"/>
        <v>5287</v>
      </c>
      <c r="AM833" s="8">
        <v>273286</v>
      </c>
      <c r="AN833" s="8">
        <f t="shared" si="394"/>
        <v>-5163</v>
      </c>
      <c r="AO833" s="8">
        <v>-180077</v>
      </c>
      <c r="AP833" s="8">
        <f t="shared" si="407"/>
        <v>10450</v>
      </c>
      <c r="AR833" s="8">
        <v>2256288</v>
      </c>
      <c r="AS833" s="8">
        <f t="shared" si="408"/>
        <v>87700</v>
      </c>
      <c r="AT833" s="8">
        <v>386154</v>
      </c>
      <c r="AU833" s="8">
        <f t="shared" si="409"/>
        <v>10372</v>
      </c>
      <c r="AV833" s="8">
        <v>46443</v>
      </c>
      <c r="AW833" s="8">
        <f t="shared" si="410"/>
        <v>9223</v>
      </c>
      <c r="AX833" s="8">
        <v>339711</v>
      </c>
      <c r="AY833" s="8">
        <f t="shared" si="416"/>
        <v>1149</v>
      </c>
      <c r="AZ833" s="8">
        <v>812224</v>
      </c>
      <c r="BA833" s="8">
        <f t="shared" si="411"/>
        <v>10840</v>
      </c>
      <c r="BB833" s="8">
        <v>1216097</v>
      </c>
      <c r="BC833" s="8">
        <f t="shared" si="412"/>
        <v>25448</v>
      </c>
      <c r="BD833" s="8">
        <v>-403873</v>
      </c>
      <c r="BE833" s="8">
        <f t="shared" si="413"/>
        <v>-14608</v>
      </c>
      <c r="BF833" s="8">
        <v>451252</v>
      </c>
      <c r="BG833" s="8">
        <f t="shared" si="414"/>
        <v>2828</v>
      </c>
      <c r="BH833" s="8">
        <v>1144787</v>
      </c>
      <c r="BI833" s="8">
        <f t="shared" si="415"/>
        <v>24709</v>
      </c>
      <c r="BJ833" s="8">
        <v>-693535</v>
      </c>
      <c r="BK833" s="8">
        <f t="shared" si="389"/>
        <v>-21881</v>
      </c>
    </row>
    <row r="834" spans="1:63">
      <c r="A834" s="5">
        <v>44705</v>
      </c>
      <c r="B834" s="8">
        <v>436457</v>
      </c>
      <c r="C834" s="8">
        <f t="shared" si="395"/>
        <v>-10627</v>
      </c>
      <c r="D834" s="8">
        <v>82179</v>
      </c>
      <c r="E834" s="8">
        <f t="shared" si="396"/>
        <v>-9994</v>
      </c>
      <c r="F834" s="8">
        <v>13185</v>
      </c>
      <c r="G834" s="8">
        <f t="shared" si="397"/>
        <v>7249</v>
      </c>
      <c r="H834" s="8">
        <v>68994</v>
      </c>
      <c r="I834" s="8">
        <f t="shared" si="398"/>
        <v>-17243</v>
      </c>
      <c r="J834" s="8">
        <v>196942</v>
      </c>
      <c r="K834" s="8">
        <f t="shared" si="399"/>
        <v>2197</v>
      </c>
      <c r="L834" s="8">
        <v>295370</v>
      </c>
      <c r="M834" s="8">
        <f t="shared" si="400"/>
        <v>-16557</v>
      </c>
      <c r="N834" s="8">
        <v>-98428</v>
      </c>
      <c r="O834" s="8">
        <f t="shared" si="401"/>
        <v>18754</v>
      </c>
      <c r="P834" s="8">
        <v>96266</v>
      </c>
      <c r="Q834" s="8">
        <f t="shared" si="402"/>
        <v>1660</v>
      </c>
      <c r="R834" s="8">
        <v>281067</v>
      </c>
      <c r="S834" s="8">
        <f t="shared" si="403"/>
        <v>-16222</v>
      </c>
      <c r="T834" s="8">
        <v>-184801</v>
      </c>
      <c r="U834" s="8">
        <f t="shared" si="404"/>
        <v>17882</v>
      </c>
      <c r="W834" s="8">
        <v>405915</v>
      </c>
      <c r="X834" s="8">
        <f t="shared" si="405"/>
        <v>-7352</v>
      </c>
      <c r="Y834" s="8">
        <v>62291</v>
      </c>
      <c r="Z834" s="8">
        <f t="shared" si="406"/>
        <v>3438</v>
      </c>
      <c r="AA834" s="8">
        <v>13137</v>
      </c>
      <c r="AB834" s="8">
        <f t="shared" si="417"/>
        <v>-9793</v>
      </c>
      <c r="AC834" s="8">
        <v>49154</v>
      </c>
      <c r="AD834" s="8">
        <f t="shared" si="418"/>
        <v>13231</v>
      </c>
      <c r="AE834" s="8">
        <v>184149</v>
      </c>
      <c r="AF834" s="8">
        <f t="shared" si="390"/>
        <v>-7140</v>
      </c>
      <c r="AG834" s="8">
        <v>284453</v>
      </c>
      <c r="AH834" s="8">
        <f t="shared" si="391"/>
        <v>4001</v>
      </c>
      <c r="AI834" s="8">
        <v>-100304</v>
      </c>
      <c r="AJ834" s="8">
        <f t="shared" si="392"/>
        <v>-11141</v>
      </c>
      <c r="AK834" s="8">
        <v>85994</v>
      </c>
      <c r="AL834" s="8">
        <f t="shared" si="393"/>
        <v>-7215</v>
      </c>
      <c r="AM834" s="8">
        <v>276325</v>
      </c>
      <c r="AN834" s="8">
        <f t="shared" si="394"/>
        <v>3039</v>
      </c>
      <c r="AO834" s="8">
        <v>-190331</v>
      </c>
      <c r="AP834" s="8">
        <f t="shared" si="407"/>
        <v>-10254</v>
      </c>
      <c r="AR834" s="8">
        <v>2188145</v>
      </c>
      <c r="AS834" s="8">
        <f t="shared" si="408"/>
        <v>-68143</v>
      </c>
      <c r="AT834" s="8">
        <v>355178</v>
      </c>
      <c r="AU834" s="8">
        <f t="shared" si="409"/>
        <v>-30976</v>
      </c>
      <c r="AV834" s="8">
        <v>63709</v>
      </c>
      <c r="AW834" s="8">
        <f t="shared" si="410"/>
        <v>17266</v>
      </c>
      <c r="AX834" s="8">
        <v>291469</v>
      </c>
      <c r="AY834" s="8">
        <f t="shared" si="416"/>
        <v>-48242</v>
      </c>
      <c r="AZ834" s="8">
        <v>804471</v>
      </c>
      <c r="BA834" s="8">
        <f t="shared" si="411"/>
        <v>-7753</v>
      </c>
      <c r="BB834" s="8">
        <v>1155558</v>
      </c>
      <c r="BC834" s="8">
        <f t="shared" si="412"/>
        <v>-60539</v>
      </c>
      <c r="BD834" s="8">
        <v>-351087</v>
      </c>
      <c r="BE834" s="8">
        <f t="shared" si="413"/>
        <v>52786</v>
      </c>
      <c r="BF834" s="8">
        <v>454528</v>
      </c>
      <c r="BG834" s="8">
        <f t="shared" si="414"/>
        <v>3276</v>
      </c>
      <c r="BH834" s="8">
        <v>1089984</v>
      </c>
      <c r="BI834" s="8">
        <f t="shared" si="415"/>
        <v>-54803</v>
      </c>
      <c r="BJ834" s="8">
        <v>-635456</v>
      </c>
      <c r="BK834" s="8">
        <f t="shared" si="389"/>
        <v>58079</v>
      </c>
    </row>
    <row r="835" spans="1:63">
      <c r="A835" s="5">
        <v>44712</v>
      </c>
      <c r="B835" s="8">
        <v>446521</v>
      </c>
      <c r="C835" s="8">
        <f t="shared" si="395"/>
        <v>10064</v>
      </c>
      <c r="D835" s="8">
        <v>80340</v>
      </c>
      <c r="E835" s="8">
        <f t="shared" si="396"/>
        <v>-1839</v>
      </c>
      <c r="F835" s="8">
        <v>15879</v>
      </c>
      <c r="G835" s="8">
        <f t="shared" si="397"/>
        <v>2694</v>
      </c>
      <c r="H835" s="8">
        <v>64461</v>
      </c>
      <c r="I835" s="8">
        <f t="shared" si="398"/>
        <v>-4533</v>
      </c>
      <c r="J835" s="8">
        <v>201512</v>
      </c>
      <c r="K835" s="8">
        <f t="shared" si="399"/>
        <v>4570</v>
      </c>
      <c r="L835" s="8">
        <v>293092</v>
      </c>
      <c r="M835" s="8">
        <f t="shared" si="400"/>
        <v>-2278</v>
      </c>
      <c r="N835" s="8">
        <v>-91580</v>
      </c>
      <c r="O835" s="8">
        <f t="shared" si="401"/>
        <v>6848</v>
      </c>
      <c r="P835" s="8">
        <v>100365</v>
      </c>
      <c r="Q835" s="8">
        <f t="shared" si="402"/>
        <v>4099</v>
      </c>
      <c r="R835" s="8">
        <v>278158</v>
      </c>
      <c r="S835" s="8">
        <f t="shared" si="403"/>
        <v>-2909</v>
      </c>
      <c r="T835" s="8">
        <v>-177793</v>
      </c>
      <c r="U835" s="8">
        <f t="shared" si="404"/>
        <v>7008</v>
      </c>
      <c r="W835" s="8">
        <v>418915</v>
      </c>
      <c r="X835" s="8">
        <f t="shared" si="405"/>
        <v>13000</v>
      </c>
      <c r="Y835" s="8">
        <v>63912</v>
      </c>
      <c r="Z835" s="8">
        <f t="shared" si="406"/>
        <v>1621</v>
      </c>
      <c r="AA835" s="8">
        <v>16550</v>
      </c>
      <c r="AB835" s="8">
        <f t="shared" si="417"/>
        <v>3413</v>
      </c>
      <c r="AC835" s="8">
        <v>47362</v>
      </c>
      <c r="AD835" s="8">
        <f t="shared" si="418"/>
        <v>-1792</v>
      </c>
      <c r="AE835" s="8">
        <v>182292</v>
      </c>
      <c r="AF835" s="8">
        <f t="shared" si="390"/>
        <v>-1857</v>
      </c>
      <c r="AG835" s="8">
        <v>282101</v>
      </c>
      <c r="AH835" s="8">
        <f t="shared" si="391"/>
        <v>-2352</v>
      </c>
      <c r="AI835" s="8">
        <v>-99809</v>
      </c>
      <c r="AJ835" s="8">
        <f t="shared" si="392"/>
        <v>495</v>
      </c>
      <c r="AK835" s="8">
        <v>82239</v>
      </c>
      <c r="AL835" s="8">
        <f t="shared" si="393"/>
        <v>-3755</v>
      </c>
      <c r="AM835" s="8">
        <v>273042</v>
      </c>
      <c r="AN835" s="8">
        <f t="shared" si="394"/>
        <v>-3283</v>
      </c>
      <c r="AO835" s="8">
        <v>-190803</v>
      </c>
      <c r="AP835" s="8">
        <f t="shared" si="407"/>
        <v>-472</v>
      </c>
      <c r="AR835" s="8">
        <v>2212940</v>
      </c>
      <c r="AS835" s="8">
        <f t="shared" si="408"/>
        <v>24795</v>
      </c>
      <c r="AT835" s="8">
        <v>342234</v>
      </c>
      <c r="AU835" s="8">
        <f t="shared" si="409"/>
        <v>-12944</v>
      </c>
      <c r="AV835" s="8">
        <v>73270</v>
      </c>
      <c r="AW835" s="8">
        <f t="shared" si="410"/>
        <v>9561</v>
      </c>
      <c r="AX835" s="8">
        <v>268964</v>
      </c>
      <c r="AY835" s="8">
        <f t="shared" si="416"/>
        <v>-22505</v>
      </c>
      <c r="AZ835" s="8">
        <v>806202</v>
      </c>
      <c r="BA835" s="8">
        <f t="shared" si="411"/>
        <v>1731</v>
      </c>
      <c r="BB835" s="8">
        <v>1140247</v>
      </c>
      <c r="BC835" s="8">
        <f t="shared" si="412"/>
        <v>-15311</v>
      </c>
      <c r="BD835" s="8">
        <v>-334045</v>
      </c>
      <c r="BE835" s="8">
        <f t="shared" si="413"/>
        <v>17042</v>
      </c>
      <c r="BF835" s="8">
        <v>463766</v>
      </c>
      <c r="BG835" s="8">
        <f t="shared" si="414"/>
        <v>9238</v>
      </c>
      <c r="BH835" s="8">
        <v>1077467</v>
      </c>
      <c r="BI835" s="8">
        <f t="shared" si="415"/>
        <v>-12517</v>
      </c>
      <c r="BJ835" s="8">
        <v>-613701</v>
      </c>
      <c r="BK835" s="8">
        <f t="shared" si="389"/>
        <v>21755</v>
      </c>
    </row>
    <row r="836" spans="1:63">
      <c r="A836" s="5">
        <v>44719</v>
      </c>
      <c r="B836" s="8">
        <v>471053</v>
      </c>
      <c r="C836" s="8">
        <f t="shared" si="395"/>
        <v>24532</v>
      </c>
      <c r="D836" s="8">
        <v>83121</v>
      </c>
      <c r="E836" s="8">
        <f t="shared" si="396"/>
        <v>2781</v>
      </c>
      <c r="F836" s="8">
        <v>14298</v>
      </c>
      <c r="G836" s="8">
        <f t="shared" si="397"/>
        <v>-1581</v>
      </c>
      <c r="H836" s="8">
        <v>68823</v>
      </c>
      <c r="I836" s="8">
        <f t="shared" si="398"/>
        <v>4362</v>
      </c>
      <c r="J836" s="8">
        <v>215894</v>
      </c>
      <c r="K836" s="8">
        <f t="shared" si="399"/>
        <v>14382</v>
      </c>
      <c r="L836" s="8">
        <v>310029</v>
      </c>
      <c r="M836" s="8">
        <f t="shared" si="400"/>
        <v>16937</v>
      </c>
      <c r="N836" s="8">
        <v>-94135</v>
      </c>
      <c r="O836" s="8">
        <f t="shared" si="401"/>
        <v>-2555</v>
      </c>
      <c r="P836" s="8">
        <v>115628</v>
      </c>
      <c r="Q836" s="8">
        <f t="shared" si="402"/>
        <v>15263</v>
      </c>
      <c r="R836" s="8">
        <v>291991</v>
      </c>
      <c r="S836" s="8">
        <f t="shared" si="403"/>
        <v>13833</v>
      </c>
      <c r="T836" s="8">
        <v>-176363</v>
      </c>
      <c r="U836" s="8">
        <f t="shared" si="404"/>
        <v>1430</v>
      </c>
      <c r="W836" s="8">
        <v>429842</v>
      </c>
      <c r="X836" s="8">
        <f t="shared" si="405"/>
        <v>10927</v>
      </c>
      <c r="Y836" s="8">
        <v>64539</v>
      </c>
      <c r="Z836" s="8">
        <f t="shared" si="406"/>
        <v>627</v>
      </c>
      <c r="AA836" s="8">
        <v>11370</v>
      </c>
      <c r="AB836" s="8">
        <f t="shared" si="417"/>
        <v>-5180</v>
      </c>
      <c r="AC836" s="8">
        <v>53169</v>
      </c>
      <c r="AD836" s="8">
        <f t="shared" si="418"/>
        <v>5807</v>
      </c>
      <c r="AE836" s="8">
        <v>185999</v>
      </c>
      <c r="AF836" s="8">
        <f t="shared" si="390"/>
        <v>3707</v>
      </c>
      <c r="AG836" s="8">
        <v>290583</v>
      </c>
      <c r="AH836" s="8">
        <f t="shared" si="391"/>
        <v>8482</v>
      </c>
      <c r="AI836" s="8">
        <v>-104584</v>
      </c>
      <c r="AJ836" s="8">
        <f t="shared" si="392"/>
        <v>-4775</v>
      </c>
      <c r="AK836" s="8">
        <v>87064</v>
      </c>
      <c r="AL836" s="8">
        <f t="shared" si="393"/>
        <v>4825</v>
      </c>
      <c r="AM836" s="8">
        <v>279941</v>
      </c>
      <c r="AN836" s="8">
        <f t="shared" si="394"/>
        <v>6899</v>
      </c>
      <c r="AO836" s="8">
        <v>-192877</v>
      </c>
      <c r="AP836" s="8">
        <f t="shared" si="407"/>
        <v>-2074</v>
      </c>
      <c r="AR836" s="8">
        <v>2217675</v>
      </c>
      <c r="AS836" s="8">
        <f t="shared" si="408"/>
        <v>4735</v>
      </c>
      <c r="AT836" s="8">
        <v>322819</v>
      </c>
      <c r="AU836" s="8">
        <f t="shared" si="409"/>
        <v>-19415</v>
      </c>
      <c r="AV836" s="8">
        <v>58492</v>
      </c>
      <c r="AW836" s="8">
        <f t="shared" si="410"/>
        <v>-14778</v>
      </c>
      <c r="AX836" s="8">
        <v>264327</v>
      </c>
      <c r="AY836" s="8">
        <f t="shared" si="416"/>
        <v>-4637</v>
      </c>
      <c r="AZ836" s="8">
        <v>820858</v>
      </c>
      <c r="BA836" s="8">
        <f t="shared" si="411"/>
        <v>14656</v>
      </c>
      <c r="BB836" s="8">
        <v>1139611</v>
      </c>
      <c r="BC836" s="8">
        <f t="shared" si="412"/>
        <v>-636</v>
      </c>
      <c r="BD836" s="8">
        <v>-318753</v>
      </c>
      <c r="BE836" s="8">
        <f t="shared" si="413"/>
        <v>15292</v>
      </c>
      <c r="BF836" s="8">
        <v>481821</v>
      </c>
      <c r="BG836" s="8">
        <f t="shared" si="414"/>
        <v>18055</v>
      </c>
      <c r="BH836" s="8">
        <v>1075966</v>
      </c>
      <c r="BI836" s="8">
        <f t="shared" si="415"/>
        <v>-1501</v>
      </c>
      <c r="BJ836" s="8">
        <v>-594145</v>
      </c>
      <c r="BK836" s="8">
        <f t="shared" si="389"/>
        <v>19556</v>
      </c>
    </row>
    <row r="837" spans="1:63">
      <c r="A837" s="5">
        <v>44726</v>
      </c>
      <c r="B837" s="8">
        <v>453471</v>
      </c>
      <c r="C837" s="8">
        <f t="shared" si="395"/>
        <v>-17582</v>
      </c>
      <c r="D837" s="8">
        <v>79428</v>
      </c>
      <c r="E837" s="8">
        <f t="shared" si="396"/>
        <v>-3693</v>
      </c>
      <c r="F837" s="8">
        <v>16432</v>
      </c>
      <c r="G837" s="8">
        <f t="shared" si="397"/>
        <v>2134</v>
      </c>
      <c r="H837" s="8">
        <v>62996</v>
      </c>
      <c r="I837" s="8">
        <f t="shared" si="398"/>
        <v>-5827</v>
      </c>
      <c r="J837" s="8">
        <v>219073</v>
      </c>
      <c r="K837" s="8">
        <f t="shared" si="399"/>
        <v>3179</v>
      </c>
      <c r="L837" s="8">
        <v>304456</v>
      </c>
      <c r="M837" s="8">
        <f t="shared" si="400"/>
        <v>-5573</v>
      </c>
      <c r="N837" s="8">
        <v>-85383</v>
      </c>
      <c r="O837" s="8">
        <f t="shared" si="401"/>
        <v>8752</v>
      </c>
      <c r="P837" s="8">
        <v>120142</v>
      </c>
      <c r="Q837" s="8">
        <f t="shared" si="402"/>
        <v>4514</v>
      </c>
      <c r="R837" s="8">
        <v>287032</v>
      </c>
      <c r="S837" s="8">
        <f t="shared" si="403"/>
        <v>-4959</v>
      </c>
      <c r="T837" s="8">
        <v>-166890</v>
      </c>
      <c r="U837" s="8">
        <f t="shared" si="404"/>
        <v>9473</v>
      </c>
      <c r="W837" s="8">
        <v>435560</v>
      </c>
      <c r="X837" s="8">
        <f t="shared" si="405"/>
        <v>5718</v>
      </c>
      <c r="Y837" s="8">
        <v>63890</v>
      </c>
      <c r="Z837" s="8">
        <f t="shared" si="406"/>
        <v>-649</v>
      </c>
      <c r="AA837" s="8">
        <v>11433</v>
      </c>
      <c r="AB837" s="8">
        <f t="shared" si="417"/>
        <v>63</v>
      </c>
      <c r="AC837" s="8">
        <v>52457</v>
      </c>
      <c r="AD837" s="8">
        <f t="shared" si="418"/>
        <v>-712</v>
      </c>
      <c r="AE837" s="8">
        <v>187858</v>
      </c>
      <c r="AF837" s="8">
        <f t="shared" si="390"/>
        <v>1859</v>
      </c>
      <c r="AG837" s="8">
        <v>290480</v>
      </c>
      <c r="AH837" s="8">
        <f t="shared" si="391"/>
        <v>-103</v>
      </c>
      <c r="AI837" s="8">
        <v>-102622</v>
      </c>
      <c r="AJ837" s="8">
        <f t="shared" si="392"/>
        <v>1962</v>
      </c>
      <c r="AK837" s="8">
        <v>91339</v>
      </c>
      <c r="AL837" s="8">
        <f t="shared" si="393"/>
        <v>4275</v>
      </c>
      <c r="AM837" s="8">
        <v>281801</v>
      </c>
      <c r="AN837" s="8">
        <f t="shared" si="394"/>
        <v>1860</v>
      </c>
      <c r="AO837" s="8">
        <v>-190462</v>
      </c>
      <c r="AP837" s="8">
        <f t="shared" si="407"/>
        <v>2415</v>
      </c>
      <c r="AR837" s="8">
        <v>2214773</v>
      </c>
      <c r="AS837" s="8">
        <f t="shared" si="408"/>
        <v>-2902</v>
      </c>
      <c r="AT837" s="8">
        <v>329725</v>
      </c>
      <c r="AU837" s="8">
        <f t="shared" si="409"/>
        <v>6906</v>
      </c>
      <c r="AV837" s="8">
        <v>51540</v>
      </c>
      <c r="AW837" s="8">
        <f t="shared" si="410"/>
        <v>-6952</v>
      </c>
      <c r="AX837" s="8">
        <v>278185</v>
      </c>
      <c r="AY837" s="8">
        <f t="shared" si="416"/>
        <v>13858</v>
      </c>
      <c r="AZ837" s="8">
        <v>837307</v>
      </c>
      <c r="BA837" s="8">
        <f t="shared" si="411"/>
        <v>16449</v>
      </c>
      <c r="BB837" s="8">
        <v>1157030</v>
      </c>
      <c r="BC837" s="8">
        <f t="shared" si="412"/>
        <v>17419</v>
      </c>
      <c r="BD837" s="8">
        <v>-319723</v>
      </c>
      <c r="BE837" s="8">
        <f t="shared" si="413"/>
        <v>-970</v>
      </c>
      <c r="BF837" s="8">
        <v>488028</v>
      </c>
      <c r="BG837" s="8">
        <f t="shared" si="414"/>
        <v>6207</v>
      </c>
      <c r="BH837" s="8">
        <v>1082919</v>
      </c>
      <c r="BI837" s="8">
        <f t="shared" si="415"/>
        <v>6953</v>
      </c>
      <c r="BJ837" s="8">
        <v>-594891</v>
      </c>
      <c r="BK837" s="8">
        <f t="shared" si="389"/>
        <v>-746</v>
      </c>
    </row>
    <row r="838" spans="1:63">
      <c r="A838" s="5">
        <v>44733</v>
      </c>
      <c r="B838" s="8">
        <v>451454</v>
      </c>
      <c r="C838" s="8">
        <f t="shared" si="395"/>
        <v>-2017</v>
      </c>
      <c r="D838" s="8">
        <v>67960</v>
      </c>
      <c r="E838" s="8">
        <f t="shared" si="396"/>
        <v>-11468</v>
      </c>
      <c r="F838" s="8">
        <v>17074</v>
      </c>
      <c r="G838" s="8">
        <f t="shared" si="397"/>
        <v>642</v>
      </c>
      <c r="H838" s="8">
        <v>50886</v>
      </c>
      <c r="I838" s="8">
        <f t="shared" si="398"/>
        <v>-12110</v>
      </c>
      <c r="J838" s="8">
        <v>224693</v>
      </c>
      <c r="K838" s="8">
        <f t="shared" si="399"/>
        <v>5620</v>
      </c>
      <c r="L838" s="8">
        <v>298978</v>
      </c>
      <c r="M838" s="8">
        <f t="shared" si="400"/>
        <v>-5478</v>
      </c>
      <c r="N838" s="8">
        <v>-74285</v>
      </c>
      <c r="O838" s="8">
        <f t="shared" si="401"/>
        <v>11098</v>
      </c>
      <c r="P838" s="8">
        <v>127170</v>
      </c>
      <c r="Q838" s="8">
        <f t="shared" si="402"/>
        <v>7028</v>
      </c>
      <c r="R838" s="8">
        <v>280974</v>
      </c>
      <c r="S838" s="8">
        <f t="shared" si="403"/>
        <v>-6058</v>
      </c>
      <c r="T838" s="8">
        <v>-153804</v>
      </c>
      <c r="U838" s="8">
        <f t="shared" si="404"/>
        <v>13086</v>
      </c>
      <c r="W838" s="8">
        <v>456803</v>
      </c>
      <c r="X838" s="8">
        <f t="shared" si="405"/>
        <v>21243</v>
      </c>
      <c r="Y838" s="8">
        <v>70163</v>
      </c>
      <c r="Z838" s="8">
        <f t="shared" si="406"/>
        <v>6273</v>
      </c>
      <c r="AA838" s="8">
        <v>9782</v>
      </c>
      <c r="AB838" s="8">
        <f t="shared" si="417"/>
        <v>-1651</v>
      </c>
      <c r="AC838" s="8">
        <v>60381</v>
      </c>
      <c r="AD838" s="8">
        <f t="shared" si="418"/>
        <v>7924</v>
      </c>
      <c r="AE838" s="8">
        <v>191516</v>
      </c>
      <c r="AF838" s="8">
        <f t="shared" si="390"/>
        <v>3658</v>
      </c>
      <c r="AG838" s="8">
        <v>300602</v>
      </c>
      <c r="AH838" s="8">
        <f t="shared" si="391"/>
        <v>10122</v>
      </c>
      <c r="AI838" s="8">
        <v>-109086</v>
      </c>
      <c r="AJ838" s="8">
        <f t="shared" si="392"/>
        <v>-6464</v>
      </c>
      <c r="AK838" s="8">
        <v>94956</v>
      </c>
      <c r="AL838" s="8">
        <f t="shared" si="393"/>
        <v>3617</v>
      </c>
      <c r="AM838" s="8">
        <v>289952</v>
      </c>
      <c r="AN838" s="8">
        <f t="shared" si="394"/>
        <v>8151</v>
      </c>
      <c r="AO838" s="8">
        <v>-194996</v>
      </c>
      <c r="AP838" s="8">
        <f t="shared" si="407"/>
        <v>-4534</v>
      </c>
      <c r="AR838" s="8">
        <v>2199804</v>
      </c>
      <c r="AS838" s="8">
        <f t="shared" si="408"/>
        <v>-14969</v>
      </c>
      <c r="AT838" s="8">
        <v>312919</v>
      </c>
      <c r="AU838" s="8">
        <f t="shared" si="409"/>
        <v>-16806</v>
      </c>
      <c r="AV838" s="8">
        <v>47655</v>
      </c>
      <c r="AW838" s="8">
        <f t="shared" si="410"/>
        <v>-3885</v>
      </c>
      <c r="AX838" s="8">
        <v>265264</v>
      </c>
      <c r="AY838" s="8">
        <f t="shared" si="416"/>
        <v>-12921</v>
      </c>
      <c r="AZ838" s="8">
        <v>829610</v>
      </c>
      <c r="BA838" s="8">
        <f t="shared" si="411"/>
        <v>-7697</v>
      </c>
      <c r="BB838" s="8">
        <v>1128100</v>
      </c>
      <c r="BC838" s="8">
        <f t="shared" si="412"/>
        <v>-28930</v>
      </c>
      <c r="BD838" s="8">
        <v>-298490</v>
      </c>
      <c r="BE838" s="8">
        <f t="shared" si="413"/>
        <v>21233</v>
      </c>
      <c r="BF838" s="8">
        <v>488652</v>
      </c>
      <c r="BG838" s="8">
        <f t="shared" si="414"/>
        <v>624</v>
      </c>
      <c r="BH838" s="8">
        <v>1054172</v>
      </c>
      <c r="BI838" s="8">
        <f t="shared" si="415"/>
        <v>-28747</v>
      </c>
      <c r="BJ838" s="8">
        <v>-565520</v>
      </c>
      <c r="BK838" s="8">
        <f t="shared" ref="BK838:BK901" si="419">BJ838-BJ837</f>
        <v>29371</v>
      </c>
    </row>
    <row r="839" spans="1:63">
      <c r="A839" s="5">
        <v>44740</v>
      </c>
      <c r="B839" s="8">
        <v>404637</v>
      </c>
      <c r="C839" s="8">
        <f t="shared" si="395"/>
        <v>-46817</v>
      </c>
      <c r="D839" s="8">
        <v>57643</v>
      </c>
      <c r="E839" s="8">
        <f t="shared" si="396"/>
        <v>-10317</v>
      </c>
      <c r="F839" s="8">
        <v>24038</v>
      </c>
      <c r="G839" s="8">
        <f t="shared" si="397"/>
        <v>6964</v>
      </c>
      <c r="H839" s="8">
        <v>33605</v>
      </c>
      <c r="I839" s="8">
        <f t="shared" si="398"/>
        <v>-17281</v>
      </c>
      <c r="J839" s="8">
        <v>216122</v>
      </c>
      <c r="K839" s="8">
        <f t="shared" si="399"/>
        <v>-8571</v>
      </c>
      <c r="L839" s="8">
        <v>266612</v>
      </c>
      <c r="M839" s="8">
        <f t="shared" si="400"/>
        <v>-32366</v>
      </c>
      <c r="N839" s="8">
        <v>-50490</v>
      </c>
      <c r="O839" s="8">
        <f t="shared" si="401"/>
        <v>23795</v>
      </c>
      <c r="P839" s="8">
        <v>120047</v>
      </c>
      <c r="Q839" s="8">
        <f t="shared" si="402"/>
        <v>-7123</v>
      </c>
      <c r="R839" s="8">
        <v>250086</v>
      </c>
      <c r="S839" s="8">
        <f t="shared" si="403"/>
        <v>-30888</v>
      </c>
      <c r="T839" s="8">
        <v>-130039</v>
      </c>
      <c r="U839" s="8">
        <f t="shared" si="404"/>
        <v>23765</v>
      </c>
      <c r="W839" s="8">
        <v>430815</v>
      </c>
      <c r="X839" s="8">
        <f t="shared" si="405"/>
        <v>-25988</v>
      </c>
      <c r="Y839" s="8">
        <v>71413</v>
      </c>
      <c r="Z839" s="8">
        <f t="shared" si="406"/>
        <v>1250</v>
      </c>
      <c r="AA839" s="8">
        <v>8956</v>
      </c>
      <c r="AB839" s="8">
        <f t="shared" si="417"/>
        <v>-826</v>
      </c>
      <c r="AC839" s="8">
        <v>62457</v>
      </c>
      <c r="AD839" s="8">
        <f t="shared" si="418"/>
        <v>2076</v>
      </c>
      <c r="AE839" s="8">
        <v>185158</v>
      </c>
      <c r="AF839" s="8">
        <f t="shared" si="390"/>
        <v>-6358</v>
      </c>
      <c r="AG839" s="8">
        <v>291576</v>
      </c>
      <c r="AH839" s="8">
        <f t="shared" si="391"/>
        <v>-9026</v>
      </c>
      <c r="AI839" s="8">
        <v>-106418</v>
      </c>
      <c r="AJ839" s="8">
        <f t="shared" si="392"/>
        <v>2668</v>
      </c>
      <c r="AK839" s="8">
        <v>93560</v>
      </c>
      <c r="AL839" s="8">
        <f t="shared" si="393"/>
        <v>-1396</v>
      </c>
      <c r="AM839" s="8">
        <v>281957</v>
      </c>
      <c r="AN839" s="8">
        <f t="shared" si="394"/>
        <v>-7995</v>
      </c>
      <c r="AO839" s="8">
        <v>-188397</v>
      </c>
      <c r="AP839" s="8">
        <f t="shared" si="407"/>
        <v>6599</v>
      </c>
      <c r="AR839" s="8">
        <v>1855971</v>
      </c>
      <c r="AS839" s="8">
        <f t="shared" si="408"/>
        <v>-343833</v>
      </c>
      <c r="AT839" s="8">
        <v>274734</v>
      </c>
      <c r="AU839" s="8">
        <f t="shared" si="409"/>
        <v>-38185</v>
      </c>
      <c r="AV839" s="8">
        <v>46119</v>
      </c>
      <c r="AW839" s="8">
        <f t="shared" si="410"/>
        <v>-1536</v>
      </c>
      <c r="AX839" s="8">
        <v>228615</v>
      </c>
      <c r="AY839" s="8">
        <f t="shared" si="416"/>
        <v>-36649</v>
      </c>
      <c r="AZ839" s="8">
        <v>723905</v>
      </c>
      <c r="BA839" s="8">
        <f t="shared" si="411"/>
        <v>-105705</v>
      </c>
      <c r="BB839" s="8">
        <v>967206</v>
      </c>
      <c r="BC839" s="8">
        <f t="shared" si="412"/>
        <v>-160894</v>
      </c>
      <c r="BD839" s="8">
        <v>-243301</v>
      </c>
      <c r="BE839" s="8">
        <f t="shared" si="413"/>
        <v>55189</v>
      </c>
      <c r="BF839" s="8">
        <v>406049</v>
      </c>
      <c r="BG839" s="8">
        <f t="shared" si="414"/>
        <v>-82603</v>
      </c>
      <c r="BH839" s="8">
        <v>913551</v>
      </c>
      <c r="BI839" s="8">
        <f t="shared" si="415"/>
        <v>-140621</v>
      </c>
      <c r="BJ839" s="8">
        <v>-507502</v>
      </c>
      <c r="BK839" s="8">
        <f t="shared" si="419"/>
        <v>58018</v>
      </c>
    </row>
    <row r="840" spans="1:63">
      <c r="A840" s="5">
        <v>44747</v>
      </c>
      <c r="B840" s="8">
        <v>414025</v>
      </c>
      <c r="C840" s="8">
        <f t="shared" si="395"/>
        <v>9388</v>
      </c>
      <c r="D840" s="8">
        <v>51081</v>
      </c>
      <c r="E840" s="8">
        <f t="shared" si="396"/>
        <v>-6562</v>
      </c>
      <c r="F840" s="8">
        <v>26152</v>
      </c>
      <c r="G840" s="8">
        <f t="shared" si="397"/>
        <v>2114</v>
      </c>
      <c r="H840" s="8">
        <v>24929</v>
      </c>
      <c r="I840" s="8">
        <f t="shared" si="398"/>
        <v>-8676</v>
      </c>
      <c r="J840" s="8">
        <v>224993</v>
      </c>
      <c r="K840" s="8">
        <f t="shared" si="399"/>
        <v>8871</v>
      </c>
      <c r="L840" s="8">
        <v>261625</v>
      </c>
      <c r="M840" s="8">
        <f t="shared" si="400"/>
        <v>-4987</v>
      </c>
      <c r="N840" s="8">
        <v>-36632</v>
      </c>
      <c r="O840" s="8">
        <f t="shared" si="401"/>
        <v>13858</v>
      </c>
      <c r="P840" s="8">
        <v>129103</v>
      </c>
      <c r="Q840" s="8">
        <f t="shared" si="402"/>
        <v>9056</v>
      </c>
      <c r="R840" s="8">
        <v>245908</v>
      </c>
      <c r="S840" s="8">
        <f t="shared" si="403"/>
        <v>-4178</v>
      </c>
      <c r="T840" s="8">
        <v>-116805</v>
      </c>
      <c r="U840" s="8">
        <f t="shared" si="404"/>
        <v>13234</v>
      </c>
      <c r="W840" s="8">
        <v>435036</v>
      </c>
      <c r="X840" s="8">
        <f t="shared" si="405"/>
        <v>4221</v>
      </c>
      <c r="Y840" s="8">
        <v>74867</v>
      </c>
      <c r="Z840" s="8">
        <f t="shared" si="406"/>
        <v>3454</v>
      </c>
      <c r="AA840" s="8">
        <v>9090</v>
      </c>
      <c r="AB840" s="8">
        <f t="shared" si="417"/>
        <v>134</v>
      </c>
      <c r="AC840" s="8">
        <v>65777</v>
      </c>
      <c r="AD840" s="8">
        <f t="shared" si="418"/>
        <v>3320</v>
      </c>
      <c r="AE840" s="8">
        <v>184608</v>
      </c>
      <c r="AF840" s="8">
        <f t="shared" ref="AF840:AF903" si="420">AE840-AE839</f>
        <v>-550</v>
      </c>
      <c r="AG840" s="8">
        <v>286756</v>
      </c>
      <c r="AH840" s="8">
        <f t="shared" ref="AH840:AH903" si="421">AG840-AG839</f>
        <v>-4820</v>
      </c>
      <c r="AI840" s="8">
        <v>-102148</v>
      </c>
      <c r="AJ840" s="8">
        <f t="shared" ref="AJ840:AJ903" si="422">AI840-AI839</f>
        <v>4270</v>
      </c>
      <c r="AK840" s="8">
        <v>92219</v>
      </c>
      <c r="AL840" s="8">
        <f t="shared" ref="AL840:AL903" si="423">AK840-AK839</f>
        <v>-1341</v>
      </c>
      <c r="AM840" s="8">
        <v>276495</v>
      </c>
      <c r="AN840" s="8">
        <f t="shared" ref="AN840:AN903" si="424">AM840-AM839</f>
        <v>-5462</v>
      </c>
      <c r="AO840" s="8">
        <v>-184276</v>
      </c>
      <c r="AP840" s="8">
        <f t="shared" si="407"/>
        <v>4121</v>
      </c>
      <c r="AR840" s="8">
        <v>1854508</v>
      </c>
      <c r="AS840" s="8">
        <f t="shared" si="408"/>
        <v>-1463</v>
      </c>
      <c r="AT840" s="8">
        <v>244288</v>
      </c>
      <c r="AU840" s="8">
        <f t="shared" si="409"/>
        <v>-30446</v>
      </c>
      <c r="AV840" s="8">
        <v>71421</v>
      </c>
      <c r="AW840" s="8">
        <f t="shared" si="410"/>
        <v>25302</v>
      </c>
      <c r="AX840" s="8">
        <v>172867</v>
      </c>
      <c r="AY840" s="8">
        <f t="shared" si="416"/>
        <v>-55748</v>
      </c>
      <c r="AZ840" s="8">
        <v>749800</v>
      </c>
      <c r="BA840" s="8">
        <f t="shared" si="411"/>
        <v>25895</v>
      </c>
      <c r="BB840" s="8">
        <v>908544</v>
      </c>
      <c r="BC840" s="8">
        <f t="shared" si="412"/>
        <v>-58662</v>
      </c>
      <c r="BD840" s="8">
        <v>-158744</v>
      </c>
      <c r="BE840" s="8">
        <f t="shared" si="413"/>
        <v>84557</v>
      </c>
      <c r="BF840" s="8">
        <v>431413</v>
      </c>
      <c r="BG840" s="8">
        <f t="shared" si="414"/>
        <v>25364</v>
      </c>
      <c r="BH840" s="8">
        <v>860127</v>
      </c>
      <c r="BI840" s="8">
        <f t="shared" si="415"/>
        <v>-53424</v>
      </c>
      <c r="BJ840" s="8">
        <v>-428714</v>
      </c>
      <c r="BK840" s="8">
        <f t="shared" si="419"/>
        <v>78788</v>
      </c>
    </row>
    <row r="841" spans="1:63">
      <c r="A841" s="5">
        <v>44754</v>
      </c>
      <c r="B841" s="8">
        <v>427432</v>
      </c>
      <c r="C841" s="8">
        <f t="shared" ref="C841:C904" si="425">B841-B840</f>
        <v>13407</v>
      </c>
      <c r="D841" s="8">
        <v>44849</v>
      </c>
      <c r="E841" s="8">
        <f t="shared" ref="E841:E904" si="426">D841-D840</f>
        <v>-6232</v>
      </c>
      <c r="F841" s="8">
        <v>25972</v>
      </c>
      <c r="G841" s="8">
        <f t="shared" ref="G841:G904" si="427">F841-F840</f>
        <v>-180</v>
      </c>
      <c r="H841" s="8">
        <v>18877</v>
      </c>
      <c r="I841" s="8">
        <f t="shared" ref="I841:I904" si="428">H841-H840</f>
        <v>-6052</v>
      </c>
      <c r="J841" s="8">
        <v>237780</v>
      </c>
      <c r="K841" s="8">
        <f t="shared" ref="K841:K904" si="429">J841-J840</f>
        <v>12787</v>
      </c>
      <c r="L841" s="8">
        <v>266405</v>
      </c>
      <c r="M841" s="8">
        <f t="shared" ref="M841:M904" si="430">L841-L840</f>
        <v>4780</v>
      </c>
      <c r="N841" s="8">
        <v>-28625</v>
      </c>
      <c r="O841" s="8">
        <f t="shared" ref="O841:O904" si="431">N841-N840</f>
        <v>8007</v>
      </c>
      <c r="P841" s="8">
        <v>144882</v>
      </c>
      <c r="Q841" s="8">
        <f t="shared" ref="Q841:Q904" si="432">P841-P840</f>
        <v>15779</v>
      </c>
      <c r="R841" s="8">
        <v>250458</v>
      </c>
      <c r="S841" s="8">
        <f t="shared" ref="S841:S904" si="433">R841-R840</f>
        <v>4550</v>
      </c>
      <c r="T841" s="8">
        <v>-105576</v>
      </c>
      <c r="U841" s="8">
        <f t="shared" ref="U841:U904" si="434">T841-T840</f>
        <v>11229</v>
      </c>
      <c r="W841" s="8">
        <v>440090</v>
      </c>
      <c r="X841" s="8">
        <f t="shared" ref="X841:X904" si="435">W841-W840</f>
        <v>5054</v>
      </c>
      <c r="Y841" s="8">
        <v>73694</v>
      </c>
      <c r="Z841" s="8">
        <f t="shared" ref="Z841:Z904" si="436">Y841-Y840</f>
        <v>-1173</v>
      </c>
      <c r="AA841" s="8">
        <v>5404</v>
      </c>
      <c r="AB841" s="8">
        <f t="shared" si="417"/>
        <v>-3686</v>
      </c>
      <c r="AC841" s="8">
        <v>68290</v>
      </c>
      <c r="AD841" s="8">
        <f t="shared" si="418"/>
        <v>2513</v>
      </c>
      <c r="AE841" s="8">
        <v>187861</v>
      </c>
      <c r="AF841" s="8">
        <f t="shared" si="420"/>
        <v>3253</v>
      </c>
      <c r="AG841" s="8">
        <v>297050</v>
      </c>
      <c r="AH841" s="8">
        <f t="shared" si="421"/>
        <v>10294</v>
      </c>
      <c r="AI841" s="8">
        <v>-109189</v>
      </c>
      <c r="AJ841" s="8">
        <f t="shared" si="422"/>
        <v>-7041</v>
      </c>
      <c r="AK841" s="8">
        <v>99398</v>
      </c>
      <c r="AL841" s="8">
        <f t="shared" si="423"/>
        <v>7179</v>
      </c>
      <c r="AM841" s="8">
        <v>289322</v>
      </c>
      <c r="AN841" s="8">
        <f t="shared" si="424"/>
        <v>12827</v>
      </c>
      <c r="AO841" s="8">
        <v>-189924</v>
      </c>
      <c r="AP841" s="8">
        <f t="shared" ref="AP841:AP904" si="437">AO841-AO840</f>
        <v>-5648</v>
      </c>
      <c r="AR841" s="8">
        <v>1906814</v>
      </c>
      <c r="AS841" s="8">
        <f t="shared" ref="AS841:AS904" si="438">AR841-AR840</f>
        <v>52306</v>
      </c>
      <c r="AT841" s="8">
        <v>227316</v>
      </c>
      <c r="AU841" s="8">
        <f t="shared" ref="AU841:AU904" si="439">AT841-AT840</f>
        <v>-16972</v>
      </c>
      <c r="AV841" s="8">
        <v>76142</v>
      </c>
      <c r="AW841" s="8">
        <f t="shared" ref="AW841:AW904" si="440">AV841-AV840</f>
        <v>4721</v>
      </c>
      <c r="AX841" s="8">
        <v>151174</v>
      </c>
      <c r="AY841" s="8">
        <f t="shared" si="416"/>
        <v>-21693</v>
      </c>
      <c r="AZ841" s="8">
        <v>763662</v>
      </c>
      <c r="BA841" s="8">
        <f t="shared" ref="BA841:BA904" si="441">AZ841-AZ840</f>
        <v>13862</v>
      </c>
      <c r="BB841" s="8">
        <v>912358</v>
      </c>
      <c r="BC841" s="8">
        <f t="shared" ref="BC841:BC904" si="442">BB841-BB840</f>
        <v>3814</v>
      </c>
      <c r="BD841" s="8">
        <v>-148696</v>
      </c>
      <c r="BE841" s="8">
        <f t="shared" ref="BE841:BE904" si="443">BD841-BD840</f>
        <v>10048</v>
      </c>
      <c r="BF841" s="8">
        <v>447424</v>
      </c>
      <c r="BG841" s="8">
        <f t="shared" ref="BG841:BG904" si="444">BF841-BF840</f>
        <v>16011</v>
      </c>
      <c r="BH841" s="8">
        <v>858938</v>
      </c>
      <c r="BI841" s="8">
        <f t="shared" ref="BI841:BI904" si="445">BH841-BH840</f>
        <v>-1189</v>
      </c>
      <c r="BJ841" s="8">
        <v>-411514</v>
      </c>
      <c r="BK841" s="8">
        <f t="shared" si="419"/>
        <v>17200</v>
      </c>
    </row>
    <row r="842" spans="1:63">
      <c r="A842" s="5">
        <v>44761</v>
      </c>
      <c r="B842" s="8">
        <v>436352</v>
      </c>
      <c r="C842" s="8">
        <f t="shared" si="425"/>
        <v>8920</v>
      </c>
      <c r="D842" s="8">
        <v>43415</v>
      </c>
      <c r="E842" s="8">
        <f t="shared" si="426"/>
        <v>-1434</v>
      </c>
      <c r="F842" s="8">
        <v>25571</v>
      </c>
      <c r="G842" s="8">
        <f t="shared" si="427"/>
        <v>-401</v>
      </c>
      <c r="H842" s="8">
        <v>17844</v>
      </c>
      <c r="I842" s="8">
        <f t="shared" si="428"/>
        <v>-1033</v>
      </c>
      <c r="J842" s="8">
        <v>244670</v>
      </c>
      <c r="K842" s="8">
        <f t="shared" si="429"/>
        <v>6890</v>
      </c>
      <c r="L842" s="8">
        <v>270602</v>
      </c>
      <c r="M842" s="8">
        <f t="shared" si="430"/>
        <v>4197</v>
      </c>
      <c r="N842" s="8">
        <v>-25932</v>
      </c>
      <c r="O842" s="8">
        <f t="shared" si="431"/>
        <v>2693</v>
      </c>
      <c r="P842" s="8">
        <v>151024</v>
      </c>
      <c r="Q842" s="8">
        <f t="shared" si="432"/>
        <v>6142</v>
      </c>
      <c r="R842" s="8">
        <v>254907</v>
      </c>
      <c r="S842" s="8">
        <f t="shared" si="433"/>
        <v>4449</v>
      </c>
      <c r="T842" s="8">
        <v>-103883</v>
      </c>
      <c r="U842" s="8">
        <f t="shared" si="434"/>
        <v>1693</v>
      </c>
      <c r="W842" s="8">
        <v>444043</v>
      </c>
      <c r="X842" s="8">
        <f t="shared" si="435"/>
        <v>3953</v>
      </c>
      <c r="Y842" s="8">
        <v>74082</v>
      </c>
      <c r="Z842" s="8">
        <f t="shared" si="436"/>
        <v>388</v>
      </c>
      <c r="AA842" s="8">
        <v>7494</v>
      </c>
      <c r="AB842" s="8">
        <f t="shared" si="417"/>
        <v>2090</v>
      </c>
      <c r="AC842" s="8">
        <v>66588</v>
      </c>
      <c r="AD842" s="8">
        <f t="shared" si="418"/>
        <v>-1702</v>
      </c>
      <c r="AE842" s="8">
        <v>185496</v>
      </c>
      <c r="AF842" s="8">
        <f t="shared" si="420"/>
        <v>-2365</v>
      </c>
      <c r="AG842" s="8">
        <v>295274</v>
      </c>
      <c r="AH842" s="8">
        <f t="shared" si="421"/>
        <v>-1776</v>
      </c>
      <c r="AI842" s="8">
        <v>-109778</v>
      </c>
      <c r="AJ842" s="8">
        <f t="shared" si="422"/>
        <v>-589</v>
      </c>
      <c r="AK842" s="8">
        <v>95588</v>
      </c>
      <c r="AL842" s="8">
        <f t="shared" si="423"/>
        <v>-3810</v>
      </c>
      <c r="AM842" s="8">
        <v>287008</v>
      </c>
      <c r="AN842" s="8">
        <f t="shared" si="424"/>
        <v>-2314</v>
      </c>
      <c r="AO842" s="8">
        <v>-191420</v>
      </c>
      <c r="AP842" s="8">
        <f t="shared" si="437"/>
        <v>-1496</v>
      </c>
      <c r="AR842" s="8">
        <v>1878222</v>
      </c>
      <c r="AS842" s="8">
        <f t="shared" si="438"/>
        <v>-28592</v>
      </c>
      <c r="AT842" s="8">
        <v>202400</v>
      </c>
      <c r="AU842" s="8">
        <f t="shared" si="439"/>
        <v>-24916</v>
      </c>
      <c r="AV842" s="8">
        <v>77097</v>
      </c>
      <c r="AW842" s="8">
        <f t="shared" si="440"/>
        <v>955</v>
      </c>
      <c r="AX842" s="8">
        <v>125303</v>
      </c>
      <c r="AY842" s="8">
        <f t="shared" si="416"/>
        <v>-25871</v>
      </c>
      <c r="AZ842" s="8">
        <v>769925</v>
      </c>
      <c r="BA842" s="8">
        <f t="shared" si="441"/>
        <v>6263</v>
      </c>
      <c r="BB842" s="8">
        <v>889245</v>
      </c>
      <c r="BC842" s="8">
        <f t="shared" si="442"/>
        <v>-23113</v>
      </c>
      <c r="BD842" s="8">
        <v>-119320</v>
      </c>
      <c r="BE842" s="8">
        <f t="shared" si="443"/>
        <v>29376</v>
      </c>
      <c r="BF842" s="8">
        <v>456227</v>
      </c>
      <c r="BG842" s="8">
        <f t="shared" si="444"/>
        <v>8803</v>
      </c>
      <c r="BH842" s="8">
        <v>832163</v>
      </c>
      <c r="BI842" s="8">
        <f t="shared" si="445"/>
        <v>-26775</v>
      </c>
      <c r="BJ842" s="8">
        <v>-375936</v>
      </c>
      <c r="BK842" s="8">
        <f t="shared" si="419"/>
        <v>35578</v>
      </c>
    </row>
    <row r="843" spans="1:63">
      <c r="A843" s="5">
        <v>44768</v>
      </c>
      <c r="B843" s="8">
        <v>414842</v>
      </c>
      <c r="C843" s="8">
        <f t="shared" si="425"/>
        <v>-21510</v>
      </c>
      <c r="D843" s="8">
        <v>43249</v>
      </c>
      <c r="E843" s="8">
        <f t="shared" si="426"/>
        <v>-166</v>
      </c>
      <c r="F843" s="8">
        <v>28341</v>
      </c>
      <c r="G843" s="8">
        <f t="shared" si="427"/>
        <v>2770</v>
      </c>
      <c r="H843" s="8">
        <v>14908</v>
      </c>
      <c r="I843" s="8">
        <f t="shared" si="428"/>
        <v>-2936</v>
      </c>
      <c r="J843" s="8">
        <v>233805</v>
      </c>
      <c r="K843" s="8">
        <f t="shared" si="429"/>
        <v>-10865</v>
      </c>
      <c r="L843" s="8">
        <v>254106</v>
      </c>
      <c r="M843" s="8">
        <f t="shared" si="430"/>
        <v>-16496</v>
      </c>
      <c r="N843" s="8">
        <v>-20301</v>
      </c>
      <c r="O843" s="8">
        <f t="shared" si="431"/>
        <v>5631</v>
      </c>
      <c r="P843" s="8">
        <v>140667</v>
      </c>
      <c r="Q843" s="8">
        <f t="shared" si="432"/>
        <v>-10357</v>
      </c>
      <c r="R843" s="8">
        <v>239579</v>
      </c>
      <c r="S843" s="8">
        <f t="shared" si="433"/>
        <v>-15328</v>
      </c>
      <c r="T843" s="8">
        <v>-98912</v>
      </c>
      <c r="U843" s="8">
        <f t="shared" si="434"/>
        <v>4971</v>
      </c>
      <c r="W843" s="8">
        <v>438045</v>
      </c>
      <c r="X843" s="8">
        <f t="shared" si="435"/>
        <v>-5998</v>
      </c>
      <c r="Y843" s="8">
        <v>79562</v>
      </c>
      <c r="Z843" s="8">
        <f t="shared" si="436"/>
        <v>5480</v>
      </c>
      <c r="AA843" s="8">
        <v>6182</v>
      </c>
      <c r="AB843" s="8">
        <f t="shared" si="417"/>
        <v>-1312</v>
      </c>
      <c r="AC843" s="8">
        <v>73380</v>
      </c>
      <c r="AD843" s="8">
        <f t="shared" si="418"/>
        <v>6792</v>
      </c>
      <c r="AE843" s="8">
        <v>177332</v>
      </c>
      <c r="AF843" s="8">
        <f t="shared" si="420"/>
        <v>-8164</v>
      </c>
      <c r="AG843" s="8">
        <v>296547</v>
      </c>
      <c r="AH843" s="8">
        <f t="shared" si="421"/>
        <v>1273</v>
      </c>
      <c r="AI843" s="8">
        <v>-119215</v>
      </c>
      <c r="AJ843" s="8">
        <f t="shared" si="422"/>
        <v>-9437</v>
      </c>
      <c r="AK843" s="8">
        <v>86941</v>
      </c>
      <c r="AL843" s="8">
        <f t="shared" si="423"/>
        <v>-8647</v>
      </c>
      <c r="AM843" s="8">
        <v>286082</v>
      </c>
      <c r="AN843" s="8">
        <f t="shared" si="424"/>
        <v>-926</v>
      </c>
      <c r="AO843" s="8">
        <v>-199141</v>
      </c>
      <c r="AP843" s="8">
        <f t="shared" si="437"/>
        <v>-7721</v>
      </c>
      <c r="AR843" s="8">
        <v>1812824</v>
      </c>
      <c r="AS843" s="8">
        <f t="shared" si="438"/>
        <v>-65398</v>
      </c>
      <c r="AT843" s="8">
        <v>198577</v>
      </c>
      <c r="AU843" s="8">
        <f t="shared" si="439"/>
        <v>-3823</v>
      </c>
      <c r="AV843" s="8">
        <v>77789</v>
      </c>
      <c r="AW843" s="8">
        <f t="shared" si="440"/>
        <v>692</v>
      </c>
      <c r="AX843" s="8">
        <v>120788</v>
      </c>
      <c r="AY843" s="8">
        <f t="shared" si="416"/>
        <v>-4515</v>
      </c>
      <c r="AZ843" s="8">
        <v>771295</v>
      </c>
      <c r="BA843" s="8">
        <f t="shared" si="441"/>
        <v>1370</v>
      </c>
      <c r="BB843" s="8">
        <v>875684</v>
      </c>
      <c r="BC843" s="8">
        <f t="shared" si="442"/>
        <v>-13561</v>
      </c>
      <c r="BD843" s="8">
        <v>-104389</v>
      </c>
      <c r="BE843" s="8">
        <f t="shared" si="443"/>
        <v>14931</v>
      </c>
      <c r="BF843" s="8">
        <v>457991</v>
      </c>
      <c r="BG843" s="8">
        <f t="shared" si="444"/>
        <v>1764</v>
      </c>
      <c r="BH843" s="8">
        <v>816066</v>
      </c>
      <c r="BI843" s="8">
        <f t="shared" si="445"/>
        <v>-16097</v>
      </c>
      <c r="BJ843" s="8">
        <v>-358075</v>
      </c>
      <c r="BK843" s="8">
        <f t="shared" si="419"/>
        <v>17861</v>
      </c>
    </row>
    <row r="844" spans="1:63">
      <c r="A844" s="5">
        <v>44775</v>
      </c>
      <c r="B844" s="8">
        <v>427708</v>
      </c>
      <c r="C844" s="8">
        <f t="shared" si="425"/>
        <v>12866</v>
      </c>
      <c r="D844" s="8">
        <v>44648</v>
      </c>
      <c r="E844" s="8">
        <f t="shared" si="426"/>
        <v>1399</v>
      </c>
      <c r="F844" s="8">
        <v>22507</v>
      </c>
      <c r="G844" s="8">
        <f t="shared" si="427"/>
        <v>-5834</v>
      </c>
      <c r="H844" s="8">
        <v>22141</v>
      </c>
      <c r="I844" s="8">
        <f t="shared" si="428"/>
        <v>7233</v>
      </c>
      <c r="J844" s="8">
        <v>234022</v>
      </c>
      <c r="K844" s="8">
        <f t="shared" si="429"/>
        <v>217</v>
      </c>
      <c r="L844" s="8">
        <v>260381</v>
      </c>
      <c r="M844" s="8">
        <f t="shared" si="430"/>
        <v>6275</v>
      </c>
      <c r="N844" s="8">
        <v>-26359</v>
      </c>
      <c r="O844" s="8">
        <f t="shared" si="431"/>
        <v>-6058</v>
      </c>
      <c r="P844" s="8">
        <v>138002</v>
      </c>
      <c r="Q844" s="8">
        <f t="shared" si="432"/>
        <v>-2665</v>
      </c>
      <c r="R844" s="8">
        <v>243789</v>
      </c>
      <c r="S844" s="8">
        <f t="shared" si="433"/>
        <v>4210</v>
      </c>
      <c r="T844" s="8">
        <v>-105787</v>
      </c>
      <c r="U844" s="8">
        <f t="shared" si="434"/>
        <v>-6875</v>
      </c>
      <c r="W844" s="8">
        <v>443344</v>
      </c>
      <c r="X844" s="8">
        <f t="shared" si="435"/>
        <v>5299</v>
      </c>
      <c r="Y844" s="8">
        <v>84292</v>
      </c>
      <c r="Z844" s="8">
        <f t="shared" si="436"/>
        <v>4730</v>
      </c>
      <c r="AA844" s="8">
        <v>4274</v>
      </c>
      <c r="AB844" s="8">
        <f t="shared" si="417"/>
        <v>-1908</v>
      </c>
      <c r="AC844" s="8">
        <v>80018</v>
      </c>
      <c r="AD844" s="8">
        <f t="shared" si="418"/>
        <v>6638</v>
      </c>
      <c r="AE844" s="8">
        <v>174266</v>
      </c>
      <c r="AF844" s="8">
        <f t="shared" si="420"/>
        <v>-3066</v>
      </c>
      <c r="AG844" s="8">
        <v>297310</v>
      </c>
      <c r="AH844" s="8">
        <f t="shared" si="421"/>
        <v>763</v>
      </c>
      <c r="AI844" s="8">
        <v>-123044</v>
      </c>
      <c r="AJ844" s="8">
        <f t="shared" si="422"/>
        <v>-3829</v>
      </c>
      <c r="AK844" s="8">
        <v>82631</v>
      </c>
      <c r="AL844" s="8">
        <f t="shared" si="423"/>
        <v>-4310</v>
      </c>
      <c r="AM844" s="8">
        <v>287583</v>
      </c>
      <c r="AN844" s="8">
        <f t="shared" si="424"/>
        <v>1501</v>
      </c>
      <c r="AO844" s="8">
        <v>-204952</v>
      </c>
      <c r="AP844" s="8">
        <f t="shared" si="437"/>
        <v>-5811</v>
      </c>
      <c r="AR844" s="8">
        <v>1835694</v>
      </c>
      <c r="AS844" s="8">
        <f t="shared" si="438"/>
        <v>22870</v>
      </c>
      <c r="AT844" s="8">
        <v>204893</v>
      </c>
      <c r="AU844" s="8">
        <f t="shared" si="439"/>
        <v>6316</v>
      </c>
      <c r="AV844" s="8">
        <v>74972</v>
      </c>
      <c r="AW844" s="8">
        <f t="shared" si="440"/>
        <v>-2817</v>
      </c>
      <c r="AX844" s="8">
        <v>129921</v>
      </c>
      <c r="AY844" s="8">
        <f t="shared" si="416"/>
        <v>9133</v>
      </c>
      <c r="AZ844" s="8">
        <v>766371</v>
      </c>
      <c r="BA844" s="8">
        <f t="shared" si="441"/>
        <v>-4924</v>
      </c>
      <c r="BB844" s="8">
        <v>877864</v>
      </c>
      <c r="BC844" s="8">
        <f t="shared" si="442"/>
        <v>2180</v>
      </c>
      <c r="BD844" s="8">
        <v>-111493</v>
      </c>
      <c r="BE844" s="8">
        <f t="shared" si="443"/>
        <v>-7104</v>
      </c>
      <c r="BF844" s="8">
        <v>457943</v>
      </c>
      <c r="BG844" s="8">
        <f t="shared" si="444"/>
        <v>-48</v>
      </c>
      <c r="BH844" s="8">
        <v>820010</v>
      </c>
      <c r="BI844" s="8">
        <f t="shared" si="445"/>
        <v>3944</v>
      </c>
      <c r="BJ844" s="8">
        <v>-362067</v>
      </c>
      <c r="BK844" s="8">
        <f t="shared" si="419"/>
        <v>-3992</v>
      </c>
    </row>
    <row r="845" spans="1:63">
      <c r="A845" s="5">
        <v>44782</v>
      </c>
      <c r="B845" s="8">
        <v>457240</v>
      </c>
      <c r="C845" s="8">
        <f t="shared" si="425"/>
        <v>29532</v>
      </c>
      <c r="D845" s="8">
        <v>46151</v>
      </c>
      <c r="E845" s="8">
        <f t="shared" si="426"/>
        <v>1503</v>
      </c>
      <c r="F845" s="8">
        <v>23941</v>
      </c>
      <c r="G845" s="8">
        <f t="shared" si="427"/>
        <v>1434</v>
      </c>
      <c r="H845" s="8">
        <v>22210</v>
      </c>
      <c r="I845" s="8">
        <f t="shared" si="428"/>
        <v>69</v>
      </c>
      <c r="J845" s="8">
        <v>243049</v>
      </c>
      <c r="K845" s="8">
        <f t="shared" si="429"/>
        <v>9027</v>
      </c>
      <c r="L845" s="8">
        <v>274265</v>
      </c>
      <c r="M845" s="8">
        <f t="shared" si="430"/>
        <v>13884</v>
      </c>
      <c r="N845" s="8">
        <v>-31216</v>
      </c>
      <c r="O845" s="8">
        <f t="shared" si="431"/>
        <v>-4857</v>
      </c>
      <c r="P845" s="8">
        <v>143214</v>
      </c>
      <c r="Q845" s="8">
        <f t="shared" si="432"/>
        <v>5212</v>
      </c>
      <c r="R845" s="8">
        <v>257301</v>
      </c>
      <c r="S845" s="8">
        <f t="shared" si="433"/>
        <v>13512</v>
      </c>
      <c r="T845" s="8">
        <v>-114087</v>
      </c>
      <c r="U845" s="8">
        <f t="shared" si="434"/>
        <v>-8300</v>
      </c>
      <c r="W845" s="8">
        <v>455180</v>
      </c>
      <c r="X845" s="8">
        <f t="shared" si="435"/>
        <v>11836</v>
      </c>
      <c r="Y845" s="8">
        <v>89609</v>
      </c>
      <c r="Z845" s="8">
        <f t="shared" si="436"/>
        <v>5317</v>
      </c>
      <c r="AA845" s="8">
        <v>5227</v>
      </c>
      <c r="AB845" s="8">
        <f t="shared" si="417"/>
        <v>953</v>
      </c>
      <c r="AC845" s="8">
        <v>84382</v>
      </c>
      <c r="AD845" s="8">
        <f t="shared" si="418"/>
        <v>4364</v>
      </c>
      <c r="AE845" s="8">
        <v>177755</v>
      </c>
      <c r="AF845" s="8">
        <f t="shared" si="420"/>
        <v>3489</v>
      </c>
      <c r="AG845" s="8">
        <v>306396</v>
      </c>
      <c r="AH845" s="8">
        <f t="shared" si="421"/>
        <v>9086</v>
      </c>
      <c r="AI845" s="8">
        <v>-128641</v>
      </c>
      <c r="AJ845" s="8">
        <f t="shared" si="422"/>
        <v>-5597</v>
      </c>
      <c r="AK845" s="8">
        <v>82196</v>
      </c>
      <c r="AL845" s="8">
        <f t="shared" si="423"/>
        <v>-435</v>
      </c>
      <c r="AM845" s="8">
        <v>296135</v>
      </c>
      <c r="AN845" s="8">
        <f t="shared" si="424"/>
        <v>8552</v>
      </c>
      <c r="AO845" s="8">
        <v>-213939</v>
      </c>
      <c r="AP845" s="8">
        <f t="shared" si="437"/>
        <v>-8987</v>
      </c>
      <c r="AR845" s="8">
        <v>1803434</v>
      </c>
      <c r="AS845" s="8">
        <f t="shared" si="438"/>
        <v>-32260</v>
      </c>
      <c r="AT845" s="8">
        <v>216192</v>
      </c>
      <c r="AU845" s="8">
        <f t="shared" si="439"/>
        <v>11299</v>
      </c>
      <c r="AV845" s="8">
        <v>74130</v>
      </c>
      <c r="AW845" s="8">
        <f t="shared" si="440"/>
        <v>-842</v>
      </c>
      <c r="AX845" s="8">
        <v>142062</v>
      </c>
      <c r="AY845" s="8">
        <f t="shared" si="416"/>
        <v>12141</v>
      </c>
      <c r="AZ845" s="8">
        <v>756011</v>
      </c>
      <c r="BA845" s="8">
        <f t="shared" si="441"/>
        <v>-10360</v>
      </c>
      <c r="BB845" s="8">
        <v>886586</v>
      </c>
      <c r="BC845" s="8">
        <f t="shared" si="442"/>
        <v>8722</v>
      </c>
      <c r="BD845" s="8">
        <v>-130575</v>
      </c>
      <c r="BE845" s="8">
        <f t="shared" si="443"/>
        <v>-19082</v>
      </c>
      <c r="BF845" s="8">
        <v>453980</v>
      </c>
      <c r="BG845" s="8">
        <f t="shared" si="444"/>
        <v>-3963</v>
      </c>
      <c r="BH845" s="8">
        <v>827522</v>
      </c>
      <c r="BI845" s="8">
        <f t="shared" si="445"/>
        <v>7512</v>
      </c>
      <c r="BJ845" s="8">
        <v>-373542</v>
      </c>
      <c r="BK845" s="8">
        <f t="shared" si="419"/>
        <v>-11475</v>
      </c>
    </row>
    <row r="846" spans="1:63">
      <c r="A846" s="5">
        <f>A845+7</f>
        <v>44789</v>
      </c>
      <c r="B846" s="8">
        <v>462872</v>
      </c>
      <c r="C846" s="8">
        <f t="shared" si="425"/>
        <v>5632</v>
      </c>
      <c r="D846" s="8">
        <v>51559</v>
      </c>
      <c r="E846" s="8">
        <f t="shared" si="426"/>
        <v>5408</v>
      </c>
      <c r="F846" s="8">
        <v>18324</v>
      </c>
      <c r="G846" s="8">
        <f t="shared" si="427"/>
        <v>-5617</v>
      </c>
      <c r="H846" s="8">
        <v>33235</v>
      </c>
      <c r="I846" s="8">
        <f t="shared" si="428"/>
        <v>11025</v>
      </c>
      <c r="J846" s="8">
        <v>238126</v>
      </c>
      <c r="K846" s="8">
        <f t="shared" si="429"/>
        <v>-4923</v>
      </c>
      <c r="L846" s="8">
        <v>282202</v>
      </c>
      <c r="M846" s="8">
        <f t="shared" si="430"/>
        <v>7937</v>
      </c>
      <c r="N846" s="8">
        <v>-44076</v>
      </c>
      <c r="O846" s="8">
        <f t="shared" si="431"/>
        <v>-12860</v>
      </c>
      <c r="P846" s="8">
        <v>135359</v>
      </c>
      <c r="Q846" s="8">
        <f t="shared" si="432"/>
        <v>-7855</v>
      </c>
      <c r="R846" s="8">
        <v>265055</v>
      </c>
      <c r="S846" s="8">
        <f t="shared" si="433"/>
        <v>7754</v>
      </c>
      <c r="T846" s="8">
        <v>-129696</v>
      </c>
      <c r="U846" s="8">
        <f t="shared" si="434"/>
        <v>-15609</v>
      </c>
      <c r="W846" s="8">
        <v>462717</v>
      </c>
      <c r="X846" s="8">
        <f t="shared" si="435"/>
        <v>7537</v>
      </c>
      <c r="Y846" s="8">
        <v>93925</v>
      </c>
      <c r="Z846" s="8">
        <f t="shared" si="436"/>
        <v>4316</v>
      </c>
      <c r="AA846" s="8">
        <v>7661</v>
      </c>
      <c r="AB846" s="8">
        <f t="shared" si="417"/>
        <v>2434</v>
      </c>
      <c r="AC846" s="8">
        <v>86264</v>
      </c>
      <c r="AD846" s="8">
        <f t="shared" si="418"/>
        <v>1882</v>
      </c>
      <c r="AE846" s="8">
        <v>179922</v>
      </c>
      <c r="AF846" s="8">
        <f t="shared" si="420"/>
        <v>2167</v>
      </c>
      <c r="AG846" s="8">
        <v>308043</v>
      </c>
      <c r="AH846" s="8">
        <f t="shared" si="421"/>
        <v>1647</v>
      </c>
      <c r="AI846" s="8">
        <v>-128121</v>
      </c>
      <c r="AJ846" s="8">
        <f t="shared" si="422"/>
        <v>520</v>
      </c>
      <c r="AK846" s="8">
        <v>81352</v>
      </c>
      <c r="AL846" s="8">
        <f t="shared" si="423"/>
        <v>-844</v>
      </c>
      <c r="AM846" s="8">
        <v>298468</v>
      </c>
      <c r="AN846" s="8">
        <f t="shared" si="424"/>
        <v>2333</v>
      </c>
      <c r="AO846" s="8">
        <v>-217116</v>
      </c>
      <c r="AP846" s="8">
        <f t="shared" si="437"/>
        <v>-3177</v>
      </c>
      <c r="AR846" s="8">
        <v>1803247</v>
      </c>
      <c r="AS846" s="8">
        <f t="shared" si="438"/>
        <v>-187</v>
      </c>
      <c r="AT846" s="8">
        <v>230808</v>
      </c>
      <c r="AU846" s="8">
        <f t="shared" si="439"/>
        <v>14616</v>
      </c>
      <c r="AV846" s="8">
        <v>76968</v>
      </c>
      <c r="AW846" s="8">
        <f t="shared" si="440"/>
        <v>2838</v>
      </c>
      <c r="AX846" s="8">
        <v>153840</v>
      </c>
      <c r="AY846" s="8">
        <f t="shared" si="416"/>
        <v>11778</v>
      </c>
      <c r="AZ846" s="8">
        <v>755496</v>
      </c>
      <c r="BA846" s="8">
        <f t="shared" si="441"/>
        <v>-515</v>
      </c>
      <c r="BB846" s="8">
        <v>897303</v>
      </c>
      <c r="BC846" s="8">
        <f t="shared" si="442"/>
        <v>10717</v>
      </c>
      <c r="BD846" s="8">
        <v>-141807</v>
      </c>
      <c r="BE846" s="8">
        <f t="shared" si="443"/>
        <v>-11232</v>
      </c>
      <c r="BF846" s="8">
        <v>449628</v>
      </c>
      <c r="BG846" s="8">
        <f t="shared" si="444"/>
        <v>-4352</v>
      </c>
      <c r="BH846" s="8">
        <v>833148</v>
      </c>
      <c r="BI846" s="8">
        <f t="shared" si="445"/>
        <v>5626</v>
      </c>
      <c r="BJ846" s="8">
        <v>-383520</v>
      </c>
      <c r="BK846" s="8">
        <f t="shared" si="419"/>
        <v>-9978</v>
      </c>
    </row>
    <row r="847" spans="1:63">
      <c r="A847" s="5">
        <f t="shared" ref="A847:A910" si="446">A846+7</f>
        <v>44796</v>
      </c>
      <c r="B847" s="8">
        <v>472042</v>
      </c>
      <c r="C847" s="8">
        <f t="shared" si="425"/>
        <v>9170</v>
      </c>
      <c r="D847" s="8">
        <v>57651</v>
      </c>
      <c r="E847" s="8">
        <f t="shared" si="426"/>
        <v>6092</v>
      </c>
      <c r="F847" s="8">
        <v>15443</v>
      </c>
      <c r="G847" s="8">
        <f t="shared" si="427"/>
        <v>-2881</v>
      </c>
      <c r="H847" s="8">
        <v>42208</v>
      </c>
      <c r="I847" s="8">
        <f t="shared" si="428"/>
        <v>8973</v>
      </c>
      <c r="J847" s="8">
        <v>234414</v>
      </c>
      <c r="K847" s="8">
        <f t="shared" si="429"/>
        <v>-3712</v>
      </c>
      <c r="L847" s="8">
        <v>287964</v>
      </c>
      <c r="M847" s="8">
        <f t="shared" si="430"/>
        <v>5762</v>
      </c>
      <c r="N847" s="8">
        <v>-53550</v>
      </c>
      <c r="O847" s="8">
        <f t="shared" si="431"/>
        <v>-9474</v>
      </c>
      <c r="P847" s="8">
        <v>131048</v>
      </c>
      <c r="Q847" s="8">
        <f t="shared" si="432"/>
        <v>-4311</v>
      </c>
      <c r="R847" s="8">
        <v>269901</v>
      </c>
      <c r="S847" s="8">
        <f t="shared" si="433"/>
        <v>4846</v>
      </c>
      <c r="T847" s="8">
        <v>-138853</v>
      </c>
      <c r="U847" s="8">
        <f t="shared" si="434"/>
        <v>-9157</v>
      </c>
      <c r="W847" s="8">
        <v>474763</v>
      </c>
      <c r="X847" s="8">
        <f t="shared" si="435"/>
        <v>12046</v>
      </c>
      <c r="Y847" s="8">
        <v>99420</v>
      </c>
      <c r="Z847" s="8">
        <f t="shared" si="436"/>
        <v>5495</v>
      </c>
      <c r="AA847" s="8">
        <v>3702</v>
      </c>
      <c r="AB847" s="8">
        <f t="shared" si="417"/>
        <v>-3959</v>
      </c>
      <c r="AC847" s="8">
        <v>95718</v>
      </c>
      <c r="AD847" s="8">
        <f t="shared" si="418"/>
        <v>9454</v>
      </c>
      <c r="AE847" s="8">
        <v>183934</v>
      </c>
      <c r="AF847" s="8">
        <f t="shared" si="420"/>
        <v>4012</v>
      </c>
      <c r="AG847" s="8">
        <v>323333</v>
      </c>
      <c r="AH847" s="8">
        <f t="shared" si="421"/>
        <v>15290</v>
      </c>
      <c r="AI847" s="8">
        <v>-139399</v>
      </c>
      <c r="AJ847" s="8">
        <f t="shared" si="422"/>
        <v>-11278</v>
      </c>
      <c r="AK847" s="8">
        <v>82057</v>
      </c>
      <c r="AL847" s="8">
        <f t="shared" si="423"/>
        <v>705</v>
      </c>
      <c r="AM847" s="8">
        <v>310308</v>
      </c>
      <c r="AN847" s="8">
        <f t="shared" si="424"/>
        <v>11840</v>
      </c>
      <c r="AO847" s="8">
        <v>-228251</v>
      </c>
      <c r="AP847" s="8">
        <f t="shared" si="437"/>
        <v>-11135</v>
      </c>
      <c r="AR847" s="8">
        <v>1848801</v>
      </c>
      <c r="AS847" s="8">
        <f t="shared" si="438"/>
        <v>45554</v>
      </c>
      <c r="AT847" s="8">
        <v>238757</v>
      </c>
      <c r="AU847" s="8">
        <f t="shared" si="439"/>
        <v>7949</v>
      </c>
      <c r="AV847" s="8">
        <v>56541</v>
      </c>
      <c r="AW847" s="8">
        <f t="shared" si="440"/>
        <v>-20427</v>
      </c>
      <c r="AX847" s="8">
        <v>182216</v>
      </c>
      <c r="AY847" s="8">
        <f t="shared" si="416"/>
        <v>28376</v>
      </c>
      <c r="AZ847" s="8">
        <v>742904</v>
      </c>
      <c r="BA847" s="8">
        <f t="shared" si="441"/>
        <v>-12592</v>
      </c>
      <c r="BB847" s="8">
        <v>934361</v>
      </c>
      <c r="BC847" s="8">
        <f t="shared" si="442"/>
        <v>37058</v>
      </c>
      <c r="BD847" s="8">
        <v>-191457</v>
      </c>
      <c r="BE847" s="8">
        <f t="shared" si="443"/>
        <v>-49650</v>
      </c>
      <c r="BF847" s="8">
        <v>429958</v>
      </c>
      <c r="BG847" s="8">
        <f t="shared" si="444"/>
        <v>-19670</v>
      </c>
      <c r="BH847" s="8">
        <v>858362</v>
      </c>
      <c r="BI847" s="8">
        <f t="shared" si="445"/>
        <v>25214</v>
      </c>
      <c r="BJ847" s="8">
        <v>-428404</v>
      </c>
      <c r="BK847" s="8">
        <f t="shared" si="419"/>
        <v>-44884</v>
      </c>
    </row>
    <row r="848" spans="1:63">
      <c r="A848" s="5">
        <f t="shared" si="446"/>
        <v>44803</v>
      </c>
      <c r="B848" s="8">
        <v>439383</v>
      </c>
      <c r="C848" s="8">
        <f t="shared" si="425"/>
        <v>-32659</v>
      </c>
      <c r="D848" s="8">
        <v>61705</v>
      </c>
      <c r="E848" s="8">
        <f t="shared" si="426"/>
        <v>4054</v>
      </c>
      <c r="F848" s="8">
        <v>12519</v>
      </c>
      <c r="G848" s="8">
        <f t="shared" si="427"/>
        <v>-2924</v>
      </c>
      <c r="H848" s="8">
        <v>49186</v>
      </c>
      <c r="I848" s="8">
        <f t="shared" si="428"/>
        <v>6978</v>
      </c>
      <c r="J848" s="8">
        <v>216669</v>
      </c>
      <c r="K848" s="8">
        <f t="shared" si="429"/>
        <v>-17745</v>
      </c>
      <c r="L848" s="8">
        <v>277232</v>
      </c>
      <c r="M848" s="8">
        <f t="shared" si="430"/>
        <v>-10732</v>
      </c>
      <c r="N848" s="8">
        <v>-60563</v>
      </c>
      <c r="O848" s="8">
        <f t="shared" si="431"/>
        <v>-7013</v>
      </c>
      <c r="P848" s="8">
        <v>115544</v>
      </c>
      <c r="Q848" s="8">
        <f t="shared" si="432"/>
        <v>-15504</v>
      </c>
      <c r="R848" s="8">
        <v>262070</v>
      </c>
      <c r="S848" s="8">
        <f t="shared" si="433"/>
        <v>-7831</v>
      </c>
      <c r="T848" s="8">
        <v>-146526</v>
      </c>
      <c r="U848" s="8">
        <f t="shared" si="434"/>
        <v>-7673</v>
      </c>
      <c r="W848" s="8">
        <v>435028</v>
      </c>
      <c r="X848" s="8">
        <f t="shared" si="435"/>
        <v>-39735</v>
      </c>
      <c r="Y848" s="8">
        <v>97555</v>
      </c>
      <c r="Z848" s="8">
        <f t="shared" si="436"/>
        <v>-1865</v>
      </c>
      <c r="AA848" s="8">
        <v>3929</v>
      </c>
      <c r="AB848" s="8">
        <f t="shared" si="417"/>
        <v>227</v>
      </c>
      <c r="AC848" s="8">
        <v>93626</v>
      </c>
      <c r="AD848" s="8">
        <f t="shared" si="418"/>
        <v>-2092</v>
      </c>
      <c r="AE848" s="8">
        <v>182103</v>
      </c>
      <c r="AF848" s="8">
        <f t="shared" si="420"/>
        <v>-1831</v>
      </c>
      <c r="AG848" s="8">
        <v>314856</v>
      </c>
      <c r="AH848" s="8">
        <f t="shared" si="421"/>
        <v>-8477</v>
      </c>
      <c r="AI848" s="8">
        <v>-132753</v>
      </c>
      <c r="AJ848" s="8">
        <f t="shared" si="422"/>
        <v>6646</v>
      </c>
      <c r="AK848" s="8">
        <v>83236</v>
      </c>
      <c r="AL848" s="8">
        <f t="shared" si="423"/>
        <v>1179</v>
      </c>
      <c r="AM848" s="8">
        <v>304622</v>
      </c>
      <c r="AN848" s="8">
        <f t="shared" si="424"/>
        <v>-5686</v>
      </c>
      <c r="AO848" s="8">
        <v>-221386</v>
      </c>
      <c r="AP848" s="8">
        <f t="shared" si="437"/>
        <v>6865</v>
      </c>
      <c r="AR848" s="8">
        <v>1716908</v>
      </c>
      <c r="AS848" s="8">
        <f t="shared" si="438"/>
        <v>-131893</v>
      </c>
      <c r="AT848" s="8">
        <v>269203</v>
      </c>
      <c r="AU848" s="8">
        <f t="shared" si="439"/>
        <v>30446</v>
      </c>
      <c r="AV848" s="8">
        <v>47736</v>
      </c>
      <c r="AW848" s="8">
        <f t="shared" si="440"/>
        <v>-8805</v>
      </c>
      <c r="AX848" s="8">
        <v>221467</v>
      </c>
      <c r="AY848" s="8">
        <f t="shared" si="416"/>
        <v>39251</v>
      </c>
      <c r="AZ848" s="8">
        <v>694505</v>
      </c>
      <c r="BA848" s="8">
        <f t="shared" si="441"/>
        <v>-48399</v>
      </c>
      <c r="BB848" s="8">
        <v>914218</v>
      </c>
      <c r="BC848" s="8">
        <f t="shared" si="442"/>
        <v>-20143</v>
      </c>
      <c r="BD848" s="8">
        <v>-219713</v>
      </c>
      <c r="BE848" s="8">
        <f t="shared" si="443"/>
        <v>-28256</v>
      </c>
      <c r="BF848" s="8">
        <v>396067</v>
      </c>
      <c r="BG848" s="8">
        <f t="shared" si="444"/>
        <v>-33891</v>
      </c>
      <c r="BH848" s="8">
        <v>846053</v>
      </c>
      <c r="BI848" s="8">
        <f t="shared" si="445"/>
        <v>-12309</v>
      </c>
      <c r="BJ848" s="8">
        <v>-449986</v>
      </c>
      <c r="BK848" s="8">
        <f t="shared" si="419"/>
        <v>-21582</v>
      </c>
    </row>
    <row r="849" spans="1:63">
      <c r="A849" s="5">
        <f t="shared" si="446"/>
        <v>44810</v>
      </c>
      <c r="B849" s="8">
        <v>439474</v>
      </c>
      <c r="C849" s="8">
        <f t="shared" si="425"/>
        <v>91</v>
      </c>
      <c r="D849" s="8">
        <v>60272</v>
      </c>
      <c r="E849" s="8">
        <f t="shared" si="426"/>
        <v>-1433</v>
      </c>
      <c r="F849" s="8">
        <v>16290</v>
      </c>
      <c r="G849" s="8">
        <f t="shared" si="427"/>
        <v>3771</v>
      </c>
      <c r="H849" s="8">
        <v>43982</v>
      </c>
      <c r="I849" s="8">
        <f t="shared" si="428"/>
        <v>-5204</v>
      </c>
      <c r="J849" s="8">
        <v>219572</v>
      </c>
      <c r="K849" s="8">
        <f t="shared" si="429"/>
        <v>2903</v>
      </c>
      <c r="L849" s="8">
        <v>271702</v>
      </c>
      <c r="M849" s="8">
        <f t="shared" si="430"/>
        <v>-5530</v>
      </c>
      <c r="N849" s="8">
        <v>-52130</v>
      </c>
      <c r="O849" s="8">
        <f t="shared" si="431"/>
        <v>8433</v>
      </c>
      <c r="P849" s="8">
        <v>117602</v>
      </c>
      <c r="Q849" s="8">
        <f t="shared" si="432"/>
        <v>2058</v>
      </c>
      <c r="R849" s="8">
        <v>258038</v>
      </c>
      <c r="S849" s="8">
        <f t="shared" si="433"/>
        <v>-4032</v>
      </c>
      <c r="T849" s="8">
        <v>-140436</v>
      </c>
      <c r="U849" s="8">
        <f t="shared" si="434"/>
        <v>6090</v>
      </c>
      <c r="W849" s="8">
        <v>431875</v>
      </c>
      <c r="X849" s="8">
        <f t="shared" si="435"/>
        <v>-3153</v>
      </c>
      <c r="Y849" s="8">
        <v>92676</v>
      </c>
      <c r="Z849" s="8">
        <f t="shared" si="436"/>
        <v>-4879</v>
      </c>
      <c r="AA849" s="8">
        <v>11055</v>
      </c>
      <c r="AB849" s="8">
        <f t="shared" si="417"/>
        <v>7126</v>
      </c>
      <c r="AC849" s="8">
        <v>81621</v>
      </c>
      <c r="AD849" s="8">
        <f t="shared" si="418"/>
        <v>-12005</v>
      </c>
      <c r="AE849" s="8">
        <v>185228</v>
      </c>
      <c r="AF849" s="8">
        <f t="shared" si="420"/>
        <v>3125</v>
      </c>
      <c r="AG849" s="8">
        <v>304413</v>
      </c>
      <c r="AH849" s="8">
        <f t="shared" si="421"/>
        <v>-10443</v>
      </c>
      <c r="AI849" s="8">
        <v>-119185</v>
      </c>
      <c r="AJ849" s="8">
        <f t="shared" si="422"/>
        <v>13568</v>
      </c>
      <c r="AK849" s="8">
        <v>85835</v>
      </c>
      <c r="AL849" s="8">
        <f t="shared" si="423"/>
        <v>2599</v>
      </c>
      <c r="AM849" s="8">
        <v>293311</v>
      </c>
      <c r="AN849" s="8">
        <f t="shared" si="424"/>
        <v>-11311</v>
      </c>
      <c r="AO849" s="8">
        <v>-207476</v>
      </c>
      <c r="AP849" s="8">
        <f t="shared" si="437"/>
        <v>13910</v>
      </c>
      <c r="AR849" s="8">
        <v>1730634</v>
      </c>
      <c r="AS849" s="8">
        <f t="shared" si="438"/>
        <v>13726</v>
      </c>
      <c r="AT849" s="8">
        <v>271592</v>
      </c>
      <c r="AU849" s="8">
        <f t="shared" si="439"/>
        <v>2389</v>
      </c>
      <c r="AV849" s="8">
        <v>45113</v>
      </c>
      <c r="AW849" s="8">
        <f t="shared" si="440"/>
        <v>-2623</v>
      </c>
      <c r="AX849" s="8">
        <v>226479</v>
      </c>
      <c r="AY849" s="8">
        <f t="shared" si="416"/>
        <v>5012</v>
      </c>
      <c r="AZ849" s="8">
        <v>689939</v>
      </c>
      <c r="BA849" s="8">
        <f t="shared" si="441"/>
        <v>-4566</v>
      </c>
      <c r="BB849" s="8">
        <v>913310</v>
      </c>
      <c r="BC849" s="8">
        <f t="shared" si="442"/>
        <v>-908</v>
      </c>
      <c r="BD849" s="8">
        <v>-223371</v>
      </c>
      <c r="BE849" s="8">
        <f t="shared" si="443"/>
        <v>-3658</v>
      </c>
      <c r="BF849" s="8">
        <v>389217</v>
      </c>
      <c r="BG849" s="8">
        <f t="shared" si="444"/>
        <v>-6850</v>
      </c>
      <c r="BH849" s="8">
        <v>845755</v>
      </c>
      <c r="BI849" s="8">
        <f t="shared" si="445"/>
        <v>-298</v>
      </c>
      <c r="BJ849" s="8">
        <v>-456538</v>
      </c>
      <c r="BK849" s="8">
        <f t="shared" si="419"/>
        <v>-6552</v>
      </c>
    </row>
    <row r="850" spans="1:63">
      <c r="A850" s="5">
        <f t="shared" si="446"/>
        <v>44817</v>
      </c>
      <c r="B850" s="8">
        <v>449801</v>
      </c>
      <c r="C850" s="8">
        <f t="shared" si="425"/>
        <v>10327</v>
      </c>
      <c r="D850" s="8">
        <v>67266</v>
      </c>
      <c r="E850" s="8">
        <f t="shared" si="426"/>
        <v>6994</v>
      </c>
      <c r="F850" s="8">
        <v>11996</v>
      </c>
      <c r="G850" s="8">
        <f t="shared" si="427"/>
        <v>-4294</v>
      </c>
      <c r="H850" s="8">
        <v>55270</v>
      </c>
      <c r="I850" s="8">
        <f t="shared" si="428"/>
        <v>11288</v>
      </c>
      <c r="J850" s="8">
        <v>217747</v>
      </c>
      <c r="K850" s="8">
        <f t="shared" si="429"/>
        <v>-1825</v>
      </c>
      <c r="L850" s="8">
        <v>280690</v>
      </c>
      <c r="M850" s="8">
        <f t="shared" si="430"/>
        <v>8988</v>
      </c>
      <c r="N850" s="8">
        <v>-62943</v>
      </c>
      <c r="O850" s="8">
        <f t="shared" si="431"/>
        <v>-10813</v>
      </c>
      <c r="P850" s="8">
        <v>114688</v>
      </c>
      <c r="Q850" s="8">
        <f t="shared" si="432"/>
        <v>-2914</v>
      </c>
      <c r="R850" s="8">
        <v>265494</v>
      </c>
      <c r="S850" s="8">
        <f t="shared" si="433"/>
        <v>7456</v>
      </c>
      <c r="T850" s="8">
        <v>-150806</v>
      </c>
      <c r="U850" s="8">
        <f t="shared" si="434"/>
        <v>-10370</v>
      </c>
      <c r="W850" s="8">
        <v>428745</v>
      </c>
      <c r="X850" s="8">
        <f t="shared" si="435"/>
        <v>-3130</v>
      </c>
      <c r="Y850" s="8">
        <v>95603</v>
      </c>
      <c r="Z850" s="8">
        <f t="shared" si="436"/>
        <v>2927</v>
      </c>
      <c r="AA850" s="8">
        <v>7889</v>
      </c>
      <c r="AB850" s="8">
        <f t="shared" si="417"/>
        <v>-3166</v>
      </c>
      <c r="AC850" s="8">
        <v>87714</v>
      </c>
      <c r="AD850" s="8">
        <f t="shared" si="418"/>
        <v>6093</v>
      </c>
      <c r="AE850" s="8">
        <v>175846</v>
      </c>
      <c r="AF850" s="8">
        <f t="shared" si="420"/>
        <v>-9382</v>
      </c>
      <c r="AG850" s="8">
        <v>308097</v>
      </c>
      <c r="AH850" s="8">
        <f t="shared" si="421"/>
        <v>3684</v>
      </c>
      <c r="AI850" s="8">
        <v>-132251</v>
      </c>
      <c r="AJ850" s="8">
        <f t="shared" si="422"/>
        <v>-13066</v>
      </c>
      <c r="AK850" s="8">
        <v>77048</v>
      </c>
      <c r="AL850" s="8">
        <f t="shared" si="423"/>
        <v>-8787</v>
      </c>
      <c r="AM850" s="8">
        <v>295314</v>
      </c>
      <c r="AN850" s="8">
        <f t="shared" si="424"/>
        <v>2003</v>
      </c>
      <c r="AO850" s="8">
        <v>-218266</v>
      </c>
      <c r="AP850" s="8">
        <f t="shared" si="437"/>
        <v>-10790</v>
      </c>
      <c r="AR850" s="8">
        <v>1792121</v>
      </c>
      <c r="AS850" s="8">
        <f t="shared" si="438"/>
        <v>61487</v>
      </c>
      <c r="AT850" s="8">
        <v>287203</v>
      </c>
      <c r="AU850" s="8">
        <f t="shared" si="439"/>
        <v>15611</v>
      </c>
      <c r="AV850" s="8">
        <v>46560</v>
      </c>
      <c r="AW850" s="8">
        <f t="shared" si="440"/>
        <v>1447</v>
      </c>
      <c r="AX850" s="8">
        <v>240643</v>
      </c>
      <c r="AY850" s="8">
        <f t="shared" si="416"/>
        <v>14164</v>
      </c>
      <c r="AZ850" s="8">
        <v>691975</v>
      </c>
      <c r="BA850" s="8">
        <f t="shared" si="441"/>
        <v>2036</v>
      </c>
      <c r="BB850" s="8">
        <v>917653</v>
      </c>
      <c r="BC850" s="8">
        <f t="shared" si="442"/>
        <v>4343</v>
      </c>
      <c r="BD850" s="8">
        <v>-225678</v>
      </c>
      <c r="BE850" s="8">
        <f t="shared" si="443"/>
        <v>-2307</v>
      </c>
      <c r="BF850" s="8">
        <v>392673</v>
      </c>
      <c r="BG850" s="8">
        <f t="shared" si="444"/>
        <v>3456</v>
      </c>
      <c r="BH850" s="8">
        <v>847570</v>
      </c>
      <c r="BI850" s="8">
        <f t="shared" si="445"/>
        <v>1815</v>
      </c>
      <c r="BJ850" s="8">
        <v>-454897</v>
      </c>
      <c r="BK850" s="8">
        <f t="shared" si="419"/>
        <v>1641</v>
      </c>
    </row>
    <row r="851" spans="1:63">
      <c r="A851" s="5">
        <f t="shared" si="446"/>
        <v>44824</v>
      </c>
      <c r="B851" s="8">
        <v>454576</v>
      </c>
      <c r="C851" s="8">
        <f t="shared" si="425"/>
        <v>4775</v>
      </c>
      <c r="D851" s="8">
        <v>68867</v>
      </c>
      <c r="E851" s="8">
        <f t="shared" si="426"/>
        <v>1601</v>
      </c>
      <c r="F851" s="8">
        <v>10557</v>
      </c>
      <c r="G851" s="8">
        <f t="shared" si="427"/>
        <v>-1439</v>
      </c>
      <c r="H851" s="8">
        <v>58310</v>
      </c>
      <c r="I851" s="8">
        <f t="shared" si="428"/>
        <v>3040</v>
      </c>
      <c r="J851" s="8">
        <v>217405</v>
      </c>
      <c r="K851" s="8">
        <f t="shared" si="429"/>
        <v>-342</v>
      </c>
      <c r="L851" s="8">
        <v>282450</v>
      </c>
      <c r="M851" s="8">
        <f t="shared" si="430"/>
        <v>1760</v>
      </c>
      <c r="N851" s="8">
        <v>-65045</v>
      </c>
      <c r="O851" s="8">
        <f t="shared" si="431"/>
        <v>-2102</v>
      </c>
      <c r="P851" s="8">
        <v>112124</v>
      </c>
      <c r="Q851" s="8">
        <f t="shared" si="432"/>
        <v>-2564</v>
      </c>
      <c r="R851" s="8">
        <v>267917</v>
      </c>
      <c r="S851" s="8">
        <f t="shared" si="433"/>
        <v>2423</v>
      </c>
      <c r="T851" s="8">
        <v>-155793</v>
      </c>
      <c r="U851" s="8">
        <f t="shared" si="434"/>
        <v>-4987</v>
      </c>
      <c r="W851" s="8">
        <v>445424</v>
      </c>
      <c r="X851" s="8">
        <f t="shared" si="435"/>
        <v>16679</v>
      </c>
      <c r="Y851" s="8">
        <v>106864</v>
      </c>
      <c r="Z851" s="8">
        <f t="shared" si="436"/>
        <v>11261</v>
      </c>
      <c r="AA851" s="8">
        <v>4696</v>
      </c>
      <c r="AB851" s="8">
        <f t="shared" si="417"/>
        <v>-3193</v>
      </c>
      <c r="AC851" s="8">
        <v>102168</v>
      </c>
      <c r="AD851" s="8">
        <f t="shared" si="418"/>
        <v>14454</v>
      </c>
      <c r="AE851" s="8">
        <v>170487</v>
      </c>
      <c r="AF851" s="8">
        <f t="shared" si="420"/>
        <v>-5359</v>
      </c>
      <c r="AG851" s="8">
        <v>318976</v>
      </c>
      <c r="AH851" s="8">
        <f t="shared" si="421"/>
        <v>10879</v>
      </c>
      <c r="AI851" s="8">
        <v>-148489</v>
      </c>
      <c r="AJ851" s="8">
        <f t="shared" si="422"/>
        <v>-16238</v>
      </c>
      <c r="AK851" s="8">
        <v>72775</v>
      </c>
      <c r="AL851" s="8">
        <f t="shared" si="423"/>
        <v>-4273</v>
      </c>
      <c r="AM851" s="8">
        <v>305309</v>
      </c>
      <c r="AN851" s="8">
        <f t="shared" si="424"/>
        <v>9995</v>
      </c>
      <c r="AO851" s="8">
        <v>-232534</v>
      </c>
      <c r="AP851" s="8">
        <f t="shared" si="437"/>
        <v>-14268</v>
      </c>
      <c r="AR851" s="8">
        <v>1817528</v>
      </c>
      <c r="AS851" s="8">
        <f t="shared" si="438"/>
        <v>25407</v>
      </c>
      <c r="AT851" s="8">
        <v>293911</v>
      </c>
      <c r="AU851" s="8">
        <f t="shared" si="439"/>
        <v>6708</v>
      </c>
      <c r="AV851" s="8">
        <v>46002</v>
      </c>
      <c r="AW851" s="8">
        <f t="shared" si="440"/>
        <v>-558</v>
      </c>
      <c r="AX851" s="8">
        <v>247909</v>
      </c>
      <c r="AY851" s="8">
        <f t="shared" si="416"/>
        <v>7266</v>
      </c>
      <c r="AZ851" s="8">
        <v>693676</v>
      </c>
      <c r="BA851" s="8">
        <f t="shared" si="441"/>
        <v>1701</v>
      </c>
      <c r="BB851" s="8">
        <v>929393</v>
      </c>
      <c r="BC851" s="8">
        <f t="shared" si="442"/>
        <v>11740</v>
      </c>
      <c r="BD851" s="8">
        <v>-235717</v>
      </c>
      <c r="BE851" s="8">
        <f t="shared" si="443"/>
        <v>-10039</v>
      </c>
      <c r="BF851" s="8">
        <v>396618</v>
      </c>
      <c r="BG851" s="8">
        <f t="shared" si="444"/>
        <v>3945</v>
      </c>
      <c r="BH851" s="8">
        <v>858256</v>
      </c>
      <c r="BI851" s="8">
        <f t="shared" si="445"/>
        <v>10686</v>
      </c>
      <c r="BJ851" s="8">
        <v>-461638</v>
      </c>
      <c r="BK851" s="8">
        <f t="shared" si="419"/>
        <v>-6741</v>
      </c>
    </row>
    <row r="852" spans="1:63">
      <c r="A852" s="5">
        <f t="shared" si="446"/>
        <v>44831</v>
      </c>
      <c r="B852" s="8">
        <v>447185</v>
      </c>
      <c r="C852" s="8">
        <f t="shared" si="425"/>
        <v>-7391</v>
      </c>
      <c r="D852" s="8">
        <v>70584</v>
      </c>
      <c r="E852" s="8">
        <f t="shared" si="426"/>
        <v>1717</v>
      </c>
      <c r="F852" s="8">
        <v>12167</v>
      </c>
      <c r="G852" s="8">
        <f t="shared" si="427"/>
        <v>1610</v>
      </c>
      <c r="H852" s="8">
        <v>58417</v>
      </c>
      <c r="I852" s="8">
        <f t="shared" si="428"/>
        <v>107</v>
      </c>
      <c r="J852" s="8">
        <v>208969</v>
      </c>
      <c r="K852" s="8">
        <f t="shared" si="429"/>
        <v>-8436</v>
      </c>
      <c r="L852" s="8">
        <v>267837</v>
      </c>
      <c r="M852" s="8">
        <f t="shared" si="430"/>
        <v>-14613</v>
      </c>
      <c r="N852" s="8">
        <v>-58868</v>
      </c>
      <c r="O852" s="8">
        <f t="shared" si="431"/>
        <v>6177</v>
      </c>
      <c r="P852" s="8">
        <v>102770</v>
      </c>
      <c r="Q852" s="8">
        <f t="shared" si="432"/>
        <v>-9354</v>
      </c>
      <c r="R852" s="8">
        <v>249817</v>
      </c>
      <c r="S852" s="8">
        <f t="shared" si="433"/>
        <v>-18100</v>
      </c>
      <c r="T852" s="8">
        <v>-147047</v>
      </c>
      <c r="U852" s="8">
        <f t="shared" si="434"/>
        <v>8746</v>
      </c>
      <c r="W852" s="8">
        <v>422486</v>
      </c>
      <c r="X852" s="8">
        <f t="shared" si="435"/>
        <v>-22938</v>
      </c>
      <c r="Y852" s="8">
        <v>100024</v>
      </c>
      <c r="Z852" s="8">
        <f t="shared" si="436"/>
        <v>-6840</v>
      </c>
      <c r="AA852" s="8">
        <v>6479</v>
      </c>
      <c r="AB852" s="8">
        <f t="shared" si="417"/>
        <v>1783</v>
      </c>
      <c r="AC852" s="8">
        <v>93545</v>
      </c>
      <c r="AD852" s="8">
        <f t="shared" si="418"/>
        <v>-8623</v>
      </c>
      <c r="AE852" s="8">
        <v>164868</v>
      </c>
      <c r="AF852" s="8">
        <f t="shared" si="420"/>
        <v>-5619</v>
      </c>
      <c r="AG852" s="8">
        <v>298059</v>
      </c>
      <c r="AH852" s="8">
        <f t="shared" si="421"/>
        <v>-20917</v>
      </c>
      <c r="AI852" s="8">
        <v>-133191</v>
      </c>
      <c r="AJ852" s="8">
        <f t="shared" si="422"/>
        <v>15298</v>
      </c>
      <c r="AK852" s="8">
        <v>70075</v>
      </c>
      <c r="AL852" s="8">
        <f t="shared" si="423"/>
        <v>-2700</v>
      </c>
      <c r="AM852" s="8">
        <v>288893</v>
      </c>
      <c r="AN852" s="8">
        <f t="shared" si="424"/>
        <v>-16416</v>
      </c>
      <c r="AO852" s="8">
        <v>-218818</v>
      </c>
      <c r="AP852" s="8">
        <f t="shared" si="437"/>
        <v>13716</v>
      </c>
      <c r="AR852" s="8">
        <v>1787424</v>
      </c>
      <c r="AS852" s="8">
        <f t="shared" si="438"/>
        <v>-30104</v>
      </c>
      <c r="AT852" s="8">
        <v>275027</v>
      </c>
      <c r="AU852" s="8">
        <f t="shared" si="439"/>
        <v>-18884</v>
      </c>
      <c r="AV852" s="8">
        <v>37173</v>
      </c>
      <c r="AW852" s="8">
        <f t="shared" si="440"/>
        <v>-8829</v>
      </c>
      <c r="AX852" s="8">
        <v>237854</v>
      </c>
      <c r="AY852" s="8">
        <f t="shared" si="416"/>
        <v>-10055</v>
      </c>
      <c r="AZ852" s="8">
        <v>702759</v>
      </c>
      <c r="BA852" s="8">
        <f t="shared" si="441"/>
        <v>9083</v>
      </c>
      <c r="BB852" s="8">
        <v>916230</v>
      </c>
      <c r="BC852" s="8">
        <f t="shared" si="442"/>
        <v>-13163</v>
      </c>
      <c r="BD852" s="8">
        <v>-213471</v>
      </c>
      <c r="BE852" s="8">
        <f t="shared" si="443"/>
        <v>22246</v>
      </c>
      <c r="BF852" s="8">
        <v>414063</v>
      </c>
      <c r="BG852" s="8">
        <f t="shared" si="444"/>
        <v>17445</v>
      </c>
      <c r="BH852" s="8">
        <v>847405</v>
      </c>
      <c r="BI852" s="8">
        <f t="shared" si="445"/>
        <v>-10851</v>
      </c>
      <c r="BJ852" s="8">
        <v>-433342</v>
      </c>
      <c r="BK852" s="8">
        <f t="shared" si="419"/>
        <v>28296</v>
      </c>
    </row>
    <row r="853" spans="1:63">
      <c r="A853" s="5">
        <f t="shared" si="446"/>
        <v>44838</v>
      </c>
      <c r="B853" s="8">
        <v>452583</v>
      </c>
      <c r="C853" s="8">
        <f t="shared" si="425"/>
        <v>5398</v>
      </c>
      <c r="D853" s="8">
        <v>73116</v>
      </c>
      <c r="E853" s="8">
        <f t="shared" si="426"/>
        <v>2532</v>
      </c>
      <c r="F853" s="8">
        <v>10362</v>
      </c>
      <c r="G853" s="8">
        <f t="shared" si="427"/>
        <v>-1805</v>
      </c>
      <c r="H853" s="8">
        <v>62754</v>
      </c>
      <c r="I853" s="8">
        <f t="shared" si="428"/>
        <v>4337</v>
      </c>
      <c r="J853" s="8">
        <v>205026</v>
      </c>
      <c r="K853" s="8">
        <f t="shared" si="429"/>
        <v>-3943</v>
      </c>
      <c r="L853" s="8">
        <v>271050</v>
      </c>
      <c r="M853" s="8">
        <f t="shared" si="430"/>
        <v>3213</v>
      </c>
      <c r="N853" s="8">
        <v>-66024</v>
      </c>
      <c r="O853" s="8">
        <f t="shared" si="431"/>
        <v>-7156</v>
      </c>
      <c r="P853" s="8">
        <v>99748</v>
      </c>
      <c r="Q853" s="8">
        <f t="shared" si="432"/>
        <v>-3022</v>
      </c>
      <c r="R853" s="8">
        <v>251662</v>
      </c>
      <c r="S853" s="8">
        <f t="shared" si="433"/>
        <v>1845</v>
      </c>
      <c r="T853" s="8">
        <v>-151914</v>
      </c>
      <c r="U853" s="8">
        <f t="shared" si="434"/>
        <v>-4867</v>
      </c>
      <c r="W853" s="8">
        <v>401198</v>
      </c>
      <c r="X853" s="8">
        <f t="shared" si="435"/>
        <v>-21288</v>
      </c>
      <c r="Y853" s="8">
        <v>90563</v>
      </c>
      <c r="Z853" s="8">
        <f t="shared" si="436"/>
        <v>-9461</v>
      </c>
      <c r="AA853" s="8">
        <v>10863</v>
      </c>
      <c r="AB853" s="8">
        <f t="shared" si="417"/>
        <v>4384</v>
      </c>
      <c r="AC853" s="8">
        <v>79700</v>
      </c>
      <c r="AD853" s="8">
        <f t="shared" si="418"/>
        <v>-13845</v>
      </c>
      <c r="AE853" s="8">
        <v>158063</v>
      </c>
      <c r="AF853" s="8">
        <f t="shared" si="420"/>
        <v>-6805</v>
      </c>
      <c r="AG853" s="8">
        <v>277329</v>
      </c>
      <c r="AH853" s="8">
        <f t="shared" si="421"/>
        <v>-20730</v>
      </c>
      <c r="AI853" s="8">
        <v>-119266</v>
      </c>
      <c r="AJ853" s="8">
        <f t="shared" si="422"/>
        <v>13925</v>
      </c>
      <c r="AK853" s="8">
        <v>65803</v>
      </c>
      <c r="AL853" s="8">
        <f t="shared" si="423"/>
        <v>-4272</v>
      </c>
      <c r="AM853" s="8">
        <v>266079</v>
      </c>
      <c r="AN853" s="8">
        <f t="shared" si="424"/>
        <v>-22814</v>
      </c>
      <c r="AO853" s="8">
        <v>-200276</v>
      </c>
      <c r="AP853" s="8">
        <f t="shared" si="437"/>
        <v>18542</v>
      </c>
      <c r="AR853" s="8">
        <v>1829430</v>
      </c>
      <c r="AS853" s="8">
        <f t="shared" si="438"/>
        <v>42006</v>
      </c>
      <c r="AT853" s="8">
        <v>272037</v>
      </c>
      <c r="AU853" s="8">
        <f t="shared" si="439"/>
        <v>-2990</v>
      </c>
      <c r="AV853" s="8">
        <v>28309</v>
      </c>
      <c r="AW853" s="8">
        <f t="shared" si="440"/>
        <v>-8864</v>
      </c>
      <c r="AX853" s="8">
        <v>243728</v>
      </c>
      <c r="AY853" s="8">
        <f t="shared" si="416"/>
        <v>5874</v>
      </c>
      <c r="AZ853" s="8">
        <v>721741</v>
      </c>
      <c r="BA853" s="8">
        <f t="shared" si="441"/>
        <v>18982</v>
      </c>
      <c r="BB853" s="8">
        <v>949014</v>
      </c>
      <c r="BC853" s="8">
        <f t="shared" si="442"/>
        <v>32784</v>
      </c>
      <c r="BD853" s="8">
        <v>-227273</v>
      </c>
      <c r="BE853" s="8">
        <f t="shared" si="443"/>
        <v>-13802</v>
      </c>
      <c r="BF853" s="8">
        <v>438414</v>
      </c>
      <c r="BG853" s="8">
        <f t="shared" si="444"/>
        <v>24351</v>
      </c>
      <c r="BH853" s="8">
        <v>879176</v>
      </c>
      <c r="BI853" s="8">
        <f t="shared" si="445"/>
        <v>31771</v>
      </c>
      <c r="BJ853" s="8">
        <v>-440762</v>
      </c>
      <c r="BK853" s="8">
        <f t="shared" si="419"/>
        <v>-7420</v>
      </c>
    </row>
    <row r="854" spans="1:63">
      <c r="A854" s="5">
        <f t="shared" si="446"/>
        <v>44845</v>
      </c>
      <c r="B854" s="8">
        <v>439056</v>
      </c>
      <c r="C854" s="8">
        <f t="shared" si="425"/>
        <v>-13527</v>
      </c>
      <c r="D854" s="8">
        <v>70860</v>
      </c>
      <c r="E854" s="8">
        <f t="shared" si="426"/>
        <v>-2256</v>
      </c>
      <c r="F854" s="8">
        <v>9876</v>
      </c>
      <c r="G854" s="8">
        <f t="shared" si="427"/>
        <v>-486</v>
      </c>
      <c r="H854" s="8">
        <v>60984</v>
      </c>
      <c r="I854" s="8">
        <f t="shared" si="428"/>
        <v>-1770</v>
      </c>
      <c r="J854" s="8">
        <v>201724</v>
      </c>
      <c r="K854" s="8">
        <f t="shared" si="429"/>
        <v>-3302</v>
      </c>
      <c r="L854" s="8">
        <v>268854</v>
      </c>
      <c r="M854" s="8">
        <f t="shared" si="430"/>
        <v>-2196</v>
      </c>
      <c r="N854" s="8">
        <v>-67130</v>
      </c>
      <c r="O854" s="8">
        <f t="shared" si="431"/>
        <v>-1106</v>
      </c>
      <c r="P854" s="8">
        <v>98318</v>
      </c>
      <c r="Q854" s="8">
        <f t="shared" si="432"/>
        <v>-1430</v>
      </c>
      <c r="R854" s="8">
        <v>250301</v>
      </c>
      <c r="S854" s="8">
        <f t="shared" si="433"/>
        <v>-1361</v>
      </c>
      <c r="T854" s="8">
        <v>-151983</v>
      </c>
      <c r="U854" s="8">
        <f t="shared" si="434"/>
        <v>-69</v>
      </c>
      <c r="W854" s="8">
        <v>403425</v>
      </c>
      <c r="X854" s="8">
        <f t="shared" si="435"/>
        <v>2227</v>
      </c>
      <c r="Y854" s="8">
        <v>83656</v>
      </c>
      <c r="Z854" s="8">
        <f t="shared" si="436"/>
        <v>-6907</v>
      </c>
      <c r="AA854" s="8">
        <v>13267</v>
      </c>
      <c r="AB854" s="8">
        <f t="shared" si="417"/>
        <v>2404</v>
      </c>
      <c r="AC854" s="8">
        <v>70389</v>
      </c>
      <c r="AD854" s="8">
        <f t="shared" si="418"/>
        <v>-9311</v>
      </c>
      <c r="AE854" s="8">
        <v>164133</v>
      </c>
      <c r="AF854" s="8">
        <f t="shared" si="420"/>
        <v>6070</v>
      </c>
      <c r="AG854" s="8">
        <v>274941</v>
      </c>
      <c r="AH854" s="8">
        <f t="shared" si="421"/>
        <v>-2388</v>
      </c>
      <c r="AI854" s="8">
        <v>-110808</v>
      </c>
      <c r="AJ854" s="8">
        <f t="shared" si="422"/>
        <v>8458</v>
      </c>
      <c r="AK854" s="8">
        <v>71025</v>
      </c>
      <c r="AL854" s="8">
        <f t="shared" si="423"/>
        <v>5222</v>
      </c>
      <c r="AM854" s="8">
        <v>261796</v>
      </c>
      <c r="AN854" s="8">
        <f t="shared" si="424"/>
        <v>-4283</v>
      </c>
      <c r="AO854" s="8">
        <v>-190771</v>
      </c>
      <c r="AP854" s="8">
        <f t="shared" si="437"/>
        <v>9505</v>
      </c>
      <c r="AR854" s="8">
        <v>1886410</v>
      </c>
      <c r="AS854" s="8">
        <f t="shared" si="438"/>
        <v>56980</v>
      </c>
      <c r="AT854" s="8">
        <v>300720</v>
      </c>
      <c r="AU854" s="8">
        <f t="shared" si="439"/>
        <v>28683</v>
      </c>
      <c r="AV854" s="8">
        <v>33343</v>
      </c>
      <c r="AW854" s="8">
        <f t="shared" si="440"/>
        <v>5034</v>
      </c>
      <c r="AX854" s="8">
        <v>267377</v>
      </c>
      <c r="AY854" s="8">
        <f t="shared" si="416"/>
        <v>23649</v>
      </c>
      <c r="AZ854" s="8">
        <v>740987</v>
      </c>
      <c r="BA854" s="8">
        <f t="shared" si="441"/>
        <v>19246</v>
      </c>
      <c r="BB854" s="8">
        <v>988562</v>
      </c>
      <c r="BC854" s="8">
        <f t="shared" si="442"/>
        <v>39548</v>
      </c>
      <c r="BD854" s="8">
        <v>-247575</v>
      </c>
      <c r="BE854" s="8">
        <f t="shared" si="443"/>
        <v>-20302</v>
      </c>
      <c r="BF854" s="8">
        <v>452564</v>
      </c>
      <c r="BG854" s="8">
        <f t="shared" si="444"/>
        <v>14150</v>
      </c>
      <c r="BH854" s="8">
        <v>916197</v>
      </c>
      <c r="BI854" s="8">
        <f t="shared" si="445"/>
        <v>37021</v>
      </c>
      <c r="BJ854" s="8">
        <v>-463633</v>
      </c>
      <c r="BK854" s="8">
        <f t="shared" si="419"/>
        <v>-22871</v>
      </c>
    </row>
    <row r="855" spans="1:63">
      <c r="A855" s="5">
        <f t="shared" si="446"/>
        <v>44852</v>
      </c>
      <c r="B855" s="8">
        <v>459121</v>
      </c>
      <c r="C855" s="8">
        <f t="shared" si="425"/>
        <v>20065</v>
      </c>
      <c r="D855" s="8">
        <v>83172</v>
      </c>
      <c r="E855" s="8">
        <f t="shared" si="426"/>
        <v>12312</v>
      </c>
      <c r="F855" s="8">
        <v>8198</v>
      </c>
      <c r="G855" s="8">
        <f t="shared" si="427"/>
        <v>-1678</v>
      </c>
      <c r="H855" s="8">
        <v>74974</v>
      </c>
      <c r="I855" s="8">
        <f t="shared" si="428"/>
        <v>13990</v>
      </c>
      <c r="J855" s="8">
        <v>198481</v>
      </c>
      <c r="K855" s="8">
        <f t="shared" si="429"/>
        <v>-3243</v>
      </c>
      <c r="L855" s="8">
        <v>290031</v>
      </c>
      <c r="M855" s="8">
        <f t="shared" si="430"/>
        <v>21177</v>
      </c>
      <c r="N855" s="8">
        <v>-91550</v>
      </c>
      <c r="O855" s="8">
        <f t="shared" si="431"/>
        <v>-24420</v>
      </c>
      <c r="P855" s="8">
        <v>93024</v>
      </c>
      <c r="Q855" s="8">
        <f t="shared" si="432"/>
        <v>-5294</v>
      </c>
      <c r="R855" s="8">
        <v>269929</v>
      </c>
      <c r="S855" s="8">
        <f t="shared" si="433"/>
        <v>19628</v>
      </c>
      <c r="T855" s="8">
        <v>-176905</v>
      </c>
      <c r="U855" s="8">
        <f t="shared" si="434"/>
        <v>-24922</v>
      </c>
      <c r="W855" s="8">
        <v>414496</v>
      </c>
      <c r="X855" s="8">
        <f t="shared" si="435"/>
        <v>11071</v>
      </c>
      <c r="Y855" s="8">
        <v>85148</v>
      </c>
      <c r="Z855" s="8">
        <f t="shared" si="436"/>
        <v>1492</v>
      </c>
      <c r="AA855" s="8">
        <v>14351</v>
      </c>
      <c r="AB855" s="8">
        <f t="shared" si="417"/>
        <v>1084</v>
      </c>
      <c r="AC855" s="8">
        <v>70797</v>
      </c>
      <c r="AD855" s="8">
        <f t="shared" si="418"/>
        <v>408</v>
      </c>
      <c r="AE855" s="8">
        <v>167936</v>
      </c>
      <c r="AF855" s="8">
        <f t="shared" si="420"/>
        <v>3803</v>
      </c>
      <c r="AG855" s="8">
        <v>282349</v>
      </c>
      <c r="AH855" s="8">
        <f t="shared" si="421"/>
        <v>7408</v>
      </c>
      <c r="AI855" s="8">
        <v>-114413</v>
      </c>
      <c r="AJ855" s="8">
        <f t="shared" si="422"/>
        <v>-3605</v>
      </c>
      <c r="AK855" s="8">
        <v>73815</v>
      </c>
      <c r="AL855" s="8">
        <f t="shared" si="423"/>
        <v>2790</v>
      </c>
      <c r="AM855" s="8">
        <v>267681</v>
      </c>
      <c r="AN855" s="8">
        <f t="shared" si="424"/>
        <v>5885</v>
      </c>
      <c r="AO855" s="8">
        <v>-193866</v>
      </c>
      <c r="AP855" s="8">
        <f t="shared" si="437"/>
        <v>-3095</v>
      </c>
      <c r="AR855" s="8">
        <v>1856288</v>
      </c>
      <c r="AS855" s="8">
        <f t="shared" si="438"/>
        <v>-30122</v>
      </c>
      <c r="AT855" s="8">
        <v>293795</v>
      </c>
      <c r="AU855" s="8">
        <f t="shared" si="439"/>
        <v>-6925</v>
      </c>
      <c r="AV855" s="8">
        <v>39534</v>
      </c>
      <c r="AW855" s="8">
        <f t="shared" si="440"/>
        <v>6191</v>
      </c>
      <c r="AX855" s="8">
        <v>254261</v>
      </c>
      <c r="AY855" s="8">
        <f t="shared" si="416"/>
        <v>-13116</v>
      </c>
      <c r="AZ855" s="8">
        <v>729516</v>
      </c>
      <c r="BA855" s="8">
        <f t="shared" si="441"/>
        <v>-11471</v>
      </c>
      <c r="BB855" s="8">
        <v>964977</v>
      </c>
      <c r="BC855" s="8">
        <f t="shared" si="442"/>
        <v>-23585</v>
      </c>
      <c r="BD855" s="8">
        <v>-235461</v>
      </c>
      <c r="BE855" s="8">
        <f t="shared" si="443"/>
        <v>12114</v>
      </c>
      <c r="BF855" s="8">
        <v>438813</v>
      </c>
      <c r="BG855" s="8">
        <f t="shared" si="444"/>
        <v>-13751</v>
      </c>
      <c r="BH855" s="8">
        <v>894066</v>
      </c>
      <c r="BI855" s="8">
        <f t="shared" si="445"/>
        <v>-22131</v>
      </c>
      <c r="BJ855" s="8">
        <v>-455253</v>
      </c>
      <c r="BK855" s="8">
        <f t="shared" si="419"/>
        <v>8380</v>
      </c>
    </row>
    <row r="856" spans="1:63">
      <c r="A856" s="5">
        <f t="shared" si="446"/>
        <v>44859</v>
      </c>
      <c r="B856" s="8">
        <v>482923</v>
      </c>
      <c r="C856" s="8">
        <f t="shared" si="425"/>
        <v>23802</v>
      </c>
      <c r="D856" s="8">
        <v>103802</v>
      </c>
      <c r="E856" s="8">
        <f t="shared" si="426"/>
        <v>20630</v>
      </c>
      <c r="F856" s="8">
        <v>8641</v>
      </c>
      <c r="G856" s="8">
        <f t="shared" si="427"/>
        <v>443</v>
      </c>
      <c r="H856" s="8">
        <v>95161</v>
      </c>
      <c r="I856" s="8">
        <f t="shared" si="428"/>
        <v>20187</v>
      </c>
      <c r="J856" s="8">
        <v>200404</v>
      </c>
      <c r="K856" s="8">
        <f t="shared" si="429"/>
        <v>1923</v>
      </c>
      <c r="L856" s="8">
        <v>306781</v>
      </c>
      <c r="M856" s="8">
        <f t="shared" si="430"/>
        <v>16750</v>
      </c>
      <c r="N856" s="8">
        <v>-106377</v>
      </c>
      <c r="O856" s="8">
        <f t="shared" si="431"/>
        <v>-14827</v>
      </c>
      <c r="P856" s="8">
        <v>95824</v>
      </c>
      <c r="Q856" s="8">
        <f t="shared" si="432"/>
        <v>2800</v>
      </c>
      <c r="R856" s="8">
        <v>287172</v>
      </c>
      <c r="S856" s="8">
        <f t="shared" si="433"/>
        <v>17243</v>
      </c>
      <c r="T856" s="8">
        <v>-191348</v>
      </c>
      <c r="U856" s="8">
        <f t="shared" si="434"/>
        <v>-14443</v>
      </c>
      <c r="W856" s="8">
        <v>426681</v>
      </c>
      <c r="X856" s="8">
        <f t="shared" si="435"/>
        <v>12185</v>
      </c>
      <c r="Y856" s="8">
        <v>95821</v>
      </c>
      <c r="Z856" s="8">
        <f t="shared" si="436"/>
        <v>10673</v>
      </c>
      <c r="AA856" s="8">
        <v>9791</v>
      </c>
      <c r="AB856" s="8">
        <f t="shared" si="417"/>
        <v>-4560</v>
      </c>
      <c r="AC856" s="8">
        <v>86030</v>
      </c>
      <c r="AD856" s="8">
        <f t="shared" si="418"/>
        <v>15233</v>
      </c>
      <c r="AE856" s="8">
        <v>167345</v>
      </c>
      <c r="AF856" s="8">
        <f t="shared" si="420"/>
        <v>-591</v>
      </c>
      <c r="AG856" s="8">
        <v>303545</v>
      </c>
      <c r="AH856" s="8">
        <f t="shared" si="421"/>
        <v>21196</v>
      </c>
      <c r="AI856" s="8">
        <v>-136200</v>
      </c>
      <c r="AJ856" s="8">
        <f t="shared" si="422"/>
        <v>-21787</v>
      </c>
      <c r="AK856" s="8">
        <v>74670</v>
      </c>
      <c r="AL856" s="8">
        <f t="shared" si="423"/>
        <v>855</v>
      </c>
      <c r="AM856" s="8">
        <v>291253</v>
      </c>
      <c r="AN856" s="8">
        <f t="shared" si="424"/>
        <v>23572</v>
      </c>
      <c r="AO856" s="8">
        <v>-216583</v>
      </c>
      <c r="AP856" s="8">
        <f t="shared" si="437"/>
        <v>-22717</v>
      </c>
      <c r="AR856" s="8">
        <v>1862587</v>
      </c>
      <c r="AS856" s="8">
        <f t="shared" si="438"/>
        <v>6299</v>
      </c>
      <c r="AT856" s="8">
        <v>308116</v>
      </c>
      <c r="AU856" s="8">
        <f t="shared" si="439"/>
        <v>14321</v>
      </c>
      <c r="AV856" s="8">
        <v>43742</v>
      </c>
      <c r="AW856" s="8">
        <f t="shared" si="440"/>
        <v>4208</v>
      </c>
      <c r="AX856" s="8">
        <v>264374</v>
      </c>
      <c r="AY856" s="8">
        <f t="shared" si="416"/>
        <v>10113</v>
      </c>
      <c r="AZ856" s="8">
        <v>719699</v>
      </c>
      <c r="BA856" s="8">
        <f t="shared" si="441"/>
        <v>-9817</v>
      </c>
      <c r="BB856" s="8">
        <v>977421</v>
      </c>
      <c r="BC856" s="8">
        <f t="shared" si="442"/>
        <v>12444</v>
      </c>
      <c r="BD856" s="8">
        <v>-257722</v>
      </c>
      <c r="BE856" s="8">
        <f t="shared" si="443"/>
        <v>-22261</v>
      </c>
      <c r="BF856" s="8">
        <v>429316</v>
      </c>
      <c r="BG856" s="8">
        <f t="shared" si="444"/>
        <v>-9497</v>
      </c>
      <c r="BH856" s="8">
        <v>905669</v>
      </c>
      <c r="BI856" s="8">
        <f t="shared" si="445"/>
        <v>11603</v>
      </c>
      <c r="BJ856" s="8">
        <v>-476353</v>
      </c>
      <c r="BK856" s="8">
        <f t="shared" si="419"/>
        <v>-21100</v>
      </c>
    </row>
    <row r="857" spans="1:63">
      <c r="A857" s="5">
        <f t="shared" si="446"/>
        <v>44866</v>
      </c>
      <c r="B857" s="8">
        <v>493168</v>
      </c>
      <c r="C857" s="8">
        <f t="shared" si="425"/>
        <v>10245</v>
      </c>
      <c r="D857" s="8">
        <v>108978</v>
      </c>
      <c r="E857" s="8">
        <f t="shared" si="426"/>
        <v>5176</v>
      </c>
      <c r="F857" s="8">
        <v>8860</v>
      </c>
      <c r="G857" s="8">
        <f t="shared" si="427"/>
        <v>219</v>
      </c>
      <c r="H857" s="8">
        <v>100118</v>
      </c>
      <c r="I857" s="8">
        <f t="shared" si="428"/>
        <v>4957</v>
      </c>
      <c r="J857" s="8">
        <v>197763</v>
      </c>
      <c r="K857" s="8">
        <f t="shared" si="429"/>
        <v>-2641</v>
      </c>
      <c r="L857" s="8">
        <v>309937</v>
      </c>
      <c r="M857" s="8">
        <f t="shared" si="430"/>
        <v>3156</v>
      </c>
      <c r="N857" s="8">
        <v>-112174</v>
      </c>
      <c r="O857" s="8">
        <f t="shared" si="431"/>
        <v>-5797</v>
      </c>
      <c r="P857" s="8">
        <v>95374</v>
      </c>
      <c r="Q857" s="8">
        <f t="shared" si="432"/>
        <v>-450</v>
      </c>
      <c r="R857" s="8">
        <v>288683</v>
      </c>
      <c r="S857" s="8">
        <f t="shared" si="433"/>
        <v>1511</v>
      </c>
      <c r="T857" s="8">
        <v>-193309</v>
      </c>
      <c r="U857" s="8">
        <f t="shared" si="434"/>
        <v>-1961</v>
      </c>
      <c r="W857" s="8">
        <v>435093</v>
      </c>
      <c r="X857" s="8">
        <f t="shared" si="435"/>
        <v>8412</v>
      </c>
      <c r="Y857" s="8">
        <v>104142</v>
      </c>
      <c r="Z857" s="8">
        <f t="shared" si="436"/>
        <v>8321</v>
      </c>
      <c r="AA857" s="8">
        <v>10725</v>
      </c>
      <c r="AB857" s="8">
        <f t="shared" si="417"/>
        <v>934</v>
      </c>
      <c r="AC857" s="8">
        <v>93417</v>
      </c>
      <c r="AD857" s="8">
        <f t="shared" si="418"/>
        <v>7387</v>
      </c>
      <c r="AE857" s="8">
        <v>163397</v>
      </c>
      <c r="AF857" s="8">
        <f t="shared" si="420"/>
        <v>-3948</v>
      </c>
      <c r="AG857" s="8">
        <v>305148</v>
      </c>
      <c r="AH857" s="8">
        <f t="shared" si="421"/>
        <v>1603</v>
      </c>
      <c r="AI857" s="8">
        <v>-141751</v>
      </c>
      <c r="AJ857" s="8">
        <f t="shared" si="422"/>
        <v>-5551</v>
      </c>
      <c r="AK857" s="8">
        <v>74116</v>
      </c>
      <c r="AL857" s="8">
        <f t="shared" si="423"/>
        <v>-554</v>
      </c>
      <c r="AM857" s="8">
        <v>295346</v>
      </c>
      <c r="AN857" s="8">
        <f t="shared" si="424"/>
        <v>4093</v>
      </c>
      <c r="AO857" s="8">
        <v>-221230</v>
      </c>
      <c r="AP857" s="8">
        <f t="shared" si="437"/>
        <v>-4647</v>
      </c>
      <c r="AR857" s="8">
        <v>1916119</v>
      </c>
      <c r="AS857" s="8">
        <f t="shared" si="438"/>
        <v>53532</v>
      </c>
      <c r="AT857" s="8">
        <v>314305</v>
      </c>
      <c r="AU857" s="8">
        <f t="shared" si="439"/>
        <v>6189</v>
      </c>
      <c r="AV857" s="8">
        <v>42345</v>
      </c>
      <c r="AW857" s="8">
        <f t="shared" si="440"/>
        <v>-1397</v>
      </c>
      <c r="AX857" s="8">
        <v>271960</v>
      </c>
      <c r="AY857" s="8">
        <f t="shared" si="416"/>
        <v>7586</v>
      </c>
      <c r="AZ857" s="8">
        <v>729497</v>
      </c>
      <c r="BA857" s="8">
        <f t="shared" si="441"/>
        <v>9798</v>
      </c>
      <c r="BB857" s="8">
        <v>998332</v>
      </c>
      <c r="BC857" s="8">
        <f t="shared" si="442"/>
        <v>20911</v>
      </c>
      <c r="BD857" s="8">
        <v>-268835</v>
      </c>
      <c r="BE857" s="8">
        <f t="shared" si="443"/>
        <v>-11113</v>
      </c>
      <c r="BF857" s="8">
        <v>439204</v>
      </c>
      <c r="BG857" s="8">
        <f t="shared" si="444"/>
        <v>9888</v>
      </c>
      <c r="BH857" s="8">
        <v>929842</v>
      </c>
      <c r="BI857" s="8">
        <f t="shared" si="445"/>
        <v>24173</v>
      </c>
      <c r="BJ857" s="8">
        <v>-490638</v>
      </c>
      <c r="BK857" s="8">
        <f t="shared" si="419"/>
        <v>-14285</v>
      </c>
    </row>
    <row r="858" spans="1:63">
      <c r="A858" s="5">
        <f t="shared" si="446"/>
        <v>44873</v>
      </c>
      <c r="B858" s="8">
        <v>518361</v>
      </c>
      <c r="C858" s="8">
        <f t="shared" si="425"/>
        <v>25193</v>
      </c>
      <c r="D858" s="8">
        <v>111483</v>
      </c>
      <c r="E858" s="8">
        <f t="shared" si="426"/>
        <v>2505</v>
      </c>
      <c r="F858" s="8">
        <v>6273</v>
      </c>
      <c r="G858" s="8">
        <f t="shared" si="427"/>
        <v>-2587</v>
      </c>
      <c r="H858" s="8">
        <v>105210</v>
      </c>
      <c r="I858" s="8">
        <f t="shared" si="428"/>
        <v>5092</v>
      </c>
      <c r="J858" s="8">
        <v>212110</v>
      </c>
      <c r="K858" s="8">
        <f t="shared" si="429"/>
        <v>14347</v>
      </c>
      <c r="L858" s="8">
        <v>327903</v>
      </c>
      <c r="M858" s="8">
        <f t="shared" si="430"/>
        <v>17966</v>
      </c>
      <c r="N858" s="8">
        <v>-115793</v>
      </c>
      <c r="O858" s="8">
        <f t="shared" si="431"/>
        <v>-3619</v>
      </c>
      <c r="P858" s="8">
        <v>110334</v>
      </c>
      <c r="Q858" s="8">
        <f t="shared" si="432"/>
        <v>14960</v>
      </c>
      <c r="R858" s="8">
        <v>310134</v>
      </c>
      <c r="S858" s="8">
        <f t="shared" si="433"/>
        <v>21451</v>
      </c>
      <c r="T858" s="8">
        <v>-199800</v>
      </c>
      <c r="U858" s="8">
        <f t="shared" si="434"/>
        <v>-6491</v>
      </c>
      <c r="W858" s="8">
        <v>453467</v>
      </c>
      <c r="X858" s="8">
        <f t="shared" si="435"/>
        <v>18374</v>
      </c>
      <c r="Y858" s="8">
        <v>105440</v>
      </c>
      <c r="Z858" s="8">
        <f t="shared" si="436"/>
        <v>1298</v>
      </c>
      <c r="AA858" s="8">
        <v>10020</v>
      </c>
      <c r="AB858" s="8">
        <f t="shared" si="417"/>
        <v>-705</v>
      </c>
      <c r="AC858" s="8">
        <v>95420</v>
      </c>
      <c r="AD858" s="8">
        <f t="shared" si="418"/>
        <v>2003</v>
      </c>
      <c r="AE858" s="8">
        <v>167650</v>
      </c>
      <c r="AF858" s="8">
        <f t="shared" si="420"/>
        <v>4253</v>
      </c>
      <c r="AG858" s="8">
        <v>310947</v>
      </c>
      <c r="AH858" s="8">
        <f t="shared" si="421"/>
        <v>5799</v>
      </c>
      <c r="AI858" s="8">
        <v>-143297</v>
      </c>
      <c r="AJ858" s="8">
        <f t="shared" si="422"/>
        <v>-1546</v>
      </c>
      <c r="AK858" s="8">
        <v>74806</v>
      </c>
      <c r="AL858" s="8">
        <f t="shared" si="423"/>
        <v>690</v>
      </c>
      <c r="AM858" s="8">
        <v>299843</v>
      </c>
      <c r="AN858" s="8">
        <f t="shared" si="424"/>
        <v>4497</v>
      </c>
      <c r="AO858" s="8">
        <v>-225037</v>
      </c>
      <c r="AP858" s="8">
        <f t="shared" si="437"/>
        <v>-3807</v>
      </c>
      <c r="AR858" s="8">
        <v>1920077</v>
      </c>
      <c r="AS858" s="8">
        <f t="shared" si="438"/>
        <v>3958</v>
      </c>
      <c r="AT858" s="8">
        <v>293161</v>
      </c>
      <c r="AU858" s="8">
        <f t="shared" si="439"/>
        <v>-21144</v>
      </c>
      <c r="AV858" s="8">
        <v>55499</v>
      </c>
      <c r="AW858" s="8">
        <f t="shared" si="440"/>
        <v>13154</v>
      </c>
      <c r="AX858" s="8">
        <v>237662</v>
      </c>
      <c r="AY858" s="8">
        <f t="shared" si="416"/>
        <v>-34298</v>
      </c>
      <c r="AZ858" s="8">
        <v>762121</v>
      </c>
      <c r="BA858" s="8">
        <f t="shared" si="441"/>
        <v>32624</v>
      </c>
      <c r="BB858" s="8">
        <v>989392</v>
      </c>
      <c r="BC858" s="8">
        <f t="shared" si="442"/>
        <v>-8940</v>
      </c>
      <c r="BD858" s="8">
        <v>-227271</v>
      </c>
      <c r="BE858" s="8">
        <f t="shared" si="443"/>
        <v>41564</v>
      </c>
      <c r="BF858" s="8">
        <v>462395</v>
      </c>
      <c r="BG858" s="8">
        <f t="shared" si="444"/>
        <v>23191</v>
      </c>
      <c r="BH858" s="8">
        <v>923109</v>
      </c>
      <c r="BI858" s="8">
        <f t="shared" si="445"/>
        <v>-6733</v>
      </c>
      <c r="BJ858" s="8">
        <v>-460714</v>
      </c>
      <c r="BK858" s="8">
        <f t="shared" si="419"/>
        <v>29924</v>
      </c>
    </row>
    <row r="859" spans="1:63">
      <c r="A859" s="5">
        <f t="shared" si="446"/>
        <v>44880</v>
      </c>
      <c r="B859" s="8">
        <v>536578</v>
      </c>
      <c r="C859" s="8">
        <f t="shared" si="425"/>
        <v>18217</v>
      </c>
      <c r="D859" s="8">
        <v>115747</v>
      </c>
      <c r="E859" s="8">
        <f t="shared" si="426"/>
        <v>4264</v>
      </c>
      <c r="F859" s="8">
        <v>5376</v>
      </c>
      <c r="G859" s="8">
        <f t="shared" si="427"/>
        <v>-897</v>
      </c>
      <c r="H859" s="8">
        <v>110371</v>
      </c>
      <c r="I859" s="8">
        <f t="shared" si="428"/>
        <v>5161</v>
      </c>
      <c r="J859" s="8">
        <v>218340</v>
      </c>
      <c r="K859" s="8">
        <f t="shared" si="429"/>
        <v>6230</v>
      </c>
      <c r="L859" s="8">
        <v>343369</v>
      </c>
      <c r="M859" s="8">
        <f t="shared" si="430"/>
        <v>15466</v>
      </c>
      <c r="N859" s="8">
        <v>-125029</v>
      </c>
      <c r="O859" s="8">
        <f t="shared" si="431"/>
        <v>-9236</v>
      </c>
      <c r="P859" s="8">
        <v>118398</v>
      </c>
      <c r="Q859" s="8">
        <f t="shared" si="432"/>
        <v>8064</v>
      </c>
      <c r="R859" s="8">
        <v>325947</v>
      </c>
      <c r="S859" s="8">
        <f t="shared" si="433"/>
        <v>15813</v>
      </c>
      <c r="T859" s="8">
        <v>-207549</v>
      </c>
      <c r="U859" s="8">
        <f t="shared" si="434"/>
        <v>-7749</v>
      </c>
      <c r="W859" s="8">
        <v>440919</v>
      </c>
      <c r="X859" s="8">
        <f t="shared" si="435"/>
        <v>-12548</v>
      </c>
      <c r="Y859" s="8">
        <v>90607</v>
      </c>
      <c r="Z859" s="8">
        <f t="shared" si="436"/>
        <v>-14833</v>
      </c>
      <c r="AA859" s="8">
        <v>14897</v>
      </c>
      <c r="AB859" s="8">
        <f t="shared" si="417"/>
        <v>4877</v>
      </c>
      <c r="AC859" s="8">
        <v>75710</v>
      </c>
      <c r="AD859" s="8">
        <f t="shared" si="418"/>
        <v>-19710</v>
      </c>
      <c r="AE859" s="8">
        <v>181808</v>
      </c>
      <c r="AF859" s="8">
        <f t="shared" si="420"/>
        <v>14158</v>
      </c>
      <c r="AG859" s="8">
        <v>301152</v>
      </c>
      <c r="AH859" s="8">
        <f t="shared" si="421"/>
        <v>-9795</v>
      </c>
      <c r="AI859" s="8">
        <v>-119344</v>
      </c>
      <c r="AJ859" s="8">
        <f t="shared" si="422"/>
        <v>23953</v>
      </c>
      <c r="AK859" s="8">
        <v>82855</v>
      </c>
      <c r="AL859" s="8">
        <f t="shared" si="423"/>
        <v>8049</v>
      </c>
      <c r="AM859" s="8">
        <v>287595</v>
      </c>
      <c r="AN859" s="8">
        <f t="shared" si="424"/>
        <v>-12248</v>
      </c>
      <c r="AO859" s="8">
        <v>-204740</v>
      </c>
      <c r="AP859" s="8">
        <f t="shared" si="437"/>
        <v>20297</v>
      </c>
      <c r="AR859" s="8">
        <v>1851206</v>
      </c>
      <c r="AS859" s="8">
        <f t="shared" si="438"/>
        <v>-68871</v>
      </c>
      <c r="AT859" s="8">
        <v>236231</v>
      </c>
      <c r="AU859" s="8">
        <f t="shared" si="439"/>
        <v>-56930</v>
      </c>
      <c r="AV859" s="8">
        <v>59400</v>
      </c>
      <c r="AW859" s="8">
        <f t="shared" si="440"/>
        <v>3901</v>
      </c>
      <c r="AX859" s="8">
        <v>176831</v>
      </c>
      <c r="AY859" s="8">
        <f t="shared" si="416"/>
        <v>-60831</v>
      </c>
      <c r="AZ859" s="8">
        <v>768551</v>
      </c>
      <c r="BA859" s="8">
        <f t="shared" si="441"/>
        <v>6430</v>
      </c>
      <c r="BB859" s="8">
        <v>955010</v>
      </c>
      <c r="BC859" s="8">
        <f t="shared" si="442"/>
        <v>-34382</v>
      </c>
      <c r="BD859" s="8">
        <v>-186459</v>
      </c>
      <c r="BE859" s="8">
        <f t="shared" si="443"/>
        <v>40812</v>
      </c>
      <c r="BF859" s="8">
        <v>462072</v>
      </c>
      <c r="BG859" s="8">
        <f t="shared" si="444"/>
        <v>-323</v>
      </c>
      <c r="BH859" s="8">
        <v>886700</v>
      </c>
      <c r="BI859" s="8">
        <f t="shared" si="445"/>
        <v>-36409</v>
      </c>
      <c r="BJ859" s="8">
        <v>-424628</v>
      </c>
      <c r="BK859" s="8">
        <f t="shared" si="419"/>
        <v>36086</v>
      </c>
    </row>
    <row r="860" spans="1:63">
      <c r="A860" s="5">
        <f t="shared" si="446"/>
        <v>44887</v>
      </c>
      <c r="B860" s="8">
        <v>520069</v>
      </c>
      <c r="C860" s="8">
        <f t="shared" si="425"/>
        <v>-16509</v>
      </c>
      <c r="D860" s="8">
        <v>109222</v>
      </c>
      <c r="E860" s="8">
        <f t="shared" si="426"/>
        <v>-6525</v>
      </c>
      <c r="F860" s="8">
        <v>8948</v>
      </c>
      <c r="G860" s="8">
        <f t="shared" si="427"/>
        <v>3572</v>
      </c>
      <c r="H860" s="8">
        <v>100274</v>
      </c>
      <c r="I860" s="8">
        <f t="shared" si="428"/>
        <v>-10097</v>
      </c>
      <c r="J860" s="8">
        <v>215220</v>
      </c>
      <c r="K860" s="8">
        <f t="shared" si="429"/>
        <v>-3120</v>
      </c>
      <c r="L860" s="8">
        <v>328631</v>
      </c>
      <c r="M860" s="8">
        <f t="shared" si="430"/>
        <v>-14738</v>
      </c>
      <c r="N860" s="8">
        <v>-113411</v>
      </c>
      <c r="O860" s="8">
        <f t="shared" si="431"/>
        <v>11618</v>
      </c>
      <c r="P860" s="8">
        <v>113806</v>
      </c>
      <c r="Q860" s="8">
        <f t="shared" si="432"/>
        <v>-4592</v>
      </c>
      <c r="R860" s="8">
        <v>311206</v>
      </c>
      <c r="S860" s="8">
        <f t="shared" si="433"/>
        <v>-14741</v>
      </c>
      <c r="T860" s="8">
        <v>-197400</v>
      </c>
      <c r="U860" s="8">
        <f t="shared" si="434"/>
        <v>10149</v>
      </c>
      <c r="W860" s="8">
        <v>433521</v>
      </c>
      <c r="X860" s="8">
        <f t="shared" si="435"/>
        <v>-7398</v>
      </c>
      <c r="Y860" s="8">
        <v>88420</v>
      </c>
      <c r="Z860" s="8">
        <f t="shared" si="436"/>
        <v>-2187</v>
      </c>
      <c r="AA860" s="8">
        <v>16605</v>
      </c>
      <c r="AB860" s="8">
        <f t="shared" si="417"/>
        <v>1708</v>
      </c>
      <c r="AC860" s="8">
        <v>71815</v>
      </c>
      <c r="AD860" s="8">
        <f t="shared" si="418"/>
        <v>-3895</v>
      </c>
      <c r="AE860" s="8">
        <v>179651</v>
      </c>
      <c r="AF860" s="8">
        <f t="shared" si="420"/>
        <v>-2157</v>
      </c>
      <c r="AG860" s="8">
        <v>296320</v>
      </c>
      <c r="AH860" s="8">
        <f t="shared" si="421"/>
        <v>-4832</v>
      </c>
      <c r="AI860" s="8">
        <v>-116669</v>
      </c>
      <c r="AJ860" s="8">
        <f t="shared" si="422"/>
        <v>2675</v>
      </c>
      <c r="AK860" s="8">
        <v>80693</v>
      </c>
      <c r="AL860" s="8">
        <f t="shared" si="423"/>
        <v>-2162</v>
      </c>
      <c r="AM860" s="8">
        <v>284011</v>
      </c>
      <c r="AN860" s="8">
        <f t="shared" si="424"/>
        <v>-3584</v>
      </c>
      <c r="AO860" s="8">
        <v>-203318</v>
      </c>
      <c r="AP860" s="8">
        <f t="shared" si="437"/>
        <v>1422</v>
      </c>
      <c r="AR860" s="8">
        <v>1766134</v>
      </c>
      <c r="AS860" s="8">
        <f t="shared" si="438"/>
        <v>-85072</v>
      </c>
      <c r="AT860" s="8">
        <v>225645</v>
      </c>
      <c r="AU860" s="8">
        <f t="shared" si="439"/>
        <v>-10586</v>
      </c>
      <c r="AV860" s="8">
        <v>54878</v>
      </c>
      <c r="AW860" s="8">
        <f t="shared" si="440"/>
        <v>-4522</v>
      </c>
      <c r="AX860" s="8">
        <v>170767</v>
      </c>
      <c r="AY860" s="8">
        <f t="shared" si="416"/>
        <v>-6064</v>
      </c>
      <c r="AZ860" s="8">
        <v>724791</v>
      </c>
      <c r="BA860" s="8">
        <f t="shared" si="441"/>
        <v>-43760</v>
      </c>
      <c r="BB860" s="8">
        <v>908609</v>
      </c>
      <c r="BC860" s="8">
        <f t="shared" si="442"/>
        <v>-46401</v>
      </c>
      <c r="BD860" s="8">
        <v>-183818</v>
      </c>
      <c r="BE860" s="8">
        <f t="shared" si="443"/>
        <v>2641</v>
      </c>
      <c r="BF860" s="8">
        <v>420710</v>
      </c>
      <c r="BG860" s="8">
        <f t="shared" si="444"/>
        <v>-41362</v>
      </c>
      <c r="BH860" s="8">
        <v>841215</v>
      </c>
      <c r="BI860" s="8">
        <f t="shared" si="445"/>
        <v>-45485</v>
      </c>
      <c r="BJ860" s="8">
        <v>-420505</v>
      </c>
      <c r="BK860" s="8">
        <f t="shared" si="419"/>
        <v>4123</v>
      </c>
    </row>
    <row r="861" spans="1:63">
      <c r="A861" s="5">
        <f t="shared" si="446"/>
        <v>44894</v>
      </c>
      <c r="B861" s="8">
        <v>479986</v>
      </c>
      <c r="C861" s="8">
        <f t="shared" si="425"/>
        <v>-40083</v>
      </c>
      <c r="D861" s="8">
        <v>115566</v>
      </c>
      <c r="E861" s="8">
        <f t="shared" si="426"/>
        <v>6344</v>
      </c>
      <c r="F861" s="8">
        <v>10063</v>
      </c>
      <c r="G861" s="8">
        <f t="shared" si="427"/>
        <v>1115</v>
      </c>
      <c r="H861" s="8">
        <v>105503</v>
      </c>
      <c r="I861" s="8">
        <f t="shared" si="428"/>
        <v>5229</v>
      </c>
      <c r="J861" s="8">
        <v>192516</v>
      </c>
      <c r="K861" s="8">
        <f t="shared" si="429"/>
        <v>-22704</v>
      </c>
      <c r="L861" s="8">
        <v>311566</v>
      </c>
      <c r="M861" s="8">
        <f t="shared" si="430"/>
        <v>-17065</v>
      </c>
      <c r="N861" s="8">
        <v>-119050</v>
      </c>
      <c r="O861" s="8">
        <f t="shared" si="431"/>
        <v>-5639</v>
      </c>
      <c r="P861" s="8">
        <v>97555</v>
      </c>
      <c r="Q861" s="8">
        <f t="shared" si="432"/>
        <v>-16251</v>
      </c>
      <c r="R861" s="8">
        <v>296537</v>
      </c>
      <c r="S861" s="8">
        <f t="shared" si="433"/>
        <v>-14669</v>
      </c>
      <c r="T861" s="8">
        <v>-198982</v>
      </c>
      <c r="U861" s="8">
        <f t="shared" si="434"/>
        <v>-1582</v>
      </c>
      <c r="W861" s="8">
        <v>394594</v>
      </c>
      <c r="X861" s="8">
        <f t="shared" si="435"/>
        <v>-38927</v>
      </c>
      <c r="Y861" s="8">
        <v>90480</v>
      </c>
      <c r="Z861" s="8">
        <f t="shared" si="436"/>
        <v>2060</v>
      </c>
      <c r="AA861" s="8">
        <v>15619</v>
      </c>
      <c r="AB861" s="8">
        <f t="shared" si="417"/>
        <v>-986</v>
      </c>
      <c r="AC861" s="8">
        <v>74861</v>
      </c>
      <c r="AD861" s="8">
        <f t="shared" si="418"/>
        <v>3046</v>
      </c>
      <c r="AE861" s="8">
        <v>158820</v>
      </c>
      <c r="AF861" s="8">
        <f t="shared" si="420"/>
        <v>-20831</v>
      </c>
      <c r="AG861" s="8">
        <v>277455</v>
      </c>
      <c r="AH861" s="8">
        <f t="shared" si="421"/>
        <v>-18865</v>
      </c>
      <c r="AI861" s="8">
        <v>-118635</v>
      </c>
      <c r="AJ861" s="8">
        <f t="shared" si="422"/>
        <v>-1966</v>
      </c>
      <c r="AK861" s="8">
        <v>68111</v>
      </c>
      <c r="AL861" s="8">
        <f t="shared" si="423"/>
        <v>-12582</v>
      </c>
      <c r="AM861" s="8">
        <v>269662</v>
      </c>
      <c r="AN861" s="8">
        <f t="shared" si="424"/>
        <v>-14349</v>
      </c>
      <c r="AO861" s="8">
        <v>-201551</v>
      </c>
      <c r="AP861" s="8">
        <f t="shared" si="437"/>
        <v>1767</v>
      </c>
      <c r="AR861" s="8">
        <v>1453268</v>
      </c>
      <c r="AS861" s="8">
        <f t="shared" si="438"/>
        <v>-312866</v>
      </c>
      <c r="AT861" s="8">
        <v>239602</v>
      </c>
      <c r="AU861" s="8">
        <f t="shared" si="439"/>
        <v>13957</v>
      </c>
      <c r="AV861" s="8">
        <v>47971</v>
      </c>
      <c r="AW861" s="8">
        <f t="shared" si="440"/>
        <v>-6907</v>
      </c>
      <c r="AX861" s="8">
        <v>191631</v>
      </c>
      <c r="AY861" s="8">
        <f t="shared" si="416"/>
        <v>20864</v>
      </c>
      <c r="AZ861" s="8">
        <v>622003</v>
      </c>
      <c r="BA861" s="8">
        <f t="shared" si="441"/>
        <v>-102788</v>
      </c>
      <c r="BB861" s="8">
        <v>825124</v>
      </c>
      <c r="BC861" s="8">
        <f t="shared" si="442"/>
        <v>-83485</v>
      </c>
      <c r="BD861" s="8">
        <v>-203121</v>
      </c>
      <c r="BE861" s="8">
        <f t="shared" si="443"/>
        <v>-19303</v>
      </c>
      <c r="BF861" s="8">
        <v>344290</v>
      </c>
      <c r="BG861" s="8">
        <f t="shared" si="444"/>
        <v>-76420</v>
      </c>
      <c r="BH861" s="8">
        <v>785217</v>
      </c>
      <c r="BI861" s="8">
        <f t="shared" si="445"/>
        <v>-55998</v>
      </c>
      <c r="BJ861" s="8">
        <v>-440927</v>
      </c>
      <c r="BK861" s="8">
        <f t="shared" si="419"/>
        <v>-20422</v>
      </c>
    </row>
    <row r="862" spans="1:63">
      <c r="A862" s="5">
        <f t="shared" si="446"/>
        <v>44901</v>
      </c>
      <c r="B862" s="8">
        <v>485549</v>
      </c>
      <c r="C862" s="8">
        <f t="shared" si="425"/>
        <v>5563</v>
      </c>
      <c r="D862" s="8">
        <v>81548</v>
      </c>
      <c r="E862" s="8">
        <f t="shared" si="426"/>
        <v>-34018</v>
      </c>
      <c r="F862" s="8">
        <v>18964</v>
      </c>
      <c r="G862" s="8">
        <f t="shared" si="427"/>
        <v>8901</v>
      </c>
      <c r="H862" s="8">
        <v>62584</v>
      </c>
      <c r="I862" s="8">
        <f t="shared" si="428"/>
        <v>-42919</v>
      </c>
      <c r="J862" s="8">
        <v>217699</v>
      </c>
      <c r="K862" s="8">
        <f t="shared" si="429"/>
        <v>25183</v>
      </c>
      <c r="L862" s="8">
        <v>298276</v>
      </c>
      <c r="M862" s="8">
        <f t="shared" si="430"/>
        <v>-13290</v>
      </c>
      <c r="N862" s="8">
        <v>-80577</v>
      </c>
      <c r="O862" s="8">
        <f t="shared" si="431"/>
        <v>38473</v>
      </c>
      <c r="P862" s="8">
        <v>122834</v>
      </c>
      <c r="Q862" s="8">
        <f t="shared" si="432"/>
        <v>25279</v>
      </c>
      <c r="R862" s="8">
        <v>283845</v>
      </c>
      <c r="S862" s="8">
        <f t="shared" si="433"/>
        <v>-12692</v>
      </c>
      <c r="T862" s="8">
        <v>-161011</v>
      </c>
      <c r="U862" s="8">
        <f t="shared" si="434"/>
        <v>37971</v>
      </c>
      <c r="W862" s="8">
        <v>427153</v>
      </c>
      <c r="X862" s="8">
        <f t="shared" si="435"/>
        <v>32559</v>
      </c>
      <c r="Y862" s="8">
        <v>107043</v>
      </c>
      <c r="Z862" s="8">
        <f t="shared" si="436"/>
        <v>16563</v>
      </c>
      <c r="AA862" s="8">
        <v>8534</v>
      </c>
      <c r="AB862" s="8">
        <f t="shared" si="417"/>
        <v>-7085</v>
      </c>
      <c r="AC862" s="8">
        <v>98509</v>
      </c>
      <c r="AD862" s="8">
        <f t="shared" si="418"/>
        <v>23648</v>
      </c>
      <c r="AE862" s="8">
        <v>158948</v>
      </c>
      <c r="AF862" s="8">
        <f t="shared" si="420"/>
        <v>128</v>
      </c>
      <c r="AG862" s="8">
        <v>299434</v>
      </c>
      <c r="AH862" s="8">
        <f t="shared" si="421"/>
        <v>21979</v>
      </c>
      <c r="AI862" s="8">
        <v>-140486</v>
      </c>
      <c r="AJ862" s="8">
        <f t="shared" si="422"/>
        <v>-21851</v>
      </c>
      <c r="AK862" s="8">
        <v>67869</v>
      </c>
      <c r="AL862" s="8">
        <f t="shared" si="423"/>
        <v>-242</v>
      </c>
      <c r="AM862" s="8">
        <v>288885</v>
      </c>
      <c r="AN862" s="8">
        <f t="shared" si="424"/>
        <v>19223</v>
      </c>
      <c r="AO862" s="8">
        <v>-221016</v>
      </c>
      <c r="AP862" s="8">
        <f t="shared" si="437"/>
        <v>-19465</v>
      </c>
      <c r="AR862" s="8">
        <v>1486178</v>
      </c>
      <c r="AS862" s="8">
        <f t="shared" si="438"/>
        <v>32910</v>
      </c>
      <c r="AT862" s="8">
        <v>196674</v>
      </c>
      <c r="AU862" s="8">
        <f t="shared" si="439"/>
        <v>-42928</v>
      </c>
      <c r="AV862" s="8">
        <v>76461</v>
      </c>
      <c r="AW862" s="8">
        <f t="shared" si="440"/>
        <v>28490</v>
      </c>
      <c r="AX862" s="8">
        <v>120213</v>
      </c>
      <c r="AY862" s="8">
        <f t="shared" si="416"/>
        <v>-71418</v>
      </c>
      <c r="AZ862" s="8">
        <v>678406</v>
      </c>
      <c r="BA862" s="8">
        <f t="shared" si="441"/>
        <v>56403</v>
      </c>
      <c r="BB862" s="8">
        <v>798389</v>
      </c>
      <c r="BC862" s="8">
        <f t="shared" si="442"/>
        <v>-26735</v>
      </c>
      <c r="BD862" s="8">
        <v>-119983</v>
      </c>
      <c r="BE862" s="8">
        <f t="shared" si="443"/>
        <v>83138</v>
      </c>
      <c r="BF862" s="8">
        <v>401770</v>
      </c>
      <c r="BG862" s="8">
        <f t="shared" si="444"/>
        <v>57480</v>
      </c>
      <c r="BH862" s="8">
        <v>758384</v>
      </c>
      <c r="BI862" s="8">
        <f t="shared" si="445"/>
        <v>-26833</v>
      </c>
      <c r="BJ862" s="8">
        <v>-356614</v>
      </c>
      <c r="BK862" s="8">
        <f t="shared" si="419"/>
        <v>84313</v>
      </c>
    </row>
    <row r="863" spans="1:63">
      <c r="A863" s="5">
        <f t="shared" si="446"/>
        <v>44908</v>
      </c>
      <c r="B863" s="8">
        <v>464030</v>
      </c>
      <c r="C863" s="8">
        <f t="shared" si="425"/>
        <v>-21519</v>
      </c>
      <c r="D863" s="8">
        <v>73180</v>
      </c>
      <c r="E863" s="8">
        <f t="shared" si="426"/>
        <v>-8368</v>
      </c>
      <c r="F863" s="8">
        <v>19831</v>
      </c>
      <c r="G863" s="8">
        <f t="shared" si="427"/>
        <v>867</v>
      </c>
      <c r="H863" s="8">
        <v>53349</v>
      </c>
      <c r="I863" s="8">
        <f t="shared" si="428"/>
        <v>-9235</v>
      </c>
      <c r="J863" s="8">
        <v>219095</v>
      </c>
      <c r="K863" s="8">
        <f t="shared" si="429"/>
        <v>1396</v>
      </c>
      <c r="L863" s="8">
        <v>285389</v>
      </c>
      <c r="M863" s="8">
        <f t="shared" si="430"/>
        <v>-12887</v>
      </c>
      <c r="N863" s="8">
        <v>-66294</v>
      </c>
      <c r="O863" s="8">
        <f t="shared" si="431"/>
        <v>14283</v>
      </c>
      <c r="P863" s="8">
        <v>115940</v>
      </c>
      <c r="Q863" s="8">
        <f t="shared" si="432"/>
        <v>-6894</v>
      </c>
      <c r="R863" s="8">
        <v>266591</v>
      </c>
      <c r="S863" s="8">
        <f t="shared" si="433"/>
        <v>-17254</v>
      </c>
      <c r="T863" s="8">
        <v>-150651</v>
      </c>
      <c r="U863" s="8">
        <f t="shared" si="434"/>
        <v>10360</v>
      </c>
      <c r="W863" s="8">
        <v>438398</v>
      </c>
      <c r="X863" s="8">
        <f t="shared" si="435"/>
        <v>11245</v>
      </c>
      <c r="Y863" s="8">
        <v>118372</v>
      </c>
      <c r="Z863" s="8">
        <f t="shared" si="436"/>
        <v>11329</v>
      </c>
      <c r="AA863" s="8">
        <v>3886</v>
      </c>
      <c r="AB863" s="8">
        <f t="shared" si="417"/>
        <v>-4648</v>
      </c>
      <c r="AC863" s="8">
        <v>114486</v>
      </c>
      <c r="AD863" s="8">
        <f t="shared" si="418"/>
        <v>15977</v>
      </c>
      <c r="AE863" s="8">
        <v>153894</v>
      </c>
      <c r="AF863" s="8">
        <f t="shared" si="420"/>
        <v>-5054</v>
      </c>
      <c r="AG863" s="8">
        <v>306628</v>
      </c>
      <c r="AH863" s="8">
        <f t="shared" si="421"/>
        <v>7194</v>
      </c>
      <c r="AI863" s="8">
        <v>-152734</v>
      </c>
      <c r="AJ863" s="8">
        <f t="shared" si="422"/>
        <v>-12248</v>
      </c>
      <c r="AK863" s="8">
        <v>64073</v>
      </c>
      <c r="AL863" s="8">
        <f t="shared" si="423"/>
        <v>-3796</v>
      </c>
      <c r="AM863" s="8">
        <v>295507</v>
      </c>
      <c r="AN863" s="8">
        <f t="shared" si="424"/>
        <v>6622</v>
      </c>
      <c r="AO863" s="8">
        <v>-231434</v>
      </c>
      <c r="AP863" s="8">
        <f t="shared" si="437"/>
        <v>-10418</v>
      </c>
      <c r="AR863" s="8">
        <v>1457563</v>
      </c>
      <c r="AS863" s="8">
        <f t="shared" si="438"/>
        <v>-28615</v>
      </c>
      <c r="AT863" s="8">
        <v>192443</v>
      </c>
      <c r="AU863" s="8">
        <f t="shared" si="439"/>
        <v>-4231</v>
      </c>
      <c r="AV863" s="8">
        <v>65337</v>
      </c>
      <c r="AW863" s="8">
        <f t="shared" si="440"/>
        <v>-11124</v>
      </c>
      <c r="AX863" s="8">
        <v>127106</v>
      </c>
      <c r="AY863" s="8">
        <f t="shared" si="416"/>
        <v>6893</v>
      </c>
      <c r="AZ863" s="8">
        <v>649218</v>
      </c>
      <c r="BA863" s="8">
        <f t="shared" si="441"/>
        <v>-29188</v>
      </c>
      <c r="BB863" s="8">
        <v>787454</v>
      </c>
      <c r="BC863" s="8">
        <f t="shared" si="442"/>
        <v>-10935</v>
      </c>
      <c r="BD863" s="8">
        <v>-138236</v>
      </c>
      <c r="BE863" s="8">
        <f t="shared" si="443"/>
        <v>-18253</v>
      </c>
      <c r="BF863" s="8">
        <v>379631</v>
      </c>
      <c r="BG863" s="8">
        <f t="shared" si="444"/>
        <v>-22139</v>
      </c>
      <c r="BH863" s="8">
        <v>747401</v>
      </c>
      <c r="BI863" s="8">
        <f t="shared" si="445"/>
        <v>-10983</v>
      </c>
      <c r="BJ863" s="8">
        <v>-367770</v>
      </c>
      <c r="BK863" s="8">
        <f t="shared" si="419"/>
        <v>-11156</v>
      </c>
    </row>
    <row r="864" spans="1:63">
      <c r="A864" s="5">
        <f t="shared" si="446"/>
        <v>44915</v>
      </c>
      <c r="B864" s="8">
        <v>445456</v>
      </c>
      <c r="C864" s="8">
        <f t="shared" si="425"/>
        <v>-18574</v>
      </c>
      <c r="D864" s="8">
        <v>73478</v>
      </c>
      <c r="E864" s="8">
        <f t="shared" si="426"/>
        <v>298</v>
      </c>
      <c r="F864" s="8">
        <v>15348</v>
      </c>
      <c r="G864" s="8">
        <f t="shared" si="427"/>
        <v>-4483</v>
      </c>
      <c r="H864" s="8">
        <v>58130</v>
      </c>
      <c r="I864" s="8">
        <f t="shared" si="428"/>
        <v>4781</v>
      </c>
      <c r="J864" s="8">
        <v>202381</v>
      </c>
      <c r="K864" s="8">
        <f t="shared" si="429"/>
        <v>-16714</v>
      </c>
      <c r="L864" s="8">
        <v>276245</v>
      </c>
      <c r="M864" s="8">
        <f t="shared" si="430"/>
        <v>-9144</v>
      </c>
      <c r="N864" s="8">
        <v>-73864</v>
      </c>
      <c r="O864" s="8">
        <f t="shared" si="431"/>
        <v>-7570</v>
      </c>
      <c r="P864" s="8">
        <v>101015</v>
      </c>
      <c r="Q864" s="8">
        <f t="shared" si="432"/>
        <v>-14925</v>
      </c>
      <c r="R864" s="8">
        <v>261305</v>
      </c>
      <c r="S864" s="8">
        <f t="shared" si="433"/>
        <v>-5286</v>
      </c>
      <c r="T864" s="8">
        <v>-160290</v>
      </c>
      <c r="U864" s="8">
        <f t="shared" si="434"/>
        <v>-9639</v>
      </c>
      <c r="W864" s="8">
        <v>453264</v>
      </c>
      <c r="X864" s="8">
        <f t="shared" si="435"/>
        <v>14866</v>
      </c>
      <c r="Y864" s="8">
        <v>124390</v>
      </c>
      <c r="Z864" s="8">
        <f t="shared" si="436"/>
        <v>6018</v>
      </c>
      <c r="AA864" s="8">
        <v>3127</v>
      </c>
      <c r="AB864" s="8">
        <f t="shared" si="417"/>
        <v>-759</v>
      </c>
      <c r="AC864" s="8">
        <v>121263</v>
      </c>
      <c r="AD864" s="8">
        <f t="shared" si="418"/>
        <v>6777</v>
      </c>
      <c r="AE864" s="8">
        <v>160456</v>
      </c>
      <c r="AF864" s="8">
        <f t="shared" si="420"/>
        <v>6562</v>
      </c>
      <c r="AG864" s="8">
        <v>322481</v>
      </c>
      <c r="AH864" s="8">
        <f t="shared" si="421"/>
        <v>15853</v>
      </c>
      <c r="AI864" s="8">
        <v>-162025</v>
      </c>
      <c r="AJ864" s="8">
        <f t="shared" si="422"/>
        <v>-9291</v>
      </c>
      <c r="AK864" s="8">
        <v>68745</v>
      </c>
      <c r="AL864" s="8">
        <f t="shared" si="423"/>
        <v>4672</v>
      </c>
      <c r="AM864" s="8">
        <v>308862</v>
      </c>
      <c r="AN864" s="8">
        <f t="shared" si="424"/>
        <v>13355</v>
      </c>
      <c r="AO864" s="8">
        <v>-240117</v>
      </c>
      <c r="AP864" s="8">
        <f t="shared" si="437"/>
        <v>-8683</v>
      </c>
      <c r="AR864" s="8">
        <v>1443655</v>
      </c>
      <c r="AS864" s="8">
        <f t="shared" si="438"/>
        <v>-13908</v>
      </c>
      <c r="AT864" s="8">
        <v>180236</v>
      </c>
      <c r="AU864" s="8">
        <f t="shared" si="439"/>
        <v>-12207</v>
      </c>
      <c r="AV864" s="8">
        <v>66421</v>
      </c>
      <c r="AW864" s="8">
        <f t="shared" si="440"/>
        <v>1084</v>
      </c>
      <c r="AX864" s="8">
        <v>113815</v>
      </c>
      <c r="AY864" s="8">
        <f t="shared" si="416"/>
        <v>-13291</v>
      </c>
      <c r="AZ864" s="8">
        <v>638287</v>
      </c>
      <c r="BA864" s="8">
        <f t="shared" si="441"/>
        <v>-10931</v>
      </c>
      <c r="BB864" s="8">
        <v>760022</v>
      </c>
      <c r="BC864" s="8">
        <f t="shared" si="442"/>
        <v>-27432</v>
      </c>
      <c r="BD864" s="8">
        <v>-121735</v>
      </c>
      <c r="BE864" s="8">
        <f t="shared" si="443"/>
        <v>16501</v>
      </c>
      <c r="BF864" s="8">
        <v>371664</v>
      </c>
      <c r="BG864" s="8">
        <f t="shared" si="444"/>
        <v>-7967</v>
      </c>
      <c r="BH864" s="8">
        <v>714819</v>
      </c>
      <c r="BI864" s="8">
        <f t="shared" si="445"/>
        <v>-32582</v>
      </c>
      <c r="BJ864" s="8">
        <v>-343155</v>
      </c>
      <c r="BK864" s="8">
        <f t="shared" si="419"/>
        <v>24615</v>
      </c>
    </row>
    <row r="865" spans="1:63">
      <c r="A865" s="5">
        <f t="shared" si="446"/>
        <v>44922</v>
      </c>
      <c r="B865" s="8">
        <v>403106</v>
      </c>
      <c r="C865" s="8">
        <f t="shared" si="425"/>
        <v>-42350</v>
      </c>
      <c r="D865" s="8">
        <v>77360</v>
      </c>
      <c r="E865" s="8">
        <f t="shared" si="426"/>
        <v>3882</v>
      </c>
      <c r="F865" s="8">
        <v>11773</v>
      </c>
      <c r="G865" s="8">
        <f t="shared" si="427"/>
        <v>-3575</v>
      </c>
      <c r="H865" s="8">
        <v>65587</v>
      </c>
      <c r="I865" s="8">
        <f t="shared" si="428"/>
        <v>7457</v>
      </c>
      <c r="J865" s="8">
        <v>184740</v>
      </c>
      <c r="K865" s="8">
        <f t="shared" si="429"/>
        <v>-17641</v>
      </c>
      <c r="L865" s="8">
        <v>267223</v>
      </c>
      <c r="M865" s="8">
        <f t="shared" si="430"/>
        <v>-9022</v>
      </c>
      <c r="N865" s="8">
        <v>-82483</v>
      </c>
      <c r="O865" s="8">
        <f t="shared" si="431"/>
        <v>-8619</v>
      </c>
      <c r="P865" s="8">
        <v>88968</v>
      </c>
      <c r="Q865" s="8">
        <f t="shared" si="432"/>
        <v>-12047</v>
      </c>
      <c r="R865" s="8">
        <v>257237</v>
      </c>
      <c r="S865" s="8">
        <f t="shared" si="433"/>
        <v>-4068</v>
      </c>
      <c r="T865" s="8">
        <v>-168269</v>
      </c>
      <c r="U865" s="8">
        <f t="shared" si="434"/>
        <v>-7979</v>
      </c>
      <c r="W865" s="8">
        <v>435113</v>
      </c>
      <c r="X865" s="8">
        <f t="shared" si="435"/>
        <v>-18151</v>
      </c>
      <c r="Y865" s="8">
        <v>133536</v>
      </c>
      <c r="Z865" s="8">
        <f t="shared" si="436"/>
        <v>9146</v>
      </c>
      <c r="AA865" s="8">
        <v>3547</v>
      </c>
      <c r="AB865" s="8">
        <f t="shared" si="417"/>
        <v>420</v>
      </c>
      <c r="AC865" s="8">
        <v>129989</v>
      </c>
      <c r="AD865" s="8">
        <f t="shared" si="418"/>
        <v>8726</v>
      </c>
      <c r="AE865" s="8">
        <v>155035</v>
      </c>
      <c r="AF865" s="8">
        <f t="shared" si="420"/>
        <v>-5421</v>
      </c>
      <c r="AG865" s="8">
        <v>319243</v>
      </c>
      <c r="AH865" s="8">
        <f t="shared" si="421"/>
        <v>-3238</v>
      </c>
      <c r="AI865" s="8">
        <v>-164208</v>
      </c>
      <c r="AJ865" s="8">
        <f t="shared" si="422"/>
        <v>-2183</v>
      </c>
      <c r="AK865" s="8">
        <v>65080</v>
      </c>
      <c r="AL865" s="8">
        <f t="shared" si="423"/>
        <v>-3665</v>
      </c>
      <c r="AM865" s="8">
        <v>307825</v>
      </c>
      <c r="AN865" s="8">
        <f t="shared" si="424"/>
        <v>-1037</v>
      </c>
      <c r="AO865" s="8">
        <v>-242745</v>
      </c>
      <c r="AP865" s="8">
        <f t="shared" si="437"/>
        <v>-2628</v>
      </c>
      <c r="AR865" s="8">
        <v>1423239</v>
      </c>
      <c r="AS865" s="8">
        <f t="shared" si="438"/>
        <v>-20416</v>
      </c>
      <c r="AT865" s="8">
        <v>214313</v>
      </c>
      <c r="AU865" s="8">
        <f t="shared" si="439"/>
        <v>34077</v>
      </c>
      <c r="AV865" s="8">
        <v>54998</v>
      </c>
      <c r="AW865" s="8">
        <f t="shared" si="440"/>
        <v>-11423</v>
      </c>
      <c r="AX865" s="8">
        <v>159315</v>
      </c>
      <c r="AY865" s="8">
        <f t="shared" si="416"/>
        <v>45500</v>
      </c>
      <c r="AZ865" s="8">
        <v>615460</v>
      </c>
      <c r="BA865" s="8">
        <f t="shared" si="441"/>
        <v>-22827</v>
      </c>
      <c r="BB865" s="8">
        <v>782781</v>
      </c>
      <c r="BC865" s="8">
        <f t="shared" si="442"/>
        <v>22759</v>
      </c>
      <c r="BD865" s="8">
        <v>-167321</v>
      </c>
      <c r="BE865" s="8">
        <f t="shared" si="443"/>
        <v>-45586</v>
      </c>
      <c r="BF865" s="8">
        <v>349275</v>
      </c>
      <c r="BG865" s="8">
        <f t="shared" si="444"/>
        <v>-22389</v>
      </c>
      <c r="BH865" s="8">
        <v>737320</v>
      </c>
      <c r="BI865" s="8">
        <f t="shared" si="445"/>
        <v>22501</v>
      </c>
      <c r="BJ865" s="8">
        <v>-388045</v>
      </c>
      <c r="BK865" s="8">
        <f t="shared" si="419"/>
        <v>-44890</v>
      </c>
    </row>
    <row r="866" spans="1:63">
      <c r="A866" s="5">
        <f t="shared" si="446"/>
        <v>44929</v>
      </c>
      <c r="B866" s="8">
        <v>406954</v>
      </c>
      <c r="C866" s="8">
        <f t="shared" si="425"/>
        <v>3848</v>
      </c>
      <c r="D866" s="8">
        <v>77497</v>
      </c>
      <c r="E866" s="8">
        <f t="shared" si="426"/>
        <v>137</v>
      </c>
      <c r="F866" s="8">
        <v>13735</v>
      </c>
      <c r="G866" s="8">
        <f t="shared" si="427"/>
        <v>1962</v>
      </c>
      <c r="H866" s="8">
        <v>63762</v>
      </c>
      <c r="I866" s="8">
        <f t="shared" si="428"/>
        <v>-1825</v>
      </c>
      <c r="J866" s="8">
        <v>189022</v>
      </c>
      <c r="K866" s="8">
        <f t="shared" si="429"/>
        <v>4282</v>
      </c>
      <c r="L866" s="8">
        <v>268169</v>
      </c>
      <c r="M866" s="8">
        <f t="shared" si="430"/>
        <v>946</v>
      </c>
      <c r="N866" s="8">
        <v>-79147</v>
      </c>
      <c r="O866" s="8">
        <f t="shared" si="431"/>
        <v>3336</v>
      </c>
      <c r="P866" s="8">
        <v>90410</v>
      </c>
      <c r="Q866" s="8">
        <f t="shared" si="432"/>
        <v>1442</v>
      </c>
      <c r="R866" s="8">
        <v>256807</v>
      </c>
      <c r="S866" s="8">
        <f t="shared" si="433"/>
        <v>-430</v>
      </c>
      <c r="T866" s="8">
        <v>-166397</v>
      </c>
      <c r="U866" s="8">
        <f t="shared" si="434"/>
        <v>1872</v>
      </c>
      <c r="W866" s="8">
        <v>445612</v>
      </c>
      <c r="X866" s="8">
        <f t="shared" si="435"/>
        <v>10499</v>
      </c>
      <c r="Y866" s="8">
        <v>144106</v>
      </c>
      <c r="Z866" s="8">
        <f t="shared" si="436"/>
        <v>10570</v>
      </c>
      <c r="AA866" s="8">
        <v>2229</v>
      </c>
      <c r="AB866" s="8">
        <f t="shared" si="417"/>
        <v>-1318</v>
      </c>
      <c r="AC866" s="8">
        <v>141877</v>
      </c>
      <c r="AD866" s="8">
        <f t="shared" si="418"/>
        <v>11888</v>
      </c>
      <c r="AE866" s="8">
        <v>153971</v>
      </c>
      <c r="AF866" s="8">
        <f t="shared" si="420"/>
        <v>-1064</v>
      </c>
      <c r="AG866" s="8">
        <v>327391</v>
      </c>
      <c r="AH866" s="8">
        <f t="shared" si="421"/>
        <v>8148</v>
      </c>
      <c r="AI866" s="8">
        <v>-173420</v>
      </c>
      <c r="AJ866" s="8">
        <f t="shared" si="422"/>
        <v>-9212</v>
      </c>
      <c r="AK866" s="8">
        <v>64020</v>
      </c>
      <c r="AL866" s="8">
        <f t="shared" si="423"/>
        <v>-1060</v>
      </c>
      <c r="AM866" s="8">
        <v>314603</v>
      </c>
      <c r="AN866" s="8">
        <f t="shared" si="424"/>
        <v>6778</v>
      </c>
      <c r="AO866" s="8">
        <v>-250583</v>
      </c>
      <c r="AP866" s="8">
        <f t="shared" si="437"/>
        <v>-7838</v>
      </c>
      <c r="AR866" s="8">
        <v>1469933</v>
      </c>
      <c r="AS866" s="8">
        <f t="shared" si="438"/>
        <v>46694</v>
      </c>
      <c r="AT866" s="8">
        <v>243553</v>
      </c>
      <c r="AU866" s="8">
        <f t="shared" si="439"/>
        <v>29240</v>
      </c>
      <c r="AV866" s="8">
        <v>47096</v>
      </c>
      <c r="AW866" s="8">
        <f t="shared" si="440"/>
        <v>-7902</v>
      </c>
      <c r="AX866" s="8">
        <v>196457</v>
      </c>
      <c r="AY866" s="8">
        <f t="shared" si="416"/>
        <v>37142</v>
      </c>
      <c r="AZ866" s="8">
        <v>613746</v>
      </c>
      <c r="BA866" s="8">
        <f t="shared" si="441"/>
        <v>-1714</v>
      </c>
      <c r="BB866" s="8">
        <v>809432</v>
      </c>
      <c r="BC866" s="8">
        <f t="shared" si="442"/>
        <v>26651</v>
      </c>
      <c r="BD866" s="8">
        <v>-195686</v>
      </c>
      <c r="BE866" s="8">
        <f t="shared" si="443"/>
        <v>-28365</v>
      </c>
      <c r="BF866" s="8">
        <v>341821</v>
      </c>
      <c r="BG866" s="8">
        <f t="shared" si="444"/>
        <v>-7454</v>
      </c>
      <c r="BH866" s="8">
        <v>761033</v>
      </c>
      <c r="BI866" s="8">
        <f t="shared" si="445"/>
        <v>23713</v>
      </c>
      <c r="BJ866" s="8">
        <v>-419212</v>
      </c>
      <c r="BK866" s="8">
        <f t="shared" si="419"/>
        <v>-31167</v>
      </c>
    </row>
    <row r="867" spans="1:63">
      <c r="A867" s="5">
        <f t="shared" si="446"/>
        <v>44936</v>
      </c>
      <c r="B867" s="8">
        <v>408665</v>
      </c>
      <c r="C867" s="8">
        <f t="shared" si="425"/>
        <v>1711</v>
      </c>
      <c r="D867" s="8">
        <v>68982</v>
      </c>
      <c r="E867" s="8">
        <f t="shared" si="426"/>
        <v>-8515</v>
      </c>
      <c r="F867" s="8">
        <v>14368</v>
      </c>
      <c r="G867" s="8">
        <f t="shared" si="427"/>
        <v>633</v>
      </c>
      <c r="H867" s="8">
        <v>54614</v>
      </c>
      <c r="I867" s="8">
        <f t="shared" si="428"/>
        <v>-9148</v>
      </c>
      <c r="J867" s="8">
        <v>196025</v>
      </c>
      <c r="K867" s="8">
        <f t="shared" si="429"/>
        <v>7003</v>
      </c>
      <c r="L867" s="8">
        <v>263902</v>
      </c>
      <c r="M867" s="8">
        <f t="shared" si="430"/>
        <v>-4267</v>
      </c>
      <c r="N867" s="8">
        <v>-67877</v>
      </c>
      <c r="O867" s="8">
        <f t="shared" si="431"/>
        <v>11270</v>
      </c>
      <c r="P867" s="8">
        <v>96382</v>
      </c>
      <c r="Q867" s="8">
        <f t="shared" si="432"/>
        <v>5972</v>
      </c>
      <c r="R867" s="8">
        <v>252986</v>
      </c>
      <c r="S867" s="8">
        <f t="shared" si="433"/>
        <v>-3821</v>
      </c>
      <c r="T867" s="8">
        <v>-156604</v>
      </c>
      <c r="U867" s="8">
        <f t="shared" si="434"/>
        <v>9793</v>
      </c>
      <c r="W867" s="8">
        <v>454472</v>
      </c>
      <c r="X867" s="8">
        <f t="shared" si="435"/>
        <v>8860</v>
      </c>
      <c r="Y867" s="8">
        <v>145226</v>
      </c>
      <c r="Z867" s="8">
        <f t="shared" si="436"/>
        <v>1120</v>
      </c>
      <c r="AA867" s="8">
        <v>2515</v>
      </c>
      <c r="AB867" s="8">
        <f t="shared" si="417"/>
        <v>286</v>
      </c>
      <c r="AC867" s="8">
        <v>142711</v>
      </c>
      <c r="AD867" s="8">
        <f t="shared" si="418"/>
        <v>834</v>
      </c>
      <c r="AE867" s="8">
        <v>143922</v>
      </c>
      <c r="AF867" s="8">
        <f t="shared" si="420"/>
        <v>-10049</v>
      </c>
      <c r="AG867" s="8">
        <v>321977</v>
      </c>
      <c r="AH867" s="8">
        <f t="shared" si="421"/>
        <v>-5414</v>
      </c>
      <c r="AI867" s="8">
        <v>-178055</v>
      </c>
      <c r="AJ867" s="8">
        <f t="shared" si="422"/>
        <v>-4635</v>
      </c>
      <c r="AK867" s="8">
        <v>59526</v>
      </c>
      <c r="AL867" s="8">
        <f t="shared" si="423"/>
        <v>-4494</v>
      </c>
      <c r="AM867" s="8">
        <v>309646</v>
      </c>
      <c r="AN867" s="8">
        <f t="shared" si="424"/>
        <v>-4957</v>
      </c>
      <c r="AO867" s="8">
        <v>-250120</v>
      </c>
      <c r="AP867" s="8">
        <f t="shared" si="437"/>
        <v>463</v>
      </c>
      <c r="AR867" s="8">
        <v>1481932</v>
      </c>
      <c r="AS867" s="8">
        <f t="shared" si="438"/>
        <v>11999</v>
      </c>
      <c r="AT867" s="8">
        <v>211823</v>
      </c>
      <c r="AU867" s="8">
        <f t="shared" si="439"/>
        <v>-31730</v>
      </c>
      <c r="AV867" s="8">
        <v>62218</v>
      </c>
      <c r="AW867" s="8">
        <f t="shared" si="440"/>
        <v>15122</v>
      </c>
      <c r="AX867" s="8">
        <v>149605</v>
      </c>
      <c r="AY867" s="8">
        <f t="shared" si="416"/>
        <v>-46852</v>
      </c>
      <c r="AZ867" s="8">
        <v>643589</v>
      </c>
      <c r="BA867" s="8">
        <f t="shared" si="441"/>
        <v>29843</v>
      </c>
      <c r="BB867" s="8">
        <v>797497</v>
      </c>
      <c r="BC867" s="8">
        <f t="shared" si="442"/>
        <v>-11935</v>
      </c>
      <c r="BD867" s="8">
        <v>-153908</v>
      </c>
      <c r="BE867" s="8">
        <f t="shared" si="443"/>
        <v>41778</v>
      </c>
      <c r="BF867" s="8">
        <v>371384</v>
      </c>
      <c r="BG867" s="8">
        <f t="shared" si="444"/>
        <v>29563</v>
      </c>
      <c r="BH867" s="8">
        <v>744250</v>
      </c>
      <c r="BI867" s="8">
        <f t="shared" si="445"/>
        <v>-16783</v>
      </c>
      <c r="BJ867" s="8">
        <v>-372866</v>
      </c>
      <c r="BK867" s="8">
        <f t="shared" si="419"/>
        <v>46346</v>
      </c>
    </row>
    <row r="868" spans="1:63">
      <c r="A868" s="5">
        <f t="shared" si="446"/>
        <v>44943</v>
      </c>
      <c r="B868" s="8">
        <v>412731</v>
      </c>
      <c r="C868" s="8">
        <f t="shared" si="425"/>
        <v>4066</v>
      </c>
      <c r="D868" s="8">
        <v>68600</v>
      </c>
      <c r="E868" s="8">
        <f t="shared" si="426"/>
        <v>-382</v>
      </c>
      <c r="F868" s="8">
        <v>14592</v>
      </c>
      <c r="G868" s="8">
        <f t="shared" si="427"/>
        <v>224</v>
      </c>
      <c r="H868" s="8">
        <v>54008</v>
      </c>
      <c r="I868" s="8">
        <f t="shared" si="428"/>
        <v>-606</v>
      </c>
      <c r="J868" s="8">
        <v>200031</v>
      </c>
      <c r="K868" s="8">
        <f t="shared" si="429"/>
        <v>4006</v>
      </c>
      <c r="L868" s="8">
        <v>268114</v>
      </c>
      <c r="M868" s="8">
        <f t="shared" si="430"/>
        <v>4212</v>
      </c>
      <c r="N868" s="8">
        <v>-68083</v>
      </c>
      <c r="O868" s="8">
        <f t="shared" si="431"/>
        <v>-206</v>
      </c>
      <c r="P868" s="8">
        <v>99879</v>
      </c>
      <c r="Q868" s="8">
        <f t="shared" si="432"/>
        <v>3497</v>
      </c>
      <c r="R868" s="8">
        <v>257319</v>
      </c>
      <c r="S868" s="8">
        <f t="shared" si="433"/>
        <v>4333</v>
      </c>
      <c r="T868" s="8">
        <v>-157440</v>
      </c>
      <c r="U868" s="8">
        <f t="shared" si="434"/>
        <v>-836</v>
      </c>
      <c r="W868" s="8">
        <v>463876</v>
      </c>
      <c r="X868" s="8">
        <f t="shared" si="435"/>
        <v>9404</v>
      </c>
      <c r="Y868" s="8">
        <v>153531</v>
      </c>
      <c r="Z868" s="8">
        <f t="shared" si="436"/>
        <v>8305</v>
      </c>
      <c r="AA868" s="8">
        <v>2592</v>
      </c>
      <c r="AB868" s="8">
        <f t="shared" si="417"/>
        <v>77</v>
      </c>
      <c r="AC868" s="8">
        <v>150939</v>
      </c>
      <c r="AD868" s="8">
        <f t="shared" si="418"/>
        <v>8228</v>
      </c>
      <c r="AE868" s="8">
        <v>138382</v>
      </c>
      <c r="AF868" s="8">
        <f t="shared" si="420"/>
        <v>-5540</v>
      </c>
      <c r="AG868" s="8">
        <v>323243</v>
      </c>
      <c r="AH868" s="8">
        <f t="shared" si="421"/>
        <v>1266</v>
      </c>
      <c r="AI868" s="8">
        <v>-184861</v>
      </c>
      <c r="AJ868" s="8">
        <f t="shared" si="422"/>
        <v>-6806</v>
      </c>
      <c r="AK868" s="8">
        <v>59746</v>
      </c>
      <c r="AL868" s="8">
        <f t="shared" si="423"/>
        <v>220</v>
      </c>
      <c r="AM868" s="8">
        <v>314614</v>
      </c>
      <c r="AN868" s="8">
        <f t="shared" si="424"/>
        <v>4968</v>
      </c>
      <c r="AO868" s="8">
        <v>-254868</v>
      </c>
      <c r="AP868" s="8">
        <f t="shared" si="437"/>
        <v>-4748</v>
      </c>
      <c r="AR868" s="8">
        <v>1552011</v>
      </c>
      <c r="AS868" s="8">
        <f t="shared" si="438"/>
        <v>70079</v>
      </c>
      <c r="AT868" s="8">
        <v>253836</v>
      </c>
      <c r="AU868" s="8">
        <f t="shared" si="439"/>
        <v>42013</v>
      </c>
      <c r="AV868" s="8">
        <v>61699</v>
      </c>
      <c r="AW868" s="8">
        <f t="shared" si="440"/>
        <v>-519</v>
      </c>
      <c r="AX868" s="8">
        <v>192137</v>
      </c>
      <c r="AY868" s="8">
        <f t="shared" si="416"/>
        <v>42532</v>
      </c>
      <c r="AZ868" s="8">
        <v>649460</v>
      </c>
      <c r="BA868" s="8">
        <f t="shared" si="441"/>
        <v>5871</v>
      </c>
      <c r="BB868" s="8">
        <v>836803</v>
      </c>
      <c r="BC868" s="8">
        <f t="shared" si="442"/>
        <v>39306</v>
      </c>
      <c r="BD868" s="8">
        <v>-187343</v>
      </c>
      <c r="BE868" s="8">
        <f t="shared" si="443"/>
        <v>-33435</v>
      </c>
      <c r="BF868" s="8">
        <v>381152</v>
      </c>
      <c r="BG868" s="8">
        <f t="shared" si="444"/>
        <v>9768</v>
      </c>
      <c r="BH868" s="8">
        <v>782128</v>
      </c>
      <c r="BI868" s="8">
        <f t="shared" si="445"/>
        <v>37878</v>
      </c>
      <c r="BJ868" s="8">
        <v>-400976</v>
      </c>
      <c r="BK868" s="8">
        <f t="shared" si="419"/>
        <v>-28110</v>
      </c>
    </row>
    <row r="869" spans="1:63">
      <c r="A869" s="5">
        <f t="shared" si="446"/>
        <v>44950</v>
      </c>
      <c r="B869" s="8">
        <v>442965</v>
      </c>
      <c r="C869" s="8">
        <f t="shared" si="425"/>
        <v>30234</v>
      </c>
      <c r="D869" s="8">
        <v>58704</v>
      </c>
      <c r="E869" s="8">
        <f t="shared" si="426"/>
        <v>-9896</v>
      </c>
      <c r="F869" s="8">
        <v>22743</v>
      </c>
      <c r="G869" s="8">
        <f t="shared" si="427"/>
        <v>8151</v>
      </c>
      <c r="H869" s="8">
        <v>35961</v>
      </c>
      <c r="I869" s="8">
        <f t="shared" si="428"/>
        <v>-18047</v>
      </c>
      <c r="J869" s="8">
        <v>219111</v>
      </c>
      <c r="K869" s="8">
        <f t="shared" si="429"/>
        <v>19080</v>
      </c>
      <c r="L869" s="8">
        <v>259116</v>
      </c>
      <c r="M869" s="8">
        <f t="shared" si="430"/>
        <v>-8998</v>
      </c>
      <c r="N869" s="8">
        <v>-40005</v>
      </c>
      <c r="O869" s="8">
        <f t="shared" si="431"/>
        <v>28078</v>
      </c>
      <c r="P869" s="8">
        <v>114020</v>
      </c>
      <c r="Q869" s="8">
        <f t="shared" si="432"/>
        <v>14141</v>
      </c>
      <c r="R869" s="8">
        <v>249642</v>
      </c>
      <c r="S869" s="8">
        <f t="shared" si="433"/>
        <v>-7677</v>
      </c>
      <c r="T869" s="8">
        <v>-135622</v>
      </c>
      <c r="U869" s="8">
        <f t="shared" si="434"/>
        <v>21818</v>
      </c>
      <c r="W869" s="8">
        <v>470373</v>
      </c>
      <c r="X869" s="8">
        <f t="shared" si="435"/>
        <v>6497</v>
      </c>
      <c r="Y869" s="8">
        <v>143492</v>
      </c>
      <c r="Z869" s="8">
        <f t="shared" si="436"/>
        <v>-10039</v>
      </c>
      <c r="AA869" s="8">
        <v>7989</v>
      </c>
      <c r="AB869" s="8">
        <f t="shared" si="417"/>
        <v>5397</v>
      </c>
      <c r="AC869" s="8">
        <v>135503</v>
      </c>
      <c r="AD869" s="8">
        <f t="shared" si="418"/>
        <v>-15436</v>
      </c>
      <c r="AE869" s="8">
        <v>152644</v>
      </c>
      <c r="AF869" s="8">
        <f t="shared" si="420"/>
        <v>14262</v>
      </c>
      <c r="AG869" s="8">
        <v>320862</v>
      </c>
      <c r="AH869" s="8">
        <f t="shared" si="421"/>
        <v>-2381</v>
      </c>
      <c r="AI869" s="8">
        <v>-168218</v>
      </c>
      <c r="AJ869" s="8">
        <f t="shared" si="422"/>
        <v>16643</v>
      </c>
      <c r="AK869" s="8">
        <v>67658</v>
      </c>
      <c r="AL869" s="8">
        <f t="shared" si="423"/>
        <v>7912</v>
      </c>
      <c r="AM869" s="8">
        <v>310090</v>
      </c>
      <c r="AN869" s="8">
        <f t="shared" si="424"/>
        <v>-4524</v>
      </c>
      <c r="AO869" s="8">
        <v>-242432</v>
      </c>
      <c r="AP869" s="8">
        <f t="shared" si="437"/>
        <v>12436</v>
      </c>
      <c r="AR869" s="8">
        <v>1587621</v>
      </c>
      <c r="AS869" s="8">
        <f t="shared" si="438"/>
        <v>35610</v>
      </c>
      <c r="AT869" s="8">
        <v>266783</v>
      </c>
      <c r="AU869" s="8">
        <f t="shared" si="439"/>
        <v>12947</v>
      </c>
      <c r="AV869" s="8">
        <v>64986</v>
      </c>
      <c r="AW869" s="8">
        <f t="shared" si="440"/>
        <v>3287</v>
      </c>
      <c r="AX869" s="8">
        <v>201797</v>
      </c>
      <c r="AY869" s="8">
        <f t="shared" si="416"/>
        <v>9660</v>
      </c>
      <c r="AZ869" s="8">
        <v>648229</v>
      </c>
      <c r="BA869" s="8">
        <f t="shared" si="441"/>
        <v>-1231</v>
      </c>
      <c r="BB869" s="8">
        <v>829361</v>
      </c>
      <c r="BC869" s="8">
        <f t="shared" si="442"/>
        <v>-7442</v>
      </c>
      <c r="BD869" s="8">
        <v>-181132</v>
      </c>
      <c r="BE869" s="8">
        <f t="shared" si="443"/>
        <v>6211</v>
      </c>
      <c r="BF869" s="8">
        <v>377738</v>
      </c>
      <c r="BG869" s="8">
        <f t="shared" si="444"/>
        <v>-3414</v>
      </c>
      <c r="BH869" s="8">
        <v>773669</v>
      </c>
      <c r="BI869" s="8">
        <f t="shared" si="445"/>
        <v>-8459</v>
      </c>
      <c r="BJ869" s="8">
        <v>-395931</v>
      </c>
      <c r="BK869" s="8">
        <f t="shared" si="419"/>
        <v>5045</v>
      </c>
    </row>
    <row r="870" spans="1:63">
      <c r="A870" s="5">
        <f t="shared" si="446"/>
        <v>44957</v>
      </c>
      <c r="B870" s="8">
        <v>461965</v>
      </c>
      <c r="C870" s="8">
        <f t="shared" si="425"/>
        <v>19000</v>
      </c>
      <c r="D870" s="8">
        <v>56423</v>
      </c>
      <c r="E870" s="8">
        <f t="shared" si="426"/>
        <v>-2281</v>
      </c>
      <c r="F870" s="8">
        <v>25199</v>
      </c>
      <c r="G870" s="8">
        <f t="shared" si="427"/>
        <v>2456</v>
      </c>
      <c r="H870" s="8">
        <v>31224</v>
      </c>
      <c r="I870" s="8">
        <f t="shared" si="428"/>
        <v>-4737</v>
      </c>
      <c r="J870" s="8">
        <v>234426</v>
      </c>
      <c r="K870" s="8">
        <f t="shared" si="429"/>
        <v>15315</v>
      </c>
      <c r="L870" s="8">
        <v>271198</v>
      </c>
      <c r="M870" s="8">
        <f t="shared" si="430"/>
        <v>12082</v>
      </c>
      <c r="N870" s="8">
        <v>-36772</v>
      </c>
      <c r="O870" s="8">
        <f t="shared" si="431"/>
        <v>3233</v>
      </c>
      <c r="P870" s="8">
        <v>126062</v>
      </c>
      <c r="Q870" s="8">
        <f t="shared" si="432"/>
        <v>12042</v>
      </c>
      <c r="R870" s="8">
        <v>260642</v>
      </c>
      <c r="S870" s="8">
        <f t="shared" si="433"/>
        <v>11000</v>
      </c>
      <c r="T870" s="8">
        <v>-134580</v>
      </c>
      <c r="U870" s="8">
        <f t="shared" si="434"/>
        <v>1042</v>
      </c>
      <c r="W870" s="8">
        <v>477982</v>
      </c>
      <c r="X870" s="8">
        <f t="shared" si="435"/>
        <v>7609</v>
      </c>
      <c r="Y870" s="8">
        <v>147248</v>
      </c>
      <c r="Z870" s="8">
        <f t="shared" si="436"/>
        <v>3756</v>
      </c>
      <c r="AA870" s="8">
        <v>6305</v>
      </c>
      <c r="AB870" s="8">
        <f t="shared" si="417"/>
        <v>-1684</v>
      </c>
      <c r="AC870" s="8">
        <v>140943</v>
      </c>
      <c r="AD870" s="8">
        <f t="shared" si="418"/>
        <v>5440</v>
      </c>
      <c r="AE870" s="8">
        <v>157653</v>
      </c>
      <c r="AF870" s="8">
        <f t="shared" si="420"/>
        <v>5009</v>
      </c>
      <c r="AG870" s="8">
        <v>329892</v>
      </c>
      <c r="AH870" s="8">
        <f t="shared" si="421"/>
        <v>9030</v>
      </c>
      <c r="AI870" s="8">
        <v>-172239</v>
      </c>
      <c r="AJ870" s="8">
        <f t="shared" si="422"/>
        <v>-4021</v>
      </c>
      <c r="AK870" s="8">
        <v>70139</v>
      </c>
      <c r="AL870" s="8">
        <f t="shared" si="423"/>
        <v>2481</v>
      </c>
      <c r="AM870" s="8">
        <v>319072</v>
      </c>
      <c r="AN870" s="8">
        <f t="shared" si="424"/>
        <v>8982</v>
      </c>
      <c r="AO870" s="8">
        <v>-248933</v>
      </c>
      <c r="AP870" s="8">
        <f t="shared" si="437"/>
        <v>-6501</v>
      </c>
      <c r="AR870" s="8">
        <v>1602455</v>
      </c>
      <c r="AS870" s="8">
        <f t="shared" si="438"/>
        <v>14834</v>
      </c>
      <c r="AT870" s="8">
        <v>285287</v>
      </c>
      <c r="AU870" s="8">
        <f t="shared" si="439"/>
        <v>18504</v>
      </c>
      <c r="AV870" s="8">
        <v>65363</v>
      </c>
      <c r="AW870" s="8">
        <f t="shared" si="440"/>
        <v>377</v>
      </c>
      <c r="AX870" s="8">
        <v>219924</v>
      </c>
      <c r="AY870" s="8">
        <f t="shared" si="416"/>
        <v>18127</v>
      </c>
      <c r="AZ870" s="8">
        <v>633478</v>
      </c>
      <c r="BA870" s="8">
        <f t="shared" si="441"/>
        <v>-14751</v>
      </c>
      <c r="BB870" s="8">
        <v>835028</v>
      </c>
      <c r="BC870" s="8">
        <f t="shared" si="442"/>
        <v>5667</v>
      </c>
      <c r="BD870" s="8">
        <v>-201550</v>
      </c>
      <c r="BE870" s="8">
        <f t="shared" si="443"/>
        <v>-20418</v>
      </c>
      <c r="BF870" s="8">
        <v>362778</v>
      </c>
      <c r="BG870" s="8">
        <f t="shared" si="444"/>
        <v>-14960</v>
      </c>
      <c r="BH870" s="8">
        <v>779871</v>
      </c>
      <c r="BI870" s="8">
        <f t="shared" si="445"/>
        <v>6202</v>
      </c>
      <c r="BJ870" s="8">
        <v>-417093</v>
      </c>
      <c r="BK870" s="8">
        <f t="shared" si="419"/>
        <v>-21162</v>
      </c>
    </row>
    <row r="871" spans="1:63">
      <c r="A871" s="5">
        <f t="shared" si="446"/>
        <v>44964</v>
      </c>
      <c r="B871" s="8">
        <v>499140</v>
      </c>
      <c r="C871" s="8">
        <f t="shared" si="425"/>
        <v>37175</v>
      </c>
      <c r="D871" s="8">
        <v>55855</v>
      </c>
      <c r="E871" s="8">
        <f t="shared" si="426"/>
        <v>-568</v>
      </c>
      <c r="F871" s="8">
        <v>33360</v>
      </c>
      <c r="G871" s="8">
        <f t="shared" si="427"/>
        <v>8161</v>
      </c>
      <c r="H871" s="8">
        <v>22495</v>
      </c>
      <c r="I871" s="8">
        <f t="shared" si="428"/>
        <v>-8729</v>
      </c>
      <c r="J871" s="8">
        <v>257032</v>
      </c>
      <c r="K871" s="8">
        <f t="shared" si="429"/>
        <v>22606</v>
      </c>
      <c r="L871" s="8">
        <v>285485</v>
      </c>
      <c r="M871" s="8">
        <f t="shared" si="430"/>
        <v>14287</v>
      </c>
      <c r="N871" s="8">
        <v>-28453</v>
      </c>
      <c r="O871" s="8">
        <f t="shared" si="431"/>
        <v>8319</v>
      </c>
      <c r="P871" s="8">
        <v>144967</v>
      </c>
      <c r="Q871" s="8">
        <f t="shared" si="432"/>
        <v>18905</v>
      </c>
      <c r="R871" s="8">
        <v>272508</v>
      </c>
      <c r="S871" s="8">
        <f t="shared" si="433"/>
        <v>11866</v>
      </c>
      <c r="T871" s="8">
        <v>-127541</v>
      </c>
      <c r="U871" s="8">
        <f t="shared" si="434"/>
        <v>7039</v>
      </c>
      <c r="W871" s="8">
        <v>488770</v>
      </c>
      <c r="X871" s="8">
        <f t="shared" si="435"/>
        <v>10788</v>
      </c>
      <c r="Y871" s="8">
        <v>149503</v>
      </c>
      <c r="Z871" s="8">
        <f t="shared" si="436"/>
        <v>2255</v>
      </c>
      <c r="AA871" s="8">
        <v>6793</v>
      </c>
      <c r="AB871" s="8">
        <f t="shared" si="417"/>
        <v>488</v>
      </c>
      <c r="AC871" s="8">
        <v>142710</v>
      </c>
      <c r="AD871" s="8">
        <f t="shared" si="418"/>
        <v>1767</v>
      </c>
      <c r="AE871" s="8">
        <v>163492</v>
      </c>
      <c r="AF871" s="8">
        <f t="shared" si="420"/>
        <v>5839</v>
      </c>
      <c r="AG871" s="8">
        <v>337531</v>
      </c>
      <c r="AH871" s="8">
        <f t="shared" si="421"/>
        <v>7639</v>
      </c>
      <c r="AI871" s="8">
        <v>-174039</v>
      </c>
      <c r="AJ871" s="8">
        <f t="shared" si="422"/>
        <v>-1800</v>
      </c>
      <c r="AK871" s="8">
        <v>74230</v>
      </c>
      <c r="AL871" s="8">
        <f t="shared" si="423"/>
        <v>4091</v>
      </c>
      <c r="AM871" s="8">
        <v>326913</v>
      </c>
      <c r="AN871" s="8">
        <f t="shared" si="424"/>
        <v>7841</v>
      </c>
      <c r="AO871" s="8">
        <v>-252683</v>
      </c>
      <c r="AP871" s="8">
        <f t="shared" si="437"/>
        <v>-3750</v>
      </c>
      <c r="AR871" s="8">
        <v>1622738</v>
      </c>
      <c r="AS871" s="8">
        <f t="shared" si="438"/>
        <v>20283</v>
      </c>
      <c r="AT871" s="8">
        <v>285344</v>
      </c>
      <c r="AU871" s="8">
        <f t="shared" si="439"/>
        <v>57</v>
      </c>
      <c r="AV871" s="8">
        <v>83326</v>
      </c>
      <c r="AW871" s="8">
        <f t="shared" si="440"/>
        <v>17963</v>
      </c>
      <c r="AX871" s="8">
        <v>202018</v>
      </c>
      <c r="AY871" s="8">
        <f t="shared" si="416"/>
        <v>-17906</v>
      </c>
      <c r="AZ871" s="8">
        <v>657079</v>
      </c>
      <c r="BA871" s="8">
        <f t="shared" si="441"/>
        <v>23601</v>
      </c>
      <c r="BB871" s="8">
        <v>838272</v>
      </c>
      <c r="BC871" s="8">
        <f t="shared" si="442"/>
        <v>3244</v>
      </c>
      <c r="BD871" s="8">
        <v>-181193</v>
      </c>
      <c r="BE871" s="8">
        <f t="shared" si="443"/>
        <v>20357</v>
      </c>
      <c r="BF871" s="8">
        <v>382425</v>
      </c>
      <c r="BG871" s="8">
        <f t="shared" si="444"/>
        <v>19647</v>
      </c>
      <c r="BH871" s="8">
        <v>782174</v>
      </c>
      <c r="BI871" s="8">
        <f t="shared" si="445"/>
        <v>2303</v>
      </c>
      <c r="BJ871" s="8">
        <v>-399749</v>
      </c>
      <c r="BK871" s="8">
        <f t="shared" si="419"/>
        <v>17344</v>
      </c>
    </row>
    <row r="872" spans="1:63">
      <c r="A872" s="5">
        <f t="shared" si="446"/>
        <v>44971</v>
      </c>
      <c r="B872" s="8">
        <v>505256</v>
      </c>
      <c r="C872" s="8">
        <f t="shared" si="425"/>
        <v>6116</v>
      </c>
      <c r="D872" s="8">
        <v>57756</v>
      </c>
      <c r="E872" s="8">
        <f t="shared" si="426"/>
        <v>1901</v>
      </c>
      <c r="F872" s="8">
        <v>35433</v>
      </c>
      <c r="G872" s="8">
        <f t="shared" si="427"/>
        <v>2073</v>
      </c>
      <c r="H872" s="8">
        <v>22323</v>
      </c>
      <c r="I872" s="8">
        <f t="shared" si="428"/>
        <v>-172</v>
      </c>
      <c r="J872" s="8">
        <v>260909</v>
      </c>
      <c r="K872" s="8">
        <f t="shared" si="429"/>
        <v>3877</v>
      </c>
      <c r="L872" s="8">
        <v>290577</v>
      </c>
      <c r="M872" s="8">
        <f t="shared" si="430"/>
        <v>5092</v>
      </c>
      <c r="N872" s="8">
        <v>-29668</v>
      </c>
      <c r="O872" s="8">
        <f t="shared" si="431"/>
        <v>-1215</v>
      </c>
      <c r="P872" s="8">
        <v>146537</v>
      </c>
      <c r="Q872" s="8">
        <f t="shared" si="432"/>
        <v>1570</v>
      </c>
      <c r="R872" s="8">
        <v>276844</v>
      </c>
      <c r="S872" s="8">
        <f t="shared" si="433"/>
        <v>4336</v>
      </c>
      <c r="T872" s="8">
        <v>-130307</v>
      </c>
      <c r="U872" s="8">
        <f t="shared" si="434"/>
        <v>-2766</v>
      </c>
      <c r="W872" s="8">
        <v>512704</v>
      </c>
      <c r="X872" s="8">
        <f t="shared" si="435"/>
        <v>23934</v>
      </c>
      <c r="Y872" s="8">
        <v>156972</v>
      </c>
      <c r="Z872" s="8">
        <f t="shared" si="436"/>
        <v>7469</v>
      </c>
      <c r="AA872" s="8">
        <v>4573</v>
      </c>
      <c r="AB872" s="8">
        <f t="shared" si="417"/>
        <v>-2220</v>
      </c>
      <c r="AC872" s="8">
        <v>152399</v>
      </c>
      <c r="AD872" s="8">
        <f t="shared" si="418"/>
        <v>9689</v>
      </c>
      <c r="AE872" s="8">
        <v>173611</v>
      </c>
      <c r="AF872" s="8">
        <f t="shared" si="420"/>
        <v>10119</v>
      </c>
      <c r="AG872" s="8">
        <v>360875</v>
      </c>
      <c r="AH872" s="8">
        <f t="shared" si="421"/>
        <v>23344</v>
      </c>
      <c r="AI872" s="8">
        <v>-187264</v>
      </c>
      <c r="AJ872" s="8">
        <f t="shared" si="422"/>
        <v>-13225</v>
      </c>
      <c r="AK872" s="8">
        <v>82382</v>
      </c>
      <c r="AL872" s="8">
        <f t="shared" si="423"/>
        <v>8152</v>
      </c>
      <c r="AM872" s="8">
        <v>348943</v>
      </c>
      <c r="AN872" s="8">
        <f t="shared" si="424"/>
        <v>22030</v>
      </c>
      <c r="AO872" s="8">
        <v>-266561</v>
      </c>
      <c r="AP872" s="8">
        <f t="shared" si="437"/>
        <v>-13878</v>
      </c>
      <c r="AR872" s="8">
        <v>1685824</v>
      </c>
      <c r="AS872" s="8">
        <f t="shared" si="438"/>
        <v>63086</v>
      </c>
      <c r="AT872" s="8">
        <v>309315</v>
      </c>
      <c r="AU872" s="8">
        <f t="shared" si="439"/>
        <v>23971</v>
      </c>
      <c r="AV872" s="8">
        <v>74450</v>
      </c>
      <c r="AW872" s="8">
        <f t="shared" si="440"/>
        <v>-8876</v>
      </c>
      <c r="AX872" s="8">
        <v>234865</v>
      </c>
      <c r="AY872" s="8">
        <f t="shared" si="416"/>
        <v>32847</v>
      </c>
      <c r="AZ872" s="8">
        <v>656878</v>
      </c>
      <c r="BA872" s="8">
        <f t="shared" si="441"/>
        <v>-201</v>
      </c>
      <c r="BB872" s="8">
        <v>858540</v>
      </c>
      <c r="BC872" s="8">
        <f t="shared" si="442"/>
        <v>20268</v>
      </c>
      <c r="BD872" s="8">
        <v>-201662</v>
      </c>
      <c r="BE872" s="8">
        <f t="shared" si="443"/>
        <v>-20469</v>
      </c>
      <c r="BF872" s="8">
        <v>377510</v>
      </c>
      <c r="BG872" s="8">
        <f t="shared" si="444"/>
        <v>-4915</v>
      </c>
      <c r="BH872" s="8">
        <v>799208</v>
      </c>
      <c r="BI872" s="8">
        <f t="shared" si="445"/>
        <v>17034</v>
      </c>
      <c r="BJ872" s="8">
        <v>-421698</v>
      </c>
      <c r="BK872" s="8">
        <f t="shared" si="419"/>
        <v>-21949</v>
      </c>
    </row>
    <row r="873" spans="1:63">
      <c r="A873" s="5">
        <f t="shared" si="446"/>
        <v>44978</v>
      </c>
      <c r="B873" s="8">
        <v>507077</v>
      </c>
      <c r="C873" s="8">
        <f t="shared" si="425"/>
        <v>1821</v>
      </c>
      <c r="D873" s="8">
        <v>64450</v>
      </c>
      <c r="E873" s="8">
        <f t="shared" si="426"/>
        <v>6694</v>
      </c>
      <c r="F873" s="8">
        <v>30149</v>
      </c>
      <c r="G873" s="8">
        <f t="shared" si="427"/>
        <v>-5284</v>
      </c>
      <c r="H873" s="8">
        <v>34301</v>
      </c>
      <c r="I873" s="8">
        <f t="shared" si="428"/>
        <v>11978</v>
      </c>
      <c r="J873" s="8">
        <v>258415</v>
      </c>
      <c r="K873" s="8">
        <f t="shared" si="429"/>
        <v>-2494</v>
      </c>
      <c r="L873" s="8">
        <v>303393</v>
      </c>
      <c r="M873" s="8">
        <f t="shared" si="430"/>
        <v>12816</v>
      </c>
      <c r="N873" s="8">
        <v>-44978</v>
      </c>
      <c r="O873" s="8">
        <f t="shared" si="431"/>
        <v>-15310</v>
      </c>
      <c r="P873" s="8">
        <v>143233</v>
      </c>
      <c r="Q873" s="8">
        <f t="shared" si="432"/>
        <v>-3304</v>
      </c>
      <c r="R873" s="8">
        <v>288862</v>
      </c>
      <c r="S873" s="8">
        <f t="shared" si="433"/>
        <v>12018</v>
      </c>
      <c r="T873" s="8">
        <v>-145629</v>
      </c>
      <c r="U873" s="8">
        <f t="shared" si="434"/>
        <v>-15322</v>
      </c>
      <c r="W873" s="8">
        <v>517351</v>
      </c>
      <c r="X873" s="8">
        <f t="shared" si="435"/>
        <v>4647</v>
      </c>
      <c r="Y873" s="8">
        <v>159386</v>
      </c>
      <c r="Z873" s="8">
        <f t="shared" si="436"/>
        <v>2414</v>
      </c>
      <c r="AA873" s="8">
        <v>5245</v>
      </c>
      <c r="AB873" s="8">
        <f t="shared" si="417"/>
        <v>672</v>
      </c>
      <c r="AC873" s="8">
        <v>154141</v>
      </c>
      <c r="AD873" s="8">
        <f t="shared" si="418"/>
        <v>1742</v>
      </c>
      <c r="AE873" s="8">
        <v>172839</v>
      </c>
      <c r="AF873" s="8">
        <f t="shared" si="420"/>
        <v>-772</v>
      </c>
      <c r="AG873" s="8">
        <v>362196</v>
      </c>
      <c r="AH873" s="8">
        <f t="shared" si="421"/>
        <v>1321</v>
      </c>
      <c r="AI873" s="8">
        <v>-189357</v>
      </c>
      <c r="AJ873" s="8">
        <f t="shared" si="422"/>
        <v>-2093</v>
      </c>
      <c r="AK873" s="8">
        <v>80586</v>
      </c>
      <c r="AL873" s="8">
        <f t="shared" si="423"/>
        <v>-1796</v>
      </c>
      <c r="AM873" s="8">
        <v>349136</v>
      </c>
      <c r="AN873" s="8">
        <f t="shared" si="424"/>
        <v>193</v>
      </c>
      <c r="AO873" s="8">
        <v>-268550</v>
      </c>
      <c r="AP873" s="8">
        <f t="shared" si="437"/>
        <v>-1989</v>
      </c>
      <c r="AR873" s="8">
        <v>1647324</v>
      </c>
      <c r="AS873" s="8">
        <f t="shared" si="438"/>
        <v>-38500</v>
      </c>
      <c r="AT873" s="8">
        <v>292316</v>
      </c>
      <c r="AU873" s="8">
        <f t="shared" si="439"/>
        <v>-16999</v>
      </c>
      <c r="AV873" s="8">
        <v>76388</v>
      </c>
      <c r="AW873" s="8">
        <f t="shared" si="440"/>
        <v>1938</v>
      </c>
      <c r="AX873" s="8">
        <v>215928</v>
      </c>
      <c r="AY873" s="8">
        <f t="shared" si="416"/>
        <v>-18937</v>
      </c>
      <c r="AZ873" s="8">
        <v>651404</v>
      </c>
      <c r="BA873" s="8">
        <f t="shared" si="441"/>
        <v>-5474</v>
      </c>
      <c r="BB873" s="8">
        <v>836264</v>
      </c>
      <c r="BC873" s="8">
        <f t="shared" si="442"/>
        <v>-22276</v>
      </c>
      <c r="BD873" s="8">
        <v>-184860</v>
      </c>
      <c r="BE873" s="8">
        <f t="shared" si="443"/>
        <v>16802</v>
      </c>
      <c r="BF873" s="8">
        <v>373610</v>
      </c>
      <c r="BG873" s="8">
        <f t="shared" si="444"/>
        <v>-3900</v>
      </c>
      <c r="BH873" s="8">
        <v>778195</v>
      </c>
      <c r="BI873" s="8">
        <f t="shared" si="445"/>
        <v>-21013</v>
      </c>
      <c r="BJ873" s="8">
        <v>-404585</v>
      </c>
      <c r="BK873" s="8">
        <f t="shared" si="419"/>
        <v>17113</v>
      </c>
    </row>
    <row r="874" spans="1:63">
      <c r="A874" s="5">
        <f t="shared" si="446"/>
        <v>44985</v>
      </c>
      <c r="B874" s="8">
        <v>463290</v>
      </c>
      <c r="C874" s="8">
        <f t="shared" si="425"/>
        <v>-43787</v>
      </c>
      <c r="D874" s="8">
        <v>60159</v>
      </c>
      <c r="E874" s="8">
        <f t="shared" si="426"/>
        <v>-4291</v>
      </c>
      <c r="F874" s="8">
        <v>32066</v>
      </c>
      <c r="G874" s="8">
        <f t="shared" si="427"/>
        <v>1917</v>
      </c>
      <c r="H874" s="8">
        <v>28093</v>
      </c>
      <c r="I874" s="8">
        <f t="shared" si="428"/>
        <v>-6208</v>
      </c>
      <c r="J874" s="8">
        <v>239762</v>
      </c>
      <c r="K874" s="8">
        <f t="shared" si="429"/>
        <v>-18653</v>
      </c>
      <c r="L874" s="8">
        <v>274303</v>
      </c>
      <c r="M874" s="8">
        <f t="shared" si="430"/>
        <v>-29090</v>
      </c>
      <c r="N874" s="8">
        <v>-34541</v>
      </c>
      <c r="O874" s="8">
        <f t="shared" si="431"/>
        <v>10437</v>
      </c>
      <c r="P874" s="8">
        <v>127871</v>
      </c>
      <c r="Q874" s="8">
        <f t="shared" si="432"/>
        <v>-15362</v>
      </c>
      <c r="R874" s="8">
        <v>262855</v>
      </c>
      <c r="S874" s="8">
        <f t="shared" si="433"/>
        <v>-26007</v>
      </c>
      <c r="T874" s="8">
        <v>-134984</v>
      </c>
      <c r="U874" s="8">
        <f t="shared" si="434"/>
        <v>10645</v>
      </c>
      <c r="W874" s="8">
        <v>462185</v>
      </c>
      <c r="X874" s="8">
        <f t="shared" si="435"/>
        <v>-55166</v>
      </c>
      <c r="Y874" s="8">
        <v>149950</v>
      </c>
      <c r="Z874" s="8">
        <f t="shared" si="436"/>
        <v>-9436</v>
      </c>
      <c r="AA874" s="8">
        <v>9979</v>
      </c>
      <c r="AB874" s="8">
        <f t="shared" si="417"/>
        <v>4734</v>
      </c>
      <c r="AC874" s="8">
        <v>139971</v>
      </c>
      <c r="AD874" s="8">
        <f t="shared" si="418"/>
        <v>-14170</v>
      </c>
      <c r="AE874" s="8">
        <v>160982</v>
      </c>
      <c r="AF874" s="8">
        <f t="shared" si="420"/>
        <v>-11857</v>
      </c>
      <c r="AG874" s="8">
        <v>329750</v>
      </c>
      <c r="AH874" s="8">
        <f t="shared" si="421"/>
        <v>-32446</v>
      </c>
      <c r="AI874" s="8">
        <v>-168768</v>
      </c>
      <c r="AJ874" s="8">
        <f t="shared" si="422"/>
        <v>20589</v>
      </c>
      <c r="AK874" s="8">
        <v>71638</v>
      </c>
      <c r="AL874" s="8">
        <f t="shared" si="423"/>
        <v>-8948</v>
      </c>
      <c r="AM874" s="8">
        <v>323069</v>
      </c>
      <c r="AN874" s="8">
        <f t="shared" si="424"/>
        <v>-26067</v>
      </c>
      <c r="AO874" s="8">
        <v>-251431</v>
      </c>
      <c r="AP874" s="8">
        <f t="shared" si="437"/>
        <v>17119</v>
      </c>
      <c r="AR874" s="8">
        <v>1522958</v>
      </c>
      <c r="AS874" s="8">
        <f t="shared" si="438"/>
        <v>-124366</v>
      </c>
      <c r="AT874" s="8">
        <v>211877</v>
      </c>
      <c r="AU874" s="8">
        <f t="shared" si="439"/>
        <v>-80439</v>
      </c>
      <c r="AV874" s="8">
        <v>143242</v>
      </c>
      <c r="AW874" s="8">
        <f t="shared" si="440"/>
        <v>66854</v>
      </c>
      <c r="AX874" s="8">
        <v>68635</v>
      </c>
      <c r="AY874" s="8">
        <f t="shared" ref="AY874:AY937" si="447">AX874-AX873</f>
        <v>-147293</v>
      </c>
      <c r="AZ874" s="8">
        <v>673878</v>
      </c>
      <c r="BA874" s="8">
        <f t="shared" si="441"/>
        <v>22474</v>
      </c>
      <c r="BB874" s="8">
        <v>716792</v>
      </c>
      <c r="BC874" s="8">
        <f t="shared" si="442"/>
        <v>-119472</v>
      </c>
      <c r="BD874" s="8">
        <v>-42914</v>
      </c>
      <c r="BE874" s="8">
        <f t="shared" si="443"/>
        <v>141946</v>
      </c>
      <c r="BF874" s="8">
        <v>404291</v>
      </c>
      <c r="BG874" s="8">
        <f t="shared" si="444"/>
        <v>30681</v>
      </c>
      <c r="BH874" s="8">
        <v>672263</v>
      </c>
      <c r="BI874" s="8">
        <f t="shared" si="445"/>
        <v>-105932</v>
      </c>
      <c r="BJ874" s="8">
        <v>-267972</v>
      </c>
      <c r="BK874" s="8">
        <f t="shared" si="419"/>
        <v>136613</v>
      </c>
    </row>
    <row r="875" spans="1:63">
      <c r="A875" s="5">
        <f t="shared" si="446"/>
        <v>44992</v>
      </c>
      <c r="B875" s="8">
        <v>479009</v>
      </c>
      <c r="C875" s="8">
        <f t="shared" si="425"/>
        <v>15719</v>
      </c>
      <c r="D875" s="8">
        <v>58065</v>
      </c>
      <c r="E875" s="8">
        <f t="shared" si="426"/>
        <v>-2094</v>
      </c>
      <c r="F875" s="8">
        <v>37539</v>
      </c>
      <c r="G875" s="8">
        <f t="shared" si="427"/>
        <v>5473</v>
      </c>
      <c r="H875" s="8">
        <v>20526</v>
      </c>
      <c r="I875" s="8">
        <f t="shared" si="428"/>
        <v>-7567</v>
      </c>
      <c r="J875" s="8">
        <v>254102</v>
      </c>
      <c r="K875" s="8">
        <f t="shared" si="429"/>
        <v>14340</v>
      </c>
      <c r="L875" s="8">
        <v>275298</v>
      </c>
      <c r="M875" s="8">
        <f t="shared" si="430"/>
        <v>995</v>
      </c>
      <c r="N875" s="8">
        <v>-21196</v>
      </c>
      <c r="O875" s="8">
        <f t="shared" si="431"/>
        <v>13345</v>
      </c>
      <c r="P875" s="8">
        <v>140220</v>
      </c>
      <c r="Q875" s="8">
        <f t="shared" si="432"/>
        <v>12349</v>
      </c>
      <c r="R875" s="8">
        <v>263682</v>
      </c>
      <c r="S875" s="8">
        <f t="shared" si="433"/>
        <v>827</v>
      </c>
      <c r="T875" s="8">
        <v>-123462</v>
      </c>
      <c r="U875" s="8">
        <f t="shared" si="434"/>
        <v>11522</v>
      </c>
      <c r="W875" s="8">
        <v>496776</v>
      </c>
      <c r="X875" s="8">
        <f t="shared" si="435"/>
        <v>34591</v>
      </c>
      <c r="Y875" s="8">
        <v>165533</v>
      </c>
      <c r="Z875" s="8">
        <f t="shared" si="436"/>
        <v>15583</v>
      </c>
      <c r="AA875" s="8">
        <v>10470</v>
      </c>
      <c r="AB875" s="8">
        <f t="shared" ref="AB875:AB938" si="448">AA875-AA874</f>
        <v>491</v>
      </c>
      <c r="AC875" s="8">
        <v>155063</v>
      </c>
      <c r="AD875" s="8">
        <f t="shared" ref="AD875:AD938" si="449">AC875-AC874</f>
        <v>15092</v>
      </c>
      <c r="AE875" s="8">
        <v>160619</v>
      </c>
      <c r="AF875" s="8">
        <f t="shared" si="420"/>
        <v>-363</v>
      </c>
      <c r="AG875" s="8">
        <v>355225</v>
      </c>
      <c r="AH875" s="8">
        <f t="shared" si="421"/>
        <v>25475</v>
      </c>
      <c r="AI875" s="8">
        <v>-194606</v>
      </c>
      <c r="AJ875" s="8">
        <f t="shared" si="422"/>
        <v>-25838</v>
      </c>
      <c r="AK875" s="8">
        <v>71747</v>
      </c>
      <c r="AL875" s="8">
        <f t="shared" si="423"/>
        <v>109</v>
      </c>
      <c r="AM875" s="8">
        <v>346366</v>
      </c>
      <c r="AN875" s="8">
        <f t="shared" si="424"/>
        <v>23297</v>
      </c>
      <c r="AO875" s="8">
        <v>-274619</v>
      </c>
      <c r="AP875" s="8">
        <f t="shared" si="437"/>
        <v>-23188</v>
      </c>
      <c r="AR875" s="8">
        <v>1564601</v>
      </c>
      <c r="AS875" s="8">
        <f t="shared" si="438"/>
        <v>41643</v>
      </c>
      <c r="AT875" s="8">
        <v>196623</v>
      </c>
      <c r="AU875" s="8">
        <f t="shared" si="439"/>
        <v>-15254</v>
      </c>
      <c r="AV875" s="8">
        <v>175565</v>
      </c>
      <c r="AW875" s="8">
        <f t="shared" si="440"/>
        <v>32323</v>
      </c>
      <c r="AX875" s="8">
        <v>21058</v>
      </c>
      <c r="AY875" s="8">
        <f t="shared" si="447"/>
        <v>-47577</v>
      </c>
      <c r="AZ875" s="8">
        <v>699729</v>
      </c>
      <c r="BA875" s="8">
        <f t="shared" si="441"/>
        <v>25851</v>
      </c>
      <c r="BB875" s="8">
        <v>709347</v>
      </c>
      <c r="BC875" s="8">
        <f t="shared" si="442"/>
        <v>-7445</v>
      </c>
      <c r="BD875" s="8">
        <v>-9618</v>
      </c>
      <c r="BE875" s="8">
        <f t="shared" si="443"/>
        <v>33296</v>
      </c>
      <c r="BF875" s="8">
        <v>432557</v>
      </c>
      <c r="BG875" s="8">
        <f t="shared" si="444"/>
        <v>28266</v>
      </c>
      <c r="BH875" s="8">
        <v>663923</v>
      </c>
      <c r="BI875" s="8">
        <f t="shared" si="445"/>
        <v>-8340</v>
      </c>
      <c r="BJ875" s="8">
        <v>-231366</v>
      </c>
      <c r="BK875" s="8">
        <f t="shared" si="419"/>
        <v>36606</v>
      </c>
    </row>
    <row r="876" spans="1:63">
      <c r="A876" s="5">
        <f t="shared" si="446"/>
        <v>44999</v>
      </c>
      <c r="B876" s="8">
        <v>501748</v>
      </c>
      <c r="C876" s="8">
        <f t="shared" si="425"/>
        <v>22739</v>
      </c>
      <c r="D876" s="8">
        <v>53212</v>
      </c>
      <c r="E876" s="8">
        <f t="shared" si="426"/>
        <v>-4853</v>
      </c>
      <c r="F876" s="8">
        <v>54401</v>
      </c>
      <c r="G876" s="8">
        <f t="shared" si="427"/>
        <v>16862</v>
      </c>
      <c r="H876" s="8">
        <v>-1189</v>
      </c>
      <c r="I876" s="8">
        <f t="shared" si="428"/>
        <v>-21715</v>
      </c>
      <c r="J876" s="8">
        <v>278587</v>
      </c>
      <c r="K876" s="8">
        <f t="shared" si="429"/>
        <v>24485</v>
      </c>
      <c r="L876" s="8">
        <v>276621</v>
      </c>
      <c r="M876" s="8">
        <f t="shared" si="430"/>
        <v>1323</v>
      </c>
      <c r="N876" s="8">
        <v>1966</v>
      </c>
      <c r="O876" s="8">
        <f t="shared" si="431"/>
        <v>23162</v>
      </c>
      <c r="P876" s="8">
        <v>162098</v>
      </c>
      <c r="Q876" s="8">
        <f t="shared" si="432"/>
        <v>21878</v>
      </c>
      <c r="R876" s="8">
        <v>263100</v>
      </c>
      <c r="S876" s="8">
        <f t="shared" si="433"/>
        <v>-582</v>
      </c>
      <c r="T876" s="8">
        <v>-101002</v>
      </c>
      <c r="U876" s="8">
        <f t="shared" si="434"/>
        <v>22460</v>
      </c>
      <c r="W876" s="8">
        <v>489810</v>
      </c>
      <c r="X876" s="8">
        <f t="shared" si="435"/>
        <v>-6966</v>
      </c>
      <c r="Y876" s="8">
        <v>149290</v>
      </c>
      <c r="Z876" s="8">
        <f t="shared" si="436"/>
        <v>-16243</v>
      </c>
      <c r="AA876" s="8">
        <v>15320</v>
      </c>
      <c r="AB876" s="8">
        <f t="shared" si="448"/>
        <v>4850</v>
      </c>
      <c r="AC876" s="8">
        <v>133970</v>
      </c>
      <c r="AD876" s="8">
        <f t="shared" si="449"/>
        <v>-21093</v>
      </c>
      <c r="AE876" s="8">
        <v>166742</v>
      </c>
      <c r="AF876" s="8">
        <f t="shared" si="420"/>
        <v>6123</v>
      </c>
      <c r="AG876" s="8">
        <v>339514</v>
      </c>
      <c r="AH876" s="8">
        <f t="shared" si="421"/>
        <v>-15711</v>
      </c>
      <c r="AI876" s="8">
        <v>-172772</v>
      </c>
      <c r="AJ876" s="8">
        <f t="shared" si="422"/>
        <v>21834</v>
      </c>
      <c r="AK876" s="8">
        <v>75352</v>
      </c>
      <c r="AL876" s="8">
        <f t="shared" si="423"/>
        <v>3605</v>
      </c>
      <c r="AM876" s="8">
        <v>331045</v>
      </c>
      <c r="AN876" s="8">
        <f t="shared" si="424"/>
        <v>-15321</v>
      </c>
      <c r="AO876" s="8">
        <v>-255693</v>
      </c>
      <c r="AP876" s="8">
        <f t="shared" si="437"/>
        <v>18926</v>
      </c>
      <c r="AR876" s="8">
        <v>1667603</v>
      </c>
      <c r="AS876" s="8">
        <f t="shared" si="438"/>
        <v>103002</v>
      </c>
      <c r="AT876" s="8">
        <v>170239</v>
      </c>
      <c r="AU876" s="8">
        <f t="shared" si="439"/>
        <v>-26384</v>
      </c>
      <c r="AV876" s="8">
        <v>224373</v>
      </c>
      <c r="AW876" s="8">
        <f t="shared" si="440"/>
        <v>48808</v>
      </c>
      <c r="AX876" s="8">
        <v>-54134</v>
      </c>
      <c r="AY876" s="8">
        <f t="shared" si="447"/>
        <v>-75192</v>
      </c>
      <c r="AZ876" s="8">
        <v>779521</v>
      </c>
      <c r="BA876" s="8">
        <f t="shared" si="441"/>
        <v>79792</v>
      </c>
      <c r="BB876" s="8">
        <v>714525</v>
      </c>
      <c r="BC876" s="8">
        <f t="shared" si="442"/>
        <v>5178</v>
      </c>
      <c r="BD876" s="8">
        <v>64996</v>
      </c>
      <c r="BE876" s="8">
        <f t="shared" si="443"/>
        <v>74614</v>
      </c>
      <c r="BF876" s="8">
        <v>500746</v>
      </c>
      <c r="BG876" s="8">
        <f t="shared" si="444"/>
        <v>68189</v>
      </c>
      <c r="BH876" s="8">
        <v>666264</v>
      </c>
      <c r="BI876" s="8">
        <f t="shared" si="445"/>
        <v>2341</v>
      </c>
      <c r="BJ876" s="8">
        <v>-165518</v>
      </c>
      <c r="BK876" s="8">
        <f t="shared" si="419"/>
        <v>65848</v>
      </c>
    </row>
    <row r="877" spans="1:63">
      <c r="A877" s="5">
        <f t="shared" si="446"/>
        <v>45006</v>
      </c>
      <c r="B877" s="8">
        <v>496457</v>
      </c>
      <c r="C877" s="8">
        <f t="shared" si="425"/>
        <v>-5291</v>
      </c>
      <c r="D877" s="8">
        <v>52159</v>
      </c>
      <c r="E877" s="8">
        <f t="shared" si="426"/>
        <v>-1053</v>
      </c>
      <c r="F877" s="8">
        <v>57877</v>
      </c>
      <c r="G877" s="8">
        <f t="shared" si="427"/>
        <v>3476</v>
      </c>
      <c r="H877" s="8">
        <v>-5718</v>
      </c>
      <c r="I877" s="8">
        <f t="shared" si="428"/>
        <v>-4529</v>
      </c>
      <c r="J877" s="8">
        <v>274523</v>
      </c>
      <c r="K877" s="8">
        <f t="shared" si="429"/>
        <v>-4064</v>
      </c>
      <c r="L877" s="8">
        <v>269825</v>
      </c>
      <c r="M877" s="8">
        <f t="shared" si="430"/>
        <v>-6796</v>
      </c>
      <c r="N877" s="8">
        <v>4698</v>
      </c>
      <c r="O877" s="8">
        <f t="shared" si="431"/>
        <v>2732</v>
      </c>
      <c r="P877" s="8">
        <v>155225</v>
      </c>
      <c r="Q877" s="8">
        <f t="shared" si="432"/>
        <v>-6873</v>
      </c>
      <c r="R877" s="8">
        <v>256846</v>
      </c>
      <c r="S877" s="8">
        <f t="shared" si="433"/>
        <v>-6254</v>
      </c>
      <c r="T877" s="8">
        <v>-101621</v>
      </c>
      <c r="U877" s="8">
        <f t="shared" si="434"/>
        <v>-619</v>
      </c>
      <c r="W877" s="8">
        <v>481613</v>
      </c>
      <c r="X877" s="8">
        <f t="shared" si="435"/>
        <v>-8197</v>
      </c>
      <c r="Y877" s="8">
        <v>130118</v>
      </c>
      <c r="Z877" s="8">
        <f t="shared" si="436"/>
        <v>-19172</v>
      </c>
      <c r="AA877" s="8">
        <v>14904</v>
      </c>
      <c r="AB877" s="8">
        <f t="shared" si="448"/>
        <v>-416</v>
      </c>
      <c r="AC877" s="8">
        <v>115214</v>
      </c>
      <c r="AD877" s="8">
        <f t="shared" si="449"/>
        <v>-18756</v>
      </c>
      <c r="AE877" s="8">
        <v>176911</v>
      </c>
      <c r="AF877" s="8">
        <f t="shared" si="420"/>
        <v>10169</v>
      </c>
      <c r="AG877" s="8">
        <v>322576</v>
      </c>
      <c r="AH877" s="8">
        <f t="shared" si="421"/>
        <v>-16938</v>
      </c>
      <c r="AI877" s="8">
        <v>-145665</v>
      </c>
      <c r="AJ877" s="8">
        <f t="shared" si="422"/>
        <v>27107</v>
      </c>
      <c r="AK877" s="8">
        <v>83311</v>
      </c>
      <c r="AL877" s="8">
        <f t="shared" si="423"/>
        <v>7959</v>
      </c>
      <c r="AM877" s="8">
        <v>316214</v>
      </c>
      <c r="AN877" s="8">
        <f t="shared" si="424"/>
        <v>-14831</v>
      </c>
      <c r="AO877" s="8">
        <v>-232903</v>
      </c>
      <c r="AP877" s="8">
        <f t="shared" si="437"/>
        <v>22790</v>
      </c>
      <c r="AR877" s="8">
        <v>1690830</v>
      </c>
      <c r="AS877" s="8">
        <f t="shared" si="438"/>
        <v>23227</v>
      </c>
      <c r="AT877" s="8">
        <v>179032</v>
      </c>
      <c r="AU877" s="8">
        <f t="shared" si="439"/>
        <v>8793</v>
      </c>
      <c r="AV877" s="8">
        <v>220928</v>
      </c>
      <c r="AW877" s="8">
        <f t="shared" si="440"/>
        <v>-3445</v>
      </c>
      <c r="AX877" s="8">
        <v>-41896</v>
      </c>
      <c r="AY877" s="8">
        <f t="shared" si="447"/>
        <v>12238</v>
      </c>
      <c r="AZ877" s="8">
        <v>777880</v>
      </c>
      <c r="BA877" s="8">
        <f t="shared" si="441"/>
        <v>-1641</v>
      </c>
      <c r="BB877" s="8">
        <v>726643</v>
      </c>
      <c r="BC877" s="8">
        <f t="shared" si="442"/>
        <v>12118</v>
      </c>
      <c r="BD877" s="8">
        <v>51237</v>
      </c>
      <c r="BE877" s="8">
        <f t="shared" si="443"/>
        <v>-13759</v>
      </c>
      <c r="BF877" s="8">
        <v>498962</v>
      </c>
      <c r="BG877" s="8">
        <f t="shared" si="444"/>
        <v>-1784</v>
      </c>
      <c r="BH877" s="8">
        <v>674412</v>
      </c>
      <c r="BI877" s="8">
        <f t="shared" si="445"/>
        <v>8148</v>
      </c>
      <c r="BJ877" s="8">
        <v>-175450</v>
      </c>
      <c r="BK877" s="8">
        <f t="shared" si="419"/>
        <v>-9932</v>
      </c>
    </row>
    <row r="878" spans="1:63">
      <c r="A878" s="5">
        <f t="shared" si="446"/>
        <v>45013</v>
      </c>
      <c r="B878" s="8">
        <v>506284</v>
      </c>
      <c r="C878" s="8">
        <f t="shared" si="425"/>
        <v>9827</v>
      </c>
      <c r="D878" s="8">
        <v>45786</v>
      </c>
      <c r="E878" s="8">
        <f t="shared" si="426"/>
        <v>-6373</v>
      </c>
      <c r="F878" s="8">
        <v>58245</v>
      </c>
      <c r="G878" s="8">
        <f t="shared" si="427"/>
        <v>368</v>
      </c>
      <c r="H878" s="8">
        <v>-12459</v>
      </c>
      <c r="I878" s="8">
        <f t="shared" si="428"/>
        <v>-6741</v>
      </c>
      <c r="J878" s="8">
        <v>285222</v>
      </c>
      <c r="K878" s="8">
        <f t="shared" si="429"/>
        <v>10699</v>
      </c>
      <c r="L878" s="8">
        <v>275515</v>
      </c>
      <c r="M878" s="8">
        <f t="shared" si="430"/>
        <v>5690</v>
      </c>
      <c r="N878" s="8">
        <v>9707</v>
      </c>
      <c r="O878" s="8">
        <f t="shared" si="431"/>
        <v>5009</v>
      </c>
      <c r="P878" s="8">
        <v>164978</v>
      </c>
      <c r="Q878" s="8">
        <f t="shared" si="432"/>
        <v>9753</v>
      </c>
      <c r="R878" s="8">
        <v>262769</v>
      </c>
      <c r="S878" s="8">
        <f t="shared" si="433"/>
        <v>5923</v>
      </c>
      <c r="T878" s="8">
        <v>-97791</v>
      </c>
      <c r="U878" s="8">
        <f t="shared" si="434"/>
        <v>3830</v>
      </c>
      <c r="W878" s="8">
        <v>466859</v>
      </c>
      <c r="X878" s="8">
        <f t="shared" si="435"/>
        <v>-14754</v>
      </c>
      <c r="Y878" s="8">
        <v>112153</v>
      </c>
      <c r="Z878" s="8">
        <f t="shared" si="436"/>
        <v>-17965</v>
      </c>
      <c r="AA878" s="8">
        <v>16024</v>
      </c>
      <c r="AB878" s="8">
        <f t="shared" si="448"/>
        <v>1120</v>
      </c>
      <c r="AC878" s="8">
        <v>96129</v>
      </c>
      <c r="AD878" s="8">
        <f t="shared" si="449"/>
        <v>-19085</v>
      </c>
      <c r="AE878" s="8">
        <v>178467</v>
      </c>
      <c r="AF878" s="8">
        <f t="shared" si="420"/>
        <v>1556</v>
      </c>
      <c r="AG878" s="8">
        <v>303349</v>
      </c>
      <c r="AH878" s="8">
        <f t="shared" si="421"/>
        <v>-19227</v>
      </c>
      <c r="AI878" s="8">
        <v>-124882</v>
      </c>
      <c r="AJ878" s="8">
        <f t="shared" si="422"/>
        <v>20783</v>
      </c>
      <c r="AK878" s="8">
        <v>84803</v>
      </c>
      <c r="AL878" s="8">
        <f t="shared" si="423"/>
        <v>1492</v>
      </c>
      <c r="AM878" s="8">
        <v>296670</v>
      </c>
      <c r="AN878" s="8">
        <f t="shared" si="424"/>
        <v>-19544</v>
      </c>
      <c r="AO878" s="8">
        <v>-211867</v>
      </c>
      <c r="AP878" s="8">
        <f t="shared" si="437"/>
        <v>21036</v>
      </c>
      <c r="AR878" s="8">
        <v>1670838</v>
      </c>
      <c r="AS878" s="8">
        <f t="shared" si="438"/>
        <v>-19992</v>
      </c>
      <c r="AT878" s="8">
        <v>186529</v>
      </c>
      <c r="AU878" s="8">
        <f t="shared" si="439"/>
        <v>7497</v>
      </c>
      <c r="AV878" s="8">
        <v>199817</v>
      </c>
      <c r="AW878" s="8">
        <f t="shared" si="440"/>
        <v>-21111</v>
      </c>
      <c r="AX878" s="8">
        <v>-13288</v>
      </c>
      <c r="AY878" s="8">
        <f t="shared" si="447"/>
        <v>28608</v>
      </c>
      <c r="AZ878" s="8">
        <v>763643</v>
      </c>
      <c r="BA878" s="8">
        <f t="shared" si="441"/>
        <v>-14237</v>
      </c>
      <c r="BB878" s="8">
        <v>738315</v>
      </c>
      <c r="BC878" s="8">
        <f t="shared" si="442"/>
        <v>11672</v>
      </c>
      <c r="BD878" s="8">
        <v>25328</v>
      </c>
      <c r="BE878" s="8">
        <f t="shared" si="443"/>
        <v>-25909</v>
      </c>
      <c r="BF878" s="8">
        <v>480734</v>
      </c>
      <c r="BG878" s="8">
        <f t="shared" si="444"/>
        <v>-18228</v>
      </c>
      <c r="BH878" s="8">
        <v>684281</v>
      </c>
      <c r="BI878" s="8">
        <f t="shared" si="445"/>
        <v>9869</v>
      </c>
      <c r="BJ878" s="8">
        <v>-203547</v>
      </c>
      <c r="BK878" s="8">
        <f t="shared" si="419"/>
        <v>-28097</v>
      </c>
    </row>
    <row r="879" spans="1:63">
      <c r="A879" s="5">
        <f t="shared" si="446"/>
        <v>45020</v>
      </c>
      <c r="B879" s="8">
        <v>525578</v>
      </c>
      <c r="C879" s="8">
        <f t="shared" si="425"/>
        <v>19294</v>
      </c>
      <c r="D879" s="8">
        <v>46299</v>
      </c>
      <c r="E879" s="8">
        <f t="shared" si="426"/>
        <v>513</v>
      </c>
      <c r="F879" s="8">
        <v>56884</v>
      </c>
      <c r="G879" s="8">
        <f t="shared" si="427"/>
        <v>-1361</v>
      </c>
      <c r="H879" s="8">
        <v>-10585</v>
      </c>
      <c r="I879" s="8">
        <f t="shared" si="428"/>
        <v>1874</v>
      </c>
      <c r="J879" s="8">
        <v>298731</v>
      </c>
      <c r="K879" s="8">
        <f t="shared" si="429"/>
        <v>13509</v>
      </c>
      <c r="L879" s="8">
        <v>286713</v>
      </c>
      <c r="M879" s="8">
        <f t="shared" si="430"/>
        <v>11198</v>
      </c>
      <c r="N879" s="8">
        <v>12018</v>
      </c>
      <c r="O879" s="8">
        <f t="shared" si="431"/>
        <v>2311</v>
      </c>
      <c r="P879" s="8">
        <v>176553</v>
      </c>
      <c r="Q879" s="8">
        <f t="shared" si="432"/>
        <v>11575</v>
      </c>
      <c r="R879" s="8">
        <v>270734</v>
      </c>
      <c r="S879" s="8">
        <f t="shared" si="433"/>
        <v>7965</v>
      </c>
      <c r="T879" s="8">
        <v>-94181</v>
      </c>
      <c r="U879" s="8">
        <f t="shared" si="434"/>
        <v>3610</v>
      </c>
      <c r="W879" s="8">
        <v>487963</v>
      </c>
      <c r="X879" s="8">
        <f t="shared" si="435"/>
        <v>21104</v>
      </c>
      <c r="Y879" s="8">
        <v>111420</v>
      </c>
      <c r="Z879" s="8">
        <f t="shared" si="436"/>
        <v>-733</v>
      </c>
      <c r="AA879" s="8">
        <v>15685</v>
      </c>
      <c r="AB879" s="8">
        <f t="shared" si="448"/>
        <v>-339</v>
      </c>
      <c r="AC879" s="8">
        <v>95735</v>
      </c>
      <c r="AD879" s="8">
        <f t="shared" si="449"/>
        <v>-394</v>
      </c>
      <c r="AE879" s="8">
        <v>186337</v>
      </c>
      <c r="AF879" s="8">
        <f t="shared" si="420"/>
        <v>7870</v>
      </c>
      <c r="AG879" s="8">
        <v>313028</v>
      </c>
      <c r="AH879" s="8">
        <f t="shared" si="421"/>
        <v>9679</v>
      </c>
      <c r="AI879" s="8">
        <v>-126691</v>
      </c>
      <c r="AJ879" s="8">
        <f t="shared" si="422"/>
        <v>-1809</v>
      </c>
      <c r="AK879" s="8">
        <v>88842</v>
      </c>
      <c r="AL879" s="8">
        <f t="shared" si="423"/>
        <v>4039</v>
      </c>
      <c r="AM879" s="8">
        <v>305558</v>
      </c>
      <c r="AN879" s="8">
        <f t="shared" si="424"/>
        <v>8888</v>
      </c>
      <c r="AO879" s="8">
        <v>-216716</v>
      </c>
      <c r="AP879" s="8">
        <f t="shared" si="437"/>
        <v>-4849</v>
      </c>
      <c r="AR879" s="8">
        <v>1670937</v>
      </c>
      <c r="AS879" s="8">
        <f t="shared" si="438"/>
        <v>99</v>
      </c>
      <c r="AT879" s="8">
        <v>199558</v>
      </c>
      <c r="AU879" s="8">
        <f t="shared" si="439"/>
        <v>13029</v>
      </c>
      <c r="AV879" s="8">
        <v>178011</v>
      </c>
      <c r="AW879" s="8">
        <f t="shared" si="440"/>
        <v>-21806</v>
      </c>
      <c r="AX879" s="8">
        <v>21547</v>
      </c>
      <c r="AY879" s="8">
        <f t="shared" si="447"/>
        <v>34835</v>
      </c>
      <c r="AZ879" s="8">
        <v>749210</v>
      </c>
      <c r="BA879" s="8">
        <f t="shared" si="441"/>
        <v>-14433</v>
      </c>
      <c r="BB879" s="8">
        <v>764934</v>
      </c>
      <c r="BC879" s="8">
        <f t="shared" si="442"/>
        <v>26619</v>
      </c>
      <c r="BD879" s="8">
        <v>-15724</v>
      </c>
      <c r="BE879" s="8">
        <f t="shared" si="443"/>
        <v>-41052</v>
      </c>
      <c r="BF879" s="8">
        <v>465794</v>
      </c>
      <c r="BG879" s="8">
        <f t="shared" si="444"/>
        <v>-14940</v>
      </c>
      <c r="BH879" s="8">
        <v>708674</v>
      </c>
      <c r="BI879" s="8">
        <f t="shared" si="445"/>
        <v>24393</v>
      </c>
      <c r="BJ879" s="8">
        <v>-242880</v>
      </c>
      <c r="BK879" s="8">
        <f t="shared" si="419"/>
        <v>-39333</v>
      </c>
    </row>
    <row r="880" spans="1:63">
      <c r="A880" s="5">
        <f t="shared" si="446"/>
        <v>45027</v>
      </c>
      <c r="B880" s="8">
        <v>528132</v>
      </c>
      <c r="C880" s="8">
        <f t="shared" si="425"/>
        <v>2554</v>
      </c>
      <c r="D880" s="8">
        <v>46481</v>
      </c>
      <c r="E880" s="8">
        <f t="shared" si="426"/>
        <v>182</v>
      </c>
      <c r="F880" s="8">
        <v>59047</v>
      </c>
      <c r="G880" s="8">
        <f t="shared" si="427"/>
        <v>2163</v>
      </c>
      <c r="H880" s="8">
        <v>-12566</v>
      </c>
      <c r="I880" s="8">
        <f t="shared" si="428"/>
        <v>-1981</v>
      </c>
      <c r="J880" s="8">
        <v>301272</v>
      </c>
      <c r="K880" s="8">
        <f t="shared" si="429"/>
        <v>2541</v>
      </c>
      <c r="L880" s="8">
        <v>290192</v>
      </c>
      <c r="M880" s="8">
        <f t="shared" si="430"/>
        <v>3479</v>
      </c>
      <c r="N880" s="8">
        <v>11080</v>
      </c>
      <c r="O880" s="8">
        <f t="shared" si="431"/>
        <v>-938</v>
      </c>
      <c r="P880" s="8">
        <v>180294</v>
      </c>
      <c r="Q880" s="8">
        <f t="shared" si="432"/>
        <v>3741</v>
      </c>
      <c r="R880" s="8">
        <v>275055</v>
      </c>
      <c r="S880" s="8">
        <f t="shared" si="433"/>
        <v>4321</v>
      </c>
      <c r="T880" s="8">
        <v>-94761</v>
      </c>
      <c r="U880" s="8">
        <f t="shared" si="434"/>
        <v>-580</v>
      </c>
      <c r="W880" s="8">
        <v>485932</v>
      </c>
      <c r="X880" s="8">
        <f t="shared" si="435"/>
        <v>-2031</v>
      </c>
      <c r="Y880" s="8">
        <v>109900</v>
      </c>
      <c r="Z880" s="8">
        <f t="shared" si="436"/>
        <v>-1520</v>
      </c>
      <c r="AA880" s="8">
        <v>14220</v>
      </c>
      <c r="AB880" s="8">
        <f t="shared" si="448"/>
        <v>-1465</v>
      </c>
      <c r="AC880" s="8">
        <v>95680</v>
      </c>
      <c r="AD880" s="8">
        <f t="shared" si="449"/>
        <v>-55</v>
      </c>
      <c r="AE880" s="8">
        <v>183539</v>
      </c>
      <c r="AF880" s="8">
        <f t="shared" si="420"/>
        <v>-2798</v>
      </c>
      <c r="AG880" s="8">
        <v>314424</v>
      </c>
      <c r="AH880" s="8">
        <f t="shared" si="421"/>
        <v>1396</v>
      </c>
      <c r="AI880" s="8">
        <v>-130885</v>
      </c>
      <c r="AJ880" s="8">
        <f t="shared" si="422"/>
        <v>-4194</v>
      </c>
      <c r="AK880" s="8">
        <v>86123</v>
      </c>
      <c r="AL880" s="8">
        <f t="shared" si="423"/>
        <v>-2719</v>
      </c>
      <c r="AM880" s="8">
        <v>307270</v>
      </c>
      <c r="AN880" s="8">
        <f t="shared" si="424"/>
        <v>1712</v>
      </c>
      <c r="AO880" s="8">
        <v>-221147</v>
      </c>
      <c r="AP880" s="8">
        <f t="shared" si="437"/>
        <v>-4431</v>
      </c>
      <c r="AR880" s="8">
        <v>1681027</v>
      </c>
      <c r="AS880" s="8">
        <f t="shared" si="438"/>
        <v>10090</v>
      </c>
      <c r="AT880" s="8">
        <v>213491</v>
      </c>
      <c r="AU880" s="8">
        <f t="shared" si="439"/>
        <v>13933</v>
      </c>
      <c r="AV880" s="8">
        <v>186379</v>
      </c>
      <c r="AW880" s="8">
        <f t="shared" si="440"/>
        <v>8368</v>
      </c>
      <c r="AX880" s="8">
        <v>27112</v>
      </c>
      <c r="AY880" s="8">
        <f t="shared" si="447"/>
        <v>5565</v>
      </c>
      <c r="AZ880" s="8">
        <v>742994</v>
      </c>
      <c r="BA880" s="8">
        <f t="shared" si="441"/>
        <v>-6216</v>
      </c>
      <c r="BB880" s="8">
        <v>754681</v>
      </c>
      <c r="BC880" s="8">
        <f t="shared" si="442"/>
        <v>-10253</v>
      </c>
      <c r="BD880" s="8">
        <v>-11687</v>
      </c>
      <c r="BE880" s="8">
        <f t="shared" si="443"/>
        <v>4037</v>
      </c>
      <c r="BF880" s="8">
        <v>457410</v>
      </c>
      <c r="BG880" s="8">
        <f t="shared" si="444"/>
        <v>-8384</v>
      </c>
      <c r="BH880" s="8">
        <v>696255</v>
      </c>
      <c r="BI880" s="8">
        <f t="shared" si="445"/>
        <v>-12419</v>
      </c>
      <c r="BJ880" s="8">
        <v>-238845</v>
      </c>
      <c r="BK880" s="8">
        <f t="shared" si="419"/>
        <v>4035</v>
      </c>
    </row>
    <row r="881" spans="1:63">
      <c r="A881" s="5">
        <f t="shared" si="446"/>
        <v>45034</v>
      </c>
      <c r="B881" s="8">
        <v>523252</v>
      </c>
      <c r="C881" s="8">
        <f t="shared" si="425"/>
        <v>-4880</v>
      </c>
      <c r="D881" s="8">
        <v>46090</v>
      </c>
      <c r="E881" s="8">
        <f t="shared" si="426"/>
        <v>-391</v>
      </c>
      <c r="F881" s="8">
        <v>61833</v>
      </c>
      <c r="G881" s="8">
        <f t="shared" si="427"/>
        <v>2786</v>
      </c>
      <c r="H881" s="8">
        <v>-15743</v>
      </c>
      <c r="I881" s="8">
        <f t="shared" si="428"/>
        <v>-3177</v>
      </c>
      <c r="J881" s="8">
        <v>299753</v>
      </c>
      <c r="K881" s="8">
        <f t="shared" si="429"/>
        <v>-1519</v>
      </c>
      <c r="L881" s="8">
        <v>288780</v>
      </c>
      <c r="M881" s="8">
        <f t="shared" si="430"/>
        <v>-1412</v>
      </c>
      <c r="N881" s="8">
        <v>10973</v>
      </c>
      <c r="O881" s="8">
        <f t="shared" si="431"/>
        <v>-107</v>
      </c>
      <c r="P881" s="8">
        <v>178021</v>
      </c>
      <c r="Q881" s="8">
        <f t="shared" si="432"/>
        <v>-2273</v>
      </c>
      <c r="R881" s="8">
        <v>275057</v>
      </c>
      <c r="S881" s="8">
        <f t="shared" si="433"/>
        <v>2</v>
      </c>
      <c r="T881" s="8">
        <v>-97036</v>
      </c>
      <c r="U881" s="8">
        <f t="shared" si="434"/>
        <v>-2275</v>
      </c>
      <c r="W881" s="8">
        <v>504548</v>
      </c>
      <c r="X881" s="8">
        <f t="shared" si="435"/>
        <v>18616</v>
      </c>
      <c r="Y881" s="8">
        <v>121250</v>
      </c>
      <c r="Z881" s="8">
        <f t="shared" si="436"/>
        <v>11350</v>
      </c>
      <c r="AA881" s="8">
        <v>15568</v>
      </c>
      <c r="AB881" s="8">
        <f t="shared" si="448"/>
        <v>1348</v>
      </c>
      <c r="AC881" s="8">
        <v>105682</v>
      </c>
      <c r="AD881" s="8">
        <f t="shared" si="449"/>
        <v>10002</v>
      </c>
      <c r="AE881" s="8">
        <v>182587</v>
      </c>
      <c r="AF881" s="8">
        <f t="shared" si="420"/>
        <v>-952</v>
      </c>
      <c r="AG881" s="8">
        <v>325768</v>
      </c>
      <c r="AH881" s="8">
        <f t="shared" si="421"/>
        <v>11344</v>
      </c>
      <c r="AI881" s="8">
        <v>-143181</v>
      </c>
      <c r="AJ881" s="8">
        <f t="shared" si="422"/>
        <v>-12296</v>
      </c>
      <c r="AK881" s="8">
        <v>84266</v>
      </c>
      <c r="AL881" s="8">
        <f t="shared" si="423"/>
        <v>-1857</v>
      </c>
      <c r="AM881" s="8">
        <v>318021</v>
      </c>
      <c r="AN881" s="8">
        <f t="shared" si="424"/>
        <v>10751</v>
      </c>
      <c r="AO881" s="8">
        <v>-233755</v>
      </c>
      <c r="AP881" s="8">
        <f t="shared" si="437"/>
        <v>-12608</v>
      </c>
      <c r="AR881" s="8">
        <v>1690262</v>
      </c>
      <c r="AS881" s="8">
        <f t="shared" si="438"/>
        <v>9235</v>
      </c>
      <c r="AT881" s="8">
        <v>220716</v>
      </c>
      <c r="AU881" s="8">
        <f t="shared" si="439"/>
        <v>7225</v>
      </c>
      <c r="AV881" s="8">
        <v>171282</v>
      </c>
      <c r="AW881" s="8">
        <f t="shared" si="440"/>
        <v>-15097</v>
      </c>
      <c r="AX881" s="8">
        <v>49434</v>
      </c>
      <c r="AY881" s="8">
        <f t="shared" si="447"/>
        <v>22322</v>
      </c>
      <c r="AZ881" s="8">
        <v>741692</v>
      </c>
      <c r="BA881" s="8">
        <f t="shared" si="441"/>
        <v>-1302</v>
      </c>
      <c r="BB881" s="8">
        <v>757897</v>
      </c>
      <c r="BC881" s="8">
        <f t="shared" si="442"/>
        <v>3216</v>
      </c>
      <c r="BD881" s="8">
        <v>-16205</v>
      </c>
      <c r="BE881" s="8">
        <f t="shared" si="443"/>
        <v>-4518</v>
      </c>
      <c r="BF881" s="8">
        <v>441209</v>
      </c>
      <c r="BG881" s="8">
        <f t="shared" si="444"/>
        <v>-16201</v>
      </c>
      <c r="BH881" s="8">
        <v>687823</v>
      </c>
      <c r="BI881" s="8">
        <f t="shared" si="445"/>
        <v>-8432</v>
      </c>
      <c r="BJ881" s="8">
        <v>-246614</v>
      </c>
      <c r="BK881" s="8">
        <f t="shared" si="419"/>
        <v>-7769</v>
      </c>
    </row>
    <row r="882" spans="1:63">
      <c r="A882" s="5">
        <f t="shared" si="446"/>
        <v>45041</v>
      </c>
      <c r="B882" s="8">
        <v>495888</v>
      </c>
      <c r="C882" s="8">
        <f t="shared" si="425"/>
        <v>-27364</v>
      </c>
      <c r="D882" s="8">
        <v>49309</v>
      </c>
      <c r="E882" s="8">
        <f t="shared" si="426"/>
        <v>3219</v>
      </c>
      <c r="F882" s="8">
        <v>68864</v>
      </c>
      <c r="G882" s="8">
        <f t="shared" si="427"/>
        <v>7031</v>
      </c>
      <c r="H882" s="8">
        <v>-19555</v>
      </c>
      <c r="I882" s="8">
        <f t="shared" si="428"/>
        <v>-3812</v>
      </c>
      <c r="J882" s="8">
        <v>290640</v>
      </c>
      <c r="K882" s="8">
        <f t="shared" si="429"/>
        <v>-9113</v>
      </c>
      <c r="L882" s="8">
        <v>266776</v>
      </c>
      <c r="M882" s="8">
        <f t="shared" si="430"/>
        <v>-22004</v>
      </c>
      <c r="N882" s="8">
        <v>23864</v>
      </c>
      <c r="O882" s="8">
        <f t="shared" si="431"/>
        <v>12891</v>
      </c>
      <c r="P882" s="8">
        <v>169665</v>
      </c>
      <c r="Q882" s="8">
        <f t="shared" si="432"/>
        <v>-8356</v>
      </c>
      <c r="R882" s="8">
        <v>252894</v>
      </c>
      <c r="S882" s="8">
        <f t="shared" si="433"/>
        <v>-22163</v>
      </c>
      <c r="T882" s="8">
        <v>-83229</v>
      </c>
      <c r="U882" s="8">
        <f t="shared" si="434"/>
        <v>13807</v>
      </c>
      <c r="W882" s="8">
        <v>482573</v>
      </c>
      <c r="X882" s="8">
        <f t="shared" si="435"/>
        <v>-21975</v>
      </c>
      <c r="Y882" s="8">
        <v>107526</v>
      </c>
      <c r="Z882" s="8">
        <f t="shared" si="436"/>
        <v>-13724</v>
      </c>
      <c r="AA882" s="8">
        <v>21153</v>
      </c>
      <c r="AB882" s="8">
        <f t="shared" si="448"/>
        <v>5585</v>
      </c>
      <c r="AC882" s="8">
        <v>86373</v>
      </c>
      <c r="AD882" s="8">
        <f t="shared" si="449"/>
        <v>-19309</v>
      </c>
      <c r="AE882" s="8">
        <v>189741</v>
      </c>
      <c r="AF882" s="8">
        <f t="shared" si="420"/>
        <v>7154</v>
      </c>
      <c r="AG882" s="8">
        <v>309644</v>
      </c>
      <c r="AH882" s="8">
        <f t="shared" si="421"/>
        <v>-16124</v>
      </c>
      <c r="AI882" s="8">
        <v>-119903</v>
      </c>
      <c r="AJ882" s="8">
        <f t="shared" si="422"/>
        <v>23278</v>
      </c>
      <c r="AK882" s="8">
        <v>92159</v>
      </c>
      <c r="AL882" s="8">
        <f t="shared" si="423"/>
        <v>7893</v>
      </c>
      <c r="AM882" s="8">
        <v>303890</v>
      </c>
      <c r="AN882" s="8">
        <f t="shared" si="424"/>
        <v>-14131</v>
      </c>
      <c r="AO882" s="8">
        <v>-211731</v>
      </c>
      <c r="AP882" s="8">
        <f t="shared" si="437"/>
        <v>22024</v>
      </c>
      <c r="AR882" s="8">
        <v>1569537</v>
      </c>
      <c r="AS882" s="8">
        <f t="shared" si="438"/>
        <v>-120725</v>
      </c>
      <c r="AT882" s="8">
        <v>190680</v>
      </c>
      <c r="AU882" s="8">
        <f t="shared" si="439"/>
        <v>-30036</v>
      </c>
      <c r="AV882" s="8">
        <v>205977</v>
      </c>
      <c r="AW882" s="8">
        <f t="shared" si="440"/>
        <v>34695</v>
      </c>
      <c r="AX882" s="8">
        <v>-15297</v>
      </c>
      <c r="AY882" s="8">
        <f t="shared" si="447"/>
        <v>-64731</v>
      </c>
      <c r="AZ882" s="8">
        <v>740144</v>
      </c>
      <c r="BA882" s="8">
        <f t="shared" si="441"/>
        <v>-1548</v>
      </c>
      <c r="BB882" s="8">
        <v>683805</v>
      </c>
      <c r="BC882" s="8">
        <f t="shared" si="442"/>
        <v>-74092</v>
      </c>
      <c r="BD882" s="8">
        <v>56339</v>
      </c>
      <c r="BE882" s="8">
        <f t="shared" si="443"/>
        <v>72544</v>
      </c>
      <c r="BF882" s="8">
        <v>439230</v>
      </c>
      <c r="BG882" s="8">
        <f t="shared" si="444"/>
        <v>-1979</v>
      </c>
      <c r="BH882" s="8">
        <v>620657</v>
      </c>
      <c r="BI882" s="8">
        <f t="shared" si="445"/>
        <v>-67166</v>
      </c>
      <c r="BJ882" s="8">
        <v>-181427</v>
      </c>
      <c r="BK882" s="8">
        <f t="shared" si="419"/>
        <v>65187</v>
      </c>
    </row>
    <row r="883" spans="1:63">
      <c r="A883" s="5">
        <f t="shared" si="446"/>
        <v>45048</v>
      </c>
      <c r="B883" s="8">
        <v>508660</v>
      </c>
      <c r="C883" s="8">
        <f t="shared" si="425"/>
        <v>12772</v>
      </c>
      <c r="D883" s="8">
        <v>53844</v>
      </c>
      <c r="E883" s="8">
        <f t="shared" si="426"/>
        <v>4535</v>
      </c>
      <c r="F883" s="8">
        <v>77578</v>
      </c>
      <c r="G883" s="8">
        <f t="shared" si="427"/>
        <v>8714</v>
      </c>
      <c r="H883" s="8">
        <v>-23734</v>
      </c>
      <c r="I883" s="8">
        <f t="shared" si="428"/>
        <v>-4179</v>
      </c>
      <c r="J883" s="8">
        <v>292246</v>
      </c>
      <c r="K883" s="8">
        <f t="shared" si="429"/>
        <v>1606</v>
      </c>
      <c r="L883" s="8">
        <v>265596</v>
      </c>
      <c r="M883" s="8">
        <f t="shared" si="430"/>
        <v>-1180</v>
      </c>
      <c r="N883" s="8">
        <v>26650</v>
      </c>
      <c r="O883" s="8">
        <f t="shared" si="431"/>
        <v>2786</v>
      </c>
      <c r="P883" s="8">
        <v>173112</v>
      </c>
      <c r="Q883" s="8">
        <f t="shared" si="432"/>
        <v>3447</v>
      </c>
      <c r="R883" s="8">
        <v>248760</v>
      </c>
      <c r="S883" s="8">
        <f t="shared" si="433"/>
        <v>-4134</v>
      </c>
      <c r="T883" s="8">
        <v>-75648</v>
      </c>
      <c r="U883" s="8">
        <f t="shared" si="434"/>
        <v>7581</v>
      </c>
      <c r="W883" s="8">
        <v>473433</v>
      </c>
      <c r="X883" s="8">
        <f t="shared" si="435"/>
        <v>-9140</v>
      </c>
      <c r="Y883" s="8">
        <v>83479</v>
      </c>
      <c r="Z883" s="8">
        <f t="shared" si="436"/>
        <v>-24047</v>
      </c>
      <c r="AA883" s="8">
        <v>22922</v>
      </c>
      <c r="AB883" s="8">
        <f t="shared" si="448"/>
        <v>1769</v>
      </c>
      <c r="AC883" s="8">
        <v>60557</v>
      </c>
      <c r="AD883" s="8">
        <f t="shared" si="449"/>
        <v>-25816</v>
      </c>
      <c r="AE883" s="8">
        <v>190136</v>
      </c>
      <c r="AF883" s="8">
        <f t="shared" si="420"/>
        <v>395</v>
      </c>
      <c r="AG883" s="8">
        <v>284034</v>
      </c>
      <c r="AH883" s="8">
        <f t="shared" si="421"/>
        <v>-25610</v>
      </c>
      <c r="AI883" s="8">
        <v>-93898</v>
      </c>
      <c r="AJ883" s="8">
        <f t="shared" si="422"/>
        <v>26005</v>
      </c>
      <c r="AK883" s="8">
        <v>91000</v>
      </c>
      <c r="AL883" s="8">
        <f t="shared" si="423"/>
        <v>-1159</v>
      </c>
      <c r="AM883" s="8">
        <v>278706</v>
      </c>
      <c r="AN883" s="8">
        <f t="shared" si="424"/>
        <v>-25184</v>
      </c>
      <c r="AO883" s="8">
        <v>-187706</v>
      </c>
      <c r="AP883" s="8">
        <f t="shared" si="437"/>
        <v>24025</v>
      </c>
      <c r="AR883" s="8">
        <v>1619667</v>
      </c>
      <c r="AS883" s="8">
        <f t="shared" si="438"/>
        <v>50130</v>
      </c>
      <c r="AT883" s="8">
        <v>152174</v>
      </c>
      <c r="AU883" s="8">
        <f t="shared" si="439"/>
        <v>-38506</v>
      </c>
      <c r="AV883" s="8">
        <v>270320</v>
      </c>
      <c r="AW883" s="8">
        <f t="shared" si="440"/>
        <v>64343</v>
      </c>
      <c r="AX883" s="8">
        <v>-118146</v>
      </c>
      <c r="AY883" s="8">
        <f t="shared" si="447"/>
        <v>-102849</v>
      </c>
      <c r="AZ883" s="8">
        <v>763256</v>
      </c>
      <c r="BA883" s="8">
        <f t="shared" si="441"/>
        <v>23112</v>
      </c>
      <c r="BB883" s="8">
        <v>617254</v>
      </c>
      <c r="BC883" s="8">
        <f t="shared" si="442"/>
        <v>-66551</v>
      </c>
      <c r="BD883" s="8">
        <v>146002</v>
      </c>
      <c r="BE883" s="8">
        <f t="shared" si="443"/>
        <v>89663</v>
      </c>
      <c r="BF883" s="8">
        <v>452902</v>
      </c>
      <c r="BG883" s="8">
        <f t="shared" si="444"/>
        <v>13672</v>
      </c>
      <c r="BH883" s="8">
        <v>551955</v>
      </c>
      <c r="BI883" s="8">
        <f t="shared" si="445"/>
        <v>-68702</v>
      </c>
      <c r="BJ883" s="8">
        <v>-99053</v>
      </c>
      <c r="BK883" s="8">
        <f t="shared" si="419"/>
        <v>82374</v>
      </c>
    </row>
    <row r="884" spans="1:63">
      <c r="A884" s="5">
        <f t="shared" si="446"/>
        <v>45055</v>
      </c>
      <c r="B884" s="8">
        <v>524176</v>
      </c>
      <c r="C884" s="8">
        <f t="shared" si="425"/>
        <v>15516</v>
      </c>
      <c r="D884" s="8">
        <v>59676</v>
      </c>
      <c r="E884" s="8">
        <f t="shared" si="426"/>
        <v>5832</v>
      </c>
      <c r="F884" s="8">
        <v>73160</v>
      </c>
      <c r="G884" s="8">
        <f t="shared" si="427"/>
        <v>-4418</v>
      </c>
      <c r="H884" s="8">
        <v>-13484</v>
      </c>
      <c r="I884" s="8">
        <f t="shared" si="428"/>
        <v>10250</v>
      </c>
      <c r="J884" s="8">
        <v>294066</v>
      </c>
      <c r="K884" s="8">
        <f t="shared" si="429"/>
        <v>1820</v>
      </c>
      <c r="L884" s="8">
        <v>281532</v>
      </c>
      <c r="M884" s="8">
        <f t="shared" si="430"/>
        <v>15936</v>
      </c>
      <c r="N884" s="8">
        <v>12534</v>
      </c>
      <c r="O884" s="8">
        <f t="shared" si="431"/>
        <v>-14116</v>
      </c>
      <c r="P884" s="8">
        <v>171272</v>
      </c>
      <c r="Q884" s="8">
        <f t="shared" si="432"/>
        <v>-1840</v>
      </c>
      <c r="R884" s="8">
        <v>264119</v>
      </c>
      <c r="S884" s="8">
        <f t="shared" si="433"/>
        <v>15359</v>
      </c>
      <c r="T884" s="8">
        <v>-92847</v>
      </c>
      <c r="U884" s="8">
        <f t="shared" si="434"/>
        <v>-17199</v>
      </c>
      <c r="W884" s="8">
        <v>501524</v>
      </c>
      <c r="X884" s="8">
        <f t="shared" si="435"/>
        <v>28091</v>
      </c>
      <c r="Y884" s="8">
        <v>84497</v>
      </c>
      <c r="Z884" s="8">
        <f t="shared" si="436"/>
        <v>1018</v>
      </c>
      <c r="AA884" s="8">
        <v>22235</v>
      </c>
      <c r="AB884" s="8">
        <f t="shared" si="448"/>
        <v>-687</v>
      </c>
      <c r="AC884" s="8">
        <v>62262</v>
      </c>
      <c r="AD884" s="8">
        <f t="shared" si="449"/>
        <v>1705</v>
      </c>
      <c r="AE884" s="8">
        <v>206524</v>
      </c>
      <c r="AF884" s="8">
        <f t="shared" si="420"/>
        <v>16388</v>
      </c>
      <c r="AG884" s="8">
        <v>299174</v>
      </c>
      <c r="AH884" s="8">
        <f t="shared" si="421"/>
        <v>15140</v>
      </c>
      <c r="AI884" s="8">
        <v>-92650</v>
      </c>
      <c r="AJ884" s="8">
        <f t="shared" si="422"/>
        <v>1248</v>
      </c>
      <c r="AK884" s="8">
        <v>103551</v>
      </c>
      <c r="AL884" s="8">
        <f t="shared" si="423"/>
        <v>12551</v>
      </c>
      <c r="AM884" s="8">
        <v>290440</v>
      </c>
      <c r="AN884" s="8">
        <f t="shared" si="424"/>
        <v>11734</v>
      </c>
      <c r="AO884" s="8">
        <v>-186889</v>
      </c>
      <c r="AP884" s="8">
        <f t="shared" si="437"/>
        <v>817</v>
      </c>
      <c r="AR884" s="8">
        <v>1680175</v>
      </c>
      <c r="AS884" s="8">
        <f t="shared" si="438"/>
        <v>60508</v>
      </c>
      <c r="AT884" s="8">
        <v>159467</v>
      </c>
      <c r="AU884" s="8">
        <f t="shared" si="439"/>
        <v>7293</v>
      </c>
      <c r="AV884" s="8">
        <v>269110</v>
      </c>
      <c r="AW884" s="8">
        <f t="shared" si="440"/>
        <v>-1210</v>
      </c>
      <c r="AX884" s="8">
        <v>-109643</v>
      </c>
      <c r="AY884" s="8">
        <f t="shared" si="447"/>
        <v>8503</v>
      </c>
      <c r="AZ884" s="8">
        <v>773041</v>
      </c>
      <c r="BA884" s="8">
        <f t="shared" si="441"/>
        <v>9785</v>
      </c>
      <c r="BB884" s="8">
        <v>639383</v>
      </c>
      <c r="BC884" s="8">
        <f t="shared" si="442"/>
        <v>22129</v>
      </c>
      <c r="BD884" s="8">
        <v>133658</v>
      </c>
      <c r="BE884" s="8">
        <f t="shared" si="443"/>
        <v>-12344</v>
      </c>
      <c r="BF884" s="8">
        <v>463340</v>
      </c>
      <c r="BG884" s="8">
        <f t="shared" si="444"/>
        <v>10438</v>
      </c>
      <c r="BH884" s="8">
        <v>576562</v>
      </c>
      <c r="BI884" s="8">
        <f t="shared" si="445"/>
        <v>24607</v>
      </c>
      <c r="BJ884" s="8">
        <v>-113222</v>
      </c>
      <c r="BK884" s="8">
        <f t="shared" si="419"/>
        <v>-14169</v>
      </c>
    </row>
    <row r="885" spans="1:63">
      <c r="A885" s="5">
        <f t="shared" si="446"/>
        <v>45062</v>
      </c>
      <c r="B885" s="8">
        <v>576435</v>
      </c>
      <c r="C885" s="8">
        <f t="shared" si="425"/>
        <v>52259</v>
      </c>
      <c r="D885" s="8">
        <v>50354</v>
      </c>
      <c r="E885" s="8">
        <f t="shared" si="426"/>
        <v>-9322</v>
      </c>
      <c r="F885" s="8">
        <v>86735</v>
      </c>
      <c r="G885" s="8">
        <f t="shared" si="427"/>
        <v>13575</v>
      </c>
      <c r="H885" s="8">
        <v>-36381</v>
      </c>
      <c r="I885" s="8">
        <f t="shared" si="428"/>
        <v>-22897</v>
      </c>
      <c r="J885" s="8">
        <v>322859</v>
      </c>
      <c r="K885" s="8">
        <f t="shared" si="429"/>
        <v>28793</v>
      </c>
      <c r="L885" s="8">
        <v>282346</v>
      </c>
      <c r="M885" s="8">
        <f t="shared" si="430"/>
        <v>814</v>
      </c>
      <c r="N885" s="8">
        <v>40513</v>
      </c>
      <c r="O885" s="8">
        <f t="shared" si="431"/>
        <v>27979</v>
      </c>
      <c r="P885" s="8">
        <v>194052</v>
      </c>
      <c r="Q885" s="8">
        <f t="shared" si="432"/>
        <v>22780</v>
      </c>
      <c r="R885" s="8">
        <v>263750</v>
      </c>
      <c r="S885" s="8">
        <f t="shared" si="433"/>
        <v>-369</v>
      </c>
      <c r="T885" s="8">
        <v>-69698</v>
      </c>
      <c r="U885" s="8">
        <f t="shared" si="434"/>
        <v>23149</v>
      </c>
      <c r="W885" s="8">
        <v>519702</v>
      </c>
      <c r="X885" s="8">
        <f t="shared" si="435"/>
        <v>18178</v>
      </c>
      <c r="Y885" s="8">
        <v>96805</v>
      </c>
      <c r="Z885" s="8">
        <f t="shared" si="436"/>
        <v>12308</v>
      </c>
      <c r="AA885" s="8">
        <v>16518</v>
      </c>
      <c r="AB885" s="8">
        <f t="shared" si="448"/>
        <v>-5717</v>
      </c>
      <c r="AC885" s="8">
        <v>80287</v>
      </c>
      <c r="AD885" s="8">
        <f t="shared" si="449"/>
        <v>18025</v>
      </c>
      <c r="AE885" s="8">
        <v>199954</v>
      </c>
      <c r="AF885" s="8">
        <f t="shared" si="420"/>
        <v>-6570</v>
      </c>
      <c r="AG885" s="8">
        <v>316684</v>
      </c>
      <c r="AH885" s="8">
        <f t="shared" si="421"/>
        <v>17510</v>
      </c>
      <c r="AI885" s="8">
        <v>-116730</v>
      </c>
      <c r="AJ885" s="8">
        <f t="shared" si="422"/>
        <v>-24080</v>
      </c>
      <c r="AK885" s="8">
        <v>98405</v>
      </c>
      <c r="AL885" s="8">
        <f t="shared" si="423"/>
        <v>-5146</v>
      </c>
      <c r="AM885" s="8">
        <v>307501</v>
      </c>
      <c r="AN885" s="8">
        <f t="shared" si="424"/>
        <v>17061</v>
      </c>
      <c r="AO885" s="8">
        <v>-209096</v>
      </c>
      <c r="AP885" s="8">
        <f t="shared" si="437"/>
        <v>-22207</v>
      </c>
      <c r="AR885" s="8">
        <v>1754792</v>
      </c>
      <c r="AS885" s="8">
        <f t="shared" si="438"/>
        <v>74617</v>
      </c>
      <c r="AT885" s="8">
        <v>171753</v>
      </c>
      <c r="AU885" s="8">
        <f t="shared" si="439"/>
        <v>12286</v>
      </c>
      <c r="AV885" s="8">
        <v>263738</v>
      </c>
      <c r="AW885" s="8">
        <f t="shared" si="440"/>
        <v>-5372</v>
      </c>
      <c r="AX885" s="8">
        <v>-91985</v>
      </c>
      <c r="AY885" s="8">
        <f t="shared" si="447"/>
        <v>17658</v>
      </c>
      <c r="AZ885" s="8">
        <v>803923</v>
      </c>
      <c r="BA885" s="8">
        <f t="shared" si="441"/>
        <v>30882</v>
      </c>
      <c r="BB885" s="8">
        <v>671176</v>
      </c>
      <c r="BC885" s="8">
        <f t="shared" si="442"/>
        <v>31793</v>
      </c>
      <c r="BD885" s="8">
        <v>132747</v>
      </c>
      <c r="BE885" s="8">
        <f t="shared" si="443"/>
        <v>-911</v>
      </c>
      <c r="BF885" s="8">
        <v>487144</v>
      </c>
      <c r="BG885" s="8">
        <f t="shared" si="444"/>
        <v>23804</v>
      </c>
      <c r="BH885" s="8">
        <v>604869</v>
      </c>
      <c r="BI885" s="8">
        <f t="shared" si="445"/>
        <v>28307</v>
      </c>
      <c r="BJ885" s="8">
        <v>-117725</v>
      </c>
      <c r="BK885" s="8">
        <f t="shared" si="419"/>
        <v>-4503</v>
      </c>
    </row>
    <row r="886" spans="1:63">
      <c r="A886" s="5">
        <f t="shared" si="446"/>
        <v>45069</v>
      </c>
      <c r="B886" s="8">
        <v>610653</v>
      </c>
      <c r="C886" s="8">
        <f t="shared" si="425"/>
        <v>34218</v>
      </c>
      <c r="D886" s="8">
        <v>51057</v>
      </c>
      <c r="E886" s="8">
        <f t="shared" si="426"/>
        <v>703</v>
      </c>
      <c r="F886" s="8">
        <v>87934</v>
      </c>
      <c r="G886" s="8">
        <f t="shared" si="427"/>
        <v>1199</v>
      </c>
      <c r="H886" s="8">
        <v>-36877</v>
      </c>
      <c r="I886" s="8">
        <f t="shared" si="428"/>
        <v>-496</v>
      </c>
      <c r="J886" s="8">
        <v>333380</v>
      </c>
      <c r="K886" s="8">
        <f t="shared" si="429"/>
        <v>10521</v>
      </c>
      <c r="L886" s="8">
        <v>291885</v>
      </c>
      <c r="M886" s="8">
        <f t="shared" si="430"/>
        <v>9539</v>
      </c>
      <c r="N886" s="8">
        <v>41495</v>
      </c>
      <c r="O886" s="8">
        <f t="shared" si="431"/>
        <v>982</v>
      </c>
      <c r="P886" s="8">
        <v>200373</v>
      </c>
      <c r="Q886" s="8">
        <f t="shared" si="432"/>
        <v>6321</v>
      </c>
      <c r="R886" s="8">
        <v>270834</v>
      </c>
      <c r="S886" s="8">
        <f t="shared" si="433"/>
        <v>7084</v>
      </c>
      <c r="T886" s="8">
        <v>-70461</v>
      </c>
      <c r="U886" s="8">
        <f t="shared" si="434"/>
        <v>-763</v>
      </c>
      <c r="W886" s="8">
        <v>539152</v>
      </c>
      <c r="X886" s="8">
        <f t="shared" si="435"/>
        <v>19450</v>
      </c>
      <c r="Y886" s="8">
        <v>94062</v>
      </c>
      <c r="Z886" s="8">
        <f t="shared" si="436"/>
        <v>-2743</v>
      </c>
      <c r="AA886" s="8">
        <v>20273</v>
      </c>
      <c r="AB886" s="8">
        <f t="shared" si="448"/>
        <v>3755</v>
      </c>
      <c r="AC886" s="8">
        <v>73789</v>
      </c>
      <c r="AD886" s="8">
        <f t="shared" si="449"/>
        <v>-6498</v>
      </c>
      <c r="AE886" s="8">
        <v>209120</v>
      </c>
      <c r="AF886" s="8">
        <f t="shared" si="420"/>
        <v>9166</v>
      </c>
      <c r="AG886" s="8">
        <v>316077</v>
      </c>
      <c r="AH886" s="8">
        <f t="shared" si="421"/>
        <v>-607</v>
      </c>
      <c r="AI886" s="8">
        <v>-106957</v>
      </c>
      <c r="AJ886" s="8">
        <f t="shared" si="422"/>
        <v>9773</v>
      </c>
      <c r="AK886" s="8">
        <v>107335</v>
      </c>
      <c r="AL886" s="8">
        <f t="shared" si="423"/>
        <v>8930</v>
      </c>
      <c r="AM886" s="8">
        <v>308222</v>
      </c>
      <c r="AN886" s="8">
        <f t="shared" si="424"/>
        <v>721</v>
      </c>
      <c r="AO886" s="8">
        <v>-200887</v>
      </c>
      <c r="AP886" s="8">
        <f t="shared" si="437"/>
        <v>8209</v>
      </c>
      <c r="AR886" s="8">
        <v>1774459</v>
      </c>
      <c r="AS886" s="8">
        <f t="shared" si="438"/>
        <v>19667</v>
      </c>
      <c r="AT886" s="8">
        <v>171893</v>
      </c>
      <c r="AU886" s="8">
        <f t="shared" si="439"/>
        <v>140</v>
      </c>
      <c r="AV886" s="8">
        <v>269920</v>
      </c>
      <c r="AW886" s="8">
        <f t="shared" si="440"/>
        <v>6182</v>
      </c>
      <c r="AX886" s="8">
        <v>-98027</v>
      </c>
      <c r="AY886" s="8">
        <f t="shared" si="447"/>
        <v>-6042</v>
      </c>
      <c r="AZ886" s="8">
        <v>810490</v>
      </c>
      <c r="BA886" s="8">
        <f t="shared" si="441"/>
        <v>6567</v>
      </c>
      <c r="BB886" s="8">
        <v>665394</v>
      </c>
      <c r="BC886" s="8">
        <f t="shared" si="442"/>
        <v>-5782</v>
      </c>
      <c r="BD886" s="8">
        <v>145096</v>
      </c>
      <c r="BE886" s="8">
        <f t="shared" si="443"/>
        <v>12349</v>
      </c>
      <c r="BF886" s="8">
        <v>493161</v>
      </c>
      <c r="BG886" s="8">
        <f t="shared" si="444"/>
        <v>6017</v>
      </c>
      <c r="BH886" s="8">
        <v>595308</v>
      </c>
      <c r="BI886" s="8">
        <f t="shared" si="445"/>
        <v>-9561</v>
      </c>
      <c r="BJ886" s="8">
        <v>-102147</v>
      </c>
      <c r="BK886" s="8">
        <f t="shared" si="419"/>
        <v>15578</v>
      </c>
    </row>
    <row r="887" spans="1:63">
      <c r="A887" s="5">
        <f t="shared" si="446"/>
        <v>45076</v>
      </c>
      <c r="B887" s="8">
        <v>613532</v>
      </c>
      <c r="C887" s="8">
        <f t="shared" si="425"/>
        <v>2879</v>
      </c>
      <c r="D887" s="8">
        <v>50404</v>
      </c>
      <c r="E887" s="8">
        <f t="shared" si="426"/>
        <v>-653</v>
      </c>
      <c r="F887" s="8">
        <v>87853</v>
      </c>
      <c r="G887" s="8">
        <f t="shared" si="427"/>
        <v>-81</v>
      </c>
      <c r="H887" s="8">
        <v>-37449</v>
      </c>
      <c r="I887" s="8">
        <f t="shared" si="428"/>
        <v>-572</v>
      </c>
      <c r="J887" s="8">
        <v>342362</v>
      </c>
      <c r="K887" s="8">
        <f t="shared" si="429"/>
        <v>8982</v>
      </c>
      <c r="L887" s="8">
        <v>299869</v>
      </c>
      <c r="M887" s="8">
        <f t="shared" si="430"/>
        <v>7984</v>
      </c>
      <c r="N887" s="8">
        <v>42493</v>
      </c>
      <c r="O887" s="8">
        <f t="shared" si="431"/>
        <v>998</v>
      </c>
      <c r="P887" s="8">
        <v>205403</v>
      </c>
      <c r="Q887" s="8">
        <f t="shared" si="432"/>
        <v>5030</v>
      </c>
      <c r="R887" s="8">
        <v>276334</v>
      </c>
      <c r="S887" s="8">
        <f t="shared" si="433"/>
        <v>5500</v>
      </c>
      <c r="T887" s="8">
        <v>-70931</v>
      </c>
      <c r="U887" s="8">
        <f t="shared" si="434"/>
        <v>-470</v>
      </c>
      <c r="W887" s="8">
        <v>538779</v>
      </c>
      <c r="X887" s="8">
        <f t="shared" si="435"/>
        <v>-373</v>
      </c>
      <c r="Y887" s="8">
        <v>79443</v>
      </c>
      <c r="Z887" s="8">
        <f t="shared" si="436"/>
        <v>-14619</v>
      </c>
      <c r="AA887" s="8">
        <v>19767</v>
      </c>
      <c r="AB887" s="8">
        <f t="shared" si="448"/>
        <v>-506</v>
      </c>
      <c r="AC887" s="8">
        <v>59676</v>
      </c>
      <c r="AD887" s="8">
        <f t="shared" si="449"/>
        <v>-14113</v>
      </c>
      <c r="AE887" s="8">
        <v>214950</v>
      </c>
      <c r="AF887" s="8">
        <f t="shared" si="420"/>
        <v>5830</v>
      </c>
      <c r="AG887" s="8">
        <v>308511</v>
      </c>
      <c r="AH887" s="8">
        <f t="shared" si="421"/>
        <v>-7566</v>
      </c>
      <c r="AI887" s="8">
        <v>-93561</v>
      </c>
      <c r="AJ887" s="8">
        <f t="shared" si="422"/>
        <v>13396</v>
      </c>
      <c r="AK887" s="8">
        <v>110761</v>
      </c>
      <c r="AL887" s="8">
        <f t="shared" si="423"/>
        <v>3426</v>
      </c>
      <c r="AM887" s="8">
        <v>301188</v>
      </c>
      <c r="AN887" s="8">
        <f t="shared" si="424"/>
        <v>-7034</v>
      </c>
      <c r="AO887" s="8">
        <v>-190427</v>
      </c>
      <c r="AP887" s="8">
        <f t="shared" si="437"/>
        <v>10460</v>
      </c>
      <c r="AR887" s="8">
        <v>1761882</v>
      </c>
      <c r="AS887" s="8">
        <f t="shared" si="438"/>
        <v>-12577</v>
      </c>
      <c r="AT887" s="8">
        <v>171723</v>
      </c>
      <c r="AU887" s="8">
        <f t="shared" si="439"/>
        <v>-170</v>
      </c>
      <c r="AV887" s="8">
        <v>222788</v>
      </c>
      <c r="AW887" s="8">
        <f t="shared" si="440"/>
        <v>-47132</v>
      </c>
      <c r="AX887" s="8">
        <v>-51065</v>
      </c>
      <c r="AY887" s="8">
        <f t="shared" si="447"/>
        <v>46962</v>
      </c>
      <c r="AZ887" s="8">
        <v>805131</v>
      </c>
      <c r="BA887" s="8">
        <f t="shared" si="441"/>
        <v>-5359</v>
      </c>
      <c r="BB887" s="8">
        <v>706683</v>
      </c>
      <c r="BC887" s="8">
        <f t="shared" si="442"/>
        <v>41289</v>
      </c>
      <c r="BD887" s="8">
        <v>98448</v>
      </c>
      <c r="BE887" s="8">
        <f t="shared" si="443"/>
        <v>-46648</v>
      </c>
      <c r="BF887" s="8">
        <v>483159</v>
      </c>
      <c r="BG887" s="8">
        <f t="shared" si="444"/>
        <v>-10002</v>
      </c>
      <c r="BH887" s="8">
        <v>631002</v>
      </c>
      <c r="BI887" s="8">
        <f t="shared" si="445"/>
        <v>35694</v>
      </c>
      <c r="BJ887" s="8">
        <v>-147843</v>
      </c>
      <c r="BK887" s="8">
        <f t="shared" si="419"/>
        <v>-45696</v>
      </c>
    </row>
    <row r="888" spans="1:63">
      <c r="A888" s="5">
        <f t="shared" si="446"/>
        <v>45083</v>
      </c>
      <c r="B888" s="8">
        <v>610612</v>
      </c>
      <c r="C888" s="8">
        <f t="shared" si="425"/>
        <v>-2920</v>
      </c>
      <c r="D888" s="8">
        <v>54345</v>
      </c>
      <c r="E888" s="8">
        <f t="shared" si="426"/>
        <v>3941</v>
      </c>
      <c r="F888" s="8">
        <v>72651</v>
      </c>
      <c r="G888" s="8">
        <f t="shared" si="427"/>
        <v>-15202</v>
      </c>
      <c r="H888" s="8">
        <v>-18306</v>
      </c>
      <c r="I888" s="8">
        <f t="shared" si="428"/>
        <v>19143</v>
      </c>
      <c r="J888" s="8">
        <v>344164</v>
      </c>
      <c r="K888" s="8">
        <f t="shared" si="429"/>
        <v>1802</v>
      </c>
      <c r="L888" s="8">
        <v>327327</v>
      </c>
      <c r="M888" s="8">
        <f t="shared" si="430"/>
        <v>27458</v>
      </c>
      <c r="N888" s="8">
        <v>16837</v>
      </c>
      <c r="O888" s="8">
        <f t="shared" si="431"/>
        <v>-25656</v>
      </c>
      <c r="P888" s="8">
        <v>202198</v>
      </c>
      <c r="Q888" s="8">
        <f t="shared" si="432"/>
        <v>-3205</v>
      </c>
      <c r="R888" s="8">
        <v>299639</v>
      </c>
      <c r="S888" s="8">
        <f t="shared" si="433"/>
        <v>23305</v>
      </c>
      <c r="T888" s="8">
        <v>-97441</v>
      </c>
      <c r="U888" s="8">
        <f t="shared" si="434"/>
        <v>-26510</v>
      </c>
      <c r="W888" s="8">
        <v>551768</v>
      </c>
      <c r="X888" s="8">
        <f t="shared" si="435"/>
        <v>12989</v>
      </c>
      <c r="Y888" s="8">
        <v>85420</v>
      </c>
      <c r="Z888" s="8">
        <f t="shared" si="436"/>
        <v>5977</v>
      </c>
      <c r="AA888" s="8">
        <v>19604</v>
      </c>
      <c r="AB888" s="8">
        <f t="shared" si="448"/>
        <v>-163</v>
      </c>
      <c r="AC888" s="8">
        <v>65816</v>
      </c>
      <c r="AD888" s="8">
        <f t="shared" si="449"/>
        <v>6140</v>
      </c>
      <c r="AE888" s="8">
        <v>210377</v>
      </c>
      <c r="AF888" s="8">
        <f t="shared" si="420"/>
        <v>-4573</v>
      </c>
      <c r="AG888" s="8">
        <v>313227</v>
      </c>
      <c r="AH888" s="8">
        <f t="shared" si="421"/>
        <v>4716</v>
      </c>
      <c r="AI888" s="8">
        <v>-102850</v>
      </c>
      <c r="AJ888" s="8">
        <f t="shared" si="422"/>
        <v>-9289</v>
      </c>
      <c r="AK888" s="8">
        <v>108803</v>
      </c>
      <c r="AL888" s="8">
        <f t="shared" si="423"/>
        <v>-1958</v>
      </c>
      <c r="AM888" s="8">
        <v>304064</v>
      </c>
      <c r="AN888" s="8">
        <f t="shared" si="424"/>
        <v>2876</v>
      </c>
      <c r="AO888" s="8">
        <v>-195261</v>
      </c>
      <c r="AP888" s="8">
        <f t="shared" si="437"/>
        <v>-4834</v>
      </c>
      <c r="AR888" s="8">
        <v>1785372</v>
      </c>
      <c r="AS888" s="8">
        <f t="shared" si="438"/>
        <v>23490</v>
      </c>
      <c r="AT888" s="8">
        <v>163444</v>
      </c>
      <c r="AU888" s="8">
        <f t="shared" si="439"/>
        <v>-8279</v>
      </c>
      <c r="AV888" s="8">
        <v>207936</v>
      </c>
      <c r="AW888" s="8">
        <f t="shared" si="440"/>
        <v>-14852</v>
      </c>
      <c r="AX888" s="8">
        <v>-44492</v>
      </c>
      <c r="AY888" s="8">
        <f t="shared" si="447"/>
        <v>6573</v>
      </c>
      <c r="AZ888" s="8">
        <v>794497</v>
      </c>
      <c r="BA888" s="8">
        <f t="shared" si="441"/>
        <v>-10634</v>
      </c>
      <c r="BB888" s="8">
        <v>711534</v>
      </c>
      <c r="BC888" s="8">
        <f t="shared" si="442"/>
        <v>4851</v>
      </c>
      <c r="BD888" s="8">
        <v>82963</v>
      </c>
      <c r="BE888" s="8">
        <f t="shared" si="443"/>
        <v>-15485</v>
      </c>
      <c r="BF888" s="8">
        <v>473457</v>
      </c>
      <c r="BG888" s="8">
        <f t="shared" si="444"/>
        <v>-9702</v>
      </c>
      <c r="BH888" s="8">
        <v>630554</v>
      </c>
      <c r="BI888" s="8">
        <f t="shared" si="445"/>
        <v>-448</v>
      </c>
      <c r="BJ888" s="8">
        <v>-157097</v>
      </c>
      <c r="BK888" s="8">
        <f t="shared" si="419"/>
        <v>-9254</v>
      </c>
    </row>
    <row r="889" spans="1:63">
      <c r="A889" s="5">
        <f t="shared" si="446"/>
        <v>45090</v>
      </c>
      <c r="B889" s="8">
        <v>607403</v>
      </c>
      <c r="C889" s="8">
        <f t="shared" si="425"/>
        <v>-3209</v>
      </c>
      <c r="D889" s="8">
        <v>56718</v>
      </c>
      <c r="E889" s="8">
        <f t="shared" si="426"/>
        <v>2373</v>
      </c>
      <c r="F889" s="8">
        <v>47970</v>
      </c>
      <c r="G889" s="8">
        <f t="shared" si="427"/>
        <v>-24681</v>
      </c>
      <c r="H889" s="8">
        <v>8748</v>
      </c>
      <c r="I889" s="8">
        <f t="shared" si="428"/>
        <v>27054</v>
      </c>
      <c r="J889" s="8">
        <v>334419</v>
      </c>
      <c r="K889" s="8">
        <f t="shared" si="429"/>
        <v>-9745</v>
      </c>
      <c r="L889" s="8">
        <v>346442</v>
      </c>
      <c r="M889" s="8">
        <f t="shared" si="430"/>
        <v>19115</v>
      </c>
      <c r="N889" s="8">
        <v>-12023</v>
      </c>
      <c r="O889" s="8">
        <f t="shared" si="431"/>
        <v>-28860</v>
      </c>
      <c r="P889" s="8">
        <v>198915</v>
      </c>
      <c r="Q889" s="8">
        <f t="shared" si="432"/>
        <v>-3283</v>
      </c>
      <c r="R889" s="8">
        <v>325739</v>
      </c>
      <c r="S889" s="8">
        <f t="shared" si="433"/>
        <v>26100</v>
      </c>
      <c r="T889" s="8">
        <v>-126824</v>
      </c>
      <c r="U889" s="8">
        <f t="shared" si="434"/>
        <v>-29383</v>
      </c>
      <c r="W889" s="8">
        <v>575837</v>
      </c>
      <c r="X889" s="8">
        <f t="shared" si="435"/>
        <v>24069</v>
      </c>
      <c r="Y889" s="8">
        <v>81540</v>
      </c>
      <c r="Z889" s="8">
        <f t="shared" si="436"/>
        <v>-3880</v>
      </c>
      <c r="AA889" s="8">
        <v>20932</v>
      </c>
      <c r="AB889" s="8">
        <f t="shared" si="448"/>
        <v>1328</v>
      </c>
      <c r="AC889" s="8">
        <v>60608</v>
      </c>
      <c r="AD889" s="8">
        <f t="shared" si="449"/>
        <v>-5208</v>
      </c>
      <c r="AE889" s="8">
        <v>218938</v>
      </c>
      <c r="AF889" s="8">
        <f t="shared" si="420"/>
        <v>8561</v>
      </c>
      <c r="AG889" s="8">
        <v>319080</v>
      </c>
      <c r="AH889" s="8">
        <f t="shared" si="421"/>
        <v>5853</v>
      </c>
      <c r="AI889" s="8">
        <v>-100142</v>
      </c>
      <c r="AJ889" s="8">
        <f t="shared" si="422"/>
        <v>2708</v>
      </c>
      <c r="AK889" s="8">
        <v>119655</v>
      </c>
      <c r="AL889" s="8">
        <f t="shared" si="423"/>
        <v>10852</v>
      </c>
      <c r="AM889" s="8">
        <v>312013</v>
      </c>
      <c r="AN889" s="8">
        <f t="shared" si="424"/>
        <v>7949</v>
      </c>
      <c r="AO889" s="8">
        <v>-192358</v>
      </c>
      <c r="AP889" s="8">
        <f t="shared" si="437"/>
        <v>2903</v>
      </c>
      <c r="AR889" s="8">
        <v>1775421</v>
      </c>
      <c r="AS889" s="8">
        <f t="shared" si="438"/>
        <v>-9951</v>
      </c>
      <c r="AT889" s="8">
        <v>166551</v>
      </c>
      <c r="AU889" s="8">
        <f t="shared" si="439"/>
        <v>3107</v>
      </c>
      <c r="AV889" s="8">
        <v>164406</v>
      </c>
      <c r="AW889" s="8">
        <f t="shared" si="440"/>
        <v>-43530</v>
      </c>
      <c r="AX889" s="8">
        <v>2145</v>
      </c>
      <c r="AY889" s="8">
        <f t="shared" si="447"/>
        <v>46637</v>
      </c>
      <c r="AZ889" s="8">
        <v>775948</v>
      </c>
      <c r="BA889" s="8">
        <f t="shared" si="441"/>
        <v>-18549</v>
      </c>
      <c r="BB889" s="8">
        <v>750281</v>
      </c>
      <c r="BC889" s="8">
        <f t="shared" si="442"/>
        <v>38747</v>
      </c>
      <c r="BD889" s="8">
        <v>25667</v>
      </c>
      <c r="BE889" s="8">
        <f t="shared" si="443"/>
        <v>-57296</v>
      </c>
      <c r="BF889" s="8">
        <v>465261</v>
      </c>
      <c r="BG889" s="8">
        <f t="shared" si="444"/>
        <v>-8196</v>
      </c>
      <c r="BH889" s="8">
        <v>672713</v>
      </c>
      <c r="BI889" s="8">
        <f t="shared" si="445"/>
        <v>42159</v>
      </c>
      <c r="BJ889" s="8">
        <v>-207452</v>
      </c>
      <c r="BK889" s="8">
        <f t="shared" si="419"/>
        <v>-50355</v>
      </c>
    </row>
    <row r="890" spans="1:63">
      <c r="A890" s="5">
        <f t="shared" si="446"/>
        <v>45097</v>
      </c>
      <c r="B890" s="8">
        <v>618592</v>
      </c>
      <c r="C890" s="8">
        <f t="shared" si="425"/>
        <v>11189</v>
      </c>
      <c r="D890" s="8">
        <v>56650</v>
      </c>
      <c r="E890" s="8">
        <f t="shared" si="426"/>
        <v>-68</v>
      </c>
      <c r="F890" s="8">
        <v>26833</v>
      </c>
      <c r="G890" s="8">
        <f t="shared" si="427"/>
        <v>-21137</v>
      </c>
      <c r="H890" s="8">
        <v>29817</v>
      </c>
      <c r="I890" s="8">
        <f t="shared" si="428"/>
        <v>21069</v>
      </c>
      <c r="J890" s="8">
        <v>339483</v>
      </c>
      <c r="K890" s="8">
        <f t="shared" si="429"/>
        <v>5064</v>
      </c>
      <c r="L890" s="8">
        <v>371261</v>
      </c>
      <c r="M890" s="8">
        <f t="shared" si="430"/>
        <v>24819</v>
      </c>
      <c r="N890" s="8">
        <v>-31778</v>
      </c>
      <c r="O890" s="8">
        <f t="shared" si="431"/>
        <v>-19755</v>
      </c>
      <c r="P890" s="8">
        <v>206727</v>
      </c>
      <c r="Q890" s="8">
        <f t="shared" si="432"/>
        <v>7812</v>
      </c>
      <c r="R890" s="8">
        <v>348587</v>
      </c>
      <c r="S890" s="8">
        <f t="shared" si="433"/>
        <v>22848</v>
      </c>
      <c r="T890" s="8">
        <v>-141860</v>
      </c>
      <c r="U890" s="8">
        <f t="shared" si="434"/>
        <v>-15036</v>
      </c>
      <c r="W890" s="8">
        <v>569348</v>
      </c>
      <c r="X890" s="8">
        <f t="shared" si="435"/>
        <v>-6489</v>
      </c>
      <c r="Y890" s="8">
        <v>80719</v>
      </c>
      <c r="Z890" s="8">
        <f t="shared" si="436"/>
        <v>-821</v>
      </c>
      <c r="AA890" s="8">
        <v>16795</v>
      </c>
      <c r="AB890" s="8">
        <f t="shared" si="448"/>
        <v>-4137</v>
      </c>
      <c r="AC890" s="8">
        <v>63924</v>
      </c>
      <c r="AD890" s="8">
        <f t="shared" si="449"/>
        <v>3316</v>
      </c>
      <c r="AE890" s="8">
        <v>216820</v>
      </c>
      <c r="AF890" s="8">
        <f t="shared" si="420"/>
        <v>-2118</v>
      </c>
      <c r="AG890" s="8">
        <v>328392</v>
      </c>
      <c r="AH890" s="8">
        <f t="shared" si="421"/>
        <v>9312</v>
      </c>
      <c r="AI890" s="8">
        <v>-111572</v>
      </c>
      <c r="AJ890" s="8">
        <f t="shared" si="422"/>
        <v>-11430</v>
      </c>
      <c r="AK890" s="8">
        <v>116385</v>
      </c>
      <c r="AL890" s="8">
        <f t="shared" si="423"/>
        <v>-3270</v>
      </c>
      <c r="AM890" s="8">
        <v>318401</v>
      </c>
      <c r="AN890" s="8">
        <f t="shared" si="424"/>
        <v>6388</v>
      </c>
      <c r="AO890" s="8">
        <v>-202016</v>
      </c>
      <c r="AP890" s="8">
        <f t="shared" si="437"/>
        <v>-9658</v>
      </c>
      <c r="AR890" s="8">
        <v>1876435</v>
      </c>
      <c r="AS890" s="8">
        <f t="shared" si="438"/>
        <v>101014</v>
      </c>
      <c r="AT890" s="8">
        <v>198770</v>
      </c>
      <c r="AU890" s="8">
        <f t="shared" si="439"/>
        <v>32219</v>
      </c>
      <c r="AV890" s="8">
        <v>140471</v>
      </c>
      <c r="AW890" s="8">
        <f t="shared" si="440"/>
        <v>-23935</v>
      </c>
      <c r="AX890" s="8">
        <v>58299</v>
      </c>
      <c r="AY890" s="8">
        <f t="shared" si="447"/>
        <v>56154</v>
      </c>
      <c r="AZ890" s="8">
        <v>766559</v>
      </c>
      <c r="BA890" s="8">
        <f t="shared" si="441"/>
        <v>-9389</v>
      </c>
      <c r="BB890" s="8">
        <v>823254</v>
      </c>
      <c r="BC890" s="8">
        <f t="shared" si="442"/>
        <v>72973</v>
      </c>
      <c r="BD890" s="8">
        <v>-56695</v>
      </c>
      <c r="BE890" s="8">
        <f t="shared" si="443"/>
        <v>-82362</v>
      </c>
      <c r="BF890" s="8">
        <v>453991</v>
      </c>
      <c r="BG890" s="8">
        <f t="shared" si="444"/>
        <v>-11270</v>
      </c>
      <c r="BH890" s="8">
        <v>736592</v>
      </c>
      <c r="BI890" s="8">
        <f t="shared" si="445"/>
        <v>63879</v>
      </c>
      <c r="BJ890" s="8">
        <v>-282601</v>
      </c>
      <c r="BK890" s="8">
        <f t="shared" si="419"/>
        <v>-75149</v>
      </c>
    </row>
    <row r="891" spans="1:63">
      <c r="A891" s="5">
        <f t="shared" si="446"/>
        <v>45104</v>
      </c>
      <c r="B891" s="8">
        <v>559720</v>
      </c>
      <c r="C891" s="8">
        <f t="shared" si="425"/>
        <v>-58872</v>
      </c>
      <c r="D891" s="8">
        <v>61585</v>
      </c>
      <c r="E891" s="8">
        <f t="shared" si="426"/>
        <v>4935</v>
      </c>
      <c r="F891" s="8">
        <v>22834</v>
      </c>
      <c r="G891" s="8">
        <f t="shared" si="427"/>
        <v>-3999</v>
      </c>
      <c r="H891" s="8">
        <v>38751</v>
      </c>
      <c r="I891" s="8">
        <f t="shared" si="428"/>
        <v>8934</v>
      </c>
      <c r="J891" s="8">
        <v>314521</v>
      </c>
      <c r="K891" s="8">
        <f t="shared" si="429"/>
        <v>-24962</v>
      </c>
      <c r="L891" s="8">
        <v>352112</v>
      </c>
      <c r="M891" s="8">
        <f t="shared" si="430"/>
        <v>-19149</v>
      </c>
      <c r="N891" s="8">
        <v>-37591</v>
      </c>
      <c r="O891" s="8">
        <f t="shared" si="431"/>
        <v>-5813</v>
      </c>
      <c r="P891" s="8">
        <v>187313</v>
      </c>
      <c r="Q891" s="8">
        <f t="shared" si="432"/>
        <v>-19414</v>
      </c>
      <c r="R891" s="8">
        <v>332727</v>
      </c>
      <c r="S891" s="8">
        <f t="shared" si="433"/>
        <v>-15860</v>
      </c>
      <c r="T891" s="8">
        <v>-145414</v>
      </c>
      <c r="U891" s="8">
        <f t="shared" si="434"/>
        <v>-3554</v>
      </c>
      <c r="W891" s="8">
        <v>532054</v>
      </c>
      <c r="X891" s="8">
        <f t="shared" si="435"/>
        <v>-37294</v>
      </c>
      <c r="Y891" s="8">
        <v>77281</v>
      </c>
      <c r="Z891" s="8">
        <f t="shared" si="436"/>
        <v>-3438</v>
      </c>
      <c r="AA891" s="8">
        <v>18301</v>
      </c>
      <c r="AB891" s="8">
        <f t="shared" si="448"/>
        <v>1506</v>
      </c>
      <c r="AC891" s="8">
        <v>58980</v>
      </c>
      <c r="AD891" s="8">
        <f t="shared" si="449"/>
        <v>-4944</v>
      </c>
      <c r="AE891" s="8">
        <v>206011</v>
      </c>
      <c r="AF891" s="8">
        <f t="shared" si="420"/>
        <v>-10809</v>
      </c>
      <c r="AG891" s="8">
        <v>312535</v>
      </c>
      <c r="AH891" s="8">
        <f t="shared" si="421"/>
        <v>-15857</v>
      </c>
      <c r="AI891" s="8">
        <v>-106524</v>
      </c>
      <c r="AJ891" s="8">
        <f t="shared" si="422"/>
        <v>5048</v>
      </c>
      <c r="AK891" s="8">
        <v>109540</v>
      </c>
      <c r="AL891" s="8">
        <f t="shared" si="423"/>
        <v>-6845</v>
      </c>
      <c r="AM891" s="8">
        <v>304010</v>
      </c>
      <c r="AN891" s="8">
        <f t="shared" si="424"/>
        <v>-14391</v>
      </c>
      <c r="AO891" s="8">
        <v>-194470</v>
      </c>
      <c r="AP891" s="8">
        <f t="shared" si="437"/>
        <v>7546</v>
      </c>
      <c r="AR891" s="8">
        <v>1691668</v>
      </c>
      <c r="AS891" s="8">
        <f t="shared" si="438"/>
        <v>-184767</v>
      </c>
      <c r="AT891" s="8">
        <v>184877</v>
      </c>
      <c r="AU891" s="8">
        <f t="shared" si="439"/>
        <v>-13893</v>
      </c>
      <c r="AV891" s="8">
        <v>132032</v>
      </c>
      <c r="AW891" s="8">
        <f t="shared" si="440"/>
        <v>-8439</v>
      </c>
      <c r="AX891" s="8">
        <v>52845</v>
      </c>
      <c r="AY891" s="8">
        <f t="shared" si="447"/>
        <v>-5454</v>
      </c>
      <c r="AZ891" s="8">
        <v>718026</v>
      </c>
      <c r="BA891" s="8">
        <f t="shared" si="441"/>
        <v>-48533</v>
      </c>
      <c r="BB891" s="8">
        <v>774086</v>
      </c>
      <c r="BC891" s="8">
        <f t="shared" si="442"/>
        <v>-49168</v>
      </c>
      <c r="BD891" s="8">
        <v>-56060</v>
      </c>
      <c r="BE891" s="8">
        <f t="shared" si="443"/>
        <v>635</v>
      </c>
      <c r="BF891" s="8">
        <v>429372</v>
      </c>
      <c r="BG891" s="8">
        <f t="shared" si="444"/>
        <v>-24619</v>
      </c>
      <c r="BH891" s="8">
        <v>713853</v>
      </c>
      <c r="BI891" s="8">
        <f t="shared" si="445"/>
        <v>-22739</v>
      </c>
      <c r="BJ891" s="8">
        <v>-284481</v>
      </c>
      <c r="BK891" s="8">
        <f t="shared" si="419"/>
        <v>-1880</v>
      </c>
    </row>
    <row r="892" spans="1:63">
      <c r="A892" s="5">
        <f t="shared" si="446"/>
        <v>45111</v>
      </c>
      <c r="B892" s="8">
        <v>580836</v>
      </c>
      <c r="C892" s="8">
        <f t="shared" si="425"/>
        <v>21116</v>
      </c>
      <c r="D892" s="8">
        <v>64161</v>
      </c>
      <c r="E892" s="8">
        <f t="shared" si="426"/>
        <v>2576</v>
      </c>
      <c r="F892" s="8">
        <v>22242</v>
      </c>
      <c r="G892" s="8">
        <f t="shared" si="427"/>
        <v>-592</v>
      </c>
      <c r="H892" s="8">
        <v>41919</v>
      </c>
      <c r="I892" s="8">
        <f t="shared" si="428"/>
        <v>3168</v>
      </c>
      <c r="J892" s="8">
        <v>311522</v>
      </c>
      <c r="K892" s="8">
        <f t="shared" si="429"/>
        <v>-2999</v>
      </c>
      <c r="L892" s="8">
        <v>360918</v>
      </c>
      <c r="M892" s="8">
        <f t="shared" si="430"/>
        <v>8806</v>
      </c>
      <c r="N892" s="8">
        <v>-49396</v>
      </c>
      <c r="O892" s="8">
        <f t="shared" si="431"/>
        <v>-11805</v>
      </c>
      <c r="P892" s="8">
        <v>188069</v>
      </c>
      <c r="Q892" s="8">
        <f t="shared" si="432"/>
        <v>756</v>
      </c>
      <c r="R892" s="8">
        <v>342873</v>
      </c>
      <c r="S892" s="8">
        <f t="shared" si="433"/>
        <v>10146</v>
      </c>
      <c r="T892" s="8">
        <v>-154804</v>
      </c>
      <c r="U892" s="8">
        <f t="shared" si="434"/>
        <v>-9390</v>
      </c>
      <c r="W892" s="8">
        <v>523338</v>
      </c>
      <c r="X892" s="8">
        <f t="shared" si="435"/>
        <v>-8716</v>
      </c>
      <c r="Y892" s="8">
        <v>72823</v>
      </c>
      <c r="Z892" s="8">
        <f t="shared" si="436"/>
        <v>-4458</v>
      </c>
      <c r="AA892" s="8">
        <v>20002</v>
      </c>
      <c r="AB892" s="8">
        <f t="shared" si="448"/>
        <v>1701</v>
      </c>
      <c r="AC892" s="8">
        <v>52821</v>
      </c>
      <c r="AD892" s="8">
        <f t="shared" si="449"/>
        <v>-6159</v>
      </c>
      <c r="AE892" s="8">
        <v>196287</v>
      </c>
      <c r="AF892" s="8">
        <f t="shared" si="420"/>
        <v>-9724</v>
      </c>
      <c r="AG892" s="8">
        <v>299535</v>
      </c>
      <c r="AH892" s="8">
        <f t="shared" si="421"/>
        <v>-13000</v>
      </c>
      <c r="AI892" s="8">
        <v>-103248</v>
      </c>
      <c r="AJ892" s="8">
        <f t="shared" si="422"/>
        <v>3276</v>
      </c>
      <c r="AK892" s="8">
        <v>99217</v>
      </c>
      <c r="AL892" s="8">
        <f t="shared" si="423"/>
        <v>-10323</v>
      </c>
      <c r="AM892" s="8">
        <v>290039</v>
      </c>
      <c r="AN892" s="8">
        <f t="shared" si="424"/>
        <v>-13971</v>
      </c>
      <c r="AO892" s="8">
        <v>-190822</v>
      </c>
      <c r="AP892" s="8">
        <f t="shared" si="437"/>
        <v>3648</v>
      </c>
      <c r="AR892" s="8">
        <v>1773049</v>
      </c>
      <c r="AS892" s="8">
        <f t="shared" si="438"/>
        <v>81381</v>
      </c>
      <c r="AT892" s="8">
        <v>159968</v>
      </c>
      <c r="AU892" s="8">
        <f t="shared" si="439"/>
        <v>-24909</v>
      </c>
      <c r="AV892" s="8">
        <v>178177</v>
      </c>
      <c r="AW892" s="8">
        <f t="shared" si="440"/>
        <v>46145</v>
      </c>
      <c r="AX892" s="8">
        <v>-18209</v>
      </c>
      <c r="AY892" s="8">
        <f t="shared" si="447"/>
        <v>-71054</v>
      </c>
      <c r="AZ892" s="8">
        <v>751880</v>
      </c>
      <c r="BA892" s="8">
        <f t="shared" si="441"/>
        <v>33854</v>
      </c>
      <c r="BB892" s="8">
        <v>732168</v>
      </c>
      <c r="BC892" s="8">
        <f t="shared" si="442"/>
        <v>-41918</v>
      </c>
      <c r="BD892" s="8">
        <v>19712</v>
      </c>
      <c r="BE892" s="8">
        <f t="shared" si="443"/>
        <v>75772</v>
      </c>
      <c r="BF892" s="8">
        <v>462016</v>
      </c>
      <c r="BG892" s="8">
        <f t="shared" si="444"/>
        <v>32644</v>
      </c>
      <c r="BH892" s="8">
        <v>671507</v>
      </c>
      <c r="BI892" s="8">
        <f t="shared" si="445"/>
        <v>-42346</v>
      </c>
      <c r="BJ892" s="8">
        <v>-209491</v>
      </c>
      <c r="BK892" s="8">
        <f t="shared" si="419"/>
        <v>74990</v>
      </c>
    </row>
    <row r="893" spans="1:63">
      <c r="A893" s="5">
        <f t="shared" si="446"/>
        <v>45118</v>
      </c>
      <c r="B893" s="8">
        <v>603767</v>
      </c>
      <c r="C893" s="8">
        <f t="shared" si="425"/>
        <v>22931</v>
      </c>
      <c r="D893" s="8">
        <v>71442</v>
      </c>
      <c r="E893" s="8">
        <f t="shared" si="426"/>
        <v>7281</v>
      </c>
      <c r="F893" s="8">
        <v>21870</v>
      </c>
      <c r="G893" s="8">
        <f t="shared" si="427"/>
        <v>-372</v>
      </c>
      <c r="H893" s="8">
        <v>49572</v>
      </c>
      <c r="I893" s="8">
        <f t="shared" si="428"/>
        <v>7653</v>
      </c>
      <c r="J893" s="8">
        <v>316724</v>
      </c>
      <c r="K893" s="8">
        <f t="shared" si="429"/>
        <v>5202</v>
      </c>
      <c r="L893" s="8">
        <v>375391</v>
      </c>
      <c r="M893" s="8">
        <f t="shared" si="430"/>
        <v>14473</v>
      </c>
      <c r="N893" s="8">
        <v>-58667</v>
      </c>
      <c r="O893" s="8">
        <f t="shared" si="431"/>
        <v>-9271</v>
      </c>
      <c r="P893" s="8">
        <v>194226</v>
      </c>
      <c r="Q893" s="8">
        <f t="shared" si="432"/>
        <v>6157</v>
      </c>
      <c r="R893" s="8">
        <v>358016</v>
      </c>
      <c r="S893" s="8">
        <f t="shared" si="433"/>
        <v>15143</v>
      </c>
      <c r="T893" s="8">
        <v>-163790</v>
      </c>
      <c r="U893" s="8">
        <f t="shared" si="434"/>
        <v>-8986</v>
      </c>
      <c r="W893" s="8">
        <v>525326</v>
      </c>
      <c r="X893" s="8">
        <f t="shared" si="435"/>
        <v>1988</v>
      </c>
      <c r="Y893" s="8">
        <v>72277</v>
      </c>
      <c r="Z893" s="8">
        <f t="shared" si="436"/>
        <v>-546</v>
      </c>
      <c r="AA893" s="8">
        <v>18078</v>
      </c>
      <c r="AB893" s="8">
        <f t="shared" si="448"/>
        <v>-1924</v>
      </c>
      <c r="AC893" s="8">
        <v>54199</v>
      </c>
      <c r="AD893" s="8">
        <f t="shared" si="449"/>
        <v>1378</v>
      </c>
      <c r="AE893" s="8">
        <v>195029</v>
      </c>
      <c r="AF893" s="8">
        <f t="shared" si="420"/>
        <v>-1258</v>
      </c>
      <c r="AG893" s="8">
        <v>302745</v>
      </c>
      <c r="AH893" s="8">
        <f t="shared" si="421"/>
        <v>3210</v>
      </c>
      <c r="AI893" s="8">
        <v>-107716</v>
      </c>
      <c r="AJ893" s="8">
        <f t="shared" si="422"/>
        <v>-4468</v>
      </c>
      <c r="AK893" s="8">
        <v>95714</v>
      </c>
      <c r="AL893" s="8">
        <f t="shared" si="423"/>
        <v>-3503</v>
      </c>
      <c r="AM893" s="8">
        <v>293539</v>
      </c>
      <c r="AN893" s="8">
        <f t="shared" si="424"/>
        <v>3500</v>
      </c>
      <c r="AO893" s="8">
        <v>-197825</v>
      </c>
      <c r="AP893" s="8">
        <f t="shared" si="437"/>
        <v>-7003</v>
      </c>
      <c r="AR893" s="8">
        <v>1754033</v>
      </c>
      <c r="AS893" s="8">
        <f t="shared" si="438"/>
        <v>-19016</v>
      </c>
      <c r="AT893" s="8">
        <v>151163</v>
      </c>
      <c r="AU893" s="8">
        <f t="shared" si="439"/>
        <v>-8805</v>
      </c>
      <c r="AV893" s="8">
        <v>214215</v>
      </c>
      <c r="AW893" s="8">
        <f t="shared" si="440"/>
        <v>36038</v>
      </c>
      <c r="AX893" s="8">
        <v>-63052</v>
      </c>
      <c r="AY893" s="8">
        <f t="shared" si="447"/>
        <v>-44843</v>
      </c>
      <c r="AZ893" s="8">
        <v>739710</v>
      </c>
      <c r="BA893" s="8">
        <f t="shared" si="441"/>
        <v>-12170</v>
      </c>
      <c r="BB893" s="8">
        <v>678971</v>
      </c>
      <c r="BC893" s="8">
        <f t="shared" si="442"/>
        <v>-53197</v>
      </c>
      <c r="BD893" s="8">
        <v>60739</v>
      </c>
      <c r="BE893" s="8">
        <f t="shared" si="443"/>
        <v>41027</v>
      </c>
      <c r="BF893" s="8">
        <v>459108</v>
      </c>
      <c r="BG893" s="8">
        <f t="shared" si="444"/>
        <v>-2908</v>
      </c>
      <c r="BH893" s="8">
        <v>619641</v>
      </c>
      <c r="BI893" s="8">
        <f t="shared" si="445"/>
        <v>-51866</v>
      </c>
      <c r="BJ893" s="8">
        <v>-160533</v>
      </c>
      <c r="BK893" s="8">
        <f t="shared" si="419"/>
        <v>48958</v>
      </c>
    </row>
    <row r="894" spans="1:63">
      <c r="A894" s="5">
        <f t="shared" si="446"/>
        <v>45125</v>
      </c>
      <c r="B894" s="8">
        <v>605479</v>
      </c>
      <c r="C894" s="8">
        <f t="shared" si="425"/>
        <v>1712</v>
      </c>
      <c r="D894" s="8">
        <v>70075</v>
      </c>
      <c r="E894" s="8">
        <f t="shared" si="426"/>
        <v>-1367</v>
      </c>
      <c r="F894" s="8">
        <v>25161</v>
      </c>
      <c r="G894" s="8">
        <f t="shared" si="427"/>
        <v>3291</v>
      </c>
      <c r="H894" s="8">
        <v>44914</v>
      </c>
      <c r="I894" s="8">
        <f t="shared" si="428"/>
        <v>-4658</v>
      </c>
      <c r="J894" s="8">
        <v>318646</v>
      </c>
      <c r="K894" s="8">
        <f t="shared" si="429"/>
        <v>1922</v>
      </c>
      <c r="L894" s="8">
        <v>371484</v>
      </c>
      <c r="M894" s="8">
        <f t="shared" si="430"/>
        <v>-3907</v>
      </c>
      <c r="N894" s="8">
        <v>-52838</v>
      </c>
      <c r="O894" s="8">
        <f t="shared" si="431"/>
        <v>5829</v>
      </c>
      <c r="P894" s="8">
        <v>196574</v>
      </c>
      <c r="Q894" s="8">
        <f t="shared" si="432"/>
        <v>2348</v>
      </c>
      <c r="R894" s="8">
        <v>353986</v>
      </c>
      <c r="S894" s="8">
        <f t="shared" si="433"/>
        <v>-4030</v>
      </c>
      <c r="T894" s="8">
        <v>-157412</v>
      </c>
      <c r="U894" s="8">
        <f t="shared" si="434"/>
        <v>6378</v>
      </c>
      <c r="W894" s="8">
        <v>541989</v>
      </c>
      <c r="X894" s="8">
        <f t="shared" si="435"/>
        <v>16663</v>
      </c>
      <c r="Y894" s="8">
        <v>76325</v>
      </c>
      <c r="Z894" s="8">
        <f t="shared" si="436"/>
        <v>4048</v>
      </c>
      <c r="AA894" s="8">
        <v>17376</v>
      </c>
      <c r="AB894" s="8">
        <f t="shared" si="448"/>
        <v>-702</v>
      </c>
      <c r="AC894" s="8">
        <v>58949</v>
      </c>
      <c r="AD894" s="8">
        <f t="shared" si="449"/>
        <v>4750</v>
      </c>
      <c r="AE894" s="8">
        <v>200118</v>
      </c>
      <c r="AF894" s="8">
        <f t="shared" si="420"/>
        <v>5089</v>
      </c>
      <c r="AG894" s="8">
        <v>313081</v>
      </c>
      <c r="AH894" s="8">
        <f t="shared" si="421"/>
        <v>10336</v>
      </c>
      <c r="AI894" s="8">
        <v>-112963</v>
      </c>
      <c r="AJ894" s="8">
        <f t="shared" si="422"/>
        <v>-5247</v>
      </c>
      <c r="AK894" s="8">
        <v>101057</v>
      </c>
      <c r="AL894" s="8">
        <f t="shared" si="423"/>
        <v>5343</v>
      </c>
      <c r="AM894" s="8">
        <v>303107</v>
      </c>
      <c r="AN894" s="8">
        <f t="shared" si="424"/>
        <v>9568</v>
      </c>
      <c r="AO894" s="8">
        <v>-202050</v>
      </c>
      <c r="AP894" s="8">
        <f t="shared" si="437"/>
        <v>-4225</v>
      </c>
      <c r="AR894" s="8">
        <v>1795710</v>
      </c>
      <c r="AS894" s="8">
        <f t="shared" si="438"/>
        <v>41677</v>
      </c>
      <c r="AT894" s="8">
        <v>145064</v>
      </c>
      <c r="AU894" s="8">
        <f t="shared" si="439"/>
        <v>-6099</v>
      </c>
      <c r="AV894" s="8">
        <v>191990</v>
      </c>
      <c r="AW894" s="8">
        <f t="shared" si="440"/>
        <v>-22225</v>
      </c>
      <c r="AX894" s="8">
        <v>-46926</v>
      </c>
      <c r="AY894" s="8">
        <f t="shared" si="447"/>
        <v>16126</v>
      </c>
      <c r="AZ894" s="8">
        <v>752308</v>
      </c>
      <c r="BA894" s="8">
        <f t="shared" si="441"/>
        <v>12598</v>
      </c>
      <c r="BB894" s="8">
        <v>707005</v>
      </c>
      <c r="BC894" s="8">
        <f t="shared" si="442"/>
        <v>28034</v>
      </c>
      <c r="BD894" s="8">
        <v>45303</v>
      </c>
      <c r="BE894" s="8">
        <f t="shared" si="443"/>
        <v>-15436</v>
      </c>
      <c r="BF894" s="8">
        <v>474129</v>
      </c>
      <c r="BG894" s="8">
        <f t="shared" si="444"/>
        <v>15021</v>
      </c>
      <c r="BH894" s="8">
        <v>647978</v>
      </c>
      <c r="BI894" s="8">
        <f t="shared" si="445"/>
        <v>28337</v>
      </c>
      <c r="BJ894" s="8">
        <v>-173849</v>
      </c>
      <c r="BK894" s="8">
        <f t="shared" si="419"/>
        <v>-13316</v>
      </c>
    </row>
    <row r="895" spans="1:63">
      <c r="A895" s="5">
        <f t="shared" si="446"/>
        <v>45132</v>
      </c>
      <c r="B895" s="8">
        <v>565754</v>
      </c>
      <c r="C895" s="8">
        <f t="shared" si="425"/>
        <v>-39725</v>
      </c>
      <c r="D895" s="8">
        <v>79224</v>
      </c>
      <c r="E895" s="8">
        <f t="shared" si="426"/>
        <v>9149</v>
      </c>
      <c r="F895" s="8">
        <v>25034</v>
      </c>
      <c r="G895" s="8">
        <f t="shared" si="427"/>
        <v>-127</v>
      </c>
      <c r="H895" s="8">
        <v>54190</v>
      </c>
      <c r="I895" s="8">
        <f t="shared" si="428"/>
        <v>9276</v>
      </c>
      <c r="J895" s="8">
        <v>293771</v>
      </c>
      <c r="K895" s="8">
        <f t="shared" si="429"/>
        <v>-24875</v>
      </c>
      <c r="L895" s="8">
        <v>357825</v>
      </c>
      <c r="M895" s="8">
        <f t="shared" si="430"/>
        <v>-13659</v>
      </c>
      <c r="N895" s="8">
        <v>-64054</v>
      </c>
      <c r="O895" s="8">
        <f t="shared" si="431"/>
        <v>-11216</v>
      </c>
      <c r="P895" s="8">
        <v>172937</v>
      </c>
      <c r="Q895" s="8">
        <f t="shared" si="432"/>
        <v>-23637</v>
      </c>
      <c r="R895" s="8">
        <v>340826</v>
      </c>
      <c r="S895" s="8">
        <f t="shared" si="433"/>
        <v>-13160</v>
      </c>
      <c r="T895" s="8">
        <v>-167889</v>
      </c>
      <c r="U895" s="8">
        <f t="shared" si="434"/>
        <v>-10477</v>
      </c>
      <c r="W895" s="8">
        <v>541425</v>
      </c>
      <c r="X895" s="8">
        <f t="shared" si="435"/>
        <v>-564</v>
      </c>
      <c r="Y895" s="8">
        <v>88086</v>
      </c>
      <c r="Z895" s="8">
        <f t="shared" si="436"/>
        <v>11761</v>
      </c>
      <c r="AA895" s="8">
        <v>17912</v>
      </c>
      <c r="AB895" s="8">
        <f t="shared" si="448"/>
        <v>536</v>
      </c>
      <c r="AC895" s="8">
        <v>70174</v>
      </c>
      <c r="AD895" s="8">
        <f t="shared" si="449"/>
        <v>11225</v>
      </c>
      <c r="AE895" s="8">
        <v>194446</v>
      </c>
      <c r="AF895" s="8">
        <f t="shared" si="420"/>
        <v>-5672</v>
      </c>
      <c r="AG895" s="8">
        <v>319431</v>
      </c>
      <c r="AH895" s="8">
        <f t="shared" si="421"/>
        <v>6350</v>
      </c>
      <c r="AI895" s="8">
        <v>-124985</v>
      </c>
      <c r="AJ895" s="8">
        <f t="shared" si="422"/>
        <v>-12022</v>
      </c>
      <c r="AK895" s="8">
        <v>94637</v>
      </c>
      <c r="AL895" s="8">
        <f t="shared" si="423"/>
        <v>-6420</v>
      </c>
      <c r="AM895" s="8">
        <v>309384</v>
      </c>
      <c r="AN895" s="8">
        <f t="shared" si="424"/>
        <v>6277</v>
      </c>
      <c r="AO895" s="8">
        <v>-214747</v>
      </c>
      <c r="AP895" s="8">
        <f t="shared" si="437"/>
        <v>-12697</v>
      </c>
      <c r="AR895" s="8">
        <v>1746270</v>
      </c>
      <c r="AS895" s="8">
        <f t="shared" si="438"/>
        <v>-49440</v>
      </c>
      <c r="AT895" s="8">
        <v>169819</v>
      </c>
      <c r="AU895" s="8">
        <f t="shared" si="439"/>
        <v>24755</v>
      </c>
      <c r="AV895" s="8">
        <v>143216</v>
      </c>
      <c r="AW895" s="8">
        <f t="shared" si="440"/>
        <v>-48774</v>
      </c>
      <c r="AX895" s="8">
        <v>26603</v>
      </c>
      <c r="AY895" s="8">
        <f t="shared" si="447"/>
        <v>73529</v>
      </c>
      <c r="AZ895" s="8">
        <v>736619</v>
      </c>
      <c r="BA895" s="8">
        <f t="shared" si="441"/>
        <v>-15689</v>
      </c>
      <c r="BB895" s="8">
        <v>748422</v>
      </c>
      <c r="BC895" s="8">
        <f t="shared" si="442"/>
        <v>41417</v>
      </c>
      <c r="BD895" s="8">
        <v>-11803</v>
      </c>
      <c r="BE895" s="8">
        <f t="shared" si="443"/>
        <v>-57106</v>
      </c>
      <c r="BF895" s="8">
        <v>455866</v>
      </c>
      <c r="BG895" s="8">
        <f t="shared" si="444"/>
        <v>-18263</v>
      </c>
      <c r="BH895" s="8">
        <v>677611</v>
      </c>
      <c r="BI895" s="8">
        <f t="shared" si="445"/>
        <v>29633</v>
      </c>
      <c r="BJ895" s="8">
        <v>-221745</v>
      </c>
      <c r="BK895" s="8">
        <f t="shared" si="419"/>
        <v>-47896</v>
      </c>
    </row>
    <row r="896" spans="1:63">
      <c r="A896" s="5">
        <f t="shared" si="446"/>
        <v>45139</v>
      </c>
      <c r="B896" s="8">
        <v>549860</v>
      </c>
      <c r="C896" s="8">
        <f t="shared" si="425"/>
        <v>-15894</v>
      </c>
      <c r="D896" s="8">
        <v>79096</v>
      </c>
      <c r="E896" s="8">
        <f t="shared" si="426"/>
        <v>-128</v>
      </c>
      <c r="F896" s="8">
        <v>29619</v>
      </c>
      <c r="G896" s="8">
        <f t="shared" si="427"/>
        <v>4585</v>
      </c>
      <c r="H896" s="8">
        <v>49477</v>
      </c>
      <c r="I896" s="8">
        <f t="shared" si="428"/>
        <v>-4713</v>
      </c>
      <c r="J896" s="8">
        <v>289456</v>
      </c>
      <c r="K896" s="8">
        <f t="shared" si="429"/>
        <v>-4315</v>
      </c>
      <c r="L896" s="8">
        <v>348018</v>
      </c>
      <c r="M896" s="8">
        <f t="shared" si="430"/>
        <v>-9807</v>
      </c>
      <c r="N896" s="8">
        <v>-58562</v>
      </c>
      <c r="O896" s="8">
        <f t="shared" si="431"/>
        <v>5492</v>
      </c>
      <c r="P896" s="8">
        <v>169839</v>
      </c>
      <c r="Q896" s="8">
        <f t="shared" si="432"/>
        <v>-3098</v>
      </c>
      <c r="R896" s="8">
        <v>330733</v>
      </c>
      <c r="S896" s="8">
        <f t="shared" si="433"/>
        <v>-10093</v>
      </c>
      <c r="T896" s="8">
        <v>-160894</v>
      </c>
      <c r="U896" s="8">
        <f t="shared" si="434"/>
        <v>6995</v>
      </c>
      <c r="W896" s="8">
        <v>538487</v>
      </c>
      <c r="X896" s="8">
        <f t="shared" si="435"/>
        <v>-2938</v>
      </c>
      <c r="Y896" s="8">
        <v>89932</v>
      </c>
      <c r="Z896" s="8">
        <f t="shared" si="436"/>
        <v>1846</v>
      </c>
      <c r="AA896" s="8">
        <v>19581</v>
      </c>
      <c r="AB896" s="8">
        <f t="shared" si="448"/>
        <v>1669</v>
      </c>
      <c r="AC896" s="8">
        <v>70351</v>
      </c>
      <c r="AD896" s="8">
        <f t="shared" si="449"/>
        <v>177</v>
      </c>
      <c r="AE896" s="8">
        <v>190784</v>
      </c>
      <c r="AF896" s="8">
        <f t="shared" si="420"/>
        <v>-3662</v>
      </c>
      <c r="AG896" s="8">
        <v>314689</v>
      </c>
      <c r="AH896" s="8">
        <f t="shared" si="421"/>
        <v>-4742</v>
      </c>
      <c r="AI896" s="8">
        <v>-123905</v>
      </c>
      <c r="AJ896" s="8">
        <f t="shared" si="422"/>
        <v>1080</v>
      </c>
      <c r="AK896" s="8">
        <v>92943</v>
      </c>
      <c r="AL896" s="8">
        <f t="shared" si="423"/>
        <v>-1694</v>
      </c>
      <c r="AM896" s="8">
        <v>307760</v>
      </c>
      <c r="AN896" s="8">
        <f t="shared" si="424"/>
        <v>-1624</v>
      </c>
      <c r="AO896" s="8">
        <v>-214817</v>
      </c>
      <c r="AP896" s="8">
        <f t="shared" si="437"/>
        <v>-70</v>
      </c>
      <c r="AR896" s="8">
        <v>1790636</v>
      </c>
      <c r="AS896" s="8">
        <f t="shared" si="438"/>
        <v>44366</v>
      </c>
      <c r="AT896" s="8">
        <v>185022</v>
      </c>
      <c r="AU896" s="8">
        <f t="shared" si="439"/>
        <v>15203</v>
      </c>
      <c r="AV896" s="8">
        <v>168281</v>
      </c>
      <c r="AW896" s="8">
        <f t="shared" si="440"/>
        <v>25065</v>
      </c>
      <c r="AX896" s="8">
        <v>16741</v>
      </c>
      <c r="AY896" s="8">
        <f t="shared" si="447"/>
        <v>-9862</v>
      </c>
      <c r="AZ896" s="8">
        <v>742192</v>
      </c>
      <c r="BA896" s="8">
        <f t="shared" si="441"/>
        <v>5573</v>
      </c>
      <c r="BB896" s="8">
        <v>742144</v>
      </c>
      <c r="BC896" s="8">
        <f t="shared" si="442"/>
        <v>-6278</v>
      </c>
      <c r="BD896" s="8">
        <v>48</v>
      </c>
      <c r="BE896" s="8">
        <f t="shared" si="443"/>
        <v>11851</v>
      </c>
      <c r="BF896" s="8">
        <v>463048</v>
      </c>
      <c r="BG896" s="8">
        <f t="shared" si="444"/>
        <v>7182</v>
      </c>
      <c r="BH896" s="8">
        <v>676469</v>
      </c>
      <c r="BI896" s="8">
        <f t="shared" si="445"/>
        <v>-1142</v>
      </c>
      <c r="BJ896" s="8">
        <v>-213421</v>
      </c>
      <c r="BK896" s="8">
        <f t="shared" si="419"/>
        <v>8324</v>
      </c>
    </row>
    <row r="897" spans="1:63">
      <c r="A897" s="5">
        <f t="shared" si="446"/>
        <v>45146</v>
      </c>
      <c r="B897" s="8">
        <v>552558</v>
      </c>
      <c r="C897" s="8">
        <f t="shared" si="425"/>
        <v>2698</v>
      </c>
      <c r="D897" s="8">
        <v>75245</v>
      </c>
      <c r="E897" s="8">
        <f t="shared" si="426"/>
        <v>-3851</v>
      </c>
      <c r="F897" s="8">
        <v>28722</v>
      </c>
      <c r="G897" s="8">
        <f t="shared" si="427"/>
        <v>-897</v>
      </c>
      <c r="H897" s="8">
        <v>46523</v>
      </c>
      <c r="I897" s="8">
        <f t="shared" si="428"/>
        <v>-2954</v>
      </c>
      <c r="J897" s="8">
        <v>281168</v>
      </c>
      <c r="K897" s="8">
        <f t="shared" si="429"/>
        <v>-8288</v>
      </c>
      <c r="L897" s="8">
        <v>337440</v>
      </c>
      <c r="M897" s="8">
        <f t="shared" si="430"/>
        <v>-10578</v>
      </c>
      <c r="N897" s="8">
        <v>-56272</v>
      </c>
      <c r="O897" s="8">
        <f t="shared" si="431"/>
        <v>2290</v>
      </c>
      <c r="P897" s="8">
        <v>160859</v>
      </c>
      <c r="Q897" s="8">
        <f t="shared" si="432"/>
        <v>-8980</v>
      </c>
      <c r="R897" s="8">
        <v>320094</v>
      </c>
      <c r="S897" s="8">
        <f t="shared" si="433"/>
        <v>-10639</v>
      </c>
      <c r="T897" s="8">
        <v>-159235</v>
      </c>
      <c r="U897" s="8">
        <f t="shared" si="434"/>
        <v>1659</v>
      </c>
      <c r="W897" s="8">
        <v>538178</v>
      </c>
      <c r="X897" s="8">
        <f t="shared" si="435"/>
        <v>-309</v>
      </c>
      <c r="Y897" s="8">
        <v>84693</v>
      </c>
      <c r="Z897" s="8">
        <f t="shared" si="436"/>
        <v>-5239</v>
      </c>
      <c r="AA897" s="8">
        <v>15550</v>
      </c>
      <c r="AB897" s="8">
        <f t="shared" si="448"/>
        <v>-4031</v>
      </c>
      <c r="AC897" s="8">
        <v>69143</v>
      </c>
      <c r="AD897" s="8">
        <f t="shared" si="449"/>
        <v>-1208</v>
      </c>
      <c r="AE897" s="8">
        <v>193754</v>
      </c>
      <c r="AF897" s="8">
        <f t="shared" si="420"/>
        <v>2970</v>
      </c>
      <c r="AG897" s="8">
        <v>317222</v>
      </c>
      <c r="AH897" s="8">
        <f t="shared" si="421"/>
        <v>2533</v>
      </c>
      <c r="AI897" s="8">
        <v>-123468</v>
      </c>
      <c r="AJ897" s="8">
        <f t="shared" si="422"/>
        <v>437</v>
      </c>
      <c r="AK897" s="8">
        <v>95602</v>
      </c>
      <c r="AL897" s="8">
        <f t="shared" si="423"/>
        <v>2659</v>
      </c>
      <c r="AM897" s="8">
        <v>310309</v>
      </c>
      <c r="AN897" s="8">
        <f t="shared" si="424"/>
        <v>2549</v>
      </c>
      <c r="AO897" s="8">
        <v>-214707</v>
      </c>
      <c r="AP897" s="8">
        <f t="shared" si="437"/>
        <v>110</v>
      </c>
      <c r="AR897" s="8">
        <v>1766694</v>
      </c>
      <c r="AS897" s="8">
        <f t="shared" si="438"/>
        <v>-23942</v>
      </c>
      <c r="AT897" s="8">
        <v>175092</v>
      </c>
      <c r="AU897" s="8">
        <f t="shared" si="439"/>
        <v>-9930</v>
      </c>
      <c r="AV897" s="8">
        <v>201748</v>
      </c>
      <c r="AW897" s="8">
        <f t="shared" si="440"/>
        <v>33467</v>
      </c>
      <c r="AX897" s="8">
        <v>-26656</v>
      </c>
      <c r="AY897" s="8">
        <f t="shared" si="447"/>
        <v>-43397</v>
      </c>
      <c r="AZ897" s="8">
        <v>751482</v>
      </c>
      <c r="BA897" s="8">
        <f t="shared" si="441"/>
        <v>9290</v>
      </c>
      <c r="BB897" s="8">
        <v>696825</v>
      </c>
      <c r="BC897" s="8">
        <f t="shared" si="442"/>
        <v>-45319</v>
      </c>
      <c r="BD897" s="8">
        <v>54657</v>
      </c>
      <c r="BE897" s="8">
        <f t="shared" si="443"/>
        <v>54609</v>
      </c>
      <c r="BF897" s="8">
        <v>475693</v>
      </c>
      <c r="BG897" s="8">
        <f t="shared" si="444"/>
        <v>12645</v>
      </c>
      <c r="BH897" s="8">
        <v>632593</v>
      </c>
      <c r="BI897" s="8">
        <f t="shared" si="445"/>
        <v>-43876</v>
      </c>
      <c r="BJ897" s="8">
        <v>-156900</v>
      </c>
      <c r="BK897" s="8">
        <f t="shared" si="419"/>
        <v>56521</v>
      </c>
    </row>
    <row r="898" spans="1:63">
      <c r="A898" s="5">
        <f t="shared" si="446"/>
        <v>45153</v>
      </c>
      <c r="B898" s="8">
        <v>560046</v>
      </c>
      <c r="C898" s="8">
        <f t="shared" si="425"/>
        <v>7488</v>
      </c>
      <c r="D898" s="8">
        <v>75496</v>
      </c>
      <c r="E898" s="8">
        <f t="shared" si="426"/>
        <v>251</v>
      </c>
      <c r="F898" s="8">
        <v>28828</v>
      </c>
      <c r="G898" s="8">
        <f t="shared" si="427"/>
        <v>106</v>
      </c>
      <c r="H898" s="8">
        <v>46668</v>
      </c>
      <c r="I898" s="8">
        <f t="shared" si="428"/>
        <v>145</v>
      </c>
      <c r="J898" s="8">
        <v>279621</v>
      </c>
      <c r="K898" s="8">
        <f t="shared" si="429"/>
        <v>-1547</v>
      </c>
      <c r="L898" s="8">
        <v>338644</v>
      </c>
      <c r="M898" s="8">
        <f t="shared" si="430"/>
        <v>1204</v>
      </c>
      <c r="N898" s="8">
        <v>-59023</v>
      </c>
      <c r="O898" s="8">
        <f t="shared" si="431"/>
        <v>-2751</v>
      </c>
      <c r="P898" s="8">
        <v>158924</v>
      </c>
      <c r="Q898" s="8">
        <f t="shared" si="432"/>
        <v>-1935</v>
      </c>
      <c r="R898" s="8">
        <v>320370</v>
      </c>
      <c r="S898" s="8">
        <f t="shared" si="433"/>
        <v>276</v>
      </c>
      <c r="T898" s="8">
        <v>-161446</v>
      </c>
      <c r="U898" s="8">
        <f t="shared" si="434"/>
        <v>-2211</v>
      </c>
      <c r="W898" s="8">
        <v>536935</v>
      </c>
      <c r="X898" s="8">
        <f t="shared" si="435"/>
        <v>-1243</v>
      </c>
      <c r="Y898" s="8">
        <v>76339</v>
      </c>
      <c r="Z898" s="8">
        <f t="shared" si="436"/>
        <v>-8354</v>
      </c>
      <c r="AA898" s="8">
        <v>19479</v>
      </c>
      <c r="AB898" s="8">
        <f t="shared" si="448"/>
        <v>3929</v>
      </c>
      <c r="AC898" s="8">
        <v>56860</v>
      </c>
      <c r="AD898" s="8">
        <f t="shared" si="449"/>
        <v>-12283</v>
      </c>
      <c r="AE898" s="8">
        <v>210856</v>
      </c>
      <c r="AF898" s="8">
        <f t="shared" si="420"/>
        <v>17102</v>
      </c>
      <c r="AG898" s="8">
        <v>313478</v>
      </c>
      <c r="AH898" s="8">
        <f t="shared" si="421"/>
        <v>-3744</v>
      </c>
      <c r="AI898" s="8">
        <v>-102622</v>
      </c>
      <c r="AJ898" s="8">
        <f t="shared" si="422"/>
        <v>20846</v>
      </c>
      <c r="AK898" s="8">
        <v>109725</v>
      </c>
      <c r="AL898" s="8">
        <f t="shared" si="423"/>
        <v>14123</v>
      </c>
      <c r="AM898" s="8">
        <v>306245</v>
      </c>
      <c r="AN898" s="8">
        <f t="shared" si="424"/>
        <v>-4064</v>
      </c>
      <c r="AO898" s="8">
        <v>-196520</v>
      </c>
      <c r="AP898" s="8">
        <f t="shared" si="437"/>
        <v>18187</v>
      </c>
      <c r="AR898" s="8">
        <v>1801252</v>
      </c>
      <c r="AS898" s="8">
        <f t="shared" si="438"/>
        <v>34558</v>
      </c>
      <c r="AT898" s="8">
        <v>165058</v>
      </c>
      <c r="AU898" s="8">
        <f t="shared" si="439"/>
        <v>-10034</v>
      </c>
      <c r="AV898" s="8">
        <v>237638</v>
      </c>
      <c r="AW898" s="8">
        <f t="shared" si="440"/>
        <v>35890</v>
      </c>
      <c r="AX898" s="8">
        <v>-72580</v>
      </c>
      <c r="AY898" s="8">
        <f t="shared" si="447"/>
        <v>-45924</v>
      </c>
      <c r="AZ898" s="8">
        <v>779011</v>
      </c>
      <c r="BA898" s="8">
        <f t="shared" si="441"/>
        <v>27529</v>
      </c>
      <c r="BB898" s="8">
        <v>675802</v>
      </c>
      <c r="BC898" s="8">
        <f t="shared" si="442"/>
        <v>-21023</v>
      </c>
      <c r="BD898" s="8">
        <v>103209</v>
      </c>
      <c r="BE898" s="8">
        <f t="shared" si="443"/>
        <v>48552</v>
      </c>
      <c r="BF898" s="8">
        <v>500212</v>
      </c>
      <c r="BG898" s="8">
        <f t="shared" si="444"/>
        <v>24519</v>
      </c>
      <c r="BH898" s="8">
        <v>611925</v>
      </c>
      <c r="BI898" s="8">
        <f t="shared" si="445"/>
        <v>-20668</v>
      </c>
      <c r="BJ898" s="8">
        <v>-111713</v>
      </c>
      <c r="BK898" s="8">
        <f t="shared" si="419"/>
        <v>45187</v>
      </c>
    </row>
    <row r="899" spans="1:63">
      <c r="A899" s="5">
        <f t="shared" si="446"/>
        <v>45160</v>
      </c>
      <c r="B899" s="8">
        <v>560340</v>
      </c>
      <c r="C899" s="8">
        <f t="shared" si="425"/>
        <v>294</v>
      </c>
      <c r="D899" s="8">
        <v>84536</v>
      </c>
      <c r="E899" s="8">
        <f t="shared" si="426"/>
        <v>9040</v>
      </c>
      <c r="F899" s="8">
        <v>29459</v>
      </c>
      <c r="G899" s="8">
        <f t="shared" si="427"/>
        <v>631</v>
      </c>
      <c r="H899" s="8">
        <v>55077</v>
      </c>
      <c r="I899" s="8">
        <f t="shared" si="428"/>
        <v>8409</v>
      </c>
      <c r="J899" s="8">
        <v>272937</v>
      </c>
      <c r="K899" s="8">
        <f t="shared" si="429"/>
        <v>-6684</v>
      </c>
      <c r="L899" s="8">
        <v>335528</v>
      </c>
      <c r="M899" s="8">
        <f t="shared" si="430"/>
        <v>-3116</v>
      </c>
      <c r="N899" s="8">
        <v>-62591</v>
      </c>
      <c r="O899" s="8">
        <f t="shared" si="431"/>
        <v>-3568</v>
      </c>
      <c r="P899" s="8">
        <v>151323</v>
      </c>
      <c r="Q899" s="8">
        <f t="shared" si="432"/>
        <v>-7601</v>
      </c>
      <c r="R899" s="8">
        <v>315418</v>
      </c>
      <c r="S899" s="8">
        <f t="shared" si="433"/>
        <v>-4952</v>
      </c>
      <c r="T899" s="8">
        <v>-164095</v>
      </c>
      <c r="U899" s="8">
        <f t="shared" si="434"/>
        <v>-2649</v>
      </c>
      <c r="W899" s="8">
        <v>520657</v>
      </c>
      <c r="X899" s="8">
        <f t="shared" si="435"/>
        <v>-16278</v>
      </c>
      <c r="Y899" s="8">
        <v>74958</v>
      </c>
      <c r="Z899" s="8">
        <f t="shared" si="436"/>
        <v>-1381</v>
      </c>
      <c r="AA899" s="8">
        <v>22138</v>
      </c>
      <c r="AB899" s="8">
        <f t="shared" si="448"/>
        <v>2659</v>
      </c>
      <c r="AC899" s="8">
        <v>52820</v>
      </c>
      <c r="AD899" s="8">
        <f t="shared" si="449"/>
        <v>-4040</v>
      </c>
      <c r="AE899" s="8">
        <v>213248</v>
      </c>
      <c r="AF899" s="8">
        <f t="shared" si="420"/>
        <v>2392</v>
      </c>
      <c r="AG899" s="8">
        <v>309015</v>
      </c>
      <c r="AH899" s="8">
        <f t="shared" si="421"/>
        <v>-4463</v>
      </c>
      <c r="AI899" s="8">
        <v>-95767</v>
      </c>
      <c r="AJ899" s="8">
        <f t="shared" si="422"/>
        <v>6855</v>
      </c>
      <c r="AK899" s="8">
        <v>112521</v>
      </c>
      <c r="AL899" s="8">
        <f t="shared" si="423"/>
        <v>2796</v>
      </c>
      <c r="AM899" s="8">
        <v>302116</v>
      </c>
      <c r="AN899" s="8">
        <f t="shared" si="424"/>
        <v>-4129</v>
      </c>
      <c r="AO899" s="8">
        <v>-189595</v>
      </c>
      <c r="AP899" s="8">
        <f t="shared" si="437"/>
        <v>6925</v>
      </c>
      <c r="AR899" s="8">
        <v>1811682</v>
      </c>
      <c r="AS899" s="8">
        <f t="shared" si="438"/>
        <v>10430</v>
      </c>
      <c r="AT899" s="8">
        <v>155810</v>
      </c>
      <c r="AU899" s="8">
        <f t="shared" si="439"/>
        <v>-9248</v>
      </c>
      <c r="AV899" s="8">
        <v>261945</v>
      </c>
      <c r="AW899" s="8">
        <f t="shared" si="440"/>
        <v>24307</v>
      </c>
      <c r="AX899" s="8">
        <v>-106135</v>
      </c>
      <c r="AY899" s="8">
        <f t="shared" si="447"/>
        <v>-33555</v>
      </c>
      <c r="AZ899" s="8">
        <v>784967</v>
      </c>
      <c r="BA899" s="8">
        <f t="shared" si="441"/>
        <v>5956</v>
      </c>
      <c r="BB899" s="8">
        <v>657103</v>
      </c>
      <c r="BC899" s="8">
        <f t="shared" si="442"/>
        <v>-18699</v>
      </c>
      <c r="BD899" s="8">
        <v>127864</v>
      </c>
      <c r="BE899" s="8">
        <f t="shared" si="443"/>
        <v>24655</v>
      </c>
      <c r="BF899" s="8">
        <v>511258</v>
      </c>
      <c r="BG899" s="8">
        <f t="shared" si="444"/>
        <v>11046</v>
      </c>
      <c r="BH899" s="8">
        <v>592116</v>
      </c>
      <c r="BI899" s="8">
        <f t="shared" si="445"/>
        <v>-19809</v>
      </c>
      <c r="BJ899" s="8">
        <v>-80858</v>
      </c>
      <c r="BK899" s="8">
        <f t="shared" si="419"/>
        <v>30855</v>
      </c>
    </row>
    <row r="900" spans="1:63">
      <c r="A900" s="5">
        <f t="shared" si="446"/>
        <v>45167</v>
      </c>
      <c r="B900" s="8">
        <v>525448</v>
      </c>
      <c r="C900" s="8">
        <f t="shared" si="425"/>
        <v>-34892</v>
      </c>
      <c r="D900" s="8">
        <v>86733</v>
      </c>
      <c r="E900" s="8">
        <f t="shared" si="426"/>
        <v>2197</v>
      </c>
      <c r="F900" s="8">
        <v>28416</v>
      </c>
      <c r="G900" s="8">
        <f t="shared" si="427"/>
        <v>-1043</v>
      </c>
      <c r="H900" s="8">
        <v>58317</v>
      </c>
      <c r="I900" s="8">
        <f t="shared" si="428"/>
        <v>3240</v>
      </c>
      <c r="J900" s="8">
        <v>263113</v>
      </c>
      <c r="K900" s="8">
        <f t="shared" si="429"/>
        <v>-9824</v>
      </c>
      <c r="L900" s="8">
        <v>330316</v>
      </c>
      <c r="M900" s="8">
        <f t="shared" si="430"/>
        <v>-5212</v>
      </c>
      <c r="N900" s="8">
        <v>-67203</v>
      </c>
      <c r="O900" s="8">
        <f t="shared" si="431"/>
        <v>-4612</v>
      </c>
      <c r="P900" s="8">
        <v>141907</v>
      </c>
      <c r="Q900" s="8">
        <f t="shared" si="432"/>
        <v>-9416</v>
      </c>
      <c r="R900" s="8">
        <v>309843</v>
      </c>
      <c r="S900" s="8">
        <f t="shared" si="433"/>
        <v>-5575</v>
      </c>
      <c r="T900" s="8">
        <v>-167936</v>
      </c>
      <c r="U900" s="8">
        <f t="shared" si="434"/>
        <v>-3841</v>
      </c>
      <c r="W900" s="8">
        <v>502621</v>
      </c>
      <c r="X900" s="8">
        <f t="shared" si="435"/>
        <v>-18036</v>
      </c>
      <c r="Y900" s="8">
        <v>84754</v>
      </c>
      <c r="Z900" s="8">
        <f t="shared" si="436"/>
        <v>9796</v>
      </c>
      <c r="AA900" s="8">
        <v>11001</v>
      </c>
      <c r="AB900" s="8">
        <f t="shared" si="448"/>
        <v>-11137</v>
      </c>
      <c r="AC900" s="8">
        <v>73753</v>
      </c>
      <c r="AD900" s="8">
        <f t="shared" si="449"/>
        <v>20933</v>
      </c>
      <c r="AE900" s="8">
        <v>194335</v>
      </c>
      <c r="AF900" s="8">
        <f t="shared" si="420"/>
        <v>-18913</v>
      </c>
      <c r="AG900" s="8">
        <v>311120</v>
      </c>
      <c r="AH900" s="8">
        <f t="shared" si="421"/>
        <v>2105</v>
      </c>
      <c r="AI900" s="8">
        <v>-116785</v>
      </c>
      <c r="AJ900" s="8">
        <f t="shared" si="422"/>
        <v>-21018</v>
      </c>
      <c r="AK900" s="8">
        <v>97706</v>
      </c>
      <c r="AL900" s="8">
        <f t="shared" si="423"/>
        <v>-14815</v>
      </c>
      <c r="AM900" s="8">
        <v>304630</v>
      </c>
      <c r="AN900" s="8">
        <f t="shared" si="424"/>
        <v>2514</v>
      </c>
      <c r="AO900" s="8">
        <v>-206924</v>
      </c>
      <c r="AP900" s="8">
        <f t="shared" si="437"/>
        <v>-17329</v>
      </c>
      <c r="AR900" s="8">
        <v>1582086</v>
      </c>
      <c r="AS900" s="8">
        <f t="shared" si="438"/>
        <v>-229596</v>
      </c>
      <c r="AT900" s="8">
        <v>166472</v>
      </c>
      <c r="AU900" s="8">
        <f t="shared" si="439"/>
        <v>10662</v>
      </c>
      <c r="AV900" s="8">
        <v>253820</v>
      </c>
      <c r="AW900" s="8">
        <f t="shared" si="440"/>
        <v>-8125</v>
      </c>
      <c r="AX900" s="8">
        <v>-87348</v>
      </c>
      <c r="AY900" s="8">
        <f t="shared" si="447"/>
        <v>18787</v>
      </c>
      <c r="AZ900" s="8">
        <v>708448</v>
      </c>
      <c r="BA900" s="8">
        <f t="shared" si="441"/>
        <v>-76519</v>
      </c>
      <c r="BB900" s="8">
        <v>610986</v>
      </c>
      <c r="BC900" s="8">
        <f t="shared" si="442"/>
        <v>-46117</v>
      </c>
      <c r="BD900" s="8">
        <v>97462</v>
      </c>
      <c r="BE900" s="8">
        <f t="shared" si="443"/>
        <v>-30402</v>
      </c>
      <c r="BF900" s="8">
        <v>463275</v>
      </c>
      <c r="BG900" s="8">
        <f t="shared" si="444"/>
        <v>-47983</v>
      </c>
      <c r="BH900" s="8">
        <v>566757</v>
      </c>
      <c r="BI900" s="8">
        <f t="shared" si="445"/>
        <v>-25359</v>
      </c>
      <c r="BJ900" s="8">
        <v>-103482</v>
      </c>
      <c r="BK900" s="8">
        <f t="shared" si="419"/>
        <v>-22624</v>
      </c>
    </row>
    <row r="901" spans="1:63">
      <c r="A901" s="5">
        <f t="shared" si="446"/>
        <v>45174</v>
      </c>
      <c r="B901" s="8">
        <v>512253</v>
      </c>
      <c r="C901" s="8">
        <f t="shared" si="425"/>
        <v>-13195</v>
      </c>
      <c r="D901" s="8">
        <v>85049</v>
      </c>
      <c r="E901" s="8">
        <f t="shared" si="426"/>
        <v>-1684</v>
      </c>
      <c r="F901" s="8">
        <v>29890</v>
      </c>
      <c r="G901" s="8">
        <f t="shared" si="427"/>
        <v>1474</v>
      </c>
      <c r="H901" s="8">
        <v>55159</v>
      </c>
      <c r="I901" s="8">
        <f t="shared" si="428"/>
        <v>-3158</v>
      </c>
      <c r="J901" s="8">
        <v>251751</v>
      </c>
      <c r="K901" s="8">
        <f t="shared" si="429"/>
        <v>-11362</v>
      </c>
      <c r="L901" s="8">
        <v>317232</v>
      </c>
      <c r="M901" s="8">
        <f t="shared" si="430"/>
        <v>-13084</v>
      </c>
      <c r="N901" s="8">
        <v>-65481</v>
      </c>
      <c r="O901" s="8">
        <f t="shared" si="431"/>
        <v>1722</v>
      </c>
      <c r="P901" s="8">
        <v>133605</v>
      </c>
      <c r="Q901" s="8">
        <f t="shared" si="432"/>
        <v>-8302</v>
      </c>
      <c r="R901" s="8">
        <v>296185</v>
      </c>
      <c r="S901" s="8">
        <f t="shared" si="433"/>
        <v>-13658</v>
      </c>
      <c r="T901" s="8">
        <v>-162580</v>
      </c>
      <c r="U901" s="8">
        <f t="shared" si="434"/>
        <v>5356</v>
      </c>
      <c r="W901" s="8">
        <v>494519</v>
      </c>
      <c r="X901" s="8">
        <f t="shared" si="435"/>
        <v>-8102</v>
      </c>
      <c r="Y901" s="8">
        <v>78523</v>
      </c>
      <c r="Z901" s="8">
        <f t="shared" si="436"/>
        <v>-6231</v>
      </c>
      <c r="AA901" s="8">
        <v>13401</v>
      </c>
      <c r="AB901" s="8">
        <f t="shared" si="448"/>
        <v>2400</v>
      </c>
      <c r="AC901" s="8">
        <v>65122</v>
      </c>
      <c r="AD901" s="8">
        <f t="shared" si="449"/>
        <v>-8631</v>
      </c>
      <c r="AE901" s="8">
        <v>189936</v>
      </c>
      <c r="AF901" s="8">
        <f t="shared" si="420"/>
        <v>-4399</v>
      </c>
      <c r="AG901" s="8">
        <v>301373</v>
      </c>
      <c r="AH901" s="8">
        <f t="shared" si="421"/>
        <v>-9747</v>
      </c>
      <c r="AI901" s="8">
        <v>-111437</v>
      </c>
      <c r="AJ901" s="8">
        <f t="shared" si="422"/>
        <v>5348</v>
      </c>
      <c r="AK901" s="8">
        <v>94153</v>
      </c>
      <c r="AL901" s="8">
        <f t="shared" si="423"/>
        <v>-3553</v>
      </c>
      <c r="AM901" s="8">
        <v>293571</v>
      </c>
      <c r="AN901" s="8">
        <f t="shared" si="424"/>
        <v>-11059</v>
      </c>
      <c r="AO901" s="8">
        <v>-199418</v>
      </c>
      <c r="AP901" s="8">
        <f t="shared" si="437"/>
        <v>7506</v>
      </c>
      <c r="AR901" s="8">
        <v>1604578</v>
      </c>
      <c r="AS901" s="8">
        <f t="shared" si="438"/>
        <v>22492</v>
      </c>
      <c r="AT901" s="8">
        <v>174807</v>
      </c>
      <c r="AU901" s="8">
        <f t="shared" si="439"/>
        <v>8335</v>
      </c>
      <c r="AV901" s="8">
        <v>268720</v>
      </c>
      <c r="AW901" s="8">
        <f t="shared" si="440"/>
        <v>14900</v>
      </c>
      <c r="AX901" s="8">
        <v>-93913</v>
      </c>
      <c r="AY901" s="8">
        <f t="shared" si="447"/>
        <v>-6565</v>
      </c>
      <c r="AZ901" s="8">
        <v>703608</v>
      </c>
      <c r="BA901" s="8">
        <f t="shared" si="441"/>
        <v>-4840</v>
      </c>
      <c r="BB901" s="8">
        <v>605064</v>
      </c>
      <c r="BC901" s="8">
        <f t="shared" si="442"/>
        <v>-5922</v>
      </c>
      <c r="BD901" s="8">
        <v>98544</v>
      </c>
      <c r="BE901" s="8">
        <f t="shared" si="443"/>
        <v>1082</v>
      </c>
      <c r="BF901" s="8">
        <v>469840</v>
      </c>
      <c r="BG901" s="8">
        <f t="shared" si="444"/>
        <v>6565</v>
      </c>
      <c r="BH901" s="8">
        <v>563346</v>
      </c>
      <c r="BI901" s="8">
        <f t="shared" si="445"/>
        <v>-3411</v>
      </c>
      <c r="BJ901" s="8">
        <v>-93506</v>
      </c>
      <c r="BK901" s="8">
        <f t="shared" si="419"/>
        <v>9976</v>
      </c>
    </row>
    <row r="902" spans="1:63">
      <c r="A902" s="5">
        <f t="shared" si="446"/>
        <v>45181</v>
      </c>
      <c r="B902" s="8">
        <v>522284</v>
      </c>
      <c r="C902" s="8">
        <f t="shared" si="425"/>
        <v>10031</v>
      </c>
      <c r="D902" s="8">
        <v>73584</v>
      </c>
      <c r="E902" s="8">
        <f t="shared" si="426"/>
        <v>-11465</v>
      </c>
      <c r="F902" s="8">
        <v>32719</v>
      </c>
      <c r="G902" s="8">
        <f t="shared" si="427"/>
        <v>2829</v>
      </c>
      <c r="H902" s="8">
        <v>40865</v>
      </c>
      <c r="I902" s="8">
        <f t="shared" si="428"/>
        <v>-14294</v>
      </c>
      <c r="J902" s="8">
        <v>258904</v>
      </c>
      <c r="K902" s="8">
        <f t="shared" si="429"/>
        <v>7153</v>
      </c>
      <c r="L902" s="8">
        <v>314476</v>
      </c>
      <c r="M902" s="8">
        <f t="shared" si="430"/>
        <v>-2756</v>
      </c>
      <c r="N902" s="8">
        <v>-55572</v>
      </c>
      <c r="O902" s="8">
        <f t="shared" si="431"/>
        <v>9909</v>
      </c>
      <c r="P902" s="8">
        <v>139825</v>
      </c>
      <c r="Q902" s="8">
        <f t="shared" si="432"/>
        <v>6220</v>
      </c>
      <c r="R902" s="8">
        <v>294976</v>
      </c>
      <c r="S902" s="8">
        <f t="shared" si="433"/>
        <v>-1209</v>
      </c>
      <c r="T902" s="8">
        <v>-155151</v>
      </c>
      <c r="U902" s="8">
        <f t="shared" si="434"/>
        <v>7429</v>
      </c>
      <c r="W902" s="8">
        <v>500943</v>
      </c>
      <c r="X902" s="8">
        <f t="shared" si="435"/>
        <v>6424</v>
      </c>
      <c r="Y902" s="8">
        <v>77152</v>
      </c>
      <c r="Z902" s="8">
        <f t="shared" si="436"/>
        <v>-1371</v>
      </c>
      <c r="AA902" s="8">
        <v>14950</v>
      </c>
      <c r="AB902" s="8">
        <f t="shared" si="448"/>
        <v>1549</v>
      </c>
      <c r="AC902" s="8">
        <v>62202</v>
      </c>
      <c r="AD902" s="8">
        <f t="shared" si="449"/>
        <v>-2920</v>
      </c>
      <c r="AE902" s="8">
        <v>202220</v>
      </c>
      <c r="AF902" s="8">
        <f t="shared" si="420"/>
        <v>12284</v>
      </c>
      <c r="AG902" s="8">
        <v>310478</v>
      </c>
      <c r="AH902" s="8">
        <f t="shared" si="421"/>
        <v>9105</v>
      </c>
      <c r="AI902" s="8">
        <v>-108258</v>
      </c>
      <c r="AJ902" s="8">
        <f t="shared" si="422"/>
        <v>3179</v>
      </c>
      <c r="AK902" s="8">
        <v>104999</v>
      </c>
      <c r="AL902" s="8">
        <f t="shared" si="423"/>
        <v>10846</v>
      </c>
      <c r="AM902" s="8">
        <v>302955</v>
      </c>
      <c r="AN902" s="8">
        <f t="shared" si="424"/>
        <v>9384</v>
      </c>
      <c r="AO902" s="8">
        <v>-197956</v>
      </c>
      <c r="AP902" s="8">
        <f t="shared" si="437"/>
        <v>1462</v>
      </c>
      <c r="AR902" s="8">
        <v>1665919</v>
      </c>
      <c r="AS902" s="8">
        <f t="shared" si="438"/>
        <v>61341</v>
      </c>
      <c r="AT902" s="8">
        <v>159875</v>
      </c>
      <c r="AU902" s="8">
        <f t="shared" si="439"/>
        <v>-14932</v>
      </c>
      <c r="AV902" s="8">
        <v>294784</v>
      </c>
      <c r="AW902" s="8">
        <f t="shared" si="440"/>
        <v>26064</v>
      </c>
      <c r="AX902" s="8">
        <v>-134909</v>
      </c>
      <c r="AY902" s="8">
        <f t="shared" si="447"/>
        <v>-40996</v>
      </c>
      <c r="AZ902" s="8">
        <v>737847</v>
      </c>
      <c r="BA902" s="8">
        <f t="shared" si="441"/>
        <v>34239</v>
      </c>
      <c r="BB902" s="8">
        <v>595195</v>
      </c>
      <c r="BC902" s="8">
        <f t="shared" si="442"/>
        <v>-9869</v>
      </c>
      <c r="BD902" s="8">
        <v>142652</v>
      </c>
      <c r="BE902" s="8">
        <f t="shared" si="443"/>
        <v>44108</v>
      </c>
      <c r="BF902" s="8">
        <v>496809</v>
      </c>
      <c r="BG902" s="8">
        <f t="shared" si="444"/>
        <v>26969</v>
      </c>
      <c r="BH902" s="8">
        <v>551374</v>
      </c>
      <c r="BI902" s="8">
        <f t="shared" si="445"/>
        <v>-11972</v>
      </c>
      <c r="BJ902" s="8">
        <v>-54565</v>
      </c>
      <c r="BK902" s="8">
        <f t="shared" ref="BK902:BK965" si="450">BJ902-BJ901</f>
        <v>38941</v>
      </c>
    </row>
    <row r="903" spans="1:63">
      <c r="A903" s="5">
        <f t="shared" si="446"/>
        <v>45188</v>
      </c>
      <c r="B903" s="8">
        <v>509218</v>
      </c>
      <c r="C903" s="8">
        <f t="shared" si="425"/>
        <v>-13066</v>
      </c>
      <c r="D903" s="8">
        <v>74065</v>
      </c>
      <c r="E903" s="8">
        <f t="shared" si="426"/>
        <v>481</v>
      </c>
      <c r="F903" s="8">
        <v>27001</v>
      </c>
      <c r="G903" s="8">
        <f t="shared" si="427"/>
        <v>-5718</v>
      </c>
      <c r="H903" s="8">
        <v>47064</v>
      </c>
      <c r="I903" s="8">
        <f t="shared" si="428"/>
        <v>6199</v>
      </c>
      <c r="J903" s="8">
        <v>238663</v>
      </c>
      <c r="K903" s="8">
        <f t="shared" si="429"/>
        <v>-20241</v>
      </c>
      <c r="L903" s="8">
        <v>300166</v>
      </c>
      <c r="M903" s="8">
        <f t="shared" si="430"/>
        <v>-14310</v>
      </c>
      <c r="N903" s="8">
        <v>-61503</v>
      </c>
      <c r="O903" s="8">
        <f t="shared" si="431"/>
        <v>-5931</v>
      </c>
      <c r="P903" s="8">
        <v>119452</v>
      </c>
      <c r="Q903" s="8">
        <f t="shared" si="432"/>
        <v>-20373</v>
      </c>
      <c r="R903" s="8">
        <v>282418</v>
      </c>
      <c r="S903" s="8">
        <f t="shared" si="433"/>
        <v>-12558</v>
      </c>
      <c r="T903" s="8">
        <v>-162966</v>
      </c>
      <c r="U903" s="8">
        <f t="shared" si="434"/>
        <v>-7815</v>
      </c>
      <c r="W903" s="8">
        <v>506396</v>
      </c>
      <c r="X903" s="8">
        <f t="shared" si="435"/>
        <v>5453</v>
      </c>
      <c r="Y903" s="8">
        <v>69522</v>
      </c>
      <c r="Z903" s="8">
        <f t="shared" si="436"/>
        <v>-7630</v>
      </c>
      <c r="AA903" s="8">
        <v>13649</v>
      </c>
      <c r="AB903" s="8">
        <f t="shared" si="448"/>
        <v>-1301</v>
      </c>
      <c r="AC903" s="8">
        <v>55873</v>
      </c>
      <c r="AD903" s="8">
        <f t="shared" si="449"/>
        <v>-6329</v>
      </c>
      <c r="AE903" s="8">
        <v>214720</v>
      </c>
      <c r="AF903" s="8">
        <f t="shared" si="420"/>
        <v>12500</v>
      </c>
      <c r="AG903" s="8">
        <v>316642</v>
      </c>
      <c r="AH903" s="8">
        <f t="shared" si="421"/>
        <v>6164</v>
      </c>
      <c r="AI903" s="8">
        <v>-101922</v>
      </c>
      <c r="AJ903" s="8">
        <f t="shared" si="422"/>
        <v>6336</v>
      </c>
      <c r="AK903" s="8">
        <v>112043</v>
      </c>
      <c r="AL903" s="8">
        <f t="shared" si="423"/>
        <v>7044</v>
      </c>
      <c r="AM903" s="8">
        <v>308248</v>
      </c>
      <c r="AN903" s="8">
        <f t="shared" si="424"/>
        <v>5293</v>
      </c>
      <c r="AO903" s="8">
        <v>-196205</v>
      </c>
      <c r="AP903" s="8">
        <f t="shared" si="437"/>
        <v>1751</v>
      </c>
      <c r="AR903" s="8">
        <v>1676086</v>
      </c>
      <c r="AS903" s="8">
        <f t="shared" si="438"/>
        <v>10167</v>
      </c>
      <c r="AT903" s="8">
        <v>165227</v>
      </c>
      <c r="AU903" s="8">
        <f t="shared" si="439"/>
        <v>5352</v>
      </c>
      <c r="AV903" s="8">
        <v>310042</v>
      </c>
      <c r="AW903" s="8">
        <f t="shared" si="440"/>
        <v>15258</v>
      </c>
      <c r="AX903" s="8">
        <v>-144815</v>
      </c>
      <c r="AY903" s="8">
        <f t="shared" si="447"/>
        <v>-9906</v>
      </c>
      <c r="AZ903" s="8">
        <v>750828</v>
      </c>
      <c r="BA903" s="8">
        <f t="shared" si="441"/>
        <v>12981</v>
      </c>
      <c r="BB903" s="8">
        <v>589057</v>
      </c>
      <c r="BC903" s="8">
        <f t="shared" si="442"/>
        <v>-6138</v>
      </c>
      <c r="BD903" s="8">
        <v>161771</v>
      </c>
      <c r="BE903" s="8">
        <f t="shared" si="443"/>
        <v>19119</v>
      </c>
      <c r="BF903" s="8">
        <v>510055</v>
      </c>
      <c r="BG903" s="8">
        <f t="shared" si="444"/>
        <v>13246</v>
      </c>
      <c r="BH903" s="8">
        <v>541932</v>
      </c>
      <c r="BI903" s="8">
        <f t="shared" si="445"/>
        <v>-9442</v>
      </c>
      <c r="BJ903" s="8">
        <v>-31877</v>
      </c>
      <c r="BK903" s="8">
        <f t="shared" si="450"/>
        <v>22688</v>
      </c>
    </row>
    <row r="904" spans="1:63">
      <c r="A904" s="5">
        <f t="shared" si="446"/>
        <v>45195</v>
      </c>
      <c r="B904" s="8">
        <v>483878</v>
      </c>
      <c r="C904" s="8">
        <f t="shared" si="425"/>
        <v>-25340</v>
      </c>
      <c r="D904" s="8">
        <v>64918</v>
      </c>
      <c r="E904" s="8">
        <f t="shared" si="426"/>
        <v>-9147</v>
      </c>
      <c r="F904" s="8">
        <v>29868</v>
      </c>
      <c r="G904" s="8">
        <f t="shared" si="427"/>
        <v>2867</v>
      </c>
      <c r="H904" s="8">
        <v>35050</v>
      </c>
      <c r="I904" s="8">
        <f t="shared" si="428"/>
        <v>-12014</v>
      </c>
      <c r="J904" s="8">
        <v>231798</v>
      </c>
      <c r="K904" s="8">
        <f t="shared" si="429"/>
        <v>-6865</v>
      </c>
      <c r="L904" s="8">
        <v>279022</v>
      </c>
      <c r="M904" s="8">
        <f t="shared" si="430"/>
        <v>-21144</v>
      </c>
      <c r="N904" s="8">
        <v>-47224</v>
      </c>
      <c r="O904" s="8">
        <f t="shared" si="431"/>
        <v>14279</v>
      </c>
      <c r="P904" s="8">
        <v>113325</v>
      </c>
      <c r="Q904" s="8">
        <f t="shared" si="432"/>
        <v>-6127</v>
      </c>
      <c r="R904" s="8">
        <v>260207</v>
      </c>
      <c r="S904" s="8">
        <f t="shared" si="433"/>
        <v>-22211</v>
      </c>
      <c r="T904" s="8">
        <v>-146882</v>
      </c>
      <c r="U904" s="8">
        <f t="shared" si="434"/>
        <v>16084</v>
      </c>
      <c r="W904" s="8">
        <v>508091</v>
      </c>
      <c r="X904" s="8">
        <f t="shared" si="435"/>
        <v>1695</v>
      </c>
      <c r="Y904" s="8">
        <v>74543</v>
      </c>
      <c r="Z904" s="8">
        <f t="shared" si="436"/>
        <v>5021</v>
      </c>
      <c r="AA904" s="8">
        <v>15347</v>
      </c>
      <c r="AB904" s="8">
        <f t="shared" si="448"/>
        <v>1698</v>
      </c>
      <c r="AC904" s="8">
        <v>59196</v>
      </c>
      <c r="AD904" s="8">
        <f t="shared" si="449"/>
        <v>3323</v>
      </c>
      <c r="AE904" s="8">
        <v>214649</v>
      </c>
      <c r="AF904" s="8">
        <f t="shared" ref="AF904:AF967" si="451">AE904-AE903</f>
        <v>-71</v>
      </c>
      <c r="AG904" s="8">
        <v>316117</v>
      </c>
      <c r="AH904" s="8">
        <f t="shared" ref="AH904:AH967" si="452">AG904-AG903</f>
        <v>-525</v>
      </c>
      <c r="AI904" s="8">
        <v>-101468</v>
      </c>
      <c r="AJ904" s="8">
        <f t="shared" ref="AJ904:AJ967" si="453">AI904-AI903</f>
        <v>454</v>
      </c>
      <c r="AK904" s="8">
        <v>109865</v>
      </c>
      <c r="AL904" s="8">
        <f t="shared" ref="AL904:AL967" si="454">AK904-AK903</f>
        <v>-2178</v>
      </c>
      <c r="AM904" s="8">
        <v>304378</v>
      </c>
      <c r="AN904" s="8">
        <f t="shared" ref="AN904:AN967" si="455">AM904-AM903</f>
        <v>-3870</v>
      </c>
      <c r="AO904" s="8">
        <v>-194513</v>
      </c>
      <c r="AP904" s="8">
        <f t="shared" si="437"/>
        <v>1692</v>
      </c>
      <c r="AR904" s="8">
        <v>1691972</v>
      </c>
      <c r="AS904" s="8">
        <f t="shared" si="438"/>
        <v>15886</v>
      </c>
      <c r="AT904" s="8">
        <v>163209</v>
      </c>
      <c r="AU904" s="8">
        <f t="shared" si="439"/>
        <v>-2018</v>
      </c>
      <c r="AV904" s="8">
        <v>331815</v>
      </c>
      <c r="AW904" s="8">
        <f t="shared" si="440"/>
        <v>21773</v>
      </c>
      <c r="AX904" s="8">
        <v>-168606</v>
      </c>
      <c r="AY904" s="8">
        <f t="shared" si="447"/>
        <v>-23791</v>
      </c>
      <c r="AZ904" s="8">
        <v>779325</v>
      </c>
      <c r="BA904" s="8">
        <f t="shared" si="441"/>
        <v>28497</v>
      </c>
      <c r="BB904" s="8">
        <v>598941</v>
      </c>
      <c r="BC904" s="8">
        <f t="shared" si="442"/>
        <v>9884</v>
      </c>
      <c r="BD904" s="8">
        <v>180384</v>
      </c>
      <c r="BE904" s="8">
        <f t="shared" si="443"/>
        <v>18613</v>
      </c>
      <c r="BF904" s="8">
        <v>537420</v>
      </c>
      <c r="BG904" s="8">
        <f t="shared" si="444"/>
        <v>27365</v>
      </c>
      <c r="BH904" s="8">
        <v>553842</v>
      </c>
      <c r="BI904" s="8">
        <f t="shared" si="445"/>
        <v>11910</v>
      </c>
      <c r="BJ904" s="8">
        <v>-16422</v>
      </c>
      <c r="BK904" s="8">
        <f t="shared" si="450"/>
        <v>15455</v>
      </c>
    </row>
    <row r="905" spans="1:63">
      <c r="A905" s="5">
        <f t="shared" si="446"/>
        <v>45202</v>
      </c>
      <c r="B905" s="8">
        <v>467886</v>
      </c>
      <c r="C905" s="8">
        <f t="shared" ref="C905:C967" si="456">B905-B904</f>
        <v>-15992</v>
      </c>
      <c r="D905" s="8">
        <v>66027</v>
      </c>
      <c r="E905" s="8">
        <f t="shared" ref="E905:E967" si="457">D905-D904</f>
        <v>1109</v>
      </c>
      <c r="F905" s="8">
        <v>24643</v>
      </c>
      <c r="G905" s="8">
        <f t="shared" ref="G905:G967" si="458">F905-F904</f>
        <v>-5225</v>
      </c>
      <c r="H905" s="8">
        <v>41384</v>
      </c>
      <c r="I905" s="8">
        <f t="shared" ref="I905:I967" si="459">H905-H904</f>
        <v>6334</v>
      </c>
      <c r="J905" s="8">
        <v>217623</v>
      </c>
      <c r="K905" s="8">
        <f t="shared" ref="K905:K967" si="460">J905-J904</f>
        <v>-14175</v>
      </c>
      <c r="L905" s="8">
        <v>271290</v>
      </c>
      <c r="M905" s="8">
        <f t="shared" ref="M905:M967" si="461">L905-L904</f>
        <v>-7732</v>
      </c>
      <c r="N905" s="8">
        <v>-53667</v>
      </c>
      <c r="O905" s="8">
        <f t="shared" ref="O905:O967" si="462">N905-N904</f>
        <v>-6443</v>
      </c>
      <c r="P905" s="8">
        <v>100994</v>
      </c>
      <c r="Q905" s="8">
        <f t="shared" ref="Q905:Q967" si="463">P905-P904</f>
        <v>-12331</v>
      </c>
      <c r="R905" s="8">
        <v>249145</v>
      </c>
      <c r="S905" s="8">
        <f t="shared" ref="S905:S967" si="464">R905-R904</f>
        <v>-11062</v>
      </c>
      <c r="T905" s="8">
        <v>-148151</v>
      </c>
      <c r="U905" s="8">
        <f t="shared" ref="U905:U967" si="465">T905-T904</f>
        <v>-1269</v>
      </c>
      <c r="W905" s="8">
        <v>515598</v>
      </c>
      <c r="X905" s="8">
        <f t="shared" ref="X905:X967" si="466">W905-W904</f>
        <v>7507</v>
      </c>
      <c r="Y905" s="8">
        <v>71550</v>
      </c>
      <c r="Z905" s="8">
        <f t="shared" ref="Z905:Z967" si="467">Y905-Y904</f>
        <v>-2993</v>
      </c>
      <c r="AA905" s="8">
        <v>30565</v>
      </c>
      <c r="AB905" s="8">
        <f t="shared" si="448"/>
        <v>15218</v>
      </c>
      <c r="AC905" s="8">
        <v>40985</v>
      </c>
      <c r="AD905" s="8">
        <f t="shared" si="449"/>
        <v>-18211</v>
      </c>
      <c r="AE905" s="8">
        <v>219870</v>
      </c>
      <c r="AF905" s="8">
        <f t="shared" si="451"/>
        <v>5221</v>
      </c>
      <c r="AG905" s="8">
        <v>298565</v>
      </c>
      <c r="AH905" s="8">
        <f t="shared" si="452"/>
        <v>-17552</v>
      </c>
      <c r="AI905" s="8">
        <v>-78695</v>
      </c>
      <c r="AJ905" s="8">
        <f t="shared" si="453"/>
        <v>22773</v>
      </c>
      <c r="AK905" s="8">
        <v>113291</v>
      </c>
      <c r="AL905" s="8">
        <f t="shared" si="454"/>
        <v>3426</v>
      </c>
      <c r="AM905" s="8">
        <v>287836</v>
      </c>
      <c r="AN905" s="8">
        <f t="shared" si="455"/>
        <v>-16542</v>
      </c>
      <c r="AO905" s="8">
        <v>-174545</v>
      </c>
      <c r="AP905" s="8">
        <f t="shared" ref="AP905:AP967" si="468">AO905-AO904</f>
        <v>19968</v>
      </c>
      <c r="AR905" s="8">
        <v>1724511</v>
      </c>
      <c r="AS905" s="8">
        <f t="shared" ref="AS905:AS967" si="469">AR905-AR904</f>
        <v>32539</v>
      </c>
      <c r="AT905" s="8">
        <v>163723</v>
      </c>
      <c r="AU905" s="8">
        <f t="shared" ref="AU905:AU967" si="470">AT905-AT904</f>
        <v>514</v>
      </c>
      <c r="AV905" s="8">
        <v>323156</v>
      </c>
      <c r="AW905" s="8">
        <f t="shared" ref="AW905:AW967" si="471">AV905-AV904</f>
        <v>-8659</v>
      </c>
      <c r="AX905" s="8">
        <v>-159433</v>
      </c>
      <c r="AY905" s="8">
        <f t="shared" si="447"/>
        <v>9173</v>
      </c>
      <c r="AZ905" s="8">
        <v>779304</v>
      </c>
      <c r="BA905" s="8">
        <f t="shared" ref="BA905:BA967" si="472">AZ905-AZ904</f>
        <v>-21</v>
      </c>
      <c r="BB905" s="8">
        <v>614483</v>
      </c>
      <c r="BC905" s="8">
        <f t="shared" ref="BC905:BC967" si="473">BB905-BB904</f>
        <v>15542</v>
      </c>
      <c r="BD905" s="8">
        <v>164821</v>
      </c>
      <c r="BE905" s="8">
        <f t="shared" ref="BE905:BE967" si="474">BD905-BD904</f>
        <v>-15563</v>
      </c>
      <c r="BF905" s="8">
        <v>534448</v>
      </c>
      <c r="BG905" s="8">
        <f t="shared" ref="BG905:BG967" si="475">BF905-BF904</f>
        <v>-2972</v>
      </c>
      <c r="BH905" s="8">
        <v>568393</v>
      </c>
      <c r="BI905" s="8">
        <f t="shared" ref="BI905:BI967" si="476">BH905-BH904</f>
        <v>14551</v>
      </c>
      <c r="BJ905" s="8">
        <v>-33945</v>
      </c>
      <c r="BK905" s="8">
        <f t="shared" si="450"/>
        <v>-17523</v>
      </c>
    </row>
    <row r="906" spans="1:63">
      <c r="A906" s="5">
        <f t="shared" si="446"/>
        <v>45209</v>
      </c>
      <c r="B906" s="8">
        <v>473052</v>
      </c>
      <c r="C906" s="8">
        <f t="shared" si="456"/>
        <v>5166</v>
      </c>
      <c r="D906" s="8">
        <v>59848</v>
      </c>
      <c r="E906" s="8">
        <f t="shared" si="457"/>
        <v>-6179</v>
      </c>
      <c r="F906" s="8">
        <v>33881</v>
      </c>
      <c r="G906" s="8">
        <f t="shared" si="458"/>
        <v>9238</v>
      </c>
      <c r="H906" s="8">
        <v>25967</v>
      </c>
      <c r="I906" s="8">
        <f t="shared" si="459"/>
        <v>-15417</v>
      </c>
      <c r="J906" s="8">
        <v>224538</v>
      </c>
      <c r="K906" s="8">
        <f t="shared" si="460"/>
        <v>6915</v>
      </c>
      <c r="L906" s="8">
        <v>263436</v>
      </c>
      <c r="M906" s="8">
        <f t="shared" si="461"/>
        <v>-7854</v>
      </c>
      <c r="N906" s="8">
        <v>-38898</v>
      </c>
      <c r="O906" s="8">
        <f t="shared" si="462"/>
        <v>14769</v>
      </c>
      <c r="P906" s="8">
        <v>111766</v>
      </c>
      <c r="Q906" s="8">
        <f t="shared" si="463"/>
        <v>10772</v>
      </c>
      <c r="R906" s="8">
        <v>245009</v>
      </c>
      <c r="S906" s="8">
        <f t="shared" si="464"/>
        <v>-4136</v>
      </c>
      <c r="T906" s="8">
        <v>-133243</v>
      </c>
      <c r="U906" s="8">
        <f t="shared" si="465"/>
        <v>14908</v>
      </c>
      <c r="W906" s="8">
        <v>511785</v>
      </c>
      <c r="X906" s="8">
        <f t="shared" si="466"/>
        <v>-3813</v>
      </c>
      <c r="Y906" s="8">
        <v>67749</v>
      </c>
      <c r="Z906" s="8">
        <f t="shared" si="467"/>
        <v>-3801</v>
      </c>
      <c r="AA906" s="8">
        <v>35690</v>
      </c>
      <c r="AB906" s="8">
        <f t="shared" si="448"/>
        <v>5125</v>
      </c>
      <c r="AC906" s="8">
        <v>32059</v>
      </c>
      <c r="AD906" s="8">
        <f t="shared" si="449"/>
        <v>-8926</v>
      </c>
      <c r="AE906" s="8">
        <v>219856</v>
      </c>
      <c r="AF906" s="8">
        <f t="shared" si="451"/>
        <v>-14</v>
      </c>
      <c r="AG906" s="8">
        <v>290812</v>
      </c>
      <c r="AH906" s="8">
        <f t="shared" si="452"/>
        <v>-7753</v>
      </c>
      <c r="AI906" s="8">
        <v>-70956</v>
      </c>
      <c r="AJ906" s="8">
        <f t="shared" si="453"/>
        <v>7739</v>
      </c>
      <c r="AK906" s="8">
        <v>116958</v>
      </c>
      <c r="AL906" s="8">
        <f t="shared" si="454"/>
        <v>3667</v>
      </c>
      <c r="AM906" s="8">
        <v>281458</v>
      </c>
      <c r="AN906" s="8">
        <f t="shared" si="455"/>
        <v>-6378</v>
      </c>
      <c r="AO906" s="8">
        <v>-164500</v>
      </c>
      <c r="AP906" s="8">
        <f t="shared" si="468"/>
        <v>10045</v>
      </c>
      <c r="AR906" s="8">
        <v>1734458</v>
      </c>
      <c r="AS906" s="8">
        <f t="shared" si="469"/>
        <v>9947</v>
      </c>
      <c r="AT906" s="8">
        <v>173856</v>
      </c>
      <c r="AU906" s="8">
        <f t="shared" si="470"/>
        <v>10133</v>
      </c>
      <c r="AV906" s="8">
        <v>286547</v>
      </c>
      <c r="AW906" s="8">
        <f t="shared" si="471"/>
        <v>-36609</v>
      </c>
      <c r="AX906" s="8">
        <v>-112691</v>
      </c>
      <c r="AY906" s="8">
        <f t="shared" si="447"/>
        <v>46742</v>
      </c>
      <c r="AZ906" s="8">
        <v>755593</v>
      </c>
      <c r="BA906" s="8">
        <f t="shared" si="472"/>
        <v>-23711</v>
      </c>
      <c r="BB906" s="8">
        <v>638184</v>
      </c>
      <c r="BC906" s="8">
        <f t="shared" si="473"/>
        <v>23701</v>
      </c>
      <c r="BD906" s="8">
        <v>117409</v>
      </c>
      <c r="BE906" s="8">
        <f t="shared" si="474"/>
        <v>-47412</v>
      </c>
      <c r="BF906" s="8">
        <v>515654</v>
      </c>
      <c r="BG906" s="8">
        <f t="shared" si="475"/>
        <v>-18794</v>
      </c>
      <c r="BH906" s="8">
        <v>589558</v>
      </c>
      <c r="BI906" s="8">
        <f t="shared" si="476"/>
        <v>21165</v>
      </c>
      <c r="BJ906" s="8">
        <v>-73904</v>
      </c>
      <c r="BK906" s="8">
        <f t="shared" si="450"/>
        <v>-39959</v>
      </c>
    </row>
    <row r="907" spans="1:63">
      <c r="A907" s="5">
        <f t="shared" si="446"/>
        <v>45216</v>
      </c>
      <c r="B907" s="8">
        <v>487860</v>
      </c>
      <c r="C907" s="8">
        <f t="shared" si="456"/>
        <v>14808</v>
      </c>
      <c r="D907" s="8">
        <v>56587</v>
      </c>
      <c r="E907" s="8">
        <f t="shared" si="457"/>
        <v>-3261</v>
      </c>
      <c r="F907" s="8">
        <v>35858</v>
      </c>
      <c r="G907" s="8">
        <f t="shared" si="458"/>
        <v>1977</v>
      </c>
      <c r="H907" s="8">
        <v>20729</v>
      </c>
      <c r="I907" s="8">
        <f t="shared" si="459"/>
        <v>-5238</v>
      </c>
      <c r="J907" s="8">
        <v>231601</v>
      </c>
      <c r="K907" s="8">
        <f t="shared" si="460"/>
        <v>7063</v>
      </c>
      <c r="L907" s="8">
        <v>266885</v>
      </c>
      <c r="M907" s="8">
        <f t="shared" si="461"/>
        <v>3449</v>
      </c>
      <c r="N907" s="8">
        <v>-35284</v>
      </c>
      <c r="O907" s="8">
        <f t="shared" si="462"/>
        <v>3614</v>
      </c>
      <c r="P907" s="8">
        <v>114138</v>
      </c>
      <c r="Q907" s="8">
        <f t="shared" si="463"/>
        <v>2372</v>
      </c>
      <c r="R907" s="8">
        <v>250134</v>
      </c>
      <c r="S907" s="8">
        <f t="shared" si="464"/>
        <v>5125</v>
      </c>
      <c r="T907" s="8">
        <v>-135996</v>
      </c>
      <c r="U907" s="8">
        <f t="shared" si="465"/>
        <v>-2753</v>
      </c>
      <c r="W907" s="8">
        <v>540196</v>
      </c>
      <c r="X907" s="8">
        <f t="shared" si="466"/>
        <v>28411</v>
      </c>
      <c r="Y907" s="8">
        <v>77842</v>
      </c>
      <c r="Z907" s="8">
        <f t="shared" si="467"/>
        <v>10093</v>
      </c>
      <c r="AA907" s="8">
        <v>27144</v>
      </c>
      <c r="AB907" s="8">
        <f t="shared" si="448"/>
        <v>-8546</v>
      </c>
      <c r="AC907" s="8">
        <v>50698</v>
      </c>
      <c r="AD907" s="8">
        <f t="shared" si="449"/>
        <v>18639</v>
      </c>
      <c r="AE907" s="8">
        <v>220174</v>
      </c>
      <c r="AF907" s="8">
        <f t="shared" si="451"/>
        <v>318</v>
      </c>
      <c r="AG907" s="8">
        <v>312540</v>
      </c>
      <c r="AH907" s="8">
        <f t="shared" si="452"/>
        <v>21728</v>
      </c>
      <c r="AI907" s="8">
        <v>-92366</v>
      </c>
      <c r="AJ907" s="8">
        <f t="shared" si="453"/>
        <v>-21410</v>
      </c>
      <c r="AK907" s="8">
        <v>119224</v>
      </c>
      <c r="AL907" s="8">
        <f t="shared" si="454"/>
        <v>2266</v>
      </c>
      <c r="AM907" s="8">
        <v>301760</v>
      </c>
      <c r="AN907" s="8">
        <f t="shared" si="455"/>
        <v>20302</v>
      </c>
      <c r="AO907" s="8">
        <v>-182536</v>
      </c>
      <c r="AP907" s="8">
        <f t="shared" si="468"/>
        <v>-18036</v>
      </c>
      <c r="AR907" s="8">
        <v>1737540</v>
      </c>
      <c r="AS907" s="8">
        <f t="shared" si="469"/>
        <v>3082</v>
      </c>
      <c r="AT907" s="8">
        <v>175267</v>
      </c>
      <c r="AU907" s="8">
        <f t="shared" si="470"/>
        <v>1411</v>
      </c>
      <c r="AV907" s="8">
        <v>284137</v>
      </c>
      <c r="AW907" s="8">
        <f t="shared" si="471"/>
        <v>-2410</v>
      </c>
      <c r="AX907" s="8">
        <v>-108870</v>
      </c>
      <c r="AY907" s="8">
        <f t="shared" si="447"/>
        <v>3821</v>
      </c>
      <c r="AZ907" s="8">
        <v>757702</v>
      </c>
      <c r="BA907" s="8">
        <f t="shared" si="472"/>
        <v>2109</v>
      </c>
      <c r="BB907" s="8">
        <v>635538</v>
      </c>
      <c r="BC907" s="8">
        <f t="shared" si="473"/>
        <v>-2646</v>
      </c>
      <c r="BD907" s="8">
        <v>122164</v>
      </c>
      <c r="BE907" s="8">
        <f t="shared" si="474"/>
        <v>4755</v>
      </c>
      <c r="BF907" s="8">
        <v>516723</v>
      </c>
      <c r="BG907" s="8">
        <f t="shared" si="475"/>
        <v>1069</v>
      </c>
      <c r="BH907" s="8">
        <v>583656</v>
      </c>
      <c r="BI907" s="8">
        <f t="shared" si="476"/>
        <v>-5902</v>
      </c>
      <c r="BJ907" s="8">
        <v>-66933</v>
      </c>
      <c r="BK907" s="8">
        <f t="shared" si="450"/>
        <v>6971</v>
      </c>
    </row>
    <row r="908" spans="1:63">
      <c r="A908" s="5">
        <f t="shared" si="446"/>
        <v>45223</v>
      </c>
      <c r="B908" s="8">
        <v>525697</v>
      </c>
      <c r="C908" s="8">
        <f t="shared" si="456"/>
        <v>37837</v>
      </c>
      <c r="D908" s="8">
        <v>56626</v>
      </c>
      <c r="E908" s="8">
        <f t="shared" si="457"/>
        <v>39</v>
      </c>
      <c r="F908" s="8">
        <v>45103</v>
      </c>
      <c r="G908" s="8">
        <f t="shared" si="458"/>
        <v>9245</v>
      </c>
      <c r="H908" s="8">
        <v>11523</v>
      </c>
      <c r="I908" s="8">
        <f t="shared" si="459"/>
        <v>-9206</v>
      </c>
      <c r="J908" s="8">
        <v>252049</v>
      </c>
      <c r="K908" s="8">
        <f t="shared" si="460"/>
        <v>20448</v>
      </c>
      <c r="L908" s="8">
        <v>274205</v>
      </c>
      <c r="M908" s="8">
        <f t="shared" si="461"/>
        <v>7320</v>
      </c>
      <c r="N908" s="8">
        <v>-22156</v>
      </c>
      <c r="O908" s="8">
        <f t="shared" si="462"/>
        <v>13128</v>
      </c>
      <c r="P908" s="8">
        <v>132868</v>
      </c>
      <c r="Q908" s="8">
        <f t="shared" si="463"/>
        <v>18730</v>
      </c>
      <c r="R908" s="8">
        <v>257378</v>
      </c>
      <c r="S908" s="8">
        <f t="shared" si="464"/>
        <v>7244</v>
      </c>
      <c r="T908" s="8">
        <v>-124510</v>
      </c>
      <c r="U908" s="8">
        <f t="shared" si="465"/>
        <v>11486</v>
      </c>
      <c r="W908" s="8">
        <v>568594</v>
      </c>
      <c r="X908" s="8">
        <f t="shared" si="466"/>
        <v>28398</v>
      </c>
      <c r="Y908" s="8">
        <v>102232</v>
      </c>
      <c r="Z908" s="8">
        <f t="shared" si="467"/>
        <v>24390</v>
      </c>
      <c r="AA908" s="8">
        <v>10205</v>
      </c>
      <c r="AB908" s="8">
        <f t="shared" si="448"/>
        <v>-16939</v>
      </c>
      <c r="AC908" s="8">
        <v>92027</v>
      </c>
      <c r="AD908" s="8">
        <f t="shared" si="449"/>
        <v>41329</v>
      </c>
      <c r="AE908" s="8">
        <v>209817</v>
      </c>
      <c r="AF908" s="8">
        <f t="shared" si="451"/>
        <v>-10357</v>
      </c>
      <c r="AG908" s="8">
        <v>341171</v>
      </c>
      <c r="AH908" s="8">
        <f t="shared" si="452"/>
        <v>28631</v>
      </c>
      <c r="AI908" s="8">
        <v>-131354</v>
      </c>
      <c r="AJ908" s="8">
        <f t="shared" si="453"/>
        <v>-38988</v>
      </c>
      <c r="AK908" s="8">
        <v>111392</v>
      </c>
      <c r="AL908" s="8">
        <f t="shared" si="454"/>
        <v>-7832</v>
      </c>
      <c r="AM908" s="8">
        <v>330318</v>
      </c>
      <c r="AN908" s="8">
        <f t="shared" si="455"/>
        <v>28558</v>
      </c>
      <c r="AO908" s="8">
        <v>-218926</v>
      </c>
      <c r="AP908" s="8">
        <f t="shared" si="468"/>
        <v>-36390</v>
      </c>
      <c r="AR908" s="8">
        <v>1788615</v>
      </c>
      <c r="AS908" s="8">
        <f t="shared" si="469"/>
        <v>51075</v>
      </c>
      <c r="AT908" s="8">
        <v>170014</v>
      </c>
      <c r="AU908" s="8">
        <f t="shared" si="470"/>
        <v>-5253</v>
      </c>
      <c r="AV908" s="8">
        <v>270444</v>
      </c>
      <c r="AW908" s="8">
        <f t="shared" si="471"/>
        <v>-13693</v>
      </c>
      <c r="AX908" s="8">
        <v>-100430</v>
      </c>
      <c r="AY908" s="8">
        <f t="shared" si="447"/>
        <v>8440</v>
      </c>
      <c r="AZ908" s="8">
        <v>767454</v>
      </c>
      <c r="BA908" s="8">
        <f t="shared" si="472"/>
        <v>9752</v>
      </c>
      <c r="BB908" s="8">
        <v>655944</v>
      </c>
      <c r="BC908" s="8">
        <f t="shared" si="473"/>
        <v>20406</v>
      </c>
      <c r="BD908" s="8">
        <v>111510</v>
      </c>
      <c r="BE908" s="8">
        <f t="shared" si="474"/>
        <v>-10654</v>
      </c>
      <c r="BF908" s="8">
        <v>521830</v>
      </c>
      <c r="BG908" s="8">
        <f t="shared" si="475"/>
        <v>5107</v>
      </c>
      <c r="BH908" s="8">
        <v>595930</v>
      </c>
      <c r="BI908" s="8">
        <f t="shared" si="476"/>
        <v>12274</v>
      </c>
      <c r="BJ908" s="8">
        <v>-74100</v>
      </c>
      <c r="BK908" s="8">
        <f t="shared" si="450"/>
        <v>-7167</v>
      </c>
    </row>
    <row r="909" spans="1:63">
      <c r="A909" s="5">
        <f t="shared" si="446"/>
        <v>45230</v>
      </c>
      <c r="B909" s="8">
        <v>542089</v>
      </c>
      <c r="C909" s="8">
        <f t="shared" si="456"/>
        <v>16392</v>
      </c>
      <c r="D909" s="8">
        <v>59436</v>
      </c>
      <c r="E909" s="8">
        <f t="shared" si="457"/>
        <v>2810</v>
      </c>
      <c r="F909" s="8">
        <v>54941</v>
      </c>
      <c r="G909" s="8">
        <f t="shared" si="458"/>
        <v>9838</v>
      </c>
      <c r="H909" s="8">
        <v>4495</v>
      </c>
      <c r="I909" s="8">
        <f t="shared" si="459"/>
        <v>-7028</v>
      </c>
      <c r="J909" s="8">
        <v>265853</v>
      </c>
      <c r="K909" s="8">
        <f t="shared" si="460"/>
        <v>13804</v>
      </c>
      <c r="L909" s="8">
        <v>286937</v>
      </c>
      <c r="M909" s="8">
        <f t="shared" si="461"/>
        <v>12732</v>
      </c>
      <c r="N909" s="8">
        <v>-21084</v>
      </c>
      <c r="O909" s="8">
        <f t="shared" si="462"/>
        <v>1072</v>
      </c>
      <c r="P909" s="8">
        <v>143592</v>
      </c>
      <c r="Q909" s="8">
        <f t="shared" si="463"/>
        <v>10724</v>
      </c>
      <c r="R909" s="8">
        <v>266229</v>
      </c>
      <c r="S909" s="8">
        <f t="shared" si="464"/>
        <v>8851</v>
      </c>
      <c r="T909" s="8">
        <v>-122637</v>
      </c>
      <c r="U909" s="8">
        <f t="shared" si="465"/>
        <v>1873</v>
      </c>
      <c r="W909" s="8">
        <v>588359</v>
      </c>
      <c r="X909" s="8">
        <f t="shared" si="466"/>
        <v>19765</v>
      </c>
      <c r="Y909" s="8">
        <v>119309</v>
      </c>
      <c r="Z909" s="8">
        <f t="shared" si="467"/>
        <v>17077</v>
      </c>
      <c r="AA909" s="8">
        <v>12726</v>
      </c>
      <c r="AB909" s="8">
        <f t="shared" si="448"/>
        <v>2521</v>
      </c>
      <c r="AC909" s="8">
        <v>106583</v>
      </c>
      <c r="AD909" s="8">
        <f t="shared" si="449"/>
        <v>14556</v>
      </c>
      <c r="AE909" s="8">
        <v>210339</v>
      </c>
      <c r="AF909" s="8">
        <f t="shared" si="451"/>
        <v>522</v>
      </c>
      <c r="AG909" s="8">
        <v>355953</v>
      </c>
      <c r="AH909" s="8">
        <f t="shared" si="452"/>
        <v>14782</v>
      </c>
      <c r="AI909" s="8">
        <v>-145614</v>
      </c>
      <c r="AJ909" s="8">
        <f t="shared" si="453"/>
        <v>-14260</v>
      </c>
      <c r="AK909" s="8">
        <v>114748</v>
      </c>
      <c r="AL909" s="8">
        <f t="shared" si="454"/>
        <v>3356</v>
      </c>
      <c r="AM909" s="8">
        <v>346151</v>
      </c>
      <c r="AN909" s="8">
        <f t="shared" si="455"/>
        <v>15833</v>
      </c>
      <c r="AO909" s="8">
        <v>-231403</v>
      </c>
      <c r="AP909" s="8">
        <f t="shared" si="468"/>
        <v>-12477</v>
      </c>
      <c r="AR909" s="8">
        <v>1775914</v>
      </c>
      <c r="AS909" s="8">
        <f t="shared" si="469"/>
        <v>-12701</v>
      </c>
      <c r="AT909" s="8">
        <v>159394</v>
      </c>
      <c r="AU909" s="8">
        <f t="shared" si="470"/>
        <v>-10620</v>
      </c>
      <c r="AV909" s="8">
        <v>303826</v>
      </c>
      <c r="AW909" s="8">
        <f t="shared" si="471"/>
        <v>33382</v>
      </c>
      <c r="AX909" s="8">
        <v>-144432</v>
      </c>
      <c r="AY909" s="8">
        <f t="shared" si="447"/>
        <v>-44002</v>
      </c>
      <c r="AZ909" s="8">
        <v>772346</v>
      </c>
      <c r="BA909" s="8">
        <f t="shared" si="472"/>
        <v>4892</v>
      </c>
      <c r="BB909" s="8">
        <v>624206</v>
      </c>
      <c r="BC909" s="8">
        <f t="shared" si="473"/>
        <v>-31738</v>
      </c>
      <c r="BD909" s="8">
        <v>148140</v>
      </c>
      <c r="BE909" s="8">
        <f t="shared" si="474"/>
        <v>36630</v>
      </c>
      <c r="BF909" s="8">
        <v>519559</v>
      </c>
      <c r="BG909" s="8">
        <f t="shared" si="475"/>
        <v>-2271</v>
      </c>
      <c r="BH909" s="8">
        <v>565667</v>
      </c>
      <c r="BI909" s="8">
        <f t="shared" si="476"/>
        <v>-30263</v>
      </c>
      <c r="BJ909" s="8">
        <v>-46108</v>
      </c>
      <c r="BK909" s="8">
        <f t="shared" si="450"/>
        <v>27992</v>
      </c>
    </row>
    <row r="910" spans="1:63">
      <c r="A910" s="5">
        <f t="shared" si="446"/>
        <v>45237</v>
      </c>
      <c r="B910" s="8">
        <v>563612</v>
      </c>
      <c r="C910" s="8">
        <f t="shared" si="456"/>
        <v>21523</v>
      </c>
      <c r="D910" s="8">
        <v>56783</v>
      </c>
      <c r="E910" s="8">
        <f t="shared" si="457"/>
        <v>-2653</v>
      </c>
      <c r="F910" s="8">
        <v>67135</v>
      </c>
      <c r="G910" s="8">
        <f t="shared" si="458"/>
        <v>12194</v>
      </c>
      <c r="H910" s="8">
        <v>-10352</v>
      </c>
      <c r="I910" s="8">
        <f t="shared" si="459"/>
        <v>-14847</v>
      </c>
      <c r="J910" s="8">
        <v>267534</v>
      </c>
      <c r="K910" s="8">
        <f t="shared" si="460"/>
        <v>1681</v>
      </c>
      <c r="L910" s="8">
        <v>277197</v>
      </c>
      <c r="M910" s="8">
        <f t="shared" si="461"/>
        <v>-9740</v>
      </c>
      <c r="N910" s="8">
        <v>-9663</v>
      </c>
      <c r="O910" s="8">
        <f t="shared" si="462"/>
        <v>11421</v>
      </c>
      <c r="P910" s="8">
        <v>148646</v>
      </c>
      <c r="Q910" s="8">
        <f t="shared" si="463"/>
        <v>5054</v>
      </c>
      <c r="R910" s="8">
        <v>257789</v>
      </c>
      <c r="S910" s="8">
        <f t="shared" si="464"/>
        <v>-8440</v>
      </c>
      <c r="T910" s="8">
        <v>-109143</v>
      </c>
      <c r="U910" s="8">
        <f t="shared" si="465"/>
        <v>13494</v>
      </c>
      <c r="W910" s="8">
        <v>609640</v>
      </c>
      <c r="X910" s="8">
        <f t="shared" si="466"/>
        <v>21281</v>
      </c>
      <c r="Y910" s="8">
        <v>120684</v>
      </c>
      <c r="Z910" s="8">
        <f t="shared" si="467"/>
        <v>1375</v>
      </c>
      <c r="AA910" s="8">
        <v>8697</v>
      </c>
      <c r="AB910" s="8">
        <f t="shared" si="448"/>
        <v>-4029</v>
      </c>
      <c r="AC910" s="8">
        <v>111987</v>
      </c>
      <c r="AD910" s="8">
        <f t="shared" si="449"/>
        <v>5404</v>
      </c>
      <c r="AE910" s="8">
        <v>216035</v>
      </c>
      <c r="AF910" s="8">
        <f t="shared" si="451"/>
        <v>5696</v>
      </c>
      <c r="AG910" s="8">
        <v>365155</v>
      </c>
      <c r="AH910" s="8">
        <f t="shared" si="452"/>
        <v>9202</v>
      </c>
      <c r="AI910" s="8">
        <v>-149120</v>
      </c>
      <c r="AJ910" s="8">
        <f t="shared" si="453"/>
        <v>-3506</v>
      </c>
      <c r="AK910" s="8">
        <v>118239</v>
      </c>
      <c r="AL910" s="8">
        <f t="shared" si="454"/>
        <v>3491</v>
      </c>
      <c r="AM910" s="8">
        <v>351846</v>
      </c>
      <c r="AN910" s="8">
        <f t="shared" si="455"/>
        <v>5695</v>
      </c>
      <c r="AO910" s="8">
        <v>-233607</v>
      </c>
      <c r="AP910" s="8">
        <f t="shared" si="468"/>
        <v>-2204</v>
      </c>
      <c r="AR910" s="8">
        <v>1830388</v>
      </c>
      <c r="AS910" s="8">
        <f t="shared" si="469"/>
        <v>54474</v>
      </c>
      <c r="AT910" s="8">
        <v>147264</v>
      </c>
      <c r="AU910" s="8">
        <f t="shared" si="470"/>
        <v>-12130</v>
      </c>
      <c r="AV910" s="8">
        <v>315852</v>
      </c>
      <c r="AW910" s="8">
        <f t="shared" si="471"/>
        <v>12026</v>
      </c>
      <c r="AX910" s="8">
        <v>-168588</v>
      </c>
      <c r="AY910" s="8">
        <f t="shared" si="447"/>
        <v>-24156</v>
      </c>
      <c r="AZ910" s="8">
        <v>791899</v>
      </c>
      <c r="BA910" s="8">
        <f t="shared" si="472"/>
        <v>19553</v>
      </c>
      <c r="BB910" s="8">
        <v>625607</v>
      </c>
      <c r="BC910" s="8">
        <f t="shared" si="473"/>
        <v>1401</v>
      </c>
      <c r="BD910" s="8">
        <v>166292</v>
      </c>
      <c r="BE910" s="8">
        <f t="shared" si="474"/>
        <v>18152</v>
      </c>
      <c r="BF910" s="8">
        <v>536422</v>
      </c>
      <c r="BG910" s="8">
        <f t="shared" si="475"/>
        <v>16863</v>
      </c>
      <c r="BH910" s="8">
        <v>564931</v>
      </c>
      <c r="BI910" s="8">
        <f t="shared" si="476"/>
        <v>-736</v>
      </c>
      <c r="BJ910" s="8">
        <v>-28509</v>
      </c>
      <c r="BK910" s="8">
        <f t="shared" si="450"/>
        <v>17599</v>
      </c>
    </row>
    <row r="911" spans="1:63">
      <c r="A911" s="5">
        <f t="shared" ref="A911:A960" si="477">A910+7</f>
        <v>45244</v>
      </c>
      <c r="B911" s="8">
        <v>577788</v>
      </c>
      <c r="C911" s="8">
        <f t="shared" si="456"/>
        <v>14176</v>
      </c>
      <c r="D911" s="8">
        <v>62386</v>
      </c>
      <c r="E911" s="8">
        <f t="shared" si="457"/>
        <v>5603</v>
      </c>
      <c r="F911" s="8">
        <v>68983</v>
      </c>
      <c r="G911" s="8">
        <f t="shared" si="458"/>
        <v>1848</v>
      </c>
      <c r="H911" s="8">
        <v>-6597</v>
      </c>
      <c r="I911" s="8">
        <f t="shared" si="459"/>
        <v>3755</v>
      </c>
      <c r="J911" s="8">
        <v>271048</v>
      </c>
      <c r="K911" s="8">
        <f t="shared" si="460"/>
        <v>3514</v>
      </c>
      <c r="L911" s="8">
        <v>288613</v>
      </c>
      <c r="M911" s="8">
        <f t="shared" si="461"/>
        <v>11416</v>
      </c>
      <c r="N911" s="8">
        <v>-17565</v>
      </c>
      <c r="O911" s="8">
        <f t="shared" si="462"/>
        <v>-7902</v>
      </c>
      <c r="P911" s="8">
        <v>150741</v>
      </c>
      <c r="Q911" s="8">
        <f t="shared" si="463"/>
        <v>2095</v>
      </c>
      <c r="R911" s="8">
        <v>270066</v>
      </c>
      <c r="S911" s="8">
        <f t="shared" si="464"/>
        <v>12277</v>
      </c>
      <c r="T911" s="8">
        <v>-119325</v>
      </c>
      <c r="U911" s="8">
        <f t="shared" si="465"/>
        <v>-10182</v>
      </c>
      <c r="W911" s="8">
        <v>646145</v>
      </c>
      <c r="X911" s="8">
        <f t="shared" si="466"/>
        <v>36505</v>
      </c>
      <c r="Y911" s="8">
        <v>138576</v>
      </c>
      <c r="Z911" s="8">
        <f t="shared" si="467"/>
        <v>17892</v>
      </c>
      <c r="AA911" s="8">
        <v>7172</v>
      </c>
      <c r="AB911" s="8">
        <f t="shared" si="448"/>
        <v>-1525</v>
      </c>
      <c r="AC911" s="8">
        <v>131404</v>
      </c>
      <c r="AD911" s="8">
        <f t="shared" si="449"/>
        <v>19417</v>
      </c>
      <c r="AE911" s="8">
        <v>215503</v>
      </c>
      <c r="AF911" s="8">
        <f t="shared" si="451"/>
        <v>-532</v>
      </c>
      <c r="AG911" s="8">
        <v>378395</v>
      </c>
      <c r="AH911" s="8">
        <f t="shared" si="452"/>
        <v>13240</v>
      </c>
      <c r="AI911" s="8">
        <v>-162892</v>
      </c>
      <c r="AJ911" s="8">
        <f t="shared" si="453"/>
        <v>-13772</v>
      </c>
      <c r="AK911" s="8">
        <v>118365</v>
      </c>
      <c r="AL911" s="8">
        <f t="shared" si="454"/>
        <v>126</v>
      </c>
      <c r="AM911" s="8">
        <v>363200</v>
      </c>
      <c r="AN911" s="8">
        <f t="shared" si="455"/>
        <v>11354</v>
      </c>
      <c r="AO911" s="8">
        <v>-244835</v>
      </c>
      <c r="AP911" s="8">
        <f t="shared" si="468"/>
        <v>-11228</v>
      </c>
      <c r="AR911" s="8">
        <v>1837197</v>
      </c>
      <c r="AS911" s="8">
        <f t="shared" si="469"/>
        <v>6809</v>
      </c>
      <c r="AT911" s="8">
        <v>153860</v>
      </c>
      <c r="AU911" s="8">
        <f t="shared" si="470"/>
        <v>6596</v>
      </c>
      <c r="AV911" s="8">
        <v>317346</v>
      </c>
      <c r="AW911" s="8">
        <f t="shared" si="471"/>
        <v>1494</v>
      </c>
      <c r="AX911" s="8">
        <v>-163486</v>
      </c>
      <c r="AY911" s="8">
        <f t="shared" si="447"/>
        <v>5102</v>
      </c>
      <c r="AZ911" s="8">
        <v>793725</v>
      </c>
      <c r="BA911" s="8">
        <f t="shared" si="472"/>
        <v>1826</v>
      </c>
      <c r="BB911" s="8">
        <v>627964</v>
      </c>
      <c r="BC911" s="8">
        <f t="shared" si="473"/>
        <v>2357</v>
      </c>
      <c r="BD911" s="8">
        <v>165761</v>
      </c>
      <c r="BE911" s="8">
        <f t="shared" si="474"/>
        <v>-531</v>
      </c>
      <c r="BF911" s="8">
        <v>537809</v>
      </c>
      <c r="BG911" s="8">
        <f t="shared" si="475"/>
        <v>1387</v>
      </c>
      <c r="BH911" s="8">
        <v>571982</v>
      </c>
      <c r="BI911" s="8">
        <f t="shared" si="476"/>
        <v>7051</v>
      </c>
      <c r="BJ911" s="8">
        <v>-34173</v>
      </c>
      <c r="BK911" s="8">
        <f t="shared" si="450"/>
        <v>-5664</v>
      </c>
    </row>
    <row r="912" spans="1:63">
      <c r="A912" s="5">
        <f t="shared" si="477"/>
        <v>45251</v>
      </c>
      <c r="B912" s="8">
        <v>565166</v>
      </c>
      <c r="C912" s="8">
        <f t="shared" si="456"/>
        <v>-12622</v>
      </c>
      <c r="D912" s="8">
        <v>62877</v>
      </c>
      <c r="E912" s="8">
        <f t="shared" si="457"/>
        <v>491</v>
      </c>
      <c r="F912" s="8">
        <v>65708</v>
      </c>
      <c r="G912" s="8">
        <f t="shared" si="458"/>
        <v>-3275</v>
      </c>
      <c r="H912" s="8">
        <v>-2831</v>
      </c>
      <c r="I912" s="8">
        <f t="shared" si="459"/>
        <v>3766</v>
      </c>
      <c r="J912" s="8">
        <v>263929</v>
      </c>
      <c r="K912" s="8">
        <f t="shared" si="460"/>
        <v>-7119</v>
      </c>
      <c r="L912" s="8">
        <v>286043</v>
      </c>
      <c r="M912" s="8">
        <f t="shared" si="461"/>
        <v>-2570</v>
      </c>
      <c r="N912" s="8">
        <v>-22114</v>
      </c>
      <c r="O912" s="8">
        <f t="shared" si="462"/>
        <v>-4549</v>
      </c>
      <c r="P912" s="8">
        <v>141504</v>
      </c>
      <c r="Q912" s="8">
        <f t="shared" si="463"/>
        <v>-9237</v>
      </c>
      <c r="R912" s="8">
        <v>266321</v>
      </c>
      <c r="S912" s="8">
        <f t="shared" si="464"/>
        <v>-3745</v>
      </c>
      <c r="T912" s="8">
        <v>-124817</v>
      </c>
      <c r="U912" s="8">
        <f t="shared" si="465"/>
        <v>-5492</v>
      </c>
      <c r="W912" s="8">
        <v>671039</v>
      </c>
      <c r="X912" s="8">
        <f t="shared" si="466"/>
        <v>24894</v>
      </c>
      <c r="Y912" s="8">
        <v>146980</v>
      </c>
      <c r="Z912" s="8">
        <f t="shared" si="467"/>
        <v>8404</v>
      </c>
      <c r="AA912" s="8">
        <v>9177</v>
      </c>
      <c r="AB912" s="8">
        <f t="shared" si="448"/>
        <v>2005</v>
      </c>
      <c r="AC912" s="8">
        <v>137803</v>
      </c>
      <c r="AD912" s="8">
        <f t="shared" si="449"/>
        <v>6399</v>
      </c>
      <c r="AE912" s="8">
        <v>218165</v>
      </c>
      <c r="AF912" s="8">
        <f t="shared" si="451"/>
        <v>2662</v>
      </c>
      <c r="AG912" s="8">
        <v>378989</v>
      </c>
      <c r="AH912" s="8">
        <f t="shared" si="452"/>
        <v>594</v>
      </c>
      <c r="AI912" s="8">
        <v>-160824</v>
      </c>
      <c r="AJ912" s="8">
        <f t="shared" si="453"/>
        <v>2068</v>
      </c>
      <c r="AK912" s="8">
        <v>120993</v>
      </c>
      <c r="AL912" s="8">
        <f t="shared" si="454"/>
        <v>2628</v>
      </c>
      <c r="AM912" s="8">
        <v>364747</v>
      </c>
      <c r="AN912" s="8">
        <f t="shared" si="455"/>
        <v>1547</v>
      </c>
      <c r="AO912" s="8">
        <v>-243754</v>
      </c>
      <c r="AP912" s="8">
        <f t="shared" si="468"/>
        <v>1081</v>
      </c>
      <c r="AR912" s="8">
        <v>1809415</v>
      </c>
      <c r="AS912" s="8">
        <f t="shared" si="469"/>
        <v>-27782</v>
      </c>
      <c r="AT912" s="8">
        <v>152421</v>
      </c>
      <c r="AU912" s="8">
        <f t="shared" si="470"/>
        <v>-1439</v>
      </c>
      <c r="AV912" s="8">
        <v>337923</v>
      </c>
      <c r="AW912" s="8">
        <f t="shared" si="471"/>
        <v>20577</v>
      </c>
      <c r="AX912" s="8">
        <v>-185502</v>
      </c>
      <c r="AY912" s="8">
        <f t="shared" si="447"/>
        <v>-22016</v>
      </c>
      <c r="AZ912" s="8">
        <v>784942</v>
      </c>
      <c r="BA912" s="8">
        <f t="shared" si="472"/>
        <v>-8783</v>
      </c>
      <c r="BB912" s="8">
        <v>609698</v>
      </c>
      <c r="BC912" s="8">
        <f t="shared" si="473"/>
        <v>-18266</v>
      </c>
      <c r="BD912" s="8">
        <v>175244</v>
      </c>
      <c r="BE912" s="8">
        <f t="shared" si="474"/>
        <v>9483</v>
      </c>
      <c r="BF912" s="8">
        <v>528694</v>
      </c>
      <c r="BG912" s="8">
        <f t="shared" si="475"/>
        <v>-9115</v>
      </c>
      <c r="BH912" s="8">
        <v>552758</v>
      </c>
      <c r="BI912" s="8">
        <f t="shared" si="476"/>
        <v>-19224</v>
      </c>
      <c r="BJ912" s="8">
        <v>-24064</v>
      </c>
      <c r="BK912" s="8">
        <f t="shared" si="450"/>
        <v>10109</v>
      </c>
    </row>
    <row r="913" spans="1:63">
      <c r="A913" s="5">
        <f t="shared" si="477"/>
        <v>45258</v>
      </c>
      <c r="B913" s="8">
        <v>511262</v>
      </c>
      <c r="C913" s="8">
        <f t="shared" si="456"/>
        <v>-53904</v>
      </c>
      <c r="D913" s="8">
        <v>59221</v>
      </c>
      <c r="E913" s="8">
        <f t="shared" si="457"/>
        <v>-3656</v>
      </c>
      <c r="F913" s="8">
        <v>63941</v>
      </c>
      <c r="G913" s="8">
        <f t="shared" si="458"/>
        <v>-1767</v>
      </c>
      <c r="H913" s="8">
        <v>-4720</v>
      </c>
      <c r="I913" s="8">
        <f t="shared" si="459"/>
        <v>-1889</v>
      </c>
      <c r="J913" s="8">
        <v>239850</v>
      </c>
      <c r="K913" s="8">
        <f t="shared" si="460"/>
        <v>-24079</v>
      </c>
      <c r="L913" s="8">
        <v>257792</v>
      </c>
      <c r="M913" s="8">
        <f t="shared" si="461"/>
        <v>-28251</v>
      </c>
      <c r="N913" s="8">
        <v>-17942</v>
      </c>
      <c r="O913" s="8">
        <f t="shared" si="462"/>
        <v>4172</v>
      </c>
      <c r="P913" s="8">
        <v>123706</v>
      </c>
      <c r="Q913" s="8">
        <f t="shared" si="463"/>
        <v>-17798</v>
      </c>
      <c r="R913" s="8">
        <v>242986</v>
      </c>
      <c r="S913" s="8">
        <f t="shared" si="464"/>
        <v>-23335</v>
      </c>
      <c r="T913" s="8">
        <v>-119280</v>
      </c>
      <c r="U913" s="8">
        <f t="shared" si="465"/>
        <v>5537</v>
      </c>
      <c r="W913" s="8">
        <v>617529</v>
      </c>
      <c r="X913" s="8">
        <f t="shared" si="466"/>
        <v>-53510</v>
      </c>
      <c r="Y913" s="8">
        <v>148626</v>
      </c>
      <c r="Z913" s="8">
        <f t="shared" si="467"/>
        <v>1646</v>
      </c>
      <c r="AA913" s="8">
        <v>12828</v>
      </c>
      <c r="AB913" s="8">
        <f t="shared" si="448"/>
        <v>3651</v>
      </c>
      <c r="AC913" s="8">
        <v>135798</v>
      </c>
      <c r="AD913" s="8">
        <f t="shared" si="449"/>
        <v>-2005</v>
      </c>
      <c r="AE913" s="8">
        <v>198824</v>
      </c>
      <c r="AF913" s="8">
        <f t="shared" si="451"/>
        <v>-19341</v>
      </c>
      <c r="AG913" s="8">
        <v>358484</v>
      </c>
      <c r="AH913" s="8">
        <f t="shared" si="452"/>
        <v>-20505</v>
      </c>
      <c r="AI913" s="8">
        <v>-159660</v>
      </c>
      <c r="AJ913" s="8">
        <f t="shared" si="453"/>
        <v>1164</v>
      </c>
      <c r="AK913" s="8">
        <v>107405</v>
      </c>
      <c r="AL913" s="8">
        <f t="shared" si="454"/>
        <v>-13588</v>
      </c>
      <c r="AM913" s="8">
        <v>347531</v>
      </c>
      <c r="AN913" s="8">
        <f t="shared" si="455"/>
        <v>-17216</v>
      </c>
      <c r="AO913" s="8">
        <v>-240126</v>
      </c>
      <c r="AP913" s="8">
        <f t="shared" si="468"/>
        <v>3628</v>
      </c>
      <c r="AR913" s="8">
        <v>1524237</v>
      </c>
      <c r="AS913" s="8">
        <f t="shared" si="469"/>
        <v>-285178</v>
      </c>
      <c r="AT913" s="8">
        <v>156059</v>
      </c>
      <c r="AU913" s="8">
        <f t="shared" si="470"/>
        <v>3638</v>
      </c>
      <c r="AV913" s="8">
        <v>362537</v>
      </c>
      <c r="AW913" s="8">
        <f t="shared" si="471"/>
        <v>24614</v>
      </c>
      <c r="AX913" s="8">
        <v>-206478</v>
      </c>
      <c r="AY913" s="8">
        <f t="shared" si="447"/>
        <v>-20976</v>
      </c>
      <c r="AZ913" s="8">
        <v>677812</v>
      </c>
      <c r="BA913" s="8">
        <f t="shared" si="472"/>
        <v>-107130</v>
      </c>
      <c r="BB913" s="8">
        <v>485013</v>
      </c>
      <c r="BC913" s="8">
        <f t="shared" si="473"/>
        <v>-124685</v>
      </c>
      <c r="BD913" s="8">
        <v>192799</v>
      </c>
      <c r="BE913" s="8">
        <f t="shared" si="474"/>
        <v>17555</v>
      </c>
      <c r="BF913" s="8">
        <v>459641</v>
      </c>
      <c r="BG913" s="8">
        <f t="shared" si="475"/>
        <v>-69053</v>
      </c>
      <c r="BH913" s="8">
        <v>459464</v>
      </c>
      <c r="BI913" s="8">
        <f t="shared" si="476"/>
        <v>-93294</v>
      </c>
      <c r="BJ913" s="8">
        <v>177</v>
      </c>
      <c r="BK913" s="8">
        <f t="shared" si="450"/>
        <v>24241</v>
      </c>
    </row>
    <row r="914" spans="1:63">
      <c r="A914" s="5">
        <f t="shared" si="477"/>
        <v>45265</v>
      </c>
      <c r="B914" s="8">
        <v>510073</v>
      </c>
      <c r="C914" s="8">
        <f t="shared" si="456"/>
        <v>-1189</v>
      </c>
      <c r="D914" s="8">
        <v>52061</v>
      </c>
      <c r="E914" s="8">
        <f t="shared" si="457"/>
        <v>-7160</v>
      </c>
      <c r="F914" s="8">
        <v>69963</v>
      </c>
      <c r="G914" s="8">
        <f t="shared" si="458"/>
        <v>6022</v>
      </c>
      <c r="H914" s="8">
        <v>-17902</v>
      </c>
      <c r="I914" s="8">
        <f t="shared" si="459"/>
        <v>-13182</v>
      </c>
      <c r="J914" s="8">
        <v>245166</v>
      </c>
      <c r="K914" s="8">
        <f t="shared" si="460"/>
        <v>5316</v>
      </c>
      <c r="L914" s="8">
        <v>248182</v>
      </c>
      <c r="M914" s="8">
        <f t="shared" si="461"/>
        <v>-9610</v>
      </c>
      <c r="N914" s="8">
        <v>-3016</v>
      </c>
      <c r="O914" s="8">
        <f t="shared" si="462"/>
        <v>14926</v>
      </c>
      <c r="P914" s="8">
        <v>125242</v>
      </c>
      <c r="Q914" s="8">
        <f t="shared" si="463"/>
        <v>1536</v>
      </c>
      <c r="R914" s="8">
        <v>232013</v>
      </c>
      <c r="S914" s="8">
        <f t="shared" si="464"/>
        <v>-10973</v>
      </c>
      <c r="T914" s="8">
        <v>-106771</v>
      </c>
      <c r="U914" s="8">
        <f t="shared" si="465"/>
        <v>12509</v>
      </c>
      <c r="W914" s="8">
        <v>594283</v>
      </c>
      <c r="X914" s="8">
        <f t="shared" si="466"/>
        <v>-23246</v>
      </c>
      <c r="Y914" s="8">
        <v>135435</v>
      </c>
      <c r="Z914" s="8">
        <f t="shared" si="467"/>
        <v>-13191</v>
      </c>
      <c r="AA914" s="8">
        <v>17253</v>
      </c>
      <c r="AB914" s="8">
        <f t="shared" si="448"/>
        <v>4425</v>
      </c>
      <c r="AC914" s="8">
        <v>118182</v>
      </c>
      <c r="AD914" s="8">
        <f t="shared" si="449"/>
        <v>-17616</v>
      </c>
      <c r="AE914" s="8">
        <v>203464</v>
      </c>
      <c r="AF914" s="8">
        <f t="shared" si="451"/>
        <v>4640</v>
      </c>
      <c r="AG914" s="8">
        <v>347710</v>
      </c>
      <c r="AH914" s="8">
        <f t="shared" si="452"/>
        <v>-10774</v>
      </c>
      <c r="AI914" s="8">
        <v>-144246</v>
      </c>
      <c r="AJ914" s="8">
        <f t="shared" si="453"/>
        <v>15414</v>
      </c>
      <c r="AK914" s="8">
        <v>107595</v>
      </c>
      <c r="AL914" s="8">
        <f t="shared" si="454"/>
        <v>190</v>
      </c>
      <c r="AM914" s="8">
        <v>334169</v>
      </c>
      <c r="AN914" s="8">
        <f t="shared" si="455"/>
        <v>-13362</v>
      </c>
      <c r="AO914" s="8">
        <v>-226574</v>
      </c>
      <c r="AP914" s="8">
        <f t="shared" si="468"/>
        <v>13552</v>
      </c>
      <c r="AR914" s="8">
        <v>1505781</v>
      </c>
      <c r="AS914" s="8">
        <f t="shared" si="469"/>
        <v>-18456</v>
      </c>
      <c r="AT914" s="8">
        <v>175928</v>
      </c>
      <c r="AU914" s="8">
        <f t="shared" si="470"/>
        <v>19869</v>
      </c>
      <c r="AV914" s="8">
        <v>336461</v>
      </c>
      <c r="AW914" s="8">
        <f t="shared" si="471"/>
        <v>-26076</v>
      </c>
      <c r="AX914" s="8">
        <v>-160533</v>
      </c>
      <c r="AY914" s="8">
        <f t="shared" si="447"/>
        <v>45945</v>
      </c>
      <c r="AZ914" s="8">
        <v>650663</v>
      </c>
      <c r="BA914" s="8">
        <f t="shared" si="472"/>
        <v>-27149</v>
      </c>
      <c r="BB914" s="8">
        <v>495442</v>
      </c>
      <c r="BC914" s="8">
        <f t="shared" si="473"/>
        <v>10429</v>
      </c>
      <c r="BD914" s="8">
        <v>155221</v>
      </c>
      <c r="BE914" s="8">
        <f t="shared" si="474"/>
        <v>-37578</v>
      </c>
      <c r="BF914" s="8">
        <v>425990</v>
      </c>
      <c r="BG914" s="8">
        <f t="shared" si="475"/>
        <v>-33651</v>
      </c>
      <c r="BH914" s="8">
        <v>465744</v>
      </c>
      <c r="BI914" s="8">
        <f t="shared" si="476"/>
        <v>6280</v>
      </c>
      <c r="BJ914" s="8">
        <v>-39754</v>
      </c>
      <c r="BK914" s="8">
        <f t="shared" si="450"/>
        <v>-39931</v>
      </c>
    </row>
    <row r="915" spans="1:63">
      <c r="A915" s="5">
        <f t="shared" si="477"/>
        <v>45272</v>
      </c>
      <c r="B915" s="8">
        <v>496970</v>
      </c>
      <c r="C915" s="8">
        <f t="shared" si="456"/>
        <v>-13103</v>
      </c>
      <c r="D915" s="8">
        <v>48102</v>
      </c>
      <c r="E915" s="8">
        <f t="shared" si="457"/>
        <v>-3959</v>
      </c>
      <c r="F915" s="8">
        <v>70686</v>
      </c>
      <c r="G915" s="8">
        <f t="shared" si="458"/>
        <v>723</v>
      </c>
      <c r="H915" s="8">
        <v>-22584</v>
      </c>
      <c r="I915" s="8">
        <f t="shared" si="459"/>
        <v>-4682</v>
      </c>
      <c r="J915" s="8">
        <v>242241</v>
      </c>
      <c r="K915" s="8">
        <f t="shared" si="460"/>
        <v>-2925</v>
      </c>
      <c r="L915" s="8">
        <v>239608</v>
      </c>
      <c r="M915" s="8">
        <f t="shared" si="461"/>
        <v>-8574</v>
      </c>
      <c r="N915" s="8">
        <v>2633</v>
      </c>
      <c r="O915" s="8">
        <f t="shared" si="462"/>
        <v>5649</v>
      </c>
      <c r="P915" s="8">
        <v>128463</v>
      </c>
      <c r="Q915" s="8">
        <f t="shared" si="463"/>
        <v>3221</v>
      </c>
      <c r="R915" s="8">
        <v>225680</v>
      </c>
      <c r="S915" s="8">
        <f t="shared" si="464"/>
        <v>-6333</v>
      </c>
      <c r="T915" s="8">
        <v>-97217</v>
      </c>
      <c r="U915" s="8">
        <f t="shared" si="465"/>
        <v>9554</v>
      </c>
      <c r="W915" s="8">
        <v>565774</v>
      </c>
      <c r="X915" s="8">
        <f t="shared" si="466"/>
        <v>-28509</v>
      </c>
      <c r="Y915" s="8">
        <v>112850</v>
      </c>
      <c r="Z915" s="8">
        <f t="shared" si="467"/>
        <v>-22585</v>
      </c>
      <c r="AA915" s="8">
        <v>20130</v>
      </c>
      <c r="AB915" s="8">
        <f t="shared" si="448"/>
        <v>2877</v>
      </c>
      <c r="AC915" s="8">
        <v>92720</v>
      </c>
      <c r="AD915" s="8">
        <f t="shared" si="449"/>
        <v>-25462</v>
      </c>
      <c r="AE915" s="8">
        <v>205065</v>
      </c>
      <c r="AF915" s="8">
        <f t="shared" si="451"/>
        <v>1601</v>
      </c>
      <c r="AG915" s="8">
        <v>320562</v>
      </c>
      <c r="AH915" s="8">
        <f t="shared" si="452"/>
        <v>-27148</v>
      </c>
      <c r="AI915" s="8">
        <v>-115497</v>
      </c>
      <c r="AJ915" s="8">
        <f t="shared" si="453"/>
        <v>28749</v>
      </c>
      <c r="AK915" s="8">
        <v>113574</v>
      </c>
      <c r="AL915" s="8">
        <f t="shared" si="454"/>
        <v>5979</v>
      </c>
      <c r="AM915" s="8">
        <v>309804</v>
      </c>
      <c r="AN915" s="8">
        <f t="shared" si="455"/>
        <v>-24365</v>
      </c>
      <c r="AO915" s="8">
        <v>-196230</v>
      </c>
      <c r="AP915" s="8">
        <f t="shared" si="468"/>
        <v>30344</v>
      </c>
      <c r="AR915" s="8">
        <v>1504457</v>
      </c>
      <c r="AS915" s="8">
        <f t="shared" si="469"/>
        <v>-1324</v>
      </c>
      <c r="AT915" s="8">
        <v>173618</v>
      </c>
      <c r="AU915" s="8">
        <f t="shared" si="470"/>
        <v>-2310</v>
      </c>
      <c r="AV915" s="8">
        <v>325188</v>
      </c>
      <c r="AW915" s="8">
        <f t="shared" si="471"/>
        <v>-11273</v>
      </c>
      <c r="AX915" s="8">
        <v>-151570</v>
      </c>
      <c r="AY915" s="8">
        <f t="shared" si="447"/>
        <v>8963</v>
      </c>
      <c r="AZ915" s="8">
        <v>649118</v>
      </c>
      <c r="BA915" s="8">
        <f t="shared" si="472"/>
        <v>-1545</v>
      </c>
      <c r="BB915" s="8">
        <v>499912</v>
      </c>
      <c r="BC915" s="8">
        <f t="shared" si="473"/>
        <v>4470</v>
      </c>
      <c r="BD915" s="8">
        <v>149206</v>
      </c>
      <c r="BE915" s="8">
        <f t="shared" si="474"/>
        <v>-6015</v>
      </c>
      <c r="BF915" s="8">
        <v>422821</v>
      </c>
      <c r="BG915" s="8">
        <f t="shared" si="475"/>
        <v>-3169</v>
      </c>
      <c r="BH915" s="8">
        <v>468476</v>
      </c>
      <c r="BI915" s="8">
        <f t="shared" si="476"/>
        <v>2732</v>
      </c>
      <c r="BJ915" s="8">
        <v>-45655</v>
      </c>
      <c r="BK915" s="8">
        <f t="shared" si="450"/>
        <v>-5901</v>
      </c>
    </row>
    <row r="916" spans="1:63">
      <c r="A916" s="5">
        <f t="shared" si="477"/>
        <v>45279</v>
      </c>
      <c r="B916" s="8">
        <v>507402</v>
      </c>
      <c r="C916" s="8">
        <f t="shared" si="456"/>
        <v>10432</v>
      </c>
      <c r="D916" s="8">
        <v>44589</v>
      </c>
      <c r="E916" s="8">
        <f t="shared" si="457"/>
        <v>-3513</v>
      </c>
      <c r="F916" s="8">
        <v>76524</v>
      </c>
      <c r="G916" s="8">
        <f t="shared" si="458"/>
        <v>5838</v>
      </c>
      <c r="H916" s="8">
        <v>-31935</v>
      </c>
      <c r="I916" s="8">
        <f t="shared" si="459"/>
        <v>-9351</v>
      </c>
      <c r="J916" s="8">
        <v>254011</v>
      </c>
      <c r="K916" s="8">
        <f t="shared" si="460"/>
        <v>11770</v>
      </c>
      <c r="L916" s="8">
        <v>242975</v>
      </c>
      <c r="M916" s="8">
        <f t="shared" si="461"/>
        <v>3367</v>
      </c>
      <c r="N916" s="8">
        <v>11036</v>
      </c>
      <c r="O916" s="8">
        <f t="shared" si="462"/>
        <v>8403</v>
      </c>
      <c r="P916" s="8">
        <v>137747</v>
      </c>
      <c r="Q916" s="8">
        <f t="shared" si="463"/>
        <v>9284</v>
      </c>
      <c r="R916" s="8">
        <v>226455</v>
      </c>
      <c r="S916" s="8">
        <f t="shared" si="464"/>
        <v>775</v>
      </c>
      <c r="T916" s="8">
        <v>-88708</v>
      </c>
      <c r="U916" s="8">
        <f t="shared" si="465"/>
        <v>8509</v>
      </c>
      <c r="W916" s="8">
        <v>564236</v>
      </c>
      <c r="X916" s="8">
        <f t="shared" si="466"/>
        <v>-1538</v>
      </c>
      <c r="Y916" s="8">
        <v>101375</v>
      </c>
      <c r="Z916" s="8">
        <f t="shared" si="467"/>
        <v>-11475</v>
      </c>
      <c r="AA916" s="8">
        <v>26519</v>
      </c>
      <c r="AB916" s="8">
        <f t="shared" si="448"/>
        <v>6389</v>
      </c>
      <c r="AC916" s="8">
        <v>74856</v>
      </c>
      <c r="AD916" s="8">
        <f t="shared" si="449"/>
        <v>-17864</v>
      </c>
      <c r="AE916" s="8">
        <v>207479</v>
      </c>
      <c r="AF916" s="8">
        <f t="shared" si="451"/>
        <v>2414</v>
      </c>
      <c r="AG916" s="8">
        <v>296766</v>
      </c>
      <c r="AH916" s="8">
        <f t="shared" si="452"/>
        <v>-23796</v>
      </c>
      <c r="AI916" s="8">
        <v>-89287</v>
      </c>
      <c r="AJ916" s="8">
        <f t="shared" si="453"/>
        <v>26210</v>
      </c>
      <c r="AK916" s="8">
        <v>114647</v>
      </c>
      <c r="AL916" s="8">
        <f t="shared" si="454"/>
        <v>1073</v>
      </c>
      <c r="AM916" s="8">
        <v>286706</v>
      </c>
      <c r="AN916" s="8">
        <f t="shared" si="455"/>
        <v>-23098</v>
      </c>
      <c r="AO916" s="8">
        <v>-172059</v>
      </c>
      <c r="AP916" s="8">
        <f t="shared" si="468"/>
        <v>24171</v>
      </c>
      <c r="AR916" s="8">
        <v>1541649</v>
      </c>
      <c r="AS916" s="8">
        <f t="shared" si="469"/>
        <v>37192</v>
      </c>
      <c r="AT916" s="8">
        <v>170664</v>
      </c>
      <c r="AU916" s="8">
        <f t="shared" si="470"/>
        <v>-2954</v>
      </c>
      <c r="AV916" s="8">
        <v>351388</v>
      </c>
      <c r="AW916" s="8">
        <f t="shared" si="471"/>
        <v>26200</v>
      </c>
      <c r="AX916" s="8">
        <v>-180724</v>
      </c>
      <c r="AY916" s="8">
        <f t="shared" si="447"/>
        <v>-29154</v>
      </c>
      <c r="AZ916" s="8">
        <v>651726</v>
      </c>
      <c r="BA916" s="8">
        <f t="shared" si="472"/>
        <v>2608</v>
      </c>
      <c r="BB916" s="8">
        <v>483568</v>
      </c>
      <c r="BC916" s="8">
        <f t="shared" si="473"/>
        <v>-16344</v>
      </c>
      <c r="BD916" s="8">
        <v>168158</v>
      </c>
      <c r="BE916" s="8">
        <f t="shared" si="474"/>
        <v>18952</v>
      </c>
      <c r="BF916" s="8">
        <v>428138</v>
      </c>
      <c r="BG916" s="8">
        <f t="shared" si="475"/>
        <v>5317</v>
      </c>
      <c r="BH916" s="8">
        <v>446781</v>
      </c>
      <c r="BI916" s="8">
        <f t="shared" si="476"/>
        <v>-21695</v>
      </c>
      <c r="BJ916" s="8">
        <v>-18643</v>
      </c>
      <c r="BK916" s="8">
        <f t="shared" si="450"/>
        <v>27012</v>
      </c>
    </row>
    <row r="917" spans="1:63">
      <c r="A917" s="5">
        <f t="shared" si="477"/>
        <v>45286</v>
      </c>
      <c r="B917" s="8">
        <v>504227</v>
      </c>
      <c r="C917" s="8">
        <f t="shared" si="456"/>
        <v>-3175</v>
      </c>
      <c r="D917" s="8">
        <v>41818</v>
      </c>
      <c r="E917" s="8">
        <f t="shared" si="457"/>
        <v>-2771</v>
      </c>
      <c r="F917" s="8">
        <v>91471</v>
      </c>
      <c r="G917" s="8">
        <f t="shared" si="458"/>
        <v>14947</v>
      </c>
      <c r="H917" s="8">
        <v>-49653</v>
      </c>
      <c r="I917" s="8">
        <f t="shared" si="459"/>
        <v>-17718</v>
      </c>
      <c r="J917" s="8">
        <v>258021</v>
      </c>
      <c r="K917" s="8">
        <f t="shared" si="460"/>
        <v>4010</v>
      </c>
      <c r="L917" s="8">
        <v>227760</v>
      </c>
      <c r="M917" s="8">
        <f t="shared" si="461"/>
        <v>-15215</v>
      </c>
      <c r="N917" s="8">
        <v>30261</v>
      </c>
      <c r="O917" s="8">
        <f t="shared" si="462"/>
        <v>19225</v>
      </c>
      <c r="P917" s="8">
        <v>143694</v>
      </c>
      <c r="Q917" s="8">
        <f t="shared" si="463"/>
        <v>5947</v>
      </c>
      <c r="R917" s="8">
        <v>210851</v>
      </c>
      <c r="S917" s="8">
        <f t="shared" si="464"/>
        <v>-15604</v>
      </c>
      <c r="T917" s="8">
        <v>-67157</v>
      </c>
      <c r="U917" s="8">
        <f t="shared" si="465"/>
        <v>21551</v>
      </c>
      <c r="W917" s="8">
        <v>508260</v>
      </c>
      <c r="X917" s="8">
        <f t="shared" si="466"/>
        <v>-55976</v>
      </c>
      <c r="Y917" s="8">
        <v>91616</v>
      </c>
      <c r="Z917" s="8">
        <f t="shared" si="467"/>
        <v>-9759</v>
      </c>
      <c r="AA917" s="8">
        <v>32383</v>
      </c>
      <c r="AB917" s="8">
        <f t="shared" si="448"/>
        <v>5864</v>
      </c>
      <c r="AC917" s="8">
        <v>59233</v>
      </c>
      <c r="AD917" s="8">
        <f t="shared" si="449"/>
        <v>-15623</v>
      </c>
      <c r="AE917" s="8">
        <v>201161</v>
      </c>
      <c r="AF917" s="8">
        <f t="shared" si="451"/>
        <v>-6318</v>
      </c>
      <c r="AG917" s="8">
        <v>264106</v>
      </c>
      <c r="AH917" s="8">
        <f t="shared" si="452"/>
        <v>-32660</v>
      </c>
      <c r="AI917" s="8">
        <v>-62945</v>
      </c>
      <c r="AJ917" s="8">
        <f t="shared" si="453"/>
        <v>26342</v>
      </c>
      <c r="AK917" s="8">
        <v>109704</v>
      </c>
      <c r="AL917" s="8">
        <f t="shared" si="454"/>
        <v>-4943</v>
      </c>
      <c r="AM917" s="8">
        <v>254142</v>
      </c>
      <c r="AN917" s="8">
        <f t="shared" si="455"/>
        <v>-32564</v>
      </c>
      <c r="AO917" s="8">
        <v>-144438</v>
      </c>
      <c r="AP917" s="8">
        <f t="shared" si="468"/>
        <v>27621</v>
      </c>
      <c r="AR917" s="8">
        <v>1533323</v>
      </c>
      <c r="AS917" s="8">
        <f t="shared" si="469"/>
        <v>-8326</v>
      </c>
      <c r="AT917" s="8">
        <v>173080</v>
      </c>
      <c r="AU917" s="8">
        <f t="shared" si="470"/>
        <v>2416</v>
      </c>
      <c r="AV917" s="8">
        <v>350706</v>
      </c>
      <c r="AW917" s="8">
        <f t="shared" si="471"/>
        <v>-682</v>
      </c>
      <c r="AX917" s="8">
        <v>-177626</v>
      </c>
      <c r="AY917" s="8">
        <f t="shared" si="447"/>
        <v>3098</v>
      </c>
      <c r="AZ917" s="8">
        <v>654492</v>
      </c>
      <c r="BA917" s="8">
        <f t="shared" si="472"/>
        <v>2766</v>
      </c>
      <c r="BB917" s="8">
        <v>486421</v>
      </c>
      <c r="BC917" s="8">
        <f t="shared" si="473"/>
        <v>2853</v>
      </c>
      <c r="BD917" s="8">
        <v>168071</v>
      </c>
      <c r="BE917" s="8">
        <f t="shared" si="474"/>
        <v>-87</v>
      </c>
      <c r="BF917" s="8">
        <v>429062</v>
      </c>
      <c r="BG917" s="8">
        <f t="shared" si="475"/>
        <v>924</v>
      </c>
      <c r="BH917" s="8">
        <v>448498</v>
      </c>
      <c r="BI917" s="8">
        <f t="shared" si="476"/>
        <v>1717</v>
      </c>
      <c r="BJ917" s="8">
        <v>-19436</v>
      </c>
      <c r="BK917" s="8">
        <f t="shared" si="450"/>
        <v>-793</v>
      </c>
    </row>
    <row r="918" spans="1:63">
      <c r="A918" s="5">
        <f t="shared" si="477"/>
        <v>45293</v>
      </c>
      <c r="B918" s="8">
        <v>521118</v>
      </c>
      <c r="C918" s="8">
        <f t="shared" si="456"/>
        <v>16891</v>
      </c>
      <c r="D918" s="8">
        <v>47471</v>
      </c>
      <c r="E918" s="8">
        <f t="shared" si="457"/>
        <v>5653</v>
      </c>
      <c r="F918" s="8">
        <v>98025</v>
      </c>
      <c r="G918" s="8">
        <f t="shared" si="458"/>
        <v>6554</v>
      </c>
      <c r="H918" s="8">
        <v>-50554</v>
      </c>
      <c r="I918" s="8">
        <f t="shared" si="459"/>
        <v>-901</v>
      </c>
      <c r="J918" s="8">
        <v>263882</v>
      </c>
      <c r="K918" s="8">
        <f t="shared" si="460"/>
        <v>5861</v>
      </c>
      <c r="L918" s="8">
        <v>232096</v>
      </c>
      <c r="M918" s="8">
        <f t="shared" si="461"/>
        <v>4336</v>
      </c>
      <c r="N918" s="8">
        <v>31786</v>
      </c>
      <c r="O918" s="8">
        <f t="shared" si="462"/>
        <v>1525</v>
      </c>
      <c r="P918" s="8">
        <v>148407</v>
      </c>
      <c r="Q918" s="8">
        <f t="shared" si="463"/>
        <v>4713</v>
      </c>
      <c r="R918" s="8">
        <v>212600</v>
      </c>
      <c r="S918" s="8">
        <f t="shared" si="464"/>
        <v>1749</v>
      </c>
      <c r="T918" s="8">
        <v>-64193</v>
      </c>
      <c r="U918" s="8">
        <f t="shared" si="465"/>
        <v>2964</v>
      </c>
      <c r="W918" s="8">
        <v>489873</v>
      </c>
      <c r="X918" s="8">
        <f t="shared" si="466"/>
        <v>-18387</v>
      </c>
      <c r="Y918" s="8">
        <v>87277</v>
      </c>
      <c r="Z918" s="8">
        <f t="shared" si="467"/>
        <v>-4339</v>
      </c>
      <c r="AA918" s="8">
        <v>44238</v>
      </c>
      <c r="AB918" s="8">
        <f t="shared" si="448"/>
        <v>11855</v>
      </c>
      <c r="AC918" s="8">
        <v>43039</v>
      </c>
      <c r="AD918" s="8">
        <f t="shared" si="449"/>
        <v>-16194</v>
      </c>
      <c r="AE918" s="8">
        <v>207775</v>
      </c>
      <c r="AF918" s="8">
        <f t="shared" si="451"/>
        <v>6614</v>
      </c>
      <c r="AG918" s="8">
        <v>251538</v>
      </c>
      <c r="AH918" s="8">
        <f t="shared" si="452"/>
        <v>-12568</v>
      </c>
      <c r="AI918" s="8">
        <v>-43763</v>
      </c>
      <c r="AJ918" s="8">
        <f t="shared" si="453"/>
        <v>19182</v>
      </c>
      <c r="AK918" s="8">
        <v>113029</v>
      </c>
      <c r="AL918" s="8">
        <f t="shared" si="454"/>
        <v>3325</v>
      </c>
      <c r="AM918" s="8">
        <v>240994</v>
      </c>
      <c r="AN918" s="8">
        <f t="shared" si="455"/>
        <v>-13148</v>
      </c>
      <c r="AO918" s="8">
        <v>-127965</v>
      </c>
      <c r="AP918" s="8">
        <f t="shared" si="468"/>
        <v>16473</v>
      </c>
      <c r="AR918" s="8">
        <v>1601347</v>
      </c>
      <c r="AS918" s="8">
        <f t="shared" si="469"/>
        <v>68024</v>
      </c>
      <c r="AT918" s="8">
        <v>162354</v>
      </c>
      <c r="AU918" s="8">
        <f t="shared" si="470"/>
        <v>-10726</v>
      </c>
      <c r="AV918" s="8">
        <v>359680</v>
      </c>
      <c r="AW918" s="8">
        <f t="shared" si="471"/>
        <v>8974</v>
      </c>
      <c r="AX918" s="8">
        <v>-197326</v>
      </c>
      <c r="AY918" s="8">
        <f t="shared" si="447"/>
        <v>-19700</v>
      </c>
      <c r="AZ918" s="8">
        <v>687266</v>
      </c>
      <c r="BA918" s="8">
        <f t="shared" si="472"/>
        <v>32774</v>
      </c>
      <c r="BB918" s="8">
        <v>488870</v>
      </c>
      <c r="BC918" s="8">
        <f t="shared" si="473"/>
        <v>2449</v>
      </c>
      <c r="BD918" s="8">
        <v>198396</v>
      </c>
      <c r="BE918" s="8">
        <f t="shared" si="474"/>
        <v>30325</v>
      </c>
      <c r="BF918" s="8">
        <v>447740</v>
      </c>
      <c r="BG918" s="8">
        <f t="shared" si="475"/>
        <v>18678</v>
      </c>
      <c r="BH918" s="8">
        <v>445507</v>
      </c>
      <c r="BI918" s="8">
        <f t="shared" si="476"/>
        <v>-2991</v>
      </c>
      <c r="BJ918" s="8">
        <v>2233</v>
      </c>
      <c r="BK918" s="8">
        <f t="shared" si="450"/>
        <v>21669</v>
      </c>
    </row>
    <row r="919" spans="1:63">
      <c r="A919" s="5">
        <f t="shared" si="477"/>
        <v>45300</v>
      </c>
      <c r="B919" s="8">
        <v>542231</v>
      </c>
      <c r="C919" s="8">
        <f t="shared" si="456"/>
        <v>21113</v>
      </c>
      <c r="D919" s="8">
        <v>51476</v>
      </c>
      <c r="E919" s="8">
        <f t="shared" si="457"/>
        <v>4005</v>
      </c>
      <c r="F919" s="8">
        <v>98084</v>
      </c>
      <c r="G919" s="8">
        <f t="shared" si="458"/>
        <v>59</v>
      </c>
      <c r="H919" s="8">
        <v>-46608</v>
      </c>
      <c r="I919" s="8">
        <f t="shared" si="459"/>
        <v>3946</v>
      </c>
      <c r="J919" s="8">
        <v>268391</v>
      </c>
      <c r="K919" s="8">
        <f t="shared" si="460"/>
        <v>4509</v>
      </c>
      <c r="L919" s="8">
        <v>238361</v>
      </c>
      <c r="M919" s="8">
        <f t="shared" si="461"/>
        <v>6265</v>
      </c>
      <c r="N919" s="8">
        <v>30030</v>
      </c>
      <c r="O919" s="8">
        <f t="shared" si="462"/>
        <v>-1756</v>
      </c>
      <c r="P919" s="8">
        <v>146946</v>
      </c>
      <c r="Q919" s="8">
        <f t="shared" si="463"/>
        <v>-1461</v>
      </c>
      <c r="R919" s="8">
        <v>220950</v>
      </c>
      <c r="S919" s="8">
        <f t="shared" si="464"/>
        <v>8350</v>
      </c>
      <c r="T919" s="8">
        <v>-74004</v>
      </c>
      <c r="U919" s="8">
        <f t="shared" si="465"/>
        <v>-9811</v>
      </c>
      <c r="W919" s="8">
        <v>515526</v>
      </c>
      <c r="X919" s="8">
        <f t="shared" si="466"/>
        <v>25653</v>
      </c>
      <c r="Y919" s="8">
        <v>70519</v>
      </c>
      <c r="Z919" s="8">
        <f t="shared" si="467"/>
        <v>-16758</v>
      </c>
      <c r="AA919" s="8">
        <v>60058</v>
      </c>
      <c r="AB919" s="8">
        <f t="shared" si="448"/>
        <v>15820</v>
      </c>
      <c r="AC919" s="8">
        <v>10461</v>
      </c>
      <c r="AD919" s="8">
        <f t="shared" si="449"/>
        <v>-32578</v>
      </c>
      <c r="AE919" s="8">
        <v>233763</v>
      </c>
      <c r="AF919" s="8">
        <f t="shared" si="451"/>
        <v>25988</v>
      </c>
      <c r="AG919" s="8">
        <v>247702</v>
      </c>
      <c r="AH919" s="8">
        <f t="shared" si="452"/>
        <v>-3836</v>
      </c>
      <c r="AI919" s="8">
        <v>-13939</v>
      </c>
      <c r="AJ919" s="8">
        <f t="shared" si="453"/>
        <v>29824</v>
      </c>
      <c r="AK919" s="8">
        <v>133056</v>
      </c>
      <c r="AL919" s="8">
        <f t="shared" si="454"/>
        <v>20027</v>
      </c>
      <c r="AM919" s="8">
        <v>238877</v>
      </c>
      <c r="AN919" s="8">
        <f t="shared" si="455"/>
        <v>-2117</v>
      </c>
      <c r="AO919" s="8">
        <v>-105821</v>
      </c>
      <c r="AP919" s="8">
        <f t="shared" si="468"/>
        <v>22144</v>
      </c>
      <c r="AR919" s="8">
        <v>1713898</v>
      </c>
      <c r="AS919" s="8">
        <f t="shared" si="469"/>
        <v>112551</v>
      </c>
      <c r="AT919" s="8">
        <v>157714</v>
      </c>
      <c r="AU919" s="8">
        <f t="shared" si="470"/>
        <v>-4640</v>
      </c>
      <c r="AV919" s="8">
        <v>388437</v>
      </c>
      <c r="AW919" s="8">
        <f t="shared" si="471"/>
        <v>28757</v>
      </c>
      <c r="AX919" s="8">
        <v>-230723</v>
      </c>
      <c r="AY919" s="8">
        <f t="shared" si="447"/>
        <v>-33397</v>
      </c>
      <c r="AZ919" s="8">
        <v>731035</v>
      </c>
      <c r="BA919" s="8">
        <f t="shared" si="472"/>
        <v>43769</v>
      </c>
      <c r="BB919" s="8">
        <v>513299</v>
      </c>
      <c r="BC919" s="8">
        <f t="shared" si="473"/>
        <v>24429</v>
      </c>
      <c r="BD919" s="8">
        <v>217736</v>
      </c>
      <c r="BE919" s="8">
        <f t="shared" si="474"/>
        <v>19340</v>
      </c>
      <c r="BF919" s="8">
        <v>468351</v>
      </c>
      <c r="BG919" s="8">
        <f t="shared" si="475"/>
        <v>20611</v>
      </c>
      <c r="BH919" s="8">
        <v>468060</v>
      </c>
      <c r="BI919" s="8">
        <f t="shared" si="476"/>
        <v>22553</v>
      </c>
      <c r="BJ919" s="8">
        <v>291</v>
      </c>
      <c r="BK919" s="8">
        <f t="shared" si="450"/>
        <v>-1942</v>
      </c>
    </row>
    <row r="920" spans="1:63">
      <c r="A920" s="5">
        <f t="shared" si="477"/>
        <v>45307</v>
      </c>
      <c r="B920" s="8">
        <v>572643</v>
      </c>
      <c r="C920" s="8">
        <f t="shared" si="456"/>
        <v>30412</v>
      </c>
      <c r="D920" s="8">
        <v>55378</v>
      </c>
      <c r="E920" s="8">
        <f t="shared" si="457"/>
        <v>3902</v>
      </c>
      <c r="F920" s="8">
        <v>102389</v>
      </c>
      <c r="G920" s="8">
        <f t="shared" si="458"/>
        <v>4305</v>
      </c>
      <c r="H920" s="8">
        <v>-47011</v>
      </c>
      <c r="I920" s="8">
        <f t="shared" si="459"/>
        <v>-403</v>
      </c>
      <c r="J920" s="8">
        <v>284724</v>
      </c>
      <c r="K920" s="8">
        <f t="shared" si="460"/>
        <v>16333</v>
      </c>
      <c r="L920" s="8">
        <v>255788</v>
      </c>
      <c r="M920" s="8">
        <f t="shared" si="461"/>
        <v>17427</v>
      </c>
      <c r="N920" s="8">
        <v>28936</v>
      </c>
      <c r="O920" s="8">
        <f t="shared" si="462"/>
        <v>-1094</v>
      </c>
      <c r="P920" s="8">
        <v>152420</v>
      </c>
      <c r="Q920" s="8">
        <f t="shared" si="463"/>
        <v>5474</v>
      </c>
      <c r="R920" s="8">
        <v>236240</v>
      </c>
      <c r="S920" s="8">
        <f t="shared" si="464"/>
        <v>15290</v>
      </c>
      <c r="T920" s="8">
        <v>-83820</v>
      </c>
      <c r="U920" s="8">
        <f t="shared" si="465"/>
        <v>-9816</v>
      </c>
      <c r="W920" s="8">
        <v>547287</v>
      </c>
      <c r="X920" s="8">
        <f t="shared" si="466"/>
        <v>31761</v>
      </c>
      <c r="Y920" s="8">
        <v>63774</v>
      </c>
      <c r="Z920" s="8">
        <f t="shared" si="467"/>
        <v>-6745</v>
      </c>
      <c r="AA920" s="8">
        <v>67853</v>
      </c>
      <c r="AB920" s="8">
        <f t="shared" si="448"/>
        <v>7795</v>
      </c>
      <c r="AC920" s="8">
        <v>-4079</v>
      </c>
      <c r="AD920" s="8">
        <f t="shared" si="449"/>
        <v>-14540</v>
      </c>
      <c r="AE920" s="8">
        <v>251646</v>
      </c>
      <c r="AF920" s="8">
        <f t="shared" si="451"/>
        <v>17883</v>
      </c>
      <c r="AG920" s="8">
        <v>259791</v>
      </c>
      <c r="AH920" s="8">
        <f t="shared" si="452"/>
        <v>12089</v>
      </c>
      <c r="AI920" s="8">
        <v>-8145</v>
      </c>
      <c r="AJ920" s="8">
        <f t="shared" si="453"/>
        <v>5794</v>
      </c>
      <c r="AK920" s="8">
        <v>143107</v>
      </c>
      <c r="AL920" s="8">
        <f t="shared" si="454"/>
        <v>10051</v>
      </c>
      <c r="AM920" s="8">
        <v>250151</v>
      </c>
      <c r="AN920" s="8">
        <f t="shared" si="455"/>
        <v>11274</v>
      </c>
      <c r="AO920" s="8">
        <v>-107044</v>
      </c>
      <c r="AP920" s="8">
        <f t="shared" si="468"/>
        <v>-1223</v>
      </c>
      <c r="AR920" s="8">
        <v>1852331</v>
      </c>
      <c r="AS920" s="8">
        <f t="shared" si="469"/>
        <v>138433</v>
      </c>
      <c r="AT920" s="8">
        <v>155283</v>
      </c>
      <c r="AU920" s="8">
        <f t="shared" si="470"/>
        <v>-2431</v>
      </c>
      <c r="AV920" s="8">
        <v>415825</v>
      </c>
      <c r="AW920" s="8">
        <f t="shared" si="471"/>
        <v>27388</v>
      </c>
      <c r="AX920" s="8">
        <v>-260542</v>
      </c>
      <c r="AY920" s="8">
        <f t="shared" si="447"/>
        <v>-29819</v>
      </c>
      <c r="AZ920" s="8">
        <v>803721</v>
      </c>
      <c r="BA920" s="8">
        <f t="shared" si="472"/>
        <v>72686</v>
      </c>
      <c r="BB920" s="8">
        <v>539667</v>
      </c>
      <c r="BC920" s="8">
        <f t="shared" si="473"/>
        <v>26368</v>
      </c>
      <c r="BD920" s="8">
        <v>264054</v>
      </c>
      <c r="BE920" s="8">
        <f t="shared" si="474"/>
        <v>46318</v>
      </c>
      <c r="BF920" s="8">
        <v>513620</v>
      </c>
      <c r="BG920" s="8">
        <f t="shared" si="475"/>
        <v>45269</v>
      </c>
      <c r="BH920" s="8">
        <v>488171</v>
      </c>
      <c r="BI920" s="8">
        <f t="shared" si="476"/>
        <v>20111</v>
      </c>
      <c r="BJ920" s="8">
        <v>25449</v>
      </c>
      <c r="BK920" s="8">
        <f t="shared" si="450"/>
        <v>25158</v>
      </c>
    </row>
    <row r="921" spans="1:63">
      <c r="A921" s="5">
        <f t="shared" si="477"/>
        <v>45314</v>
      </c>
      <c r="B921" s="8">
        <v>593641</v>
      </c>
      <c r="C921" s="8">
        <f t="shared" si="456"/>
        <v>20998</v>
      </c>
      <c r="D921" s="8">
        <v>57267</v>
      </c>
      <c r="E921" s="8">
        <f t="shared" si="457"/>
        <v>1889</v>
      </c>
      <c r="F921" s="8">
        <v>101972</v>
      </c>
      <c r="G921" s="8">
        <f t="shared" si="458"/>
        <v>-417</v>
      </c>
      <c r="H921" s="8">
        <v>-44705</v>
      </c>
      <c r="I921" s="8">
        <f t="shared" si="459"/>
        <v>2306</v>
      </c>
      <c r="J921" s="8">
        <v>287369</v>
      </c>
      <c r="K921" s="8">
        <f t="shared" si="460"/>
        <v>2645</v>
      </c>
      <c r="L921" s="8">
        <v>263439</v>
      </c>
      <c r="M921" s="8">
        <f t="shared" si="461"/>
        <v>7651</v>
      </c>
      <c r="N921" s="8">
        <v>23930</v>
      </c>
      <c r="O921" s="8">
        <f t="shared" si="462"/>
        <v>-5006</v>
      </c>
      <c r="P921" s="8">
        <v>153124</v>
      </c>
      <c r="Q921" s="8">
        <f t="shared" si="463"/>
        <v>704</v>
      </c>
      <c r="R921" s="8">
        <v>241860</v>
      </c>
      <c r="S921" s="8">
        <f t="shared" si="464"/>
        <v>5620</v>
      </c>
      <c r="T921" s="8">
        <v>-88736</v>
      </c>
      <c r="U921" s="8">
        <f t="shared" si="465"/>
        <v>-4916</v>
      </c>
      <c r="W921" s="8">
        <v>566127</v>
      </c>
      <c r="X921" s="8">
        <f t="shared" si="466"/>
        <v>18840</v>
      </c>
      <c r="Y921" s="8">
        <v>55350</v>
      </c>
      <c r="Z921" s="8">
        <f t="shared" si="467"/>
        <v>-8424</v>
      </c>
      <c r="AA921" s="8">
        <v>74366</v>
      </c>
      <c r="AB921" s="8">
        <f t="shared" si="448"/>
        <v>6513</v>
      </c>
      <c r="AC921" s="8">
        <v>-19016</v>
      </c>
      <c r="AD921" s="8">
        <f t="shared" si="449"/>
        <v>-14937</v>
      </c>
      <c r="AE921" s="8">
        <v>267820</v>
      </c>
      <c r="AF921" s="8">
        <f t="shared" si="451"/>
        <v>16174</v>
      </c>
      <c r="AG921" s="8">
        <v>261140</v>
      </c>
      <c r="AH921" s="8">
        <f t="shared" si="452"/>
        <v>1349</v>
      </c>
      <c r="AI921" s="8">
        <v>6680</v>
      </c>
      <c r="AJ921" s="8">
        <f t="shared" si="453"/>
        <v>14825</v>
      </c>
      <c r="AK921" s="8">
        <v>155321</v>
      </c>
      <c r="AL921" s="8">
        <f t="shared" si="454"/>
        <v>12214</v>
      </c>
      <c r="AM921" s="8">
        <v>251915</v>
      </c>
      <c r="AN921" s="8">
        <f t="shared" si="455"/>
        <v>1764</v>
      </c>
      <c r="AO921" s="8">
        <v>-96594</v>
      </c>
      <c r="AP921" s="8">
        <f t="shared" si="468"/>
        <v>10450</v>
      </c>
      <c r="AR921" s="8">
        <v>1958230</v>
      </c>
      <c r="AS921" s="8">
        <f t="shared" si="469"/>
        <v>105899</v>
      </c>
      <c r="AT921" s="8">
        <v>158243</v>
      </c>
      <c r="AU921" s="8">
        <f t="shared" si="470"/>
        <v>2960</v>
      </c>
      <c r="AV921" s="8">
        <v>423528</v>
      </c>
      <c r="AW921" s="8">
        <f t="shared" si="471"/>
        <v>7703</v>
      </c>
      <c r="AX921" s="8">
        <v>-265285</v>
      </c>
      <c r="AY921" s="8">
        <f t="shared" si="447"/>
        <v>-4743</v>
      </c>
      <c r="AZ921" s="8">
        <v>843132</v>
      </c>
      <c r="BA921" s="8">
        <f t="shared" si="472"/>
        <v>39411</v>
      </c>
      <c r="BB921" s="8">
        <v>580195</v>
      </c>
      <c r="BC921" s="8">
        <f t="shared" si="473"/>
        <v>40528</v>
      </c>
      <c r="BD921" s="8">
        <v>262937</v>
      </c>
      <c r="BE921" s="8">
        <f t="shared" si="474"/>
        <v>-1117</v>
      </c>
      <c r="BF921" s="8">
        <v>542893</v>
      </c>
      <c r="BG921" s="8">
        <f t="shared" si="475"/>
        <v>29273</v>
      </c>
      <c r="BH921" s="8">
        <v>516839</v>
      </c>
      <c r="BI921" s="8">
        <f t="shared" si="476"/>
        <v>28668</v>
      </c>
      <c r="BJ921" s="8">
        <v>26054</v>
      </c>
      <c r="BK921" s="8">
        <f t="shared" si="450"/>
        <v>605</v>
      </c>
    </row>
    <row r="922" spans="1:63">
      <c r="A922" s="5">
        <f t="shared" si="477"/>
        <v>45321</v>
      </c>
      <c r="B922" s="8">
        <v>612939</v>
      </c>
      <c r="C922" s="8">
        <f t="shared" si="456"/>
        <v>19298</v>
      </c>
      <c r="D922" s="8">
        <v>58257</v>
      </c>
      <c r="E922" s="8">
        <f t="shared" si="457"/>
        <v>990</v>
      </c>
      <c r="F922" s="8">
        <v>112675</v>
      </c>
      <c r="G922" s="8">
        <f t="shared" si="458"/>
        <v>10703</v>
      </c>
      <c r="H922" s="8">
        <v>-54418</v>
      </c>
      <c r="I922" s="8">
        <f t="shared" si="459"/>
        <v>-9713</v>
      </c>
      <c r="J922" s="8">
        <v>300042</v>
      </c>
      <c r="K922" s="8">
        <f t="shared" si="460"/>
        <v>12673</v>
      </c>
      <c r="L922" s="8">
        <v>263145</v>
      </c>
      <c r="M922" s="8">
        <f t="shared" si="461"/>
        <v>-294</v>
      </c>
      <c r="N922" s="8">
        <v>36897</v>
      </c>
      <c r="O922" s="8">
        <f t="shared" si="462"/>
        <v>12967</v>
      </c>
      <c r="P922" s="8">
        <v>163481</v>
      </c>
      <c r="Q922" s="8">
        <f t="shared" si="463"/>
        <v>10357</v>
      </c>
      <c r="R922" s="8">
        <v>239851</v>
      </c>
      <c r="S922" s="8">
        <f t="shared" si="464"/>
        <v>-2009</v>
      </c>
      <c r="T922" s="8">
        <v>-76370</v>
      </c>
      <c r="U922" s="8">
        <f t="shared" si="465"/>
        <v>12366</v>
      </c>
      <c r="W922" s="8">
        <v>563983</v>
      </c>
      <c r="X922" s="8">
        <f t="shared" si="466"/>
        <v>-2144</v>
      </c>
      <c r="Y922" s="8">
        <v>51924</v>
      </c>
      <c r="Z922" s="8">
        <f t="shared" si="467"/>
        <v>-3426</v>
      </c>
      <c r="AA922" s="8">
        <v>73992</v>
      </c>
      <c r="AB922" s="8">
        <f t="shared" si="448"/>
        <v>-374</v>
      </c>
      <c r="AC922" s="8">
        <v>-22068</v>
      </c>
      <c r="AD922" s="8">
        <f t="shared" si="449"/>
        <v>-3052</v>
      </c>
      <c r="AE922" s="8">
        <v>271861</v>
      </c>
      <c r="AF922" s="8">
        <f t="shared" si="451"/>
        <v>4041</v>
      </c>
      <c r="AG922" s="8">
        <v>255793</v>
      </c>
      <c r="AH922" s="8">
        <f t="shared" si="452"/>
        <v>-5347</v>
      </c>
      <c r="AI922" s="8">
        <v>16068</v>
      </c>
      <c r="AJ922" s="8">
        <f t="shared" si="453"/>
        <v>9388</v>
      </c>
      <c r="AK922" s="8">
        <v>157655</v>
      </c>
      <c r="AL922" s="8">
        <f t="shared" si="454"/>
        <v>2334</v>
      </c>
      <c r="AM922" s="8">
        <v>245164</v>
      </c>
      <c r="AN922" s="8">
        <f t="shared" si="455"/>
        <v>-6751</v>
      </c>
      <c r="AO922" s="8">
        <v>-87509</v>
      </c>
      <c r="AP922" s="8">
        <f t="shared" si="468"/>
        <v>9085</v>
      </c>
      <c r="AR922" s="8">
        <v>1963831</v>
      </c>
      <c r="AS922" s="8">
        <f t="shared" si="469"/>
        <v>5601</v>
      </c>
      <c r="AT922" s="8">
        <v>162210</v>
      </c>
      <c r="AU922" s="8">
        <f t="shared" si="470"/>
        <v>3967</v>
      </c>
      <c r="AV922" s="8">
        <v>442361</v>
      </c>
      <c r="AW922" s="8">
        <f t="shared" si="471"/>
        <v>18833</v>
      </c>
      <c r="AX922" s="8">
        <v>-280151</v>
      </c>
      <c r="AY922" s="8">
        <f t="shared" si="447"/>
        <v>-14866</v>
      </c>
      <c r="AZ922" s="8">
        <v>839137</v>
      </c>
      <c r="BA922" s="8">
        <f t="shared" si="472"/>
        <v>-3995</v>
      </c>
      <c r="BB922" s="8">
        <v>571441</v>
      </c>
      <c r="BC922" s="8">
        <f t="shared" si="473"/>
        <v>-8754</v>
      </c>
      <c r="BD922" s="8">
        <v>267696</v>
      </c>
      <c r="BE922" s="8">
        <f t="shared" si="474"/>
        <v>4759</v>
      </c>
      <c r="BF922" s="8">
        <v>525830</v>
      </c>
      <c r="BG922" s="8">
        <f t="shared" si="475"/>
        <v>-17063</v>
      </c>
      <c r="BH922" s="8">
        <v>507830</v>
      </c>
      <c r="BI922" s="8">
        <f t="shared" si="476"/>
        <v>-9009</v>
      </c>
      <c r="BJ922" s="8">
        <v>18000</v>
      </c>
      <c r="BK922" s="8">
        <f t="shared" si="450"/>
        <v>-8054</v>
      </c>
    </row>
    <row r="923" spans="1:63">
      <c r="A923" s="5">
        <f t="shared" si="477"/>
        <v>45328</v>
      </c>
      <c r="B923" s="8">
        <v>631196</v>
      </c>
      <c r="C923" s="8">
        <f t="shared" si="456"/>
        <v>18257</v>
      </c>
      <c r="D923" s="8">
        <v>64426</v>
      </c>
      <c r="E923" s="8">
        <f t="shared" si="457"/>
        <v>6169</v>
      </c>
      <c r="F923" s="8">
        <v>108651</v>
      </c>
      <c r="G923" s="8">
        <f t="shared" si="458"/>
        <v>-4024</v>
      </c>
      <c r="H923" s="8">
        <v>-44225</v>
      </c>
      <c r="I923" s="8">
        <f t="shared" si="459"/>
        <v>10193</v>
      </c>
      <c r="J923" s="8">
        <v>307837</v>
      </c>
      <c r="K923" s="8">
        <f t="shared" si="460"/>
        <v>7795</v>
      </c>
      <c r="L923" s="8">
        <v>274232</v>
      </c>
      <c r="M923" s="8">
        <f t="shared" si="461"/>
        <v>11087</v>
      </c>
      <c r="N923" s="8">
        <v>33605</v>
      </c>
      <c r="O923" s="8">
        <f t="shared" si="462"/>
        <v>-3292</v>
      </c>
      <c r="P923" s="8">
        <v>163314</v>
      </c>
      <c r="Q923" s="8">
        <f t="shared" si="463"/>
        <v>-167</v>
      </c>
      <c r="R923" s="8">
        <v>247752</v>
      </c>
      <c r="S923" s="8">
        <f t="shared" si="464"/>
        <v>7901</v>
      </c>
      <c r="T923" s="8">
        <v>-84438</v>
      </c>
      <c r="U923" s="8">
        <f t="shared" si="465"/>
        <v>-8068</v>
      </c>
      <c r="W923" s="8">
        <v>578099</v>
      </c>
      <c r="X923" s="8">
        <f t="shared" si="466"/>
        <v>14116</v>
      </c>
      <c r="Y923" s="8">
        <v>58136</v>
      </c>
      <c r="Z923" s="8">
        <f t="shared" si="467"/>
        <v>6212</v>
      </c>
      <c r="AA923" s="8">
        <v>72726</v>
      </c>
      <c r="AB923" s="8">
        <f t="shared" si="448"/>
        <v>-1266</v>
      </c>
      <c r="AC923" s="8">
        <v>-14590</v>
      </c>
      <c r="AD923" s="8">
        <f t="shared" si="449"/>
        <v>7478</v>
      </c>
      <c r="AE923" s="8">
        <v>264148</v>
      </c>
      <c r="AF923" s="8">
        <f t="shared" si="451"/>
        <v>-7713</v>
      </c>
      <c r="AG923" s="8">
        <v>250249</v>
      </c>
      <c r="AH923" s="8">
        <f t="shared" si="452"/>
        <v>-5544</v>
      </c>
      <c r="AI923" s="8">
        <v>13899</v>
      </c>
      <c r="AJ923" s="8">
        <f t="shared" si="453"/>
        <v>-2169</v>
      </c>
      <c r="AK923" s="8">
        <v>148509</v>
      </c>
      <c r="AL923" s="8">
        <f t="shared" si="454"/>
        <v>-9146</v>
      </c>
      <c r="AM923" s="8">
        <v>240094</v>
      </c>
      <c r="AN923" s="8">
        <f t="shared" si="455"/>
        <v>-5070</v>
      </c>
      <c r="AO923" s="8">
        <v>-91585</v>
      </c>
      <c r="AP923" s="8">
        <f t="shared" si="468"/>
        <v>-4076</v>
      </c>
      <c r="AR923" s="8">
        <v>1995994</v>
      </c>
      <c r="AS923" s="8">
        <f t="shared" si="469"/>
        <v>32163</v>
      </c>
      <c r="AT923" s="8">
        <v>168825</v>
      </c>
      <c r="AU923" s="8">
        <f t="shared" si="470"/>
        <v>6615</v>
      </c>
      <c r="AV923" s="8">
        <v>466569</v>
      </c>
      <c r="AW923" s="8">
        <f t="shared" si="471"/>
        <v>24208</v>
      </c>
      <c r="AX923" s="8">
        <v>-297744</v>
      </c>
      <c r="AY923" s="8">
        <f t="shared" si="447"/>
        <v>-17593</v>
      </c>
      <c r="AZ923" s="8">
        <v>845341</v>
      </c>
      <c r="BA923" s="8">
        <f t="shared" si="472"/>
        <v>6204</v>
      </c>
      <c r="BB923" s="8">
        <v>573219</v>
      </c>
      <c r="BC923" s="8">
        <f t="shared" si="473"/>
        <v>1778</v>
      </c>
      <c r="BD923" s="8">
        <v>272122</v>
      </c>
      <c r="BE923" s="8">
        <f t="shared" si="474"/>
        <v>4426</v>
      </c>
      <c r="BF923" s="8">
        <v>531808</v>
      </c>
      <c r="BG923" s="8">
        <f t="shared" si="475"/>
        <v>5978</v>
      </c>
      <c r="BH923" s="8">
        <v>508338</v>
      </c>
      <c r="BI923" s="8">
        <f t="shared" si="476"/>
        <v>508</v>
      </c>
      <c r="BJ923" s="8">
        <v>23470</v>
      </c>
      <c r="BK923" s="8">
        <f t="shared" si="450"/>
        <v>5470</v>
      </c>
    </row>
    <row r="924" spans="1:63">
      <c r="A924" s="5">
        <f t="shared" si="477"/>
        <v>45335</v>
      </c>
      <c r="B924" s="8">
        <v>603973</v>
      </c>
      <c r="C924" s="8">
        <f t="shared" si="456"/>
        <v>-27223</v>
      </c>
      <c r="D924" s="8">
        <v>69017</v>
      </c>
      <c r="E924" s="8">
        <f t="shared" si="457"/>
        <v>4591</v>
      </c>
      <c r="F924" s="8">
        <v>104457</v>
      </c>
      <c r="G924" s="8">
        <f t="shared" si="458"/>
        <v>-4194</v>
      </c>
      <c r="H924" s="8">
        <v>-35440</v>
      </c>
      <c r="I924" s="8">
        <f t="shared" si="459"/>
        <v>8785</v>
      </c>
      <c r="J924" s="8">
        <v>290564</v>
      </c>
      <c r="K924" s="8">
        <f t="shared" si="460"/>
        <v>-17273</v>
      </c>
      <c r="L924" s="8">
        <v>262711</v>
      </c>
      <c r="M924" s="8">
        <f t="shared" si="461"/>
        <v>-11521</v>
      </c>
      <c r="N924" s="8">
        <v>27853</v>
      </c>
      <c r="O924" s="8">
        <f t="shared" si="462"/>
        <v>-5752</v>
      </c>
      <c r="P924" s="8">
        <v>154823</v>
      </c>
      <c r="Q924" s="8">
        <f t="shared" si="463"/>
        <v>-8491</v>
      </c>
      <c r="R924" s="8">
        <v>242592</v>
      </c>
      <c r="S924" s="8">
        <f t="shared" si="464"/>
        <v>-5160</v>
      </c>
      <c r="T924" s="8">
        <v>-87769</v>
      </c>
      <c r="U924" s="8">
        <f t="shared" si="465"/>
        <v>-3331</v>
      </c>
      <c r="W924" s="8">
        <v>597172</v>
      </c>
      <c r="X924" s="8">
        <f t="shared" si="466"/>
        <v>19073</v>
      </c>
      <c r="Y924" s="8">
        <v>60528</v>
      </c>
      <c r="Z924" s="8">
        <f t="shared" si="467"/>
        <v>2392</v>
      </c>
      <c r="AA924" s="8">
        <v>88120</v>
      </c>
      <c r="AB924" s="8">
        <f t="shared" si="448"/>
        <v>15394</v>
      </c>
      <c r="AC924" s="8">
        <v>-27592</v>
      </c>
      <c r="AD924" s="8">
        <f t="shared" si="449"/>
        <v>-13002</v>
      </c>
      <c r="AE924" s="8">
        <v>274893</v>
      </c>
      <c r="AF924" s="8">
        <f t="shared" si="451"/>
        <v>10745</v>
      </c>
      <c r="AG924" s="8">
        <v>249634</v>
      </c>
      <c r="AH924" s="8">
        <f t="shared" si="452"/>
        <v>-615</v>
      </c>
      <c r="AI924" s="8">
        <v>25259</v>
      </c>
      <c r="AJ924" s="8">
        <f t="shared" si="453"/>
        <v>11360</v>
      </c>
      <c r="AK924" s="8">
        <v>162998</v>
      </c>
      <c r="AL924" s="8">
        <f t="shared" si="454"/>
        <v>14489</v>
      </c>
      <c r="AM924" s="8">
        <v>240976</v>
      </c>
      <c r="AN924" s="8">
        <f t="shared" si="455"/>
        <v>882</v>
      </c>
      <c r="AO924" s="8">
        <v>-77978</v>
      </c>
      <c r="AP924" s="8">
        <f t="shared" si="468"/>
        <v>13607</v>
      </c>
      <c r="AR924" s="8">
        <v>2038849</v>
      </c>
      <c r="AS924" s="8">
        <f t="shared" si="469"/>
        <v>42855</v>
      </c>
      <c r="AT924" s="8">
        <v>174846</v>
      </c>
      <c r="AU924" s="8">
        <f t="shared" si="470"/>
        <v>6021</v>
      </c>
      <c r="AV924" s="8">
        <v>489187</v>
      </c>
      <c r="AW924" s="8">
        <f t="shared" si="471"/>
        <v>22618</v>
      </c>
      <c r="AX924" s="8">
        <v>-314341</v>
      </c>
      <c r="AY924" s="8">
        <f t="shared" si="447"/>
        <v>-16597</v>
      </c>
      <c r="AZ924" s="8">
        <v>845325</v>
      </c>
      <c r="BA924" s="8">
        <f t="shared" si="472"/>
        <v>-16</v>
      </c>
      <c r="BB924" s="8">
        <v>554937</v>
      </c>
      <c r="BC924" s="8">
        <f t="shared" si="473"/>
        <v>-18282</v>
      </c>
      <c r="BD924" s="8">
        <v>290388</v>
      </c>
      <c r="BE924" s="8">
        <f t="shared" si="474"/>
        <v>18266</v>
      </c>
      <c r="BF924" s="8">
        <v>539916</v>
      </c>
      <c r="BG924" s="8">
        <f t="shared" si="475"/>
        <v>8108</v>
      </c>
      <c r="BH924" s="8">
        <v>499710</v>
      </c>
      <c r="BI924" s="8">
        <f t="shared" si="476"/>
        <v>-8628</v>
      </c>
      <c r="BJ924" s="8">
        <v>40206</v>
      </c>
      <c r="BK924" s="8">
        <f t="shared" si="450"/>
        <v>16736</v>
      </c>
    </row>
    <row r="925" spans="1:63">
      <c r="A925" s="5">
        <f t="shared" si="477"/>
        <v>45342</v>
      </c>
      <c r="B925" s="8">
        <v>604371</v>
      </c>
      <c r="C925" s="8">
        <f t="shared" si="456"/>
        <v>398</v>
      </c>
      <c r="D925" s="8">
        <v>61785</v>
      </c>
      <c r="E925" s="8">
        <f t="shared" si="457"/>
        <v>-7232</v>
      </c>
      <c r="F925" s="8">
        <v>114626</v>
      </c>
      <c r="G925" s="8">
        <f t="shared" si="458"/>
        <v>10169</v>
      </c>
      <c r="H925" s="8">
        <v>-52841</v>
      </c>
      <c r="I925" s="8">
        <f t="shared" si="459"/>
        <v>-17401</v>
      </c>
      <c r="J925" s="8">
        <v>288479</v>
      </c>
      <c r="K925" s="8">
        <f t="shared" si="460"/>
        <v>-2085</v>
      </c>
      <c r="L925" s="8">
        <v>250821</v>
      </c>
      <c r="M925" s="8">
        <f t="shared" si="461"/>
        <v>-11890</v>
      </c>
      <c r="N925" s="8">
        <v>37658</v>
      </c>
      <c r="O925" s="8">
        <f t="shared" si="462"/>
        <v>9805</v>
      </c>
      <c r="P925" s="8">
        <v>153599</v>
      </c>
      <c r="Q925" s="8">
        <f t="shared" si="463"/>
        <v>-1224</v>
      </c>
      <c r="R925" s="8">
        <v>231541</v>
      </c>
      <c r="S925" s="8">
        <f t="shared" si="464"/>
        <v>-11051</v>
      </c>
      <c r="T925" s="8">
        <v>-77942</v>
      </c>
      <c r="U925" s="8">
        <f t="shared" si="465"/>
        <v>9827</v>
      </c>
      <c r="W925" s="8">
        <v>598616</v>
      </c>
      <c r="X925" s="8">
        <f t="shared" si="466"/>
        <v>1444</v>
      </c>
      <c r="Y925" s="8">
        <v>64197</v>
      </c>
      <c r="Z925" s="8">
        <f t="shared" si="467"/>
        <v>3669</v>
      </c>
      <c r="AA925" s="8">
        <v>94881</v>
      </c>
      <c r="AB925" s="8">
        <f t="shared" si="448"/>
        <v>6761</v>
      </c>
      <c r="AC925" s="8">
        <v>-30684</v>
      </c>
      <c r="AD925" s="8">
        <f t="shared" si="449"/>
        <v>-3092</v>
      </c>
      <c r="AE925" s="8">
        <v>275775</v>
      </c>
      <c r="AF925" s="8">
        <f t="shared" si="451"/>
        <v>882</v>
      </c>
      <c r="AG925" s="8">
        <v>250201</v>
      </c>
      <c r="AH925" s="8">
        <f t="shared" si="452"/>
        <v>567</v>
      </c>
      <c r="AI925" s="8">
        <v>25574</v>
      </c>
      <c r="AJ925" s="8">
        <f t="shared" si="453"/>
        <v>315</v>
      </c>
      <c r="AK925" s="8">
        <v>166592</v>
      </c>
      <c r="AL925" s="8">
        <f t="shared" si="454"/>
        <v>3594</v>
      </c>
      <c r="AM925" s="8">
        <v>238995</v>
      </c>
      <c r="AN925" s="8">
        <f t="shared" si="455"/>
        <v>-1981</v>
      </c>
      <c r="AO925" s="8">
        <v>-72403</v>
      </c>
      <c r="AP925" s="8">
        <f t="shared" si="468"/>
        <v>5575</v>
      </c>
      <c r="AR925" s="8">
        <v>2053885</v>
      </c>
      <c r="AS925" s="8">
        <f t="shared" si="469"/>
        <v>15036</v>
      </c>
      <c r="AT925" s="8">
        <v>164365</v>
      </c>
      <c r="AU925" s="8">
        <f t="shared" si="470"/>
        <v>-10481</v>
      </c>
      <c r="AV925" s="8">
        <v>505097</v>
      </c>
      <c r="AW925" s="8">
        <f t="shared" si="471"/>
        <v>15910</v>
      </c>
      <c r="AX925" s="8">
        <v>-340732</v>
      </c>
      <c r="AY925" s="8">
        <f t="shared" si="447"/>
        <v>-26391</v>
      </c>
      <c r="AZ925" s="8">
        <v>856515</v>
      </c>
      <c r="BA925" s="8">
        <f t="shared" si="472"/>
        <v>11190</v>
      </c>
      <c r="BB925" s="8">
        <v>549742</v>
      </c>
      <c r="BC925" s="8">
        <f t="shared" si="473"/>
        <v>-5195</v>
      </c>
      <c r="BD925" s="8">
        <v>306773</v>
      </c>
      <c r="BE925" s="8">
        <f t="shared" si="474"/>
        <v>16385</v>
      </c>
      <c r="BF925" s="8">
        <v>553010</v>
      </c>
      <c r="BG925" s="8">
        <f t="shared" si="475"/>
        <v>13094</v>
      </c>
      <c r="BH925" s="8">
        <v>494668</v>
      </c>
      <c r="BI925" s="8">
        <f t="shared" si="476"/>
        <v>-5042</v>
      </c>
      <c r="BJ925" s="8">
        <v>58342</v>
      </c>
      <c r="BK925" s="8">
        <f t="shared" si="450"/>
        <v>18136</v>
      </c>
    </row>
    <row r="926" spans="1:63">
      <c r="A926" s="5">
        <f t="shared" si="477"/>
        <v>45349</v>
      </c>
      <c r="B926" s="8">
        <v>558317</v>
      </c>
      <c r="C926" s="8">
        <f t="shared" si="456"/>
        <v>-46054</v>
      </c>
      <c r="D926" s="8">
        <v>62506</v>
      </c>
      <c r="E926" s="8">
        <f t="shared" si="457"/>
        <v>721</v>
      </c>
      <c r="F926" s="8">
        <v>114835</v>
      </c>
      <c r="G926" s="8">
        <f t="shared" si="458"/>
        <v>209</v>
      </c>
      <c r="H926" s="8">
        <v>-52329</v>
      </c>
      <c r="I926" s="8">
        <f t="shared" si="459"/>
        <v>512</v>
      </c>
      <c r="J926" s="8">
        <v>263677</v>
      </c>
      <c r="K926" s="8">
        <f t="shared" si="460"/>
        <v>-24802</v>
      </c>
      <c r="L926" s="8">
        <v>224024</v>
      </c>
      <c r="M926" s="8">
        <f t="shared" si="461"/>
        <v>-26797</v>
      </c>
      <c r="N926" s="8">
        <v>39653</v>
      </c>
      <c r="O926" s="8">
        <f t="shared" si="462"/>
        <v>1995</v>
      </c>
      <c r="P926" s="8">
        <v>133279</v>
      </c>
      <c r="Q926" s="8">
        <f t="shared" si="463"/>
        <v>-20320</v>
      </c>
      <c r="R926" s="8">
        <v>206103</v>
      </c>
      <c r="S926" s="8">
        <f t="shared" si="464"/>
        <v>-25438</v>
      </c>
      <c r="T926" s="8">
        <v>-72824</v>
      </c>
      <c r="U926" s="8">
        <f t="shared" si="465"/>
        <v>5118</v>
      </c>
      <c r="W926" s="8">
        <v>540992</v>
      </c>
      <c r="X926" s="8">
        <f t="shared" si="466"/>
        <v>-57624</v>
      </c>
      <c r="Y926" s="8">
        <v>60747</v>
      </c>
      <c r="Z926" s="8">
        <f t="shared" si="467"/>
        <v>-3450</v>
      </c>
      <c r="AA926" s="8">
        <v>108397</v>
      </c>
      <c r="AB926" s="8">
        <f t="shared" si="448"/>
        <v>13516</v>
      </c>
      <c r="AC926" s="8">
        <v>-47650</v>
      </c>
      <c r="AD926" s="8">
        <f t="shared" si="449"/>
        <v>-16966</v>
      </c>
      <c r="AE926" s="8">
        <v>265753</v>
      </c>
      <c r="AF926" s="8">
        <f t="shared" si="451"/>
        <v>-10022</v>
      </c>
      <c r="AG926" s="8">
        <v>215990</v>
      </c>
      <c r="AH926" s="8">
        <f t="shared" si="452"/>
        <v>-34211</v>
      </c>
      <c r="AI926" s="8">
        <v>49763</v>
      </c>
      <c r="AJ926" s="8">
        <f t="shared" si="453"/>
        <v>24189</v>
      </c>
      <c r="AK926" s="8">
        <v>163561</v>
      </c>
      <c r="AL926" s="8">
        <f t="shared" si="454"/>
        <v>-3031</v>
      </c>
      <c r="AM926" s="8">
        <v>203221</v>
      </c>
      <c r="AN926" s="8">
        <f t="shared" si="455"/>
        <v>-35774</v>
      </c>
      <c r="AO926" s="8">
        <v>-39660</v>
      </c>
      <c r="AP926" s="8">
        <f t="shared" si="468"/>
        <v>32743</v>
      </c>
      <c r="AR926" s="8">
        <v>1896360</v>
      </c>
      <c r="AS926" s="8">
        <f t="shared" si="469"/>
        <v>-157525</v>
      </c>
      <c r="AT926" s="8">
        <v>174399</v>
      </c>
      <c r="AU926" s="8">
        <f t="shared" si="470"/>
        <v>10034</v>
      </c>
      <c r="AV926" s="8">
        <v>469657</v>
      </c>
      <c r="AW926" s="8">
        <f t="shared" si="471"/>
        <v>-35440</v>
      </c>
      <c r="AX926" s="8">
        <v>-295258</v>
      </c>
      <c r="AY926" s="8">
        <f t="shared" si="447"/>
        <v>45474</v>
      </c>
      <c r="AZ926" s="8">
        <v>772285</v>
      </c>
      <c r="BA926" s="8">
        <f t="shared" si="472"/>
        <v>-84230</v>
      </c>
      <c r="BB926" s="8">
        <v>502347</v>
      </c>
      <c r="BC926" s="8">
        <f t="shared" si="473"/>
        <v>-47395</v>
      </c>
      <c r="BD926" s="8">
        <v>269938</v>
      </c>
      <c r="BE926" s="8">
        <f t="shared" si="474"/>
        <v>-36835</v>
      </c>
      <c r="BF926" s="8">
        <v>477254</v>
      </c>
      <c r="BG926" s="8">
        <f t="shared" si="475"/>
        <v>-75756</v>
      </c>
      <c r="BH926" s="8">
        <v>455121</v>
      </c>
      <c r="BI926" s="8">
        <f t="shared" si="476"/>
        <v>-39547</v>
      </c>
      <c r="BJ926" s="8">
        <v>22133</v>
      </c>
      <c r="BK926" s="8">
        <f t="shared" si="450"/>
        <v>-36209</v>
      </c>
    </row>
    <row r="927" spans="1:63">
      <c r="A927" s="5">
        <f t="shared" si="477"/>
        <v>45356</v>
      </c>
      <c r="B927" s="8">
        <v>582934</v>
      </c>
      <c r="C927" s="8">
        <f t="shared" si="456"/>
        <v>24617</v>
      </c>
      <c r="D927" s="8">
        <v>61441</v>
      </c>
      <c r="E927" s="8">
        <f t="shared" si="457"/>
        <v>-1065</v>
      </c>
      <c r="F927" s="8">
        <v>123914</v>
      </c>
      <c r="G927" s="8">
        <f t="shared" si="458"/>
        <v>9079</v>
      </c>
      <c r="H927" s="8">
        <v>-62473</v>
      </c>
      <c r="I927" s="8">
        <f t="shared" si="459"/>
        <v>-10144</v>
      </c>
      <c r="J927" s="8">
        <v>277056</v>
      </c>
      <c r="K927" s="8">
        <f t="shared" si="460"/>
        <v>13379</v>
      </c>
      <c r="L927" s="8">
        <v>224356</v>
      </c>
      <c r="M927" s="8">
        <f t="shared" si="461"/>
        <v>332</v>
      </c>
      <c r="N927" s="8">
        <v>52700</v>
      </c>
      <c r="O927" s="8">
        <f t="shared" si="462"/>
        <v>13047</v>
      </c>
      <c r="P927" s="8">
        <v>142214</v>
      </c>
      <c r="Q927" s="8">
        <f t="shared" si="463"/>
        <v>8935</v>
      </c>
      <c r="R927" s="8">
        <v>207238</v>
      </c>
      <c r="S927" s="8">
        <f t="shared" si="464"/>
        <v>1135</v>
      </c>
      <c r="T927" s="8">
        <v>-65024</v>
      </c>
      <c r="U927" s="8">
        <f t="shared" si="465"/>
        <v>7800</v>
      </c>
      <c r="W927" s="8">
        <v>540921</v>
      </c>
      <c r="X927" s="8">
        <f t="shared" si="466"/>
        <v>-71</v>
      </c>
      <c r="Y927" s="8">
        <v>64038</v>
      </c>
      <c r="Z927" s="8">
        <f t="shared" si="467"/>
        <v>3291</v>
      </c>
      <c r="AA927" s="8">
        <v>113564</v>
      </c>
      <c r="AB927" s="8">
        <f t="shared" si="448"/>
        <v>5167</v>
      </c>
      <c r="AC927" s="8">
        <v>-49526</v>
      </c>
      <c r="AD927" s="8">
        <f t="shared" si="449"/>
        <v>-1876</v>
      </c>
      <c r="AE927" s="8">
        <v>259715</v>
      </c>
      <c r="AF927" s="8">
        <f t="shared" si="451"/>
        <v>-6038</v>
      </c>
      <c r="AG927" s="8">
        <v>215712</v>
      </c>
      <c r="AH927" s="8">
        <f t="shared" si="452"/>
        <v>-278</v>
      </c>
      <c r="AI927" s="8">
        <v>44003</v>
      </c>
      <c r="AJ927" s="8">
        <f t="shared" si="453"/>
        <v>-5760</v>
      </c>
      <c r="AK927" s="8">
        <v>155245</v>
      </c>
      <c r="AL927" s="8">
        <f t="shared" si="454"/>
        <v>-8316</v>
      </c>
      <c r="AM927" s="8">
        <v>201672</v>
      </c>
      <c r="AN927" s="8">
        <f t="shared" si="455"/>
        <v>-1549</v>
      </c>
      <c r="AO927" s="8">
        <v>-46427</v>
      </c>
      <c r="AP927" s="8">
        <f t="shared" si="468"/>
        <v>-6767</v>
      </c>
      <c r="AR927" s="8">
        <v>1914649</v>
      </c>
      <c r="AS927" s="8">
        <f t="shared" si="469"/>
        <v>18289</v>
      </c>
      <c r="AT927" s="8">
        <v>173777</v>
      </c>
      <c r="AU927" s="8">
        <f t="shared" si="470"/>
        <v>-622</v>
      </c>
      <c r="AV927" s="8">
        <v>470572</v>
      </c>
      <c r="AW927" s="8">
        <f t="shared" si="471"/>
        <v>915</v>
      </c>
      <c r="AX927" s="8">
        <v>-296795</v>
      </c>
      <c r="AY927" s="8">
        <f t="shared" si="447"/>
        <v>-1537</v>
      </c>
      <c r="AZ927" s="8">
        <v>754434</v>
      </c>
      <c r="BA927" s="8">
        <f t="shared" si="472"/>
        <v>-17851</v>
      </c>
      <c r="BB927" s="8">
        <v>493465</v>
      </c>
      <c r="BC927" s="8">
        <f t="shared" si="473"/>
        <v>-8882</v>
      </c>
      <c r="BD927" s="8">
        <v>260969</v>
      </c>
      <c r="BE927" s="8">
        <f t="shared" si="474"/>
        <v>-8969</v>
      </c>
      <c r="BF927" s="8">
        <v>450761</v>
      </c>
      <c r="BG927" s="8">
        <f t="shared" si="475"/>
        <v>-26493</v>
      </c>
      <c r="BH927" s="8">
        <v>439337</v>
      </c>
      <c r="BI927" s="8">
        <f t="shared" si="476"/>
        <v>-15784</v>
      </c>
      <c r="BJ927" s="8">
        <v>11424</v>
      </c>
      <c r="BK927" s="8">
        <f t="shared" si="450"/>
        <v>-10709</v>
      </c>
    </row>
    <row r="928" spans="1:63">
      <c r="A928" s="5">
        <f t="shared" si="477"/>
        <v>45363</v>
      </c>
      <c r="B928" s="8">
        <v>595795</v>
      </c>
      <c r="C928" s="8">
        <f t="shared" si="456"/>
        <v>12861</v>
      </c>
      <c r="D928" s="8">
        <v>74644</v>
      </c>
      <c r="E928" s="8">
        <f t="shared" si="457"/>
        <v>13203</v>
      </c>
      <c r="F928" s="8">
        <v>108054</v>
      </c>
      <c r="G928" s="8">
        <f t="shared" si="458"/>
        <v>-15860</v>
      </c>
      <c r="H928" s="8">
        <v>-33410</v>
      </c>
      <c r="I928" s="8">
        <f t="shared" si="459"/>
        <v>29063</v>
      </c>
      <c r="J928" s="8">
        <v>269504</v>
      </c>
      <c r="K928" s="8">
        <f t="shared" si="460"/>
        <v>-7552</v>
      </c>
      <c r="L928" s="8">
        <v>237226</v>
      </c>
      <c r="M928" s="8">
        <f t="shared" si="461"/>
        <v>12870</v>
      </c>
      <c r="N928" s="8">
        <v>32278</v>
      </c>
      <c r="O928" s="8">
        <f t="shared" si="462"/>
        <v>-20422</v>
      </c>
      <c r="P928" s="8">
        <v>133094</v>
      </c>
      <c r="Q928" s="8">
        <f t="shared" si="463"/>
        <v>-9120</v>
      </c>
      <c r="R928" s="8">
        <v>220402</v>
      </c>
      <c r="S928" s="8">
        <f t="shared" si="464"/>
        <v>13164</v>
      </c>
      <c r="T928" s="8">
        <v>-87308</v>
      </c>
      <c r="U928" s="8">
        <f t="shared" si="465"/>
        <v>-22284</v>
      </c>
      <c r="W928" s="8">
        <v>535541</v>
      </c>
      <c r="X928" s="8">
        <f t="shared" si="466"/>
        <v>-5380</v>
      </c>
      <c r="Y928" s="8">
        <v>61391</v>
      </c>
      <c r="Z928" s="8">
        <f t="shared" si="467"/>
        <v>-2647</v>
      </c>
      <c r="AA928" s="8">
        <v>112326</v>
      </c>
      <c r="AB928" s="8">
        <f t="shared" si="448"/>
        <v>-1238</v>
      </c>
      <c r="AC928" s="8">
        <v>-50935</v>
      </c>
      <c r="AD928" s="8">
        <f t="shared" si="449"/>
        <v>-1409</v>
      </c>
      <c r="AE928" s="8">
        <v>254863</v>
      </c>
      <c r="AF928" s="8">
        <f t="shared" si="451"/>
        <v>-4852</v>
      </c>
      <c r="AG928" s="8">
        <v>213199</v>
      </c>
      <c r="AH928" s="8">
        <f t="shared" si="452"/>
        <v>-2513</v>
      </c>
      <c r="AI928" s="8">
        <v>41664</v>
      </c>
      <c r="AJ928" s="8">
        <f t="shared" si="453"/>
        <v>-2339</v>
      </c>
      <c r="AK928" s="8">
        <v>149747</v>
      </c>
      <c r="AL928" s="8">
        <f t="shared" si="454"/>
        <v>-5498</v>
      </c>
      <c r="AM928" s="8">
        <v>199222</v>
      </c>
      <c r="AN928" s="8">
        <f t="shared" si="455"/>
        <v>-2450</v>
      </c>
      <c r="AO928" s="8">
        <v>-49475</v>
      </c>
      <c r="AP928" s="8">
        <f t="shared" si="468"/>
        <v>-3048</v>
      </c>
      <c r="AR928" s="8">
        <v>1961433</v>
      </c>
      <c r="AS928" s="8">
        <f t="shared" si="469"/>
        <v>46784</v>
      </c>
      <c r="AT928" s="8">
        <v>177057</v>
      </c>
      <c r="AU928" s="8">
        <f t="shared" si="470"/>
        <v>3280</v>
      </c>
      <c r="AV928" s="8">
        <v>432985</v>
      </c>
      <c r="AW928" s="8">
        <f t="shared" si="471"/>
        <v>-37587</v>
      </c>
      <c r="AX928" s="8">
        <v>-255928</v>
      </c>
      <c r="AY928" s="8">
        <f t="shared" si="447"/>
        <v>40867</v>
      </c>
      <c r="AZ928" s="8">
        <v>768749</v>
      </c>
      <c r="BA928" s="8">
        <f t="shared" si="472"/>
        <v>14315</v>
      </c>
      <c r="BB928" s="8">
        <v>554898</v>
      </c>
      <c r="BC928" s="8">
        <f t="shared" si="473"/>
        <v>61433</v>
      </c>
      <c r="BD928" s="8">
        <v>213851</v>
      </c>
      <c r="BE928" s="8">
        <f t="shared" si="474"/>
        <v>-47118</v>
      </c>
      <c r="BF928" s="8">
        <v>457944</v>
      </c>
      <c r="BG928" s="8">
        <f t="shared" si="475"/>
        <v>7183</v>
      </c>
      <c r="BH928" s="8">
        <v>489012</v>
      </c>
      <c r="BI928" s="8">
        <f t="shared" si="476"/>
        <v>49675</v>
      </c>
      <c r="BJ928" s="8">
        <v>-31068</v>
      </c>
      <c r="BK928" s="8">
        <f t="shared" si="450"/>
        <v>-42492</v>
      </c>
    </row>
    <row r="929" spans="1:63">
      <c r="A929" s="5">
        <f t="shared" si="477"/>
        <v>45370</v>
      </c>
      <c r="B929" s="8">
        <v>621449</v>
      </c>
      <c r="C929" s="8">
        <f t="shared" si="456"/>
        <v>25654</v>
      </c>
      <c r="D929" s="8">
        <v>73248</v>
      </c>
      <c r="E929" s="8">
        <f t="shared" si="457"/>
        <v>-1396</v>
      </c>
      <c r="F929" s="8">
        <v>87996</v>
      </c>
      <c r="G929" s="8">
        <f t="shared" si="458"/>
        <v>-20058</v>
      </c>
      <c r="H929" s="8">
        <v>-14748</v>
      </c>
      <c r="I929" s="8">
        <f t="shared" si="459"/>
        <v>18662</v>
      </c>
      <c r="J929" s="8">
        <v>281360</v>
      </c>
      <c r="K929" s="8">
        <f t="shared" si="460"/>
        <v>11856</v>
      </c>
      <c r="L929" s="8">
        <v>263809</v>
      </c>
      <c r="M929" s="8">
        <f t="shared" si="461"/>
        <v>26583</v>
      </c>
      <c r="N929" s="8">
        <v>17551</v>
      </c>
      <c r="O929" s="8">
        <f t="shared" si="462"/>
        <v>-14727</v>
      </c>
      <c r="P929" s="8">
        <v>141786</v>
      </c>
      <c r="Q929" s="8">
        <f t="shared" si="463"/>
        <v>8692</v>
      </c>
      <c r="R929" s="8">
        <v>242289</v>
      </c>
      <c r="S929" s="8">
        <f t="shared" si="464"/>
        <v>21887</v>
      </c>
      <c r="T929" s="8">
        <v>-100503</v>
      </c>
      <c r="U929" s="8">
        <f t="shared" si="465"/>
        <v>-13195</v>
      </c>
      <c r="W929" s="8">
        <v>549577</v>
      </c>
      <c r="X929" s="8">
        <f t="shared" si="466"/>
        <v>14036</v>
      </c>
      <c r="Y929" s="8">
        <v>64080</v>
      </c>
      <c r="Z929" s="8">
        <f t="shared" si="467"/>
        <v>2689</v>
      </c>
      <c r="AA929" s="8">
        <v>110954</v>
      </c>
      <c r="AB929" s="8">
        <f t="shared" si="448"/>
        <v>-1372</v>
      </c>
      <c r="AC929" s="8">
        <v>-46874</v>
      </c>
      <c r="AD929" s="8">
        <f t="shared" si="449"/>
        <v>4061</v>
      </c>
      <c r="AE929" s="8">
        <v>256073</v>
      </c>
      <c r="AF929" s="8">
        <f t="shared" si="451"/>
        <v>1210</v>
      </c>
      <c r="AG929" s="8">
        <v>223534</v>
      </c>
      <c r="AH929" s="8">
        <f t="shared" si="452"/>
        <v>10335</v>
      </c>
      <c r="AI929" s="8">
        <v>32539</v>
      </c>
      <c r="AJ929" s="8">
        <f t="shared" si="453"/>
        <v>-9125</v>
      </c>
      <c r="AK929" s="8">
        <v>149545</v>
      </c>
      <c r="AL929" s="8">
        <f t="shared" si="454"/>
        <v>-202</v>
      </c>
      <c r="AM929" s="8">
        <v>206859</v>
      </c>
      <c r="AN929" s="8">
        <f t="shared" si="455"/>
        <v>7637</v>
      </c>
      <c r="AO929" s="8">
        <v>-57314</v>
      </c>
      <c r="AP929" s="8">
        <f t="shared" si="468"/>
        <v>-7839</v>
      </c>
      <c r="AR929" s="8">
        <v>1999136</v>
      </c>
      <c r="AS929" s="8">
        <f t="shared" si="469"/>
        <v>37703</v>
      </c>
      <c r="AT929" s="8">
        <v>171123</v>
      </c>
      <c r="AU929" s="8">
        <f t="shared" si="470"/>
        <v>-5934</v>
      </c>
      <c r="AV929" s="8">
        <v>414111</v>
      </c>
      <c r="AW929" s="8">
        <f t="shared" si="471"/>
        <v>-18874</v>
      </c>
      <c r="AX929" s="8">
        <v>-242988</v>
      </c>
      <c r="AY929" s="8">
        <f t="shared" si="447"/>
        <v>12940</v>
      </c>
      <c r="AZ929" s="8">
        <v>795058</v>
      </c>
      <c r="BA929" s="8">
        <f t="shared" si="472"/>
        <v>26309</v>
      </c>
      <c r="BB929" s="8">
        <v>597974</v>
      </c>
      <c r="BC929" s="8">
        <f t="shared" si="473"/>
        <v>43076</v>
      </c>
      <c r="BD929" s="8">
        <v>197084</v>
      </c>
      <c r="BE929" s="8">
        <f t="shared" si="474"/>
        <v>-16767</v>
      </c>
      <c r="BF929" s="8">
        <v>467387</v>
      </c>
      <c r="BG929" s="8">
        <f t="shared" si="475"/>
        <v>9443</v>
      </c>
      <c r="BH929" s="8">
        <v>513110</v>
      </c>
      <c r="BI929" s="8">
        <f t="shared" si="476"/>
        <v>24098</v>
      </c>
      <c r="BJ929" s="8">
        <v>-45723</v>
      </c>
      <c r="BK929" s="8">
        <f t="shared" si="450"/>
        <v>-14655</v>
      </c>
    </row>
    <row r="930" spans="1:63">
      <c r="A930" s="5">
        <f t="shared" si="477"/>
        <v>45377</v>
      </c>
      <c r="B930" s="8">
        <v>623074</v>
      </c>
      <c r="C930" s="8">
        <f t="shared" si="456"/>
        <v>1625</v>
      </c>
      <c r="D930" s="8">
        <v>80137</v>
      </c>
      <c r="E930" s="8">
        <f t="shared" si="457"/>
        <v>6889</v>
      </c>
      <c r="F930" s="8">
        <v>79186</v>
      </c>
      <c r="G930" s="8">
        <f t="shared" si="458"/>
        <v>-8810</v>
      </c>
      <c r="H930" s="8">
        <v>951</v>
      </c>
      <c r="I930" s="8">
        <f t="shared" si="459"/>
        <v>15699</v>
      </c>
      <c r="J930" s="8">
        <v>281921</v>
      </c>
      <c r="K930" s="8">
        <f t="shared" si="460"/>
        <v>561</v>
      </c>
      <c r="L930" s="8">
        <v>275517</v>
      </c>
      <c r="M930" s="8">
        <f t="shared" si="461"/>
        <v>11708</v>
      </c>
      <c r="N930" s="8">
        <v>6404</v>
      </c>
      <c r="O930" s="8">
        <f t="shared" si="462"/>
        <v>-11147</v>
      </c>
      <c r="P930" s="8">
        <v>139025</v>
      </c>
      <c r="Q930" s="8">
        <f t="shared" si="463"/>
        <v>-2761</v>
      </c>
      <c r="R930" s="8">
        <v>251830</v>
      </c>
      <c r="S930" s="8">
        <f t="shared" si="464"/>
        <v>9541</v>
      </c>
      <c r="T930" s="8">
        <v>-112805</v>
      </c>
      <c r="U930" s="8">
        <f t="shared" si="465"/>
        <v>-12302</v>
      </c>
      <c r="W930" s="8">
        <v>544389</v>
      </c>
      <c r="X930" s="8">
        <f t="shared" si="466"/>
        <v>-5188</v>
      </c>
      <c r="Y930" s="8">
        <v>70633</v>
      </c>
      <c r="Z930" s="8">
        <f t="shared" si="467"/>
        <v>6553</v>
      </c>
      <c r="AA930" s="8">
        <v>100422</v>
      </c>
      <c r="AB930" s="8">
        <f t="shared" si="448"/>
        <v>-10532</v>
      </c>
      <c r="AC930" s="8">
        <v>-29789</v>
      </c>
      <c r="AD930" s="8">
        <f t="shared" si="449"/>
        <v>17085</v>
      </c>
      <c r="AE930" s="8">
        <v>250729</v>
      </c>
      <c r="AF930" s="8">
        <f t="shared" si="451"/>
        <v>-5344</v>
      </c>
      <c r="AG930" s="8">
        <v>236717</v>
      </c>
      <c r="AH930" s="8">
        <f t="shared" si="452"/>
        <v>13183</v>
      </c>
      <c r="AI930" s="8">
        <v>14012</v>
      </c>
      <c r="AJ930" s="8">
        <f t="shared" si="453"/>
        <v>-18527</v>
      </c>
      <c r="AK930" s="8">
        <v>141429</v>
      </c>
      <c r="AL930" s="8">
        <f t="shared" si="454"/>
        <v>-8116</v>
      </c>
      <c r="AM930" s="8">
        <v>217278</v>
      </c>
      <c r="AN930" s="8">
        <f t="shared" si="455"/>
        <v>10419</v>
      </c>
      <c r="AO930" s="8">
        <v>-75849</v>
      </c>
      <c r="AP930" s="8">
        <f t="shared" si="468"/>
        <v>-18535</v>
      </c>
      <c r="AR930" s="8">
        <v>2017822</v>
      </c>
      <c r="AS930" s="8">
        <f t="shared" si="469"/>
        <v>18686</v>
      </c>
      <c r="AT930" s="8">
        <v>174131</v>
      </c>
      <c r="AU930" s="8">
        <f t="shared" si="470"/>
        <v>3008</v>
      </c>
      <c r="AV930" s="8">
        <v>425861</v>
      </c>
      <c r="AW930" s="8">
        <f t="shared" si="471"/>
        <v>11750</v>
      </c>
      <c r="AX930" s="8">
        <v>-251730</v>
      </c>
      <c r="AY930" s="8">
        <f t="shared" si="447"/>
        <v>-8742</v>
      </c>
      <c r="AZ930" s="8">
        <v>808089</v>
      </c>
      <c r="BA930" s="8">
        <f t="shared" si="472"/>
        <v>13031</v>
      </c>
      <c r="BB930" s="8">
        <v>594401</v>
      </c>
      <c r="BC930" s="8">
        <f t="shared" si="473"/>
        <v>-3573</v>
      </c>
      <c r="BD930" s="8">
        <v>213688</v>
      </c>
      <c r="BE930" s="8">
        <f t="shared" si="474"/>
        <v>16604</v>
      </c>
      <c r="BF930" s="8">
        <v>474291</v>
      </c>
      <c r="BG930" s="8">
        <f t="shared" si="475"/>
        <v>6904</v>
      </c>
      <c r="BH930" s="8">
        <v>504101</v>
      </c>
      <c r="BI930" s="8">
        <f t="shared" si="476"/>
        <v>-9009</v>
      </c>
      <c r="BJ930" s="8">
        <v>-29810</v>
      </c>
      <c r="BK930" s="8">
        <f t="shared" si="450"/>
        <v>15913</v>
      </c>
    </row>
    <row r="931" spans="1:63">
      <c r="A931" s="5">
        <f t="shared" si="477"/>
        <v>45384</v>
      </c>
      <c r="B931" s="8">
        <v>638880</v>
      </c>
      <c r="C931" s="8">
        <f t="shared" si="456"/>
        <v>15806</v>
      </c>
      <c r="D931" s="8">
        <v>86744</v>
      </c>
      <c r="E931" s="8">
        <f t="shared" si="457"/>
        <v>6607</v>
      </c>
      <c r="F931" s="8">
        <v>78361</v>
      </c>
      <c r="G931" s="8">
        <f t="shared" si="458"/>
        <v>-825</v>
      </c>
      <c r="H931" s="8">
        <v>8383</v>
      </c>
      <c r="I931" s="8">
        <f t="shared" si="459"/>
        <v>7432</v>
      </c>
      <c r="J931" s="8">
        <v>280807</v>
      </c>
      <c r="K931" s="8">
        <f t="shared" si="460"/>
        <v>-1114</v>
      </c>
      <c r="L931" s="8">
        <v>279134</v>
      </c>
      <c r="M931" s="8">
        <f t="shared" si="461"/>
        <v>3617</v>
      </c>
      <c r="N931" s="8">
        <v>1673</v>
      </c>
      <c r="O931" s="8">
        <f t="shared" si="462"/>
        <v>-4731</v>
      </c>
      <c r="P931" s="8">
        <v>138608</v>
      </c>
      <c r="Q931" s="8">
        <f t="shared" si="463"/>
        <v>-417</v>
      </c>
      <c r="R931" s="8">
        <v>254532</v>
      </c>
      <c r="S931" s="8">
        <f t="shared" si="464"/>
        <v>2702</v>
      </c>
      <c r="T931" s="8">
        <v>-115924</v>
      </c>
      <c r="U931" s="8">
        <f t="shared" si="465"/>
        <v>-3119</v>
      </c>
      <c r="W931" s="8">
        <v>558695</v>
      </c>
      <c r="X931" s="8">
        <f t="shared" si="466"/>
        <v>14306</v>
      </c>
      <c r="Y931" s="8">
        <v>66128</v>
      </c>
      <c r="Z931" s="8">
        <f t="shared" si="467"/>
        <v>-4505</v>
      </c>
      <c r="AA931" s="8">
        <v>109020</v>
      </c>
      <c r="AB931" s="8">
        <f t="shared" si="448"/>
        <v>8598</v>
      </c>
      <c r="AC931" s="8">
        <v>-42892</v>
      </c>
      <c r="AD931" s="8">
        <f t="shared" si="449"/>
        <v>-13103</v>
      </c>
      <c r="AE931" s="8">
        <v>263085</v>
      </c>
      <c r="AF931" s="8">
        <f t="shared" si="451"/>
        <v>12356</v>
      </c>
      <c r="AG931" s="8">
        <v>235269</v>
      </c>
      <c r="AH931" s="8">
        <f t="shared" si="452"/>
        <v>-1448</v>
      </c>
      <c r="AI931" s="8">
        <v>27816</v>
      </c>
      <c r="AJ931" s="8">
        <f t="shared" si="453"/>
        <v>13804</v>
      </c>
      <c r="AK931" s="8">
        <v>148330</v>
      </c>
      <c r="AL931" s="8">
        <f t="shared" si="454"/>
        <v>6901</v>
      </c>
      <c r="AM931" s="8">
        <v>215206</v>
      </c>
      <c r="AN931" s="8">
        <f t="shared" si="455"/>
        <v>-2072</v>
      </c>
      <c r="AO931" s="8">
        <v>-66876</v>
      </c>
      <c r="AP931" s="8">
        <f t="shared" si="468"/>
        <v>8973</v>
      </c>
      <c r="AR931" s="8">
        <v>2056525</v>
      </c>
      <c r="AS931" s="8">
        <f t="shared" si="469"/>
        <v>38703</v>
      </c>
      <c r="AT931" s="8">
        <v>170433</v>
      </c>
      <c r="AU931" s="8">
        <f t="shared" si="470"/>
        <v>-3698</v>
      </c>
      <c r="AV931" s="8">
        <v>429989</v>
      </c>
      <c r="AW931" s="8">
        <f t="shared" si="471"/>
        <v>4128</v>
      </c>
      <c r="AX931" s="8">
        <v>-259556</v>
      </c>
      <c r="AY931" s="8">
        <f t="shared" si="447"/>
        <v>-7826</v>
      </c>
      <c r="AZ931" s="8">
        <v>813355</v>
      </c>
      <c r="BA931" s="8">
        <f t="shared" si="472"/>
        <v>5266</v>
      </c>
      <c r="BB931" s="8">
        <v>593439</v>
      </c>
      <c r="BC931" s="8">
        <f t="shared" si="473"/>
        <v>-962</v>
      </c>
      <c r="BD931" s="8">
        <v>219916</v>
      </c>
      <c r="BE931" s="8">
        <f t="shared" si="474"/>
        <v>6228</v>
      </c>
      <c r="BF931" s="8">
        <v>477455</v>
      </c>
      <c r="BG931" s="8">
        <f t="shared" si="475"/>
        <v>3164</v>
      </c>
      <c r="BH931" s="8">
        <v>500774</v>
      </c>
      <c r="BI931" s="8">
        <f t="shared" si="476"/>
        <v>-3327</v>
      </c>
      <c r="BJ931" s="8">
        <v>-23319</v>
      </c>
      <c r="BK931" s="8">
        <f t="shared" si="450"/>
        <v>6491</v>
      </c>
    </row>
    <row r="932" spans="1:63">
      <c r="A932" s="5">
        <f t="shared" si="477"/>
        <v>45391</v>
      </c>
      <c r="B932" s="8">
        <v>627222</v>
      </c>
      <c r="C932" s="8">
        <f t="shared" si="456"/>
        <v>-11658</v>
      </c>
      <c r="D932" s="8">
        <v>83371</v>
      </c>
      <c r="E932" s="8">
        <f t="shared" si="457"/>
        <v>-3373</v>
      </c>
      <c r="F932" s="8">
        <v>87499</v>
      </c>
      <c r="G932" s="8">
        <f t="shared" si="458"/>
        <v>9138</v>
      </c>
      <c r="H932" s="8">
        <v>-4128</v>
      </c>
      <c r="I932" s="8">
        <f t="shared" si="459"/>
        <v>-12511</v>
      </c>
      <c r="J932" s="8">
        <v>295705</v>
      </c>
      <c r="K932" s="8">
        <f t="shared" si="460"/>
        <v>14898</v>
      </c>
      <c r="L932" s="8">
        <v>282332</v>
      </c>
      <c r="M932" s="8">
        <f t="shared" si="461"/>
        <v>3198</v>
      </c>
      <c r="N932" s="8">
        <v>13373</v>
      </c>
      <c r="O932" s="8">
        <f t="shared" si="462"/>
        <v>11700</v>
      </c>
      <c r="P932" s="8">
        <v>155713</v>
      </c>
      <c r="Q932" s="8">
        <f t="shared" si="463"/>
        <v>17105</v>
      </c>
      <c r="R932" s="8">
        <v>265992</v>
      </c>
      <c r="S932" s="8">
        <f t="shared" si="464"/>
        <v>11460</v>
      </c>
      <c r="T932" s="8">
        <v>-110279</v>
      </c>
      <c r="U932" s="8">
        <f t="shared" si="465"/>
        <v>5645</v>
      </c>
      <c r="W932" s="8">
        <v>547271</v>
      </c>
      <c r="X932" s="8">
        <f t="shared" si="466"/>
        <v>-11424</v>
      </c>
      <c r="Y932" s="8">
        <v>70283</v>
      </c>
      <c r="Z932" s="8">
        <f t="shared" si="467"/>
        <v>4155</v>
      </c>
      <c r="AA932" s="8">
        <v>94355</v>
      </c>
      <c r="AB932" s="8">
        <f t="shared" si="448"/>
        <v>-14665</v>
      </c>
      <c r="AC932" s="8">
        <v>-24072</v>
      </c>
      <c r="AD932" s="8">
        <f t="shared" si="449"/>
        <v>18820</v>
      </c>
      <c r="AE932" s="8">
        <v>249711</v>
      </c>
      <c r="AF932" s="8">
        <f t="shared" si="451"/>
        <v>-13374</v>
      </c>
      <c r="AG932" s="8">
        <v>243181</v>
      </c>
      <c r="AH932" s="8">
        <f t="shared" si="452"/>
        <v>7912</v>
      </c>
      <c r="AI932" s="8">
        <v>6530</v>
      </c>
      <c r="AJ932" s="8">
        <f t="shared" si="453"/>
        <v>-21286</v>
      </c>
      <c r="AK932" s="8">
        <v>143951</v>
      </c>
      <c r="AL932" s="8">
        <f t="shared" si="454"/>
        <v>-4379</v>
      </c>
      <c r="AM932" s="8">
        <v>231456</v>
      </c>
      <c r="AN932" s="8">
        <f t="shared" si="455"/>
        <v>16250</v>
      </c>
      <c r="AO932" s="8">
        <v>-87505</v>
      </c>
      <c r="AP932" s="8">
        <f t="shared" si="468"/>
        <v>-20629</v>
      </c>
      <c r="AR932" s="8">
        <v>1999925</v>
      </c>
      <c r="AS932" s="8">
        <f t="shared" si="469"/>
        <v>-56600</v>
      </c>
      <c r="AT932" s="8">
        <v>158480</v>
      </c>
      <c r="AU932" s="8">
        <f t="shared" si="470"/>
        <v>-11953</v>
      </c>
      <c r="AV932" s="8">
        <v>422034</v>
      </c>
      <c r="AW932" s="8">
        <f t="shared" si="471"/>
        <v>-7955</v>
      </c>
      <c r="AX932" s="8">
        <v>-263554</v>
      </c>
      <c r="AY932" s="8">
        <f t="shared" si="447"/>
        <v>-3998</v>
      </c>
      <c r="AZ932" s="8">
        <v>794045</v>
      </c>
      <c r="BA932" s="8">
        <f t="shared" si="472"/>
        <v>-19310</v>
      </c>
      <c r="BB932" s="8">
        <v>569155</v>
      </c>
      <c r="BC932" s="8">
        <f t="shared" si="473"/>
        <v>-24284</v>
      </c>
      <c r="BD932" s="8">
        <v>224890</v>
      </c>
      <c r="BE932" s="8">
        <f t="shared" si="474"/>
        <v>4974</v>
      </c>
      <c r="BF932" s="8">
        <v>481046</v>
      </c>
      <c r="BG932" s="8">
        <f t="shared" si="475"/>
        <v>3591</v>
      </c>
      <c r="BH932" s="8">
        <v>501817</v>
      </c>
      <c r="BI932" s="8">
        <f t="shared" si="476"/>
        <v>1043</v>
      </c>
      <c r="BJ932" s="8">
        <v>-20771</v>
      </c>
      <c r="BK932" s="8">
        <f t="shared" si="450"/>
        <v>2548</v>
      </c>
    </row>
    <row r="933" spans="1:63">
      <c r="A933" s="5">
        <f t="shared" si="477"/>
        <v>45398</v>
      </c>
      <c r="B933" s="8">
        <v>650951</v>
      </c>
      <c r="C933" s="8">
        <f t="shared" si="456"/>
        <v>23729</v>
      </c>
      <c r="D933" s="8">
        <v>65306</v>
      </c>
      <c r="E933" s="8">
        <f t="shared" si="457"/>
        <v>-18065</v>
      </c>
      <c r="F933" s="8">
        <v>118601</v>
      </c>
      <c r="G933" s="8">
        <f t="shared" si="458"/>
        <v>31102</v>
      </c>
      <c r="H933" s="8">
        <v>-53295</v>
      </c>
      <c r="I933" s="8">
        <f t="shared" si="459"/>
        <v>-49167</v>
      </c>
      <c r="J933" s="8">
        <v>323511</v>
      </c>
      <c r="K933" s="8">
        <f t="shared" si="460"/>
        <v>27806</v>
      </c>
      <c r="L933" s="8">
        <v>280186</v>
      </c>
      <c r="M933" s="8">
        <f t="shared" si="461"/>
        <v>-2146</v>
      </c>
      <c r="N933" s="8">
        <v>43325</v>
      </c>
      <c r="O933" s="8">
        <f t="shared" si="462"/>
        <v>29952</v>
      </c>
      <c r="P933" s="8">
        <v>178638</v>
      </c>
      <c r="Q933" s="8">
        <f t="shared" si="463"/>
        <v>22925</v>
      </c>
      <c r="R933" s="8">
        <v>262159</v>
      </c>
      <c r="S933" s="8">
        <f t="shared" si="464"/>
        <v>-3833</v>
      </c>
      <c r="T933" s="8">
        <v>-83521</v>
      </c>
      <c r="U933" s="8">
        <f t="shared" si="465"/>
        <v>26758</v>
      </c>
      <c r="W933" s="8">
        <v>545075</v>
      </c>
      <c r="X933" s="8">
        <f t="shared" si="466"/>
        <v>-2196</v>
      </c>
      <c r="Y933" s="8">
        <v>81701</v>
      </c>
      <c r="Z933" s="8">
        <f t="shared" si="467"/>
        <v>11418</v>
      </c>
      <c r="AA933" s="8">
        <v>92244</v>
      </c>
      <c r="AB933" s="8">
        <f t="shared" si="448"/>
        <v>-2111</v>
      </c>
      <c r="AC933" s="8">
        <v>-10543</v>
      </c>
      <c r="AD933" s="8">
        <f t="shared" si="449"/>
        <v>13529</v>
      </c>
      <c r="AE933" s="8">
        <v>251370</v>
      </c>
      <c r="AF933" s="8">
        <f t="shared" si="451"/>
        <v>1659</v>
      </c>
      <c r="AG933" s="8">
        <v>250011</v>
      </c>
      <c r="AH933" s="8">
        <f t="shared" si="452"/>
        <v>6830</v>
      </c>
      <c r="AI933" s="8">
        <v>1359</v>
      </c>
      <c r="AJ933" s="8">
        <f t="shared" si="453"/>
        <v>-5171</v>
      </c>
      <c r="AK933" s="8">
        <v>143910</v>
      </c>
      <c r="AL933" s="8">
        <f t="shared" si="454"/>
        <v>-41</v>
      </c>
      <c r="AM933" s="8">
        <v>240507</v>
      </c>
      <c r="AN933" s="8">
        <f t="shared" si="455"/>
        <v>9051</v>
      </c>
      <c r="AO933" s="8">
        <v>-96597</v>
      </c>
      <c r="AP933" s="8">
        <f t="shared" si="468"/>
        <v>-9092</v>
      </c>
      <c r="AR933" s="8">
        <v>1966208</v>
      </c>
      <c r="AS933" s="8">
        <f t="shared" si="469"/>
        <v>-33717</v>
      </c>
      <c r="AT933" s="8">
        <v>161576</v>
      </c>
      <c r="AU933" s="8">
        <f t="shared" si="470"/>
        <v>3096</v>
      </c>
      <c r="AV933" s="8">
        <v>441146</v>
      </c>
      <c r="AW933" s="8">
        <f t="shared" si="471"/>
        <v>19112</v>
      </c>
      <c r="AX933" s="8">
        <v>-279570</v>
      </c>
      <c r="AY933" s="8">
        <f t="shared" si="447"/>
        <v>-16016</v>
      </c>
      <c r="AZ933" s="8">
        <v>807094</v>
      </c>
      <c r="BA933" s="8">
        <f t="shared" si="472"/>
        <v>13049</v>
      </c>
      <c r="BB933" s="8">
        <v>564522</v>
      </c>
      <c r="BC933" s="8">
        <f t="shared" si="473"/>
        <v>-4633</v>
      </c>
      <c r="BD933" s="8">
        <v>242572</v>
      </c>
      <c r="BE933" s="8">
        <f t="shared" si="474"/>
        <v>17682</v>
      </c>
      <c r="BF933" s="8">
        <v>485980</v>
      </c>
      <c r="BG933" s="8">
        <f t="shared" si="475"/>
        <v>4934</v>
      </c>
      <c r="BH933" s="8">
        <v>489653</v>
      </c>
      <c r="BI933" s="8">
        <f t="shared" si="476"/>
        <v>-12164</v>
      </c>
      <c r="BJ933" s="8">
        <v>-3673</v>
      </c>
      <c r="BK933" s="8">
        <f t="shared" si="450"/>
        <v>17098</v>
      </c>
    </row>
    <row r="934" spans="1:63">
      <c r="A934" s="5">
        <f t="shared" si="477"/>
        <v>45405</v>
      </c>
      <c r="B934" s="8">
        <v>624397</v>
      </c>
      <c r="C934" s="8">
        <f t="shared" si="456"/>
        <v>-26554</v>
      </c>
      <c r="D934" s="8">
        <v>66508</v>
      </c>
      <c r="E934" s="8">
        <f t="shared" si="457"/>
        <v>1202</v>
      </c>
      <c r="F934" s="8">
        <v>116036</v>
      </c>
      <c r="G934" s="8">
        <f t="shared" si="458"/>
        <v>-2565</v>
      </c>
      <c r="H934" s="8">
        <v>-49528</v>
      </c>
      <c r="I934" s="8">
        <f t="shared" si="459"/>
        <v>3767</v>
      </c>
      <c r="J934" s="8">
        <v>315764</v>
      </c>
      <c r="K934" s="8">
        <f t="shared" si="460"/>
        <v>-7747</v>
      </c>
      <c r="L934" s="8">
        <v>273813</v>
      </c>
      <c r="M934" s="8">
        <f t="shared" si="461"/>
        <v>-6373</v>
      </c>
      <c r="N934" s="8">
        <v>41951</v>
      </c>
      <c r="O934" s="8">
        <f t="shared" si="462"/>
        <v>-1374</v>
      </c>
      <c r="P934" s="8">
        <v>167013</v>
      </c>
      <c r="Q934" s="8">
        <f t="shared" si="463"/>
        <v>-11625</v>
      </c>
      <c r="R934" s="8">
        <v>253769</v>
      </c>
      <c r="S934" s="8">
        <f t="shared" si="464"/>
        <v>-8390</v>
      </c>
      <c r="T934" s="8">
        <v>-86756</v>
      </c>
      <c r="U934" s="8">
        <f t="shared" si="465"/>
        <v>-3235</v>
      </c>
      <c r="W934" s="8">
        <v>543681</v>
      </c>
      <c r="X934" s="8">
        <f t="shared" si="466"/>
        <v>-1394</v>
      </c>
      <c r="Y934" s="8">
        <v>99796</v>
      </c>
      <c r="Z934" s="8">
        <f t="shared" si="467"/>
        <v>18095</v>
      </c>
      <c r="AA934" s="8">
        <v>80115</v>
      </c>
      <c r="AB934" s="8">
        <f t="shared" si="448"/>
        <v>-12129</v>
      </c>
      <c r="AC934" s="8">
        <v>19681</v>
      </c>
      <c r="AD934" s="8">
        <f t="shared" si="449"/>
        <v>30224</v>
      </c>
      <c r="AE934" s="8">
        <v>235369</v>
      </c>
      <c r="AF934" s="8">
        <f t="shared" si="451"/>
        <v>-16001</v>
      </c>
      <c r="AG934" s="8">
        <v>267083</v>
      </c>
      <c r="AH934" s="8">
        <f t="shared" si="452"/>
        <v>17072</v>
      </c>
      <c r="AI934" s="8">
        <v>-31714</v>
      </c>
      <c r="AJ934" s="8">
        <f t="shared" si="453"/>
        <v>-33073</v>
      </c>
      <c r="AK934" s="8">
        <v>130341</v>
      </c>
      <c r="AL934" s="8">
        <f t="shared" si="454"/>
        <v>-13569</v>
      </c>
      <c r="AM934" s="8">
        <v>255476</v>
      </c>
      <c r="AN934" s="8">
        <f t="shared" si="455"/>
        <v>14969</v>
      </c>
      <c r="AO934" s="8">
        <v>-125135</v>
      </c>
      <c r="AP934" s="8">
        <f t="shared" si="468"/>
        <v>-28538</v>
      </c>
      <c r="AR934" s="8">
        <v>1969357</v>
      </c>
      <c r="AS934" s="8">
        <f t="shared" si="469"/>
        <v>3149</v>
      </c>
      <c r="AT934" s="8">
        <v>170215</v>
      </c>
      <c r="AU934" s="8">
        <f t="shared" si="470"/>
        <v>8639</v>
      </c>
      <c r="AV934" s="8">
        <v>408761</v>
      </c>
      <c r="AW934" s="8">
        <f t="shared" si="471"/>
        <v>-32385</v>
      </c>
      <c r="AX934" s="8">
        <v>-238546</v>
      </c>
      <c r="AY934" s="8">
        <f t="shared" si="447"/>
        <v>41024</v>
      </c>
      <c r="AZ934" s="8">
        <v>799152</v>
      </c>
      <c r="BA934" s="8">
        <f t="shared" si="472"/>
        <v>-7942</v>
      </c>
      <c r="BB934" s="8">
        <v>599485</v>
      </c>
      <c r="BC934" s="8">
        <f t="shared" si="473"/>
        <v>34963</v>
      </c>
      <c r="BD934" s="8">
        <v>199667</v>
      </c>
      <c r="BE934" s="8">
        <f t="shared" si="474"/>
        <v>-42905</v>
      </c>
      <c r="BF934" s="8">
        <v>475693</v>
      </c>
      <c r="BG934" s="8">
        <f t="shared" si="475"/>
        <v>-10287</v>
      </c>
      <c r="BH934" s="8">
        <v>517865</v>
      </c>
      <c r="BI934" s="8">
        <f t="shared" si="476"/>
        <v>28212</v>
      </c>
      <c r="BJ934" s="8">
        <v>-42172</v>
      </c>
      <c r="BK934" s="8">
        <f t="shared" si="450"/>
        <v>-38499</v>
      </c>
    </row>
    <row r="935" spans="1:63">
      <c r="A935" s="5">
        <f t="shared" si="477"/>
        <v>45412</v>
      </c>
      <c r="B935" s="8">
        <v>592947</v>
      </c>
      <c r="C935" s="8">
        <f t="shared" si="456"/>
        <v>-31450</v>
      </c>
      <c r="D935" s="8">
        <v>65136</v>
      </c>
      <c r="E935" s="8">
        <f t="shared" si="457"/>
        <v>-1372</v>
      </c>
      <c r="F935" s="8">
        <v>132018</v>
      </c>
      <c r="G935" s="8">
        <f t="shared" si="458"/>
        <v>15982</v>
      </c>
      <c r="H935" s="8">
        <v>-66882</v>
      </c>
      <c r="I935" s="8">
        <f t="shared" si="459"/>
        <v>-17354</v>
      </c>
      <c r="J935" s="8">
        <v>306215</v>
      </c>
      <c r="K935" s="8">
        <f t="shared" si="460"/>
        <v>-9549</v>
      </c>
      <c r="L935" s="8">
        <v>246124</v>
      </c>
      <c r="M935" s="8">
        <f t="shared" si="461"/>
        <v>-27689</v>
      </c>
      <c r="N935" s="8">
        <v>60091</v>
      </c>
      <c r="O935" s="8">
        <f t="shared" si="462"/>
        <v>18140</v>
      </c>
      <c r="P935" s="8">
        <v>158975</v>
      </c>
      <c r="Q935" s="8">
        <f t="shared" si="463"/>
        <v>-8038</v>
      </c>
      <c r="R935" s="8">
        <v>231966</v>
      </c>
      <c r="S935" s="8">
        <f t="shared" si="464"/>
        <v>-21803</v>
      </c>
      <c r="T935" s="8">
        <v>-72991</v>
      </c>
      <c r="U935" s="8">
        <f t="shared" si="465"/>
        <v>13765</v>
      </c>
      <c r="W935" s="8">
        <v>498943</v>
      </c>
      <c r="X935" s="8">
        <f t="shared" si="466"/>
        <v>-44738</v>
      </c>
      <c r="Y935" s="8">
        <v>112264</v>
      </c>
      <c r="Z935" s="8">
        <f t="shared" si="467"/>
        <v>12468</v>
      </c>
      <c r="AA935" s="8">
        <v>68668</v>
      </c>
      <c r="AB935" s="8">
        <f t="shared" si="448"/>
        <v>-11447</v>
      </c>
      <c r="AC935" s="8">
        <v>43596</v>
      </c>
      <c r="AD935" s="8">
        <f t="shared" si="449"/>
        <v>23915</v>
      </c>
      <c r="AE935" s="8">
        <v>208535</v>
      </c>
      <c r="AF935" s="8">
        <f t="shared" si="451"/>
        <v>-26834</v>
      </c>
      <c r="AG935" s="8">
        <v>263578</v>
      </c>
      <c r="AH935" s="8">
        <f t="shared" si="452"/>
        <v>-3505</v>
      </c>
      <c r="AI935" s="8">
        <v>-55043</v>
      </c>
      <c r="AJ935" s="8">
        <f t="shared" si="453"/>
        <v>-23329</v>
      </c>
      <c r="AK935" s="8">
        <v>113254</v>
      </c>
      <c r="AL935" s="8">
        <f t="shared" si="454"/>
        <v>-17087</v>
      </c>
      <c r="AM935" s="8">
        <v>255655</v>
      </c>
      <c r="AN935" s="8">
        <f t="shared" si="455"/>
        <v>179</v>
      </c>
      <c r="AO935" s="8">
        <v>-142401</v>
      </c>
      <c r="AP935" s="8">
        <f t="shared" si="468"/>
        <v>-17266</v>
      </c>
      <c r="AR935" s="8">
        <v>1805673</v>
      </c>
      <c r="AS935" s="8">
        <f t="shared" si="469"/>
        <v>-163684</v>
      </c>
      <c r="AT935" s="8">
        <v>176044</v>
      </c>
      <c r="AU935" s="8">
        <f t="shared" si="470"/>
        <v>5829</v>
      </c>
      <c r="AV935" s="8">
        <v>394084</v>
      </c>
      <c r="AW935" s="8">
        <f t="shared" si="471"/>
        <v>-14677</v>
      </c>
      <c r="AX935" s="8">
        <v>-218040</v>
      </c>
      <c r="AY935" s="8">
        <f t="shared" si="447"/>
        <v>20506</v>
      </c>
      <c r="AZ935" s="8">
        <v>732304</v>
      </c>
      <c r="BA935" s="8">
        <f t="shared" si="472"/>
        <v>-66848</v>
      </c>
      <c r="BB935" s="8">
        <v>548260</v>
      </c>
      <c r="BC935" s="8">
        <f t="shared" si="473"/>
        <v>-51225</v>
      </c>
      <c r="BD935" s="8">
        <v>184044</v>
      </c>
      <c r="BE935" s="8">
        <f t="shared" si="474"/>
        <v>-15623</v>
      </c>
      <c r="BF935" s="8">
        <v>426299</v>
      </c>
      <c r="BG935" s="8">
        <f t="shared" si="475"/>
        <v>-49394</v>
      </c>
      <c r="BH935" s="8">
        <v>481744</v>
      </c>
      <c r="BI935" s="8">
        <f t="shared" si="476"/>
        <v>-36121</v>
      </c>
      <c r="BJ935" s="8">
        <v>-55445</v>
      </c>
      <c r="BK935" s="8">
        <f t="shared" si="450"/>
        <v>-13273</v>
      </c>
    </row>
    <row r="936" spans="1:63">
      <c r="A936" s="5">
        <f t="shared" si="477"/>
        <v>45419</v>
      </c>
      <c r="B936" s="8">
        <v>591931</v>
      </c>
      <c r="C936" s="8">
        <f t="shared" si="456"/>
        <v>-1016</v>
      </c>
      <c r="D936" s="8">
        <v>67785</v>
      </c>
      <c r="E936" s="8">
        <f t="shared" si="457"/>
        <v>2649</v>
      </c>
      <c r="F936" s="8">
        <v>133491</v>
      </c>
      <c r="G936" s="8">
        <f t="shared" si="458"/>
        <v>1473</v>
      </c>
      <c r="H936" s="8">
        <v>-65706</v>
      </c>
      <c r="I936" s="8">
        <f t="shared" si="459"/>
        <v>1176</v>
      </c>
      <c r="J936" s="8">
        <v>308030</v>
      </c>
      <c r="K936" s="8">
        <f t="shared" si="460"/>
        <v>1815</v>
      </c>
      <c r="L936" s="8">
        <v>253907</v>
      </c>
      <c r="M936" s="8">
        <f t="shared" si="461"/>
        <v>7783</v>
      </c>
      <c r="N936" s="8">
        <v>54123</v>
      </c>
      <c r="O936" s="8">
        <f t="shared" si="462"/>
        <v>-5968</v>
      </c>
      <c r="P936" s="8">
        <v>160844</v>
      </c>
      <c r="Q936" s="8">
        <f t="shared" si="463"/>
        <v>1869</v>
      </c>
      <c r="R936" s="8">
        <v>238155</v>
      </c>
      <c r="S936" s="8">
        <f t="shared" si="464"/>
        <v>6189</v>
      </c>
      <c r="T936" s="8">
        <v>-77311</v>
      </c>
      <c r="U936" s="8">
        <f t="shared" si="465"/>
        <v>-4320</v>
      </c>
      <c r="W936" s="8">
        <v>526380</v>
      </c>
      <c r="X936" s="8">
        <f t="shared" si="466"/>
        <v>27437</v>
      </c>
      <c r="Y936" s="8">
        <v>121611</v>
      </c>
      <c r="Z936" s="8">
        <f t="shared" si="467"/>
        <v>9347</v>
      </c>
      <c r="AA936" s="8">
        <v>33620</v>
      </c>
      <c r="AB936" s="8">
        <f t="shared" si="448"/>
        <v>-35048</v>
      </c>
      <c r="AC936" s="8">
        <v>87991</v>
      </c>
      <c r="AD936" s="8">
        <f t="shared" si="449"/>
        <v>44395</v>
      </c>
      <c r="AE936" s="8">
        <v>201652</v>
      </c>
      <c r="AF936" s="8">
        <f t="shared" si="451"/>
        <v>-6883</v>
      </c>
      <c r="AG936" s="8">
        <v>308136</v>
      </c>
      <c r="AH936" s="8">
        <f t="shared" si="452"/>
        <v>44558</v>
      </c>
      <c r="AI936" s="8">
        <v>-106484</v>
      </c>
      <c r="AJ936" s="8">
        <f t="shared" si="453"/>
        <v>-51441</v>
      </c>
      <c r="AK936" s="8">
        <v>106068</v>
      </c>
      <c r="AL936" s="8">
        <f t="shared" si="454"/>
        <v>-7186</v>
      </c>
      <c r="AM936" s="8">
        <v>296136</v>
      </c>
      <c r="AN936" s="8">
        <f t="shared" si="455"/>
        <v>40481</v>
      </c>
      <c r="AO936" s="8">
        <v>-190068</v>
      </c>
      <c r="AP936" s="8">
        <f t="shared" si="468"/>
        <v>-47667</v>
      </c>
      <c r="AR936" s="8">
        <v>1895082</v>
      </c>
      <c r="AS936" s="8">
        <f t="shared" si="469"/>
        <v>89409</v>
      </c>
      <c r="AT936" s="8">
        <v>202149</v>
      </c>
      <c r="AU936" s="8">
        <f t="shared" si="470"/>
        <v>26105</v>
      </c>
      <c r="AV936" s="8">
        <v>304662</v>
      </c>
      <c r="AW936" s="8">
        <f t="shared" si="471"/>
        <v>-89422</v>
      </c>
      <c r="AX936" s="8">
        <v>-102513</v>
      </c>
      <c r="AY936" s="8">
        <f t="shared" si="447"/>
        <v>115527</v>
      </c>
      <c r="AZ936" s="8">
        <v>741015</v>
      </c>
      <c r="BA936" s="8">
        <f t="shared" si="472"/>
        <v>8711</v>
      </c>
      <c r="BB936" s="8">
        <v>665043</v>
      </c>
      <c r="BC936" s="8">
        <f t="shared" si="473"/>
        <v>116783</v>
      </c>
      <c r="BD936" s="8">
        <v>75972</v>
      </c>
      <c r="BE936" s="8">
        <f t="shared" si="474"/>
        <v>-108072</v>
      </c>
      <c r="BF936" s="8">
        <v>425933</v>
      </c>
      <c r="BG936" s="8">
        <f t="shared" si="475"/>
        <v>-366</v>
      </c>
      <c r="BH936" s="8">
        <v>588568</v>
      </c>
      <c r="BI936" s="8">
        <f t="shared" si="476"/>
        <v>106824</v>
      </c>
      <c r="BJ936" s="8">
        <v>-162635</v>
      </c>
      <c r="BK936" s="8">
        <f t="shared" si="450"/>
        <v>-107190</v>
      </c>
    </row>
    <row r="937" spans="1:63">
      <c r="A937" s="5">
        <f t="shared" si="477"/>
        <v>45426</v>
      </c>
      <c r="B937" s="8">
        <v>591019</v>
      </c>
      <c r="C937" s="8">
        <f t="shared" si="456"/>
        <v>-912</v>
      </c>
      <c r="D937" s="8">
        <v>65266</v>
      </c>
      <c r="E937" s="8">
        <f t="shared" si="457"/>
        <v>-2519</v>
      </c>
      <c r="F937" s="8">
        <v>127078</v>
      </c>
      <c r="G937" s="8">
        <f t="shared" si="458"/>
        <v>-6413</v>
      </c>
      <c r="H937" s="8">
        <v>-61812</v>
      </c>
      <c r="I937" s="8">
        <f t="shared" si="459"/>
        <v>3894</v>
      </c>
      <c r="J937" s="8">
        <v>304659</v>
      </c>
      <c r="K937" s="8">
        <f t="shared" si="460"/>
        <v>-3371</v>
      </c>
      <c r="L937" s="8">
        <v>254902</v>
      </c>
      <c r="M937" s="8">
        <f t="shared" si="461"/>
        <v>995</v>
      </c>
      <c r="N937" s="8">
        <v>49757</v>
      </c>
      <c r="O937" s="8">
        <f t="shared" si="462"/>
        <v>-4366</v>
      </c>
      <c r="P937" s="8">
        <v>159037</v>
      </c>
      <c r="Q937" s="8">
        <f t="shared" si="463"/>
        <v>-1807</v>
      </c>
      <c r="R937" s="8">
        <v>238709</v>
      </c>
      <c r="S937" s="8">
        <f t="shared" si="464"/>
        <v>554</v>
      </c>
      <c r="T937" s="8">
        <v>-79672</v>
      </c>
      <c r="U937" s="8">
        <f t="shared" si="465"/>
        <v>-2361</v>
      </c>
      <c r="W937" s="8">
        <v>534529</v>
      </c>
      <c r="X937" s="8">
        <f t="shared" si="466"/>
        <v>8149</v>
      </c>
      <c r="Y937" s="8">
        <v>131858</v>
      </c>
      <c r="Z937" s="8">
        <f t="shared" si="467"/>
        <v>10247</v>
      </c>
      <c r="AA937" s="8">
        <v>32648</v>
      </c>
      <c r="AB937" s="8">
        <f t="shared" si="448"/>
        <v>-972</v>
      </c>
      <c r="AC937" s="8">
        <v>99210</v>
      </c>
      <c r="AD937" s="8">
        <f t="shared" si="449"/>
        <v>11219</v>
      </c>
      <c r="AE937" s="8">
        <v>195739</v>
      </c>
      <c r="AF937" s="8">
        <f t="shared" si="451"/>
        <v>-5913</v>
      </c>
      <c r="AG937" s="8">
        <v>316434</v>
      </c>
      <c r="AH937" s="8">
        <f t="shared" si="452"/>
        <v>8298</v>
      </c>
      <c r="AI937" s="8">
        <v>-120695</v>
      </c>
      <c r="AJ937" s="8">
        <f t="shared" si="453"/>
        <v>-14211</v>
      </c>
      <c r="AK937" s="8">
        <v>98799</v>
      </c>
      <c r="AL937" s="8">
        <f t="shared" si="454"/>
        <v>-7269</v>
      </c>
      <c r="AM937" s="8">
        <v>302847</v>
      </c>
      <c r="AN937" s="8">
        <f t="shared" si="455"/>
        <v>6711</v>
      </c>
      <c r="AO937" s="8">
        <v>-204048</v>
      </c>
      <c r="AP937" s="8">
        <f t="shared" si="468"/>
        <v>-13980</v>
      </c>
      <c r="AR937" s="8">
        <v>1973804</v>
      </c>
      <c r="AS937" s="8">
        <f t="shared" si="469"/>
        <v>78722</v>
      </c>
      <c r="AT937" s="8">
        <v>218607</v>
      </c>
      <c r="AU937" s="8">
        <f t="shared" si="470"/>
        <v>16458</v>
      </c>
      <c r="AV937" s="8">
        <v>289778</v>
      </c>
      <c r="AW937" s="8">
        <f t="shared" si="471"/>
        <v>-14884</v>
      </c>
      <c r="AX937" s="8">
        <v>-71171</v>
      </c>
      <c r="AY937" s="8">
        <f t="shared" si="447"/>
        <v>31342</v>
      </c>
      <c r="AZ937" s="8">
        <v>756489</v>
      </c>
      <c r="BA937" s="8">
        <f t="shared" si="472"/>
        <v>15474</v>
      </c>
      <c r="BB937" s="8">
        <v>698945</v>
      </c>
      <c r="BC937" s="8">
        <f t="shared" si="473"/>
        <v>33902</v>
      </c>
      <c r="BD937" s="8">
        <v>57544</v>
      </c>
      <c r="BE937" s="8">
        <f t="shared" si="474"/>
        <v>-18428</v>
      </c>
      <c r="BF937" s="8">
        <v>433919</v>
      </c>
      <c r="BG937" s="8">
        <f t="shared" si="475"/>
        <v>7986</v>
      </c>
      <c r="BH937" s="8">
        <v>614536</v>
      </c>
      <c r="BI937" s="8">
        <f t="shared" si="476"/>
        <v>25968</v>
      </c>
      <c r="BJ937" s="8">
        <v>-180617</v>
      </c>
      <c r="BK937" s="8">
        <f t="shared" si="450"/>
        <v>-17982</v>
      </c>
    </row>
    <row r="938" spans="1:63">
      <c r="A938" s="5">
        <f t="shared" si="477"/>
        <v>45433</v>
      </c>
      <c r="B938" s="8">
        <v>588606</v>
      </c>
      <c r="C938" s="8">
        <f t="shared" si="456"/>
        <v>-2413</v>
      </c>
      <c r="D938" s="8">
        <v>61827</v>
      </c>
      <c r="E938" s="8">
        <f t="shared" si="457"/>
        <v>-3439</v>
      </c>
      <c r="F938" s="8">
        <v>108348</v>
      </c>
      <c r="G938" s="8">
        <f t="shared" si="458"/>
        <v>-18730</v>
      </c>
      <c r="H938" s="8">
        <v>-46521</v>
      </c>
      <c r="I938" s="8">
        <f t="shared" si="459"/>
        <v>15291</v>
      </c>
      <c r="J938" s="8">
        <v>302638</v>
      </c>
      <c r="K938" s="8">
        <f t="shared" si="460"/>
        <v>-2021</v>
      </c>
      <c r="L938" s="8">
        <v>269252</v>
      </c>
      <c r="M938" s="8">
        <f t="shared" si="461"/>
        <v>14350</v>
      </c>
      <c r="N938" s="8">
        <v>33386</v>
      </c>
      <c r="O938" s="8">
        <f t="shared" si="462"/>
        <v>-16371</v>
      </c>
      <c r="P938" s="8">
        <v>157575</v>
      </c>
      <c r="Q938" s="8">
        <f t="shared" si="463"/>
        <v>-1462</v>
      </c>
      <c r="R938" s="8">
        <v>250613</v>
      </c>
      <c r="S938" s="8">
        <f t="shared" si="464"/>
        <v>11904</v>
      </c>
      <c r="T938" s="8">
        <v>-93038</v>
      </c>
      <c r="U938" s="8">
        <f t="shared" si="465"/>
        <v>-13366</v>
      </c>
      <c r="W938" s="8">
        <v>529615</v>
      </c>
      <c r="X938" s="8">
        <f t="shared" si="466"/>
        <v>-4914</v>
      </c>
      <c r="Y938" s="8">
        <v>134962</v>
      </c>
      <c r="Z938" s="8">
        <f t="shared" si="467"/>
        <v>3104</v>
      </c>
      <c r="AA938" s="8">
        <v>34018</v>
      </c>
      <c r="AB938" s="8">
        <f t="shared" si="448"/>
        <v>1370</v>
      </c>
      <c r="AC938" s="8">
        <v>100944</v>
      </c>
      <c r="AD938" s="8">
        <f t="shared" si="449"/>
        <v>1734</v>
      </c>
      <c r="AE938" s="8">
        <v>191530</v>
      </c>
      <c r="AF938" s="8">
        <f t="shared" si="451"/>
        <v>-4209</v>
      </c>
      <c r="AG938" s="8">
        <v>316723</v>
      </c>
      <c r="AH938" s="8">
        <f t="shared" si="452"/>
        <v>289</v>
      </c>
      <c r="AI938" s="8">
        <v>-125193</v>
      </c>
      <c r="AJ938" s="8">
        <f t="shared" si="453"/>
        <v>-4498</v>
      </c>
      <c r="AK938" s="8">
        <v>93270</v>
      </c>
      <c r="AL938" s="8">
        <f t="shared" si="454"/>
        <v>-5529</v>
      </c>
      <c r="AM938" s="8">
        <v>301947</v>
      </c>
      <c r="AN938" s="8">
        <f t="shared" si="455"/>
        <v>-900</v>
      </c>
      <c r="AO938" s="8">
        <v>-208677</v>
      </c>
      <c r="AP938" s="8">
        <f t="shared" si="468"/>
        <v>-4629</v>
      </c>
      <c r="AR938" s="8">
        <v>1993404</v>
      </c>
      <c r="AS938" s="8">
        <f t="shared" si="469"/>
        <v>19600</v>
      </c>
      <c r="AT938" s="8">
        <v>207971</v>
      </c>
      <c r="AU938" s="8">
        <f t="shared" si="470"/>
        <v>-10636</v>
      </c>
      <c r="AV938" s="8">
        <v>329133</v>
      </c>
      <c r="AW938" s="8">
        <f t="shared" si="471"/>
        <v>39355</v>
      </c>
      <c r="AX938" s="8">
        <v>-121162</v>
      </c>
      <c r="AY938" s="8">
        <f t="shared" ref="AY938:AY967" si="478">AX938-AX937</f>
        <v>-49991</v>
      </c>
      <c r="AZ938" s="8">
        <v>776824</v>
      </c>
      <c r="BA938" s="8">
        <f t="shared" si="472"/>
        <v>20335</v>
      </c>
      <c r="BB938" s="8">
        <v>679464</v>
      </c>
      <c r="BC938" s="8">
        <f t="shared" si="473"/>
        <v>-19481</v>
      </c>
      <c r="BD938" s="8">
        <v>97360</v>
      </c>
      <c r="BE938" s="8">
        <f t="shared" si="474"/>
        <v>39816</v>
      </c>
      <c r="BF938" s="8">
        <v>451524</v>
      </c>
      <c r="BG938" s="8">
        <f t="shared" si="475"/>
        <v>17605</v>
      </c>
      <c r="BH938" s="8">
        <v>598209</v>
      </c>
      <c r="BI938" s="8">
        <f t="shared" si="476"/>
        <v>-16327</v>
      </c>
      <c r="BJ938" s="8">
        <v>-146685</v>
      </c>
      <c r="BK938" s="8">
        <f t="shared" si="450"/>
        <v>33932</v>
      </c>
    </row>
    <row r="939" spans="1:63">
      <c r="A939" s="5">
        <f t="shared" si="477"/>
        <v>45440</v>
      </c>
      <c r="B939" s="8">
        <v>597248</v>
      </c>
      <c r="C939" s="8">
        <f t="shared" si="456"/>
        <v>8642</v>
      </c>
      <c r="D939" s="8">
        <v>62760</v>
      </c>
      <c r="E939" s="8">
        <f t="shared" si="457"/>
        <v>933</v>
      </c>
      <c r="F939" s="8">
        <v>104604</v>
      </c>
      <c r="G939" s="8">
        <f t="shared" si="458"/>
        <v>-3744</v>
      </c>
      <c r="H939" s="8">
        <v>-41844</v>
      </c>
      <c r="I939" s="8">
        <f t="shared" si="459"/>
        <v>4677</v>
      </c>
      <c r="J939" s="8">
        <v>312490</v>
      </c>
      <c r="K939" s="8">
        <f t="shared" si="460"/>
        <v>9852</v>
      </c>
      <c r="L939" s="8">
        <v>287669</v>
      </c>
      <c r="M939" s="8">
        <f t="shared" si="461"/>
        <v>18417</v>
      </c>
      <c r="N939" s="8">
        <v>24821</v>
      </c>
      <c r="O939" s="8">
        <f t="shared" si="462"/>
        <v>-8565</v>
      </c>
      <c r="P939" s="8">
        <v>161672</v>
      </c>
      <c r="Q939" s="8">
        <f t="shared" si="463"/>
        <v>4097</v>
      </c>
      <c r="R939" s="8">
        <v>266225</v>
      </c>
      <c r="S939" s="8">
        <f t="shared" si="464"/>
        <v>15612</v>
      </c>
      <c r="T939" s="8">
        <v>-104553</v>
      </c>
      <c r="U939" s="8">
        <f t="shared" si="465"/>
        <v>-11515</v>
      </c>
      <c r="W939" s="8">
        <v>536628</v>
      </c>
      <c r="X939" s="8">
        <f t="shared" si="466"/>
        <v>7013</v>
      </c>
      <c r="Y939" s="8">
        <v>146805</v>
      </c>
      <c r="Z939" s="8">
        <f t="shared" si="467"/>
        <v>11843</v>
      </c>
      <c r="AA939" s="8">
        <v>28523</v>
      </c>
      <c r="AB939" s="8">
        <f t="shared" ref="AB939:AB967" si="479">AA939-AA938</f>
        <v>-5495</v>
      </c>
      <c r="AC939" s="8">
        <v>118282</v>
      </c>
      <c r="AD939" s="8">
        <f t="shared" ref="AD939:AD967" si="480">AC939-AC938</f>
        <v>17338</v>
      </c>
      <c r="AE939" s="8">
        <v>189039</v>
      </c>
      <c r="AF939" s="8">
        <f t="shared" si="451"/>
        <v>-2491</v>
      </c>
      <c r="AG939" s="8">
        <v>334047</v>
      </c>
      <c r="AH939" s="8">
        <f t="shared" si="452"/>
        <v>17324</v>
      </c>
      <c r="AI939" s="8">
        <v>-145008</v>
      </c>
      <c r="AJ939" s="8">
        <f t="shared" si="453"/>
        <v>-19815</v>
      </c>
      <c r="AK939" s="8">
        <v>90531</v>
      </c>
      <c r="AL939" s="8">
        <f t="shared" si="454"/>
        <v>-2739</v>
      </c>
      <c r="AM939" s="8">
        <v>317753</v>
      </c>
      <c r="AN939" s="8">
        <f t="shared" si="455"/>
        <v>15806</v>
      </c>
      <c r="AO939" s="8">
        <v>-227222</v>
      </c>
      <c r="AP939" s="8">
        <f t="shared" si="468"/>
        <v>-18545</v>
      </c>
      <c r="AR939" s="8">
        <v>1963843</v>
      </c>
      <c r="AS939" s="8">
        <f t="shared" si="469"/>
        <v>-29561</v>
      </c>
      <c r="AT939" s="8">
        <v>213883</v>
      </c>
      <c r="AU939" s="8">
        <f t="shared" si="470"/>
        <v>5912</v>
      </c>
      <c r="AV939" s="8">
        <v>347360</v>
      </c>
      <c r="AW939" s="8">
        <f t="shared" si="471"/>
        <v>18227</v>
      </c>
      <c r="AX939" s="8">
        <v>-133477</v>
      </c>
      <c r="AY939" s="8">
        <f t="shared" si="478"/>
        <v>-12315</v>
      </c>
      <c r="AZ939" s="8">
        <v>771547</v>
      </c>
      <c r="BA939" s="8">
        <f t="shared" si="472"/>
        <v>-5277</v>
      </c>
      <c r="BB939" s="8">
        <v>657909</v>
      </c>
      <c r="BC939" s="8">
        <f t="shared" si="473"/>
        <v>-21555</v>
      </c>
      <c r="BD939" s="8">
        <v>113638</v>
      </c>
      <c r="BE939" s="8">
        <f t="shared" si="474"/>
        <v>16278</v>
      </c>
      <c r="BF939" s="8">
        <v>448413</v>
      </c>
      <c r="BG939" s="8">
        <f t="shared" si="475"/>
        <v>-3111</v>
      </c>
      <c r="BH939" s="8">
        <v>575890</v>
      </c>
      <c r="BI939" s="8">
        <f t="shared" si="476"/>
        <v>-22319</v>
      </c>
      <c r="BJ939" s="8">
        <v>-127477</v>
      </c>
      <c r="BK939" s="8">
        <f t="shared" si="450"/>
        <v>19208</v>
      </c>
    </row>
    <row r="940" spans="1:63">
      <c r="A940" s="5">
        <f t="shared" si="477"/>
        <v>45447</v>
      </c>
      <c r="B940" s="8">
        <v>615280</v>
      </c>
      <c r="C940" s="8">
        <f t="shared" si="456"/>
        <v>18032</v>
      </c>
      <c r="D940" s="8">
        <v>58385</v>
      </c>
      <c r="E940" s="8">
        <f t="shared" si="457"/>
        <v>-4375</v>
      </c>
      <c r="F940" s="8">
        <v>116075</v>
      </c>
      <c r="G940" s="8">
        <f t="shared" si="458"/>
        <v>11471</v>
      </c>
      <c r="H940" s="8">
        <v>-57690</v>
      </c>
      <c r="I940" s="8">
        <f t="shared" si="459"/>
        <v>-15846</v>
      </c>
      <c r="J940" s="8">
        <v>325004</v>
      </c>
      <c r="K940" s="8">
        <f t="shared" si="460"/>
        <v>12514</v>
      </c>
      <c r="L940" s="8">
        <v>285741</v>
      </c>
      <c r="M940" s="8">
        <f t="shared" si="461"/>
        <v>-1928</v>
      </c>
      <c r="N940" s="8">
        <v>39263</v>
      </c>
      <c r="O940" s="8">
        <f t="shared" si="462"/>
        <v>14442</v>
      </c>
      <c r="P940" s="8">
        <v>170020</v>
      </c>
      <c r="Q940" s="8">
        <f t="shared" si="463"/>
        <v>8348</v>
      </c>
      <c r="R940" s="8">
        <v>259441</v>
      </c>
      <c r="S940" s="8">
        <f t="shared" si="464"/>
        <v>-6784</v>
      </c>
      <c r="T940" s="8">
        <v>-89421</v>
      </c>
      <c r="U940" s="8">
        <f t="shared" si="465"/>
        <v>15132</v>
      </c>
      <c r="W940" s="8">
        <v>541468</v>
      </c>
      <c r="X940" s="8">
        <f t="shared" si="466"/>
        <v>4840</v>
      </c>
      <c r="Y940" s="8">
        <v>131699</v>
      </c>
      <c r="Z940" s="8">
        <f t="shared" si="467"/>
        <v>-15106</v>
      </c>
      <c r="AA940" s="8">
        <v>31000</v>
      </c>
      <c r="AB940" s="8">
        <f t="shared" si="479"/>
        <v>2477</v>
      </c>
      <c r="AC940" s="8">
        <v>100699</v>
      </c>
      <c r="AD940" s="8">
        <f t="shared" si="480"/>
        <v>-17583</v>
      </c>
      <c r="AE940" s="8">
        <v>206638</v>
      </c>
      <c r="AF940" s="8">
        <f t="shared" si="451"/>
        <v>17599</v>
      </c>
      <c r="AG940" s="8">
        <v>326315</v>
      </c>
      <c r="AH940" s="8">
        <f t="shared" si="452"/>
        <v>-7732</v>
      </c>
      <c r="AI940" s="8">
        <v>-119677</v>
      </c>
      <c r="AJ940" s="8">
        <f t="shared" si="453"/>
        <v>25331</v>
      </c>
      <c r="AK940" s="8">
        <v>97422</v>
      </c>
      <c r="AL940" s="8">
        <f t="shared" si="454"/>
        <v>6891</v>
      </c>
      <c r="AM940" s="8">
        <v>306794</v>
      </c>
      <c r="AN940" s="8">
        <f t="shared" si="455"/>
        <v>-10959</v>
      </c>
      <c r="AO940" s="8">
        <v>-209372</v>
      </c>
      <c r="AP940" s="8">
        <f t="shared" si="468"/>
        <v>17850</v>
      </c>
      <c r="AR940" s="8">
        <v>2067099</v>
      </c>
      <c r="AS940" s="8">
        <f t="shared" si="469"/>
        <v>103256</v>
      </c>
      <c r="AT940" s="8">
        <v>204160</v>
      </c>
      <c r="AU940" s="8">
        <f t="shared" si="470"/>
        <v>-9723</v>
      </c>
      <c r="AV940" s="8">
        <v>416866</v>
      </c>
      <c r="AW940" s="8">
        <f t="shared" si="471"/>
        <v>69506</v>
      </c>
      <c r="AX940" s="8">
        <v>-212706</v>
      </c>
      <c r="AY940" s="8">
        <f t="shared" si="478"/>
        <v>-79229</v>
      </c>
      <c r="AZ940" s="8">
        <v>829967</v>
      </c>
      <c r="BA940" s="8">
        <f t="shared" si="472"/>
        <v>58420</v>
      </c>
      <c r="BB940" s="8">
        <v>636462</v>
      </c>
      <c r="BC940" s="8">
        <f t="shared" si="473"/>
        <v>-21447</v>
      </c>
      <c r="BD940" s="8">
        <v>193505</v>
      </c>
      <c r="BE940" s="8">
        <f t="shared" si="474"/>
        <v>79867</v>
      </c>
      <c r="BF940" s="8">
        <v>491504</v>
      </c>
      <c r="BG940" s="8">
        <f t="shared" si="475"/>
        <v>43091</v>
      </c>
      <c r="BH940" s="8">
        <v>544582</v>
      </c>
      <c r="BI940" s="8">
        <f t="shared" si="476"/>
        <v>-31308</v>
      </c>
      <c r="BJ940" s="8">
        <v>-53078</v>
      </c>
      <c r="BK940" s="8">
        <f t="shared" si="450"/>
        <v>74399</v>
      </c>
    </row>
    <row r="941" spans="1:63">
      <c r="A941" s="5">
        <f t="shared" si="477"/>
        <v>45454</v>
      </c>
      <c r="B941" s="8">
        <v>614955</v>
      </c>
      <c r="C941" s="8">
        <f t="shared" si="456"/>
        <v>-325</v>
      </c>
      <c r="D941" s="8">
        <v>55812</v>
      </c>
      <c r="E941" s="8">
        <f t="shared" si="457"/>
        <v>-2573</v>
      </c>
      <c r="F941" s="8">
        <v>131656</v>
      </c>
      <c r="G941" s="8">
        <f t="shared" si="458"/>
        <v>15581</v>
      </c>
      <c r="H941" s="8">
        <v>-75844</v>
      </c>
      <c r="I941" s="8">
        <f t="shared" si="459"/>
        <v>-18154</v>
      </c>
      <c r="J941" s="8">
        <v>321967</v>
      </c>
      <c r="K941" s="8">
        <f t="shared" si="460"/>
        <v>-3037</v>
      </c>
      <c r="L941" s="8">
        <v>268108</v>
      </c>
      <c r="M941" s="8">
        <f t="shared" si="461"/>
        <v>-17633</v>
      </c>
      <c r="N941" s="8">
        <v>53859</v>
      </c>
      <c r="O941" s="8">
        <f t="shared" si="462"/>
        <v>14596</v>
      </c>
      <c r="P941" s="8">
        <v>175718</v>
      </c>
      <c r="Q941" s="8">
        <f t="shared" si="463"/>
        <v>5698</v>
      </c>
      <c r="R941" s="8">
        <v>251735</v>
      </c>
      <c r="S941" s="8">
        <f t="shared" si="464"/>
        <v>-7706</v>
      </c>
      <c r="T941" s="8">
        <v>-76017</v>
      </c>
      <c r="U941" s="8">
        <f t="shared" si="465"/>
        <v>13404</v>
      </c>
      <c r="W941" s="8">
        <v>546457</v>
      </c>
      <c r="X941" s="8">
        <f t="shared" si="466"/>
        <v>4989</v>
      </c>
      <c r="Y941" s="8">
        <v>121370</v>
      </c>
      <c r="Z941" s="8">
        <f t="shared" si="467"/>
        <v>-10329</v>
      </c>
      <c r="AA941" s="8">
        <v>28463</v>
      </c>
      <c r="AB941" s="8">
        <f t="shared" si="479"/>
        <v>-2537</v>
      </c>
      <c r="AC941" s="8">
        <v>92907</v>
      </c>
      <c r="AD941" s="8">
        <f t="shared" si="480"/>
        <v>-7792</v>
      </c>
      <c r="AE941" s="8">
        <v>209175</v>
      </c>
      <c r="AF941" s="8">
        <f t="shared" si="451"/>
        <v>2537</v>
      </c>
      <c r="AG941" s="8">
        <v>322327</v>
      </c>
      <c r="AH941" s="8">
        <f t="shared" si="452"/>
        <v>-3988</v>
      </c>
      <c r="AI941" s="8">
        <v>-113152</v>
      </c>
      <c r="AJ941" s="8">
        <f t="shared" si="453"/>
        <v>6525</v>
      </c>
      <c r="AK941" s="8">
        <v>102242</v>
      </c>
      <c r="AL941" s="8">
        <f t="shared" si="454"/>
        <v>4820</v>
      </c>
      <c r="AM941" s="8">
        <v>306336</v>
      </c>
      <c r="AN941" s="8">
        <f t="shared" si="455"/>
        <v>-458</v>
      </c>
      <c r="AO941" s="8">
        <v>-204094</v>
      </c>
      <c r="AP941" s="8">
        <f t="shared" si="468"/>
        <v>5278</v>
      </c>
      <c r="AR941" s="8">
        <v>2057510</v>
      </c>
      <c r="AS941" s="8">
        <f t="shared" si="469"/>
        <v>-9589</v>
      </c>
      <c r="AT941" s="8">
        <v>207752</v>
      </c>
      <c r="AU941" s="8">
        <f t="shared" si="470"/>
        <v>3592</v>
      </c>
      <c r="AV941" s="8">
        <v>420031</v>
      </c>
      <c r="AW941" s="8">
        <f t="shared" si="471"/>
        <v>3165</v>
      </c>
      <c r="AX941" s="8">
        <v>-212279</v>
      </c>
      <c r="AY941" s="8">
        <f t="shared" si="478"/>
        <v>427</v>
      </c>
      <c r="AZ941" s="8">
        <v>824403</v>
      </c>
      <c r="BA941" s="8">
        <f t="shared" si="472"/>
        <v>-5564</v>
      </c>
      <c r="BB941" s="8">
        <v>644347</v>
      </c>
      <c r="BC941" s="8">
        <f t="shared" si="473"/>
        <v>7885</v>
      </c>
      <c r="BD941" s="8">
        <v>180056</v>
      </c>
      <c r="BE941" s="8">
        <f t="shared" si="474"/>
        <v>-13449</v>
      </c>
      <c r="BF941" s="8">
        <v>509303</v>
      </c>
      <c r="BG941" s="8">
        <f t="shared" si="475"/>
        <v>17799</v>
      </c>
      <c r="BH941" s="8">
        <v>574333</v>
      </c>
      <c r="BI941" s="8">
        <f t="shared" si="476"/>
        <v>29751</v>
      </c>
      <c r="BJ941" s="8">
        <v>-65030</v>
      </c>
      <c r="BK941" s="8">
        <f t="shared" si="450"/>
        <v>-11952</v>
      </c>
    </row>
    <row r="942" spans="1:63">
      <c r="A942" s="5">
        <f t="shared" si="477"/>
        <v>45461</v>
      </c>
      <c r="B942" s="8">
        <v>631320</v>
      </c>
      <c r="C942" s="8">
        <f t="shared" si="456"/>
        <v>16365</v>
      </c>
      <c r="D942" s="8">
        <v>60037</v>
      </c>
      <c r="E942" s="8">
        <f t="shared" si="457"/>
        <v>4225</v>
      </c>
      <c r="F942" s="8">
        <v>145010</v>
      </c>
      <c r="G942" s="8">
        <f t="shared" si="458"/>
        <v>13354</v>
      </c>
      <c r="H942" s="8">
        <v>-84973</v>
      </c>
      <c r="I942" s="8">
        <f t="shared" si="459"/>
        <v>-9129</v>
      </c>
      <c r="J942" s="8">
        <v>331680</v>
      </c>
      <c r="K942" s="8">
        <f t="shared" si="460"/>
        <v>9713</v>
      </c>
      <c r="L942" s="8">
        <v>277061</v>
      </c>
      <c r="M942" s="8">
        <f t="shared" si="461"/>
        <v>8953</v>
      </c>
      <c r="N942" s="8">
        <v>54619</v>
      </c>
      <c r="O942" s="8">
        <f t="shared" si="462"/>
        <v>760</v>
      </c>
      <c r="P942" s="8">
        <v>179148</v>
      </c>
      <c r="Q942" s="8">
        <f t="shared" si="463"/>
        <v>3430</v>
      </c>
      <c r="R942" s="8">
        <v>260809</v>
      </c>
      <c r="S942" s="8">
        <f t="shared" si="464"/>
        <v>9074</v>
      </c>
      <c r="T942" s="8">
        <v>-81661</v>
      </c>
      <c r="U942" s="8">
        <f t="shared" si="465"/>
        <v>-5644</v>
      </c>
      <c r="W942" s="8">
        <v>584411</v>
      </c>
      <c r="X942" s="8">
        <f t="shared" si="466"/>
        <v>37954</v>
      </c>
      <c r="Y942" s="8">
        <v>128163</v>
      </c>
      <c r="Z942" s="8">
        <f t="shared" si="467"/>
        <v>6793</v>
      </c>
      <c r="AA942" s="8">
        <v>28884</v>
      </c>
      <c r="AB942" s="8">
        <f t="shared" si="479"/>
        <v>421</v>
      </c>
      <c r="AC942" s="8">
        <v>99279</v>
      </c>
      <c r="AD942" s="8">
        <f t="shared" si="480"/>
        <v>6372</v>
      </c>
      <c r="AE942" s="8">
        <v>213603</v>
      </c>
      <c r="AF942" s="8">
        <f t="shared" si="451"/>
        <v>4428</v>
      </c>
      <c r="AG942" s="8">
        <v>333720</v>
      </c>
      <c r="AH942" s="8">
        <f t="shared" si="452"/>
        <v>11393</v>
      </c>
      <c r="AI942" s="8">
        <v>-120117</v>
      </c>
      <c r="AJ942" s="8">
        <f t="shared" si="453"/>
        <v>-6965</v>
      </c>
      <c r="AK942" s="8">
        <v>103408</v>
      </c>
      <c r="AL942" s="8">
        <f t="shared" si="454"/>
        <v>1166</v>
      </c>
      <c r="AM942" s="8">
        <v>316640</v>
      </c>
      <c r="AN942" s="8">
        <f t="shared" si="455"/>
        <v>10304</v>
      </c>
      <c r="AO942" s="8">
        <v>-213232</v>
      </c>
      <c r="AP942" s="8">
        <f t="shared" si="468"/>
        <v>-9138</v>
      </c>
      <c r="AR942" s="8">
        <v>2048596</v>
      </c>
      <c r="AS942" s="8">
        <f t="shared" si="469"/>
        <v>-8914</v>
      </c>
      <c r="AT942" s="8">
        <v>218871</v>
      </c>
      <c r="AU942" s="8">
        <f t="shared" si="470"/>
        <v>11119</v>
      </c>
      <c r="AV942" s="8">
        <v>410333</v>
      </c>
      <c r="AW942" s="8">
        <f t="shared" si="471"/>
        <v>-9698</v>
      </c>
      <c r="AX942" s="8">
        <v>-191462</v>
      </c>
      <c r="AY942" s="8">
        <f t="shared" si="478"/>
        <v>20817</v>
      </c>
      <c r="AZ942" s="8">
        <v>818622</v>
      </c>
      <c r="BA942" s="8">
        <f t="shared" si="472"/>
        <v>-5781</v>
      </c>
      <c r="BB942" s="8">
        <v>660326</v>
      </c>
      <c r="BC942" s="8">
        <f t="shared" si="473"/>
        <v>15979</v>
      </c>
      <c r="BD942" s="8">
        <v>158296</v>
      </c>
      <c r="BE942" s="8">
        <f t="shared" si="474"/>
        <v>-21760</v>
      </c>
      <c r="BF942" s="8">
        <v>512912</v>
      </c>
      <c r="BG942" s="8">
        <f t="shared" si="475"/>
        <v>3609</v>
      </c>
      <c r="BH942" s="8">
        <v>594574</v>
      </c>
      <c r="BI942" s="8">
        <f t="shared" si="476"/>
        <v>20241</v>
      </c>
      <c r="BJ942" s="8">
        <v>-81662</v>
      </c>
      <c r="BK942" s="8">
        <f t="shared" si="450"/>
        <v>-16632</v>
      </c>
    </row>
    <row r="943" spans="1:63">
      <c r="A943" s="5">
        <f t="shared" si="477"/>
        <v>45468</v>
      </c>
      <c r="B943" s="8">
        <v>618910</v>
      </c>
      <c r="C943" s="8">
        <f t="shared" si="456"/>
        <v>-12410</v>
      </c>
      <c r="D943" s="8">
        <v>56990</v>
      </c>
      <c r="E943" s="8">
        <f t="shared" si="457"/>
        <v>-3047</v>
      </c>
      <c r="F943" s="8">
        <v>165473</v>
      </c>
      <c r="G943" s="8">
        <f t="shared" si="458"/>
        <v>20463</v>
      </c>
      <c r="H943" s="8">
        <v>-108483</v>
      </c>
      <c r="I943" s="8">
        <f t="shared" si="459"/>
        <v>-23510</v>
      </c>
      <c r="J943" s="8">
        <v>335460</v>
      </c>
      <c r="K943" s="8">
        <f t="shared" si="460"/>
        <v>3780</v>
      </c>
      <c r="L943" s="8">
        <v>252187</v>
      </c>
      <c r="M943" s="8">
        <f t="shared" si="461"/>
        <v>-24874</v>
      </c>
      <c r="N943" s="8">
        <v>83273</v>
      </c>
      <c r="O943" s="8">
        <f t="shared" si="462"/>
        <v>28654</v>
      </c>
      <c r="P943" s="8">
        <v>188793</v>
      </c>
      <c r="Q943" s="8">
        <f t="shared" si="463"/>
        <v>9645</v>
      </c>
      <c r="R943" s="8">
        <v>242240</v>
      </c>
      <c r="S943" s="8">
        <f t="shared" si="464"/>
        <v>-18569</v>
      </c>
      <c r="T943" s="8">
        <v>-53447</v>
      </c>
      <c r="U943" s="8">
        <f t="shared" si="465"/>
        <v>28214</v>
      </c>
      <c r="W943" s="8">
        <v>542155</v>
      </c>
      <c r="X943" s="8">
        <f t="shared" si="466"/>
        <v>-42256</v>
      </c>
      <c r="Y943" s="8">
        <v>129493</v>
      </c>
      <c r="Z943" s="8">
        <f t="shared" si="467"/>
        <v>1330</v>
      </c>
      <c r="AA943" s="8">
        <v>42126</v>
      </c>
      <c r="AB943" s="8">
        <f t="shared" si="479"/>
        <v>13242</v>
      </c>
      <c r="AC943" s="8">
        <v>87367</v>
      </c>
      <c r="AD943" s="8">
        <f t="shared" si="480"/>
        <v>-11912</v>
      </c>
      <c r="AE943" s="8">
        <v>205094</v>
      </c>
      <c r="AF943" s="8">
        <f t="shared" si="451"/>
        <v>-8509</v>
      </c>
      <c r="AG943" s="8">
        <v>308051</v>
      </c>
      <c r="AH943" s="8">
        <f t="shared" si="452"/>
        <v>-25669</v>
      </c>
      <c r="AI943" s="8">
        <v>-102957</v>
      </c>
      <c r="AJ943" s="8">
        <f t="shared" si="453"/>
        <v>17160</v>
      </c>
      <c r="AK943" s="8">
        <v>98134</v>
      </c>
      <c r="AL943" s="8">
        <f t="shared" si="454"/>
        <v>-5274</v>
      </c>
      <c r="AM943" s="8">
        <v>296067</v>
      </c>
      <c r="AN943" s="8">
        <f t="shared" si="455"/>
        <v>-20573</v>
      </c>
      <c r="AO943" s="8">
        <v>-197933</v>
      </c>
      <c r="AP943" s="8">
        <f t="shared" si="468"/>
        <v>15299</v>
      </c>
      <c r="AR943" s="8">
        <v>1922363</v>
      </c>
      <c r="AS943" s="8">
        <f t="shared" si="469"/>
        <v>-126233</v>
      </c>
      <c r="AT943" s="8">
        <v>193151</v>
      </c>
      <c r="AU943" s="8">
        <f t="shared" si="470"/>
        <v>-25720</v>
      </c>
      <c r="AV943" s="8">
        <v>470817</v>
      </c>
      <c r="AW943" s="8">
        <f t="shared" si="471"/>
        <v>60484</v>
      </c>
      <c r="AX943" s="8">
        <v>-277666</v>
      </c>
      <c r="AY943" s="8">
        <f t="shared" si="478"/>
        <v>-86204</v>
      </c>
      <c r="AZ943" s="8">
        <v>786420</v>
      </c>
      <c r="BA943" s="8">
        <f t="shared" si="472"/>
        <v>-32202</v>
      </c>
      <c r="BB943" s="8">
        <v>547420</v>
      </c>
      <c r="BC943" s="8">
        <f t="shared" si="473"/>
        <v>-112906</v>
      </c>
      <c r="BD943" s="8">
        <v>239000</v>
      </c>
      <c r="BE943" s="8">
        <f t="shared" si="474"/>
        <v>80704</v>
      </c>
      <c r="BF943" s="8">
        <v>494956</v>
      </c>
      <c r="BG943" s="8">
        <f t="shared" si="475"/>
        <v>-17956</v>
      </c>
      <c r="BH943" s="8">
        <v>493957</v>
      </c>
      <c r="BI943" s="8">
        <f t="shared" si="476"/>
        <v>-100617</v>
      </c>
      <c r="BJ943" s="8">
        <v>999</v>
      </c>
      <c r="BK943" s="8">
        <f t="shared" si="450"/>
        <v>82661</v>
      </c>
    </row>
    <row r="944" spans="1:63">
      <c r="A944" s="5">
        <f t="shared" si="477"/>
        <v>45475</v>
      </c>
      <c r="B944" s="8">
        <v>609149</v>
      </c>
      <c r="C944" s="8">
        <f t="shared" si="456"/>
        <v>-9761</v>
      </c>
      <c r="D944" s="8">
        <v>62580</v>
      </c>
      <c r="E944" s="8">
        <f t="shared" si="457"/>
        <v>5590</v>
      </c>
      <c r="F944" s="8">
        <v>124434</v>
      </c>
      <c r="G944" s="8">
        <f t="shared" si="458"/>
        <v>-41039</v>
      </c>
      <c r="H944" s="8">
        <v>-61854</v>
      </c>
      <c r="I944" s="8">
        <f t="shared" si="459"/>
        <v>46629</v>
      </c>
      <c r="J944" s="8">
        <v>307751</v>
      </c>
      <c r="K944" s="8">
        <f t="shared" si="460"/>
        <v>-27709</v>
      </c>
      <c r="L944" s="8">
        <v>272015</v>
      </c>
      <c r="M944" s="8">
        <f t="shared" si="461"/>
        <v>19828</v>
      </c>
      <c r="N944" s="8">
        <v>35736</v>
      </c>
      <c r="O944" s="8">
        <f t="shared" si="462"/>
        <v>-47537</v>
      </c>
      <c r="P944" s="8">
        <v>160186</v>
      </c>
      <c r="Q944" s="8">
        <f t="shared" si="463"/>
        <v>-28607</v>
      </c>
      <c r="R944" s="8">
        <v>261428</v>
      </c>
      <c r="S944" s="8">
        <f t="shared" si="464"/>
        <v>19188</v>
      </c>
      <c r="T944" s="8">
        <v>-101242</v>
      </c>
      <c r="U944" s="8">
        <f t="shared" si="465"/>
        <v>-47795</v>
      </c>
      <c r="W944" s="8">
        <v>549691</v>
      </c>
      <c r="X944" s="8">
        <f t="shared" si="466"/>
        <v>7536</v>
      </c>
      <c r="Y944" s="8">
        <v>128774</v>
      </c>
      <c r="Z944" s="8">
        <f t="shared" si="467"/>
        <v>-719</v>
      </c>
      <c r="AA944" s="8">
        <v>55315</v>
      </c>
      <c r="AB944" s="8">
        <f t="shared" si="479"/>
        <v>13189</v>
      </c>
      <c r="AC944" s="8">
        <v>73459</v>
      </c>
      <c r="AD944" s="8">
        <f t="shared" si="480"/>
        <v>-13908</v>
      </c>
      <c r="AE944" s="8">
        <v>209089</v>
      </c>
      <c r="AF944" s="8">
        <f t="shared" si="451"/>
        <v>3995</v>
      </c>
      <c r="AG944" s="8">
        <v>302640</v>
      </c>
      <c r="AH944" s="8">
        <f t="shared" si="452"/>
        <v>-5411</v>
      </c>
      <c r="AI944" s="8">
        <v>-93551</v>
      </c>
      <c r="AJ944" s="8">
        <f t="shared" si="453"/>
        <v>9406</v>
      </c>
      <c r="AK944" s="8">
        <v>102437</v>
      </c>
      <c r="AL944" s="8">
        <f t="shared" si="454"/>
        <v>4303</v>
      </c>
      <c r="AM944" s="8">
        <v>291407</v>
      </c>
      <c r="AN944" s="8">
        <f t="shared" si="455"/>
        <v>-4660</v>
      </c>
      <c r="AO944" s="8">
        <v>-188970</v>
      </c>
      <c r="AP944" s="8">
        <f t="shared" si="468"/>
        <v>8963</v>
      </c>
      <c r="AR944" s="8">
        <v>1973475</v>
      </c>
      <c r="AS944" s="8">
        <f t="shared" si="469"/>
        <v>51112</v>
      </c>
      <c r="AT944" s="8">
        <v>153793</v>
      </c>
      <c r="AU944" s="8">
        <f t="shared" si="470"/>
        <v>-39358</v>
      </c>
      <c r="AV944" s="8">
        <v>490331</v>
      </c>
      <c r="AW944" s="8">
        <f t="shared" si="471"/>
        <v>19514</v>
      </c>
      <c r="AX944" s="8">
        <v>-336538</v>
      </c>
      <c r="AY944" s="8">
        <f t="shared" si="478"/>
        <v>-58872</v>
      </c>
      <c r="AZ944" s="8">
        <v>808215</v>
      </c>
      <c r="BA944" s="8">
        <f t="shared" si="472"/>
        <v>21795</v>
      </c>
      <c r="BB944" s="8">
        <v>519035</v>
      </c>
      <c r="BC944" s="8">
        <f t="shared" si="473"/>
        <v>-28385</v>
      </c>
      <c r="BD944" s="8">
        <v>289180</v>
      </c>
      <c r="BE944" s="8">
        <f t="shared" si="474"/>
        <v>50180</v>
      </c>
      <c r="BF944" s="8">
        <v>507584</v>
      </c>
      <c r="BG944" s="8">
        <f t="shared" si="475"/>
        <v>12628</v>
      </c>
      <c r="BH944" s="8">
        <v>461554</v>
      </c>
      <c r="BI944" s="8">
        <f t="shared" si="476"/>
        <v>-32403</v>
      </c>
      <c r="BJ944" s="8">
        <v>46030</v>
      </c>
      <c r="BK944" s="8">
        <f t="shared" si="450"/>
        <v>45031</v>
      </c>
    </row>
    <row r="945" spans="1:63">
      <c r="A945" s="5">
        <f t="shared" si="477"/>
        <v>45482</v>
      </c>
      <c r="B945" s="8">
        <v>594223</v>
      </c>
      <c r="C945" s="8">
        <f t="shared" si="456"/>
        <v>-14926</v>
      </c>
      <c r="D945" s="8">
        <v>56970</v>
      </c>
      <c r="E945" s="8">
        <f t="shared" si="457"/>
        <v>-5610</v>
      </c>
      <c r="F945" s="8">
        <v>73988</v>
      </c>
      <c r="G945" s="8">
        <f t="shared" si="458"/>
        <v>-50446</v>
      </c>
      <c r="H945" s="8">
        <v>-17018</v>
      </c>
      <c r="I945" s="8">
        <f t="shared" si="459"/>
        <v>44836</v>
      </c>
      <c r="J945" s="8">
        <v>293897</v>
      </c>
      <c r="K945" s="8">
        <f t="shared" si="460"/>
        <v>-13854</v>
      </c>
      <c r="L945" s="8">
        <v>299092</v>
      </c>
      <c r="M945" s="8">
        <f t="shared" si="461"/>
        <v>27077</v>
      </c>
      <c r="N945" s="8">
        <v>-5195</v>
      </c>
      <c r="O945" s="8">
        <f t="shared" si="462"/>
        <v>-40931</v>
      </c>
      <c r="P945" s="8">
        <v>144157</v>
      </c>
      <c r="Q945" s="8">
        <f t="shared" si="463"/>
        <v>-16029</v>
      </c>
      <c r="R945" s="8">
        <v>285214</v>
      </c>
      <c r="S945" s="8">
        <f t="shared" si="464"/>
        <v>23786</v>
      </c>
      <c r="T945" s="8">
        <v>-141057</v>
      </c>
      <c r="U945" s="8">
        <f t="shared" si="465"/>
        <v>-39815</v>
      </c>
      <c r="W945" s="8">
        <v>579533</v>
      </c>
      <c r="X945" s="8">
        <f t="shared" si="466"/>
        <v>29842</v>
      </c>
      <c r="Y945" s="8">
        <v>120509</v>
      </c>
      <c r="Z945" s="8">
        <f t="shared" si="467"/>
        <v>-8265</v>
      </c>
      <c r="AA945" s="8">
        <v>59816</v>
      </c>
      <c r="AB945" s="8">
        <f t="shared" si="479"/>
        <v>4501</v>
      </c>
      <c r="AC945" s="8">
        <v>60693</v>
      </c>
      <c r="AD945" s="8">
        <f t="shared" si="480"/>
        <v>-12766</v>
      </c>
      <c r="AE945" s="8">
        <v>228368</v>
      </c>
      <c r="AF945" s="8">
        <f t="shared" si="451"/>
        <v>19279</v>
      </c>
      <c r="AG945" s="8">
        <v>308884</v>
      </c>
      <c r="AH945" s="8">
        <f t="shared" si="452"/>
        <v>6244</v>
      </c>
      <c r="AI945" s="8">
        <v>-80516</v>
      </c>
      <c r="AJ945" s="8">
        <f t="shared" si="453"/>
        <v>13035</v>
      </c>
      <c r="AK945" s="8">
        <v>117318</v>
      </c>
      <c r="AL945" s="8">
        <f t="shared" si="454"/>
        <v>14881</v>
      </c>
      <c r="AM945" s="8">
        <v>297316</v>
      </c>
      <c r="AN945" s="8">
        <f t="shared" si="455"/>
        <v>5909</v>
      </c>
      <c r="AO945" s="8">
        <v>-179998</v>
      </c>
      <c r="AP945" s="8">
        <f t="shared" si="468"/>
        <v>8972</v>
      </c>
      <c r="AR945" s="8">
        <v>2038166</v>
      </c>
      <c r="AS945" s="8">
        <f t="shared" si="469"/>
        <v>64691</v>
      </c>
      <c r="AT945" s="8">
        <v>153918</v>
      </c>
      <c r="AU945" s="8">
        <f t="shared" si="470"/>
        <v>125</v>
      </c>
      <c r="AV945" s="8">
        <v>507901</v>
      </c>
      <c r="AW945" s="8">
        <f t="shared" si="471"/>
        <v>17570</v>
      </c>
      <c r="AX945" s="8">
        <v>-353983</v>
      </c>
      <c r="AY945" s="8">
        <f t="shared" si="478"/>
        <v>-17445</v>
      </c>
      <c r="AZ945" s="8">
        <v>838143</v>
      </c>
      <c r="BA945" s="8">
        <f t="shared" si="472"/>
        <v>29928</v>
      </c>
      <c r="BB945" s="8">
        <v>532424</v>
      </c>
      <c r="BC945" s="8">
        <f t="shared" si="473"/>
        <v>13389</v>
      </c>
      <c r="BD945" s="8">
        <v>305719</v>
      </c>
      <c r="BE945" s="8">
        <f t="shared" si="474"/>
        <v>16539</v>
      </c>
      <c r="BF945" s="8">
        <v>529304</v>
      </c>
      <c r="BG945" s="8">
        <f t="shared" si="475"/>
        <v>21720</v>
      </c>
      <c r="BH945" s="8">
        <v>466639</v>
      </c>
      <c r="BI945" s="8">
        <f t="shared" si="476"/>
        <v>5085</v>
      </c>
      <c r="BJ945" s="8">
        <v>62665</v>
      </c>
      <c r="BK945" s="8">
        <f t="shared" si="450"/>
        <v>16635</v>
      </c>
    </row>
    <row r="946" spans="1:63">
      <c r="A946" s="5">
        <f t="shared" si="477"/>
        <v>45489</v>
      </c>
      <c r="B946" s="8">
        <v>611256</v>
      </c>
      <c r="C946" s="8">
        <f t="shared" si="456"/>
        <v>17033</v>
      </c>
      <c r="D946" s="8">
        <v>56148</v>
      </c>
      <c r="E946" s="8">
        <f t="shared" si="457"/>
        <v>-822</v>
      </c>
      <c r="F946" s="8">
        <v>72786</v>
      </c>
      <c r="G946" s="8">
        <f t="shared" si="458"/>
        <v>-1202</v>
      </c>
      <c r="H946" s="8">
        <v>-16638</v>
      </c>
      <c r="I946" s="8">
        <f t="shared" si="459"/>
        <v>380</v>
      </c>
      <c r="J946" s="8">
        <v>304040</v>
      </c>
      <c r="K946" s="8">
        <f t="shared" si="460"/>
        <v>10143</v>
      </c>
      <c r="L946" s="8">
        <v>304022</v>
      </c>
      <c r="M946" s="8">
        <f t="shared" si="461"/>
        <v>4930</v>
      </c>
      <c r="N946" s="8">
        <v>18</v>
      </c>
      <c r="O946" s="8">
        <f t="shared" si="462"/>
        <v>5213</v>
      </c>
      <c r="P946" s="8">
        <v>152048</v>
      </c>
      <c r="Q946" s="8">
        <f t="shared" si="463"/>
        <v>7891</v>
      </c>
      <c r="R946" s="8">
        <v>289966</v>
      </c>
      <c r="S946" s="8">
        <f t="shared" si="464"/>
        <v>4752</v>
      </c>
      <c r="T946" s="8">
        <v>-137918</v>
      </c>
      <c r="U946" s="8">
        <f t="shared" si="465"/>
        <v>3139</v>
      </c>
      <c r="W946" s="8">
        <v>596222</v>
      </c>
      <c r="X946" s="8">
        <f t="shared" si="466"/>
        <v>16689</v>
      </c>
      <c r="Y946" s="8">
        <v>106400</v>
      </c>
      <c r="Z946" s="8">
        <f t="shared" si="467"/>
        <v>-14109</v>
      </c>
      <c r="AA946" s="8">
        <v>79474</v>
      </c>
      <c r="AB946" s="8">
        <f t="shared" si="479"/>
        <v>19658</v>
      </c>
      <c r="AC946" s="8">
        <v>26926</v>
      </c>
      <c r="AD946" s="8">
        <f t="shared" si="480"/>
        <v>-33767</v>
      </c>
      <c r="AE946" s="8">
        <v>242479</v>
      </c>
      <c r="AF946" s="8">
        <f t="shared" si="451"/>
        <v>14111</v>
      </c>
      <c r="AG946" s="8">
        <v>285977</v>
      </c>
      <c r="AH946" s="8">
        <f t="shared" si="452"/>
        <v>-22907</v>
      </c>
      <c r="AI946" s="8">
        <v>-43498</v>
      </c>
      <c r="AJ946" s="8">
        <f t="shared" si="453"/>
        <v>37018</v>
      </c>
      <c r="AK946" s="8">
        <v>123127</v>
      </c>
      <c r="AL946" s="8">
        <f t="shared" si="454"/>
        <v>5809</v>
      </c>
      <c r="AM946" s="8">
        <v>272977</v>
      </c>
      <c r="AN946" s="8">
        <f t="shared" si="455"/>
        <v>-24339</v>
      </c>
      <c r="AO946" s="8">
        <v>-149850</v>
      </c>
      <c r="AP946" s="8">
        <f t="shared" si="468"/>
        <v>30148</v>
      </c>
      <c r="AR946" s="8">
        <v>2074692</v>
      </c>
      <c r="AS946" s="8">
        <f t="shared" si="469"/>
        <v>36526</v>
      </c>
      <c r="AT946" s="8">
        <v>152213</v>
      </c>
      <c r="AU946" s="8">
        <f t="shared" si="470"/>
        <v>-1705</v>
      </c>
      <c r="AV946" s="8">
        <v>495609</v>
      </c>
      <c r="AW946" s="8">
        <f t="shared" si="471"/>
        <v>-12292</v>
      </c>
      <c r="AX946" s="8">
        <v>-343396</v>
      </c>
      <c r="AY946" s="8">
        <f t="shared" si="478"/>
        <v>10587</v>
      </c>
      <c r="AZ946" s="8">
        <v>857843</v>
      </c>
      <c r="BA946" s="8">
        <f t="shared" si="472"/>
        <v>19700</v>
      </c>
      <c r="BB946" s="8">
        <v>559538</v>
      </c>
      <c r="BC946" s="8">
        <f t="shared" si="473"/>
        <v>27114</v>
      </c>
      <c r="BD946" s="8">
        <v>298305</v>
      </c>
      <c r="BE946" s="8">
        <f t="shared" si="474"/>
        <v>-7414</v>
      </c>
      <c r="BF946" s="8">
        <v>547103</v>
      </c>
      <c r="BG946" s="8">
        <f t="shared" si="475"/>
        <v>17799</v>
      </c>
      <c r="BH946" s="8">
        <v>486426</v>
      </c>
      <c r="BI946" s="8">
        <f t="shared" si="476"/>
        <v>19787</v>
      </c>
      <c r="BJ946" s="8">
        <v>60677</v>
      </c>
      <c r="BK946" s="8">
        <f t="shared" si="450"/>
        <v>-1988</v>
      </c>
    </row>
    <row r="947" spans="1:63">
      <c r="A947" s="5">
        <f t="shared" si="477"/>
        <v>45496</v>
      </c>
      <c r="B947" s="8">
        <v>634214</v>
      </c>
      <c r="C947" s="8">
        <f t="shared" si="456"/>
        <v>22958</v>
      </c>
      <c r="D947" s="8">
        <v>53563</v>
      </c>
      <c r="E947" s="8">
        <f t="shared" si="457"/>
        <v>-2585</v>
      </c>
      <c r="F947" s="8">
        <v>83183</v>
      </c>
      <c r="G947" s="8">
        <f t="shared" si="458"/>
        <v>10397</v>
      </c>
      <c r="H947" s="8">
        <v>-29620</v>
      </c>
      <c r="I947" s="8">
        <f t="shared" si="459"/>
        <v>-12982</v>
      </c>
      <c r="J947" s="8">
        <v>320896</v>
      </c>
      <c r="K947" s="8">
        <f t="shared" si="460"/>
        <v>16856</v>
      </c>
      <c r="L947" s="8">
        <v>313543</v>
      </c>
      <c r="M947" s="8">
        <f t="shared" si="461"/>
        <v>9521</v>
      </c>
      <c r="N947" s="8">
        <v>7353</v>
      </c>
      <c r="O947" s="8">
        <f t="shared" si="462"/>
        <v>7335</v>
      </c>
      <c r="P947" s="8">
        <v>165175</v>
      </c>
      <c r="Q947" s="8">
        <f t="shared" si="463"/>
        <v>13127</v>
      </c>
      <c r="R947" s="8">
        <v>300008</v>
      </c>
      <c r="S947" s="8">
        <f t="shared" si="464"/>
        <v>10042</v>
      </c>
      <c r="T947" s="8">
        <v>-134833</v>
      </c>
      <c r="U947" s="8">
        <f t="shared" si="465"/>
        <v>3085</v>
      </c>
      <c r="W947" s="8">
        <v>595364</v>
      </c>
      <c r="X947" s="8">
        <f t="shared" si="466"/>
        <v>-858</v>
      </c>
      <c r="Y947" s="8">
        <v>98038</v>
      </c>
      <c r="Z947" s="8">
        <f t="shared" si="467"/>
        <v>-8362</v>
      </c>
      <c r="AA947" s="8">
        <v>82697</v>
      </c>
      <c r="AB947" s="8">
        <f t="shared" si="479"/>
        <v>3223</v>
      </c>
      <c r="AC947" s="8">
        <v>15341</v>
      </c>
      <c r="AD947" s="8">
        <f t="shared" si="480"/>
        <v>-11585</v>
      </c>
      <c r="AE947" s="8">
        <v>250465</v>
      </c>
      <c r="AF947" s="8">
        <f t="shared" si="451"/>
        <v>7986</v>
      </c>
      <c r="AG947" s="8">
        <v>286528</v>
      </c>
      <c r="AH947" s="8">
        <f t="shared" si="452"/>
        <v>551</v>
      </c>
      <c r="AI947" s="8">
        <v>-36063</v>
      </c>
      <c r="AJ947" s="8">
        <f t="shared" si="453"/>
        <v>7435</v>
      </c>
      <c r="AK947" s="8">
        <v>127785</v>
      </c>
      <c r="AL947" s="8">
        <f t="shared" si="454"/>
        <v>4658</v>
      </c>
      <c r="AM947" s="8">
        <v>271824</v>
      </c>
      <c r="AN947" s="8">
        <f t="shared" si="455"/>
        <v>-1153</v>
      </c>
      <c r="AO947" s="8">
        <v>-144039</v>
      </c>
      <c r="AP947" s="8">
        <f t="shared" si="468"/>
        <v>5811</v>
      </c>
      <c r="AR947" s="8">
        <v>2106746</v>
      </c>
      <c r="AS947" s="8">
        <f t="shared" si="469"/>
        <v>32054</v>
      </c>
      <c r="AT947" s="8">
        <v>158606</v>
      </c>
      <c r="AU947" s="8">
        <f t="shared" si="470"/>
        <v>6393</v>
      </c>
      <c r="AV947" s="8">
        <v>477155</v>
      </c>
      <c r="AW947" s="8">
        <f t="shared" si="471"/>
        <v>-18454</v>
      </c>
      <c r="AX947" s="8">
        <v>-318549</v>
      </c>
      <c r="AY947" s="8">
        <f t="shared" si="478"/>
        <v>24847</v>
      </c>
      <c r="AZ947" s="8">
        <v>867089</v>
      </c>
      <c r="BA947" s="8">
        <f t="shared" si="472"/>
        <v>9246</v>
      </c>
      <c r="BB947" s="8">
        <v>586023</v>
      </c>
      <c r="BC947" s="8">
        <f t="shared" si="473"/>
        <v>26485</v>
      </c>
      <c r="BD947" s="8">
        <v>281066</v>
      </c>
      <c r="BE947" s="8">
        <f t="shared" si="474"/>
        <v>-17239</v>
      </c>
      <c r="BF947" s="8">
        <v>540268</v>
      </c>
      <c r="BG947" s="8">
        <f t="shared" si="475"/>
        <v>-6835</v>
      </c>
      <c r="BH947" s="8">
        <v>502752</v>
      </c>
      <c r="BI947" s="8">
        <f t="shared" si="476"/>
        <v>16326</v>
      </c>
      <c r="BJ947" s="8">
        <v>37516</v>
      </c>
      <c r="BK947" s="8">
        <f t="shared" si="450"/>
        <v>-23161</v>
      </c>
    </row>
    <row r="948" spans="1:63">
      <c r="A948" s="5">
        <f t="shared" si="477"/>
        <v>45503</v>
      </c>
      <c r="B948" s="8">
        <v>608064</v>
      </c>
      <c r="C948" s="8">
        <f t="shared" si="456"/>
        <v>-26150</v>
      </c>
      <c r="D948" s="8">
        <v>55452</v>
      </c>
      <c r="E948" s="8">
        <f t="shared" si="457"/>
        <v>1889</v>
      </c>
      <c r="F948" s="8">
        <v>115039</v>
      </c>
      <c r="G948" s="8">
        <f t="shared" si="458"/>
        <v>31856</v>
      </c>
      <c r="H948" s="8">
        <v>-59587</v>
      </c>
      <c r="I948" s="8">
        <f t="shared" si="459"/>
        <v>-29967</v>
      </c>
      <c r="J948" s="8">
        <v>315167</v>
      </c>
      <c r="K948" s="8">
        <f t="shared" si="460"/>
        <v>-5729</v>
      </c>
      <c r="L948" s="8">
        <v>275706</v>
      </c>
      <c r="M948" s="8">
        <f t="shared" si="461"/>
        <v>-37837</v>
      </c>
      <c r="N948" s="8">
        <v>39461</v>
      </c>
      <c r="O948" s="8">
        <f t="shared" si="462"/>
        <v>32108</v>
      </c>
      <c r="P948" s="8">
        <v>161492</v>
      </c>
      <c r="Q948" s="8">
        <f t="shared" si="463"/>
        <v>-3683</v>
      </c>
      <c r="R948" s="8">
        <v>263152</v>
      </c>
      <c r="S948" s="8">
        <f t="shared" si="464"/>
        <v>-36856</v>
      </c>
      <c r="T948" s="8">
        <v>-101660</v>
      </c>
      <c r="U948" s="8">
        <f t="shared" si="465"/>
        <v>33173</v>
      </c>
      <c r="W948" s="8">
        <v>565024</v>
      </c>
      <c r="X948" s="8">
        <f t="shared" si="466"/>
        <v>-30340</v>
      </c>
      <c r="Y948" s="8">
        <v>103068</v>
      </c>
      <c r="Z948" s="8">
        <f t="shared" si="467"/>
        <v>5030</v>
      </c>
      <c r="AA948" s="8">
        <v>71338</v>
      </c>
      <c r="AB948" s="8">
        <f t="shared" si="479"/>
        <v>-11359</v>
      </c>
      <c r="AC948" s="8">
        <v>31730</v>
      </c>
      <c r="AD948" s="8">
        <f t="shared" si="480"/>
        <v>16389</v>
      </c>
      <c r="AE948" s="8">
        <v>243694</v>
      </c>
      <c r="AF948" s="8">
        <f t="shared" si="451"/>
        <v>-6771</v>
      </c>
      <c r="AG948" s="8">
        <v>294841</v>
      </c>
      <c r="AH948" s="8">
        <f t="shared" si="452"/>
        <v>8313</v>
      </c>
      <c r="AI948" s="8">
        <v>-51147</v>
      </c>
      <c r="AJ948" s="8">
        <f t="shared" si="453"/>
        <v>-15084</v>
      </c>
      <c r="AK948" s="8">
        <v>121901</v>
      </c>
      <c r="AL948" s="8">
        <f t="shared" si="454"/>
        <v>-5884</v>
      </c>
      <c r="AM948" s="8">
        <v>278895</v>
      </c>
      <c r="AN948" s="8">
        <f t="shared" si="455"/>
        <v>7071</v>
      </c>
      <c r="AO948" s="8">
        <v>-156994</v>
      </c>
      <c r="AP948" s="8">
        <f t="shared" si="468"/>
        <v>-12955</v>
      </c>
      <c r="AR948" s="8">
        <v>2024400</v>
      </c>
      <c r="AS948" s="8">
        <f t="shared" si="469"/>
        <v>-82346</v>
      </c>
      <c r="AT948" s="8">
        <v>159777</v>
      </c>
      <c r="AU948" s="8">
        <f t="shared" si="470"/>
        <v>1171</v>
      </c>
      <c r="AV948" s="8">
        <v>454873</v>
      </c>
      <c r="AW948" s="8">
        <f t="shared" si="471"/>
        <v>-22282</v>
      </c>
      <c r="AX948" s="8">
        <v>-295096</v>
      </c>
      <c r="AY948" s="8">
        <f t="shared" si="478"/>
        <v>23453</v>
      </c>
      <c r="AZ948" s="8">
        <v>853195</v>
      </c>
      <c r="BA948" s="8">
        <f t="shared" si="472"/>
        <v>-13894</v>
      </c>
      <c r="BB948" s="8">
        <v>586387</v>
      </c>
      <c r="BC948" s="8">
        <f t="shared" si="473"/>
        <v>364</v>
      </c>
      <c r="BD948" s="8">
        <v>266808</v>
      </c>
      <c r="BE948" s="8">
        <f t="shared" si="474"/>
        <v>-14258</v>
      </c>
      <c r="BF948" s="8">
        <v>533933</v>
      </c>
      <c r="BG948" s="8">
        <f t="shared" si="475"/>
        <v>-6335</v>
      </c>
      <c r="BH948" s="8">
        <v>506786</v>
      </c>
      <c r="BI948" s="8">
        <f t="shared" si="476"/>
        <v>4034</v>
      </c>
      <c r="BJ948" s="8">
        <v>27147</v>
      </c>
      <c r="BK948" s="8">
        <f t="shared" si="450"/>
        <v>-10369</v>
      </c>
    </row>
    <row r="949" spans="1:63">
      <c r="A949" s="5">
        <f t="shared" si="477"/>
        <v>45510</v>
      </c>
      <c r="B949" s="8">
        <v>601516</v>
      </c>
      <c r="C949" s="8">
        <f t="shared" si="456"/>
        <v>-6548</v>
      </c>
      <c r="D949" s="8">
        <v>50510</v>
      </c>
      <c r="E949" s="8">
        <f t="shared" si="457"/>
        <v>-4942</v>
      </c>
      <c r="F949" s="8">
        <v>129779</v>
      </c>
      <c r="G949" s="8">
        <f t="shared" si="458"/>
        <v>14740</v>
      </c>
      <c r="H949" s="8">
        <v>-79269</v>
      </c>
      <c r="I949" s="8">
        <f t="shared" si="459"/>
        <v>-19682</v>
      </c>
      <c r="J949" s="8">
        <v>310205</v>
      </c>
      <c r="K949" s="8">
        <f t="shared" si="460"/>
        <v>-4962</v>
      </c>
      <c r="L949" s="8">
        <v>255271</v>
      </c>
      <c r="M949" s="8">
        <f t="shared" si="461"/>
        <v>-20435</v>
      </c>
      <c r="N949" s="8">
        <v>54934</v>
      </c>
      <c r="O949" s="8">
        <f t="shared" si="462"/>
        <v>15473</v>
      </c>
      <c r="P949" s="8">
        <v>158522</v>
      </c>
      <c r="Q949" s="8">
        <f t="shared" si="463"/>
        <v>-2970</v>
      </c>
      <c r="R949" s="8">
        <v>242249</v>
      </c>
      <c r="S949" s="8">
        <f t="shared" si="464"/>
        <v>-20903</v>
      </c>
      <c r="T949" s="8">
        <v>-83727</v>
      </c>
      <c r="U949" s="8">
        <f t="shared" si="465"/>
        <v>17933</v>
      </c>
      <c r="W949" s="8">
        <v>573801</v>
      </c>
      <c r="X949" s="8">
        <f t="shared" si="466"/>
        <v>8777</v>
      </c>
      <c r="Y949" s="8">
        <v>103308</v>
      </c>
      <c r="Z949" s="8">
        <f t="shared" si="467"/>
        <v>240</v>
      </c>
      <c r="AA949" s="8">
        <v>61299</v>
      </c>
      <c r="AB949" s="8">
        <f t="shared" si="479"/>
        <v>-10039</v>
      </c>
      <c r="AC949" s="8">
        <v>42009</v>
      </c>
      <c r="AD949" s="8">
        <f t="shared" si="480"/>
        <v>10279</v>
      </c>
      <c r="AE949" s="8">
        <v>242476</v>
      </c>
      <c r="AF949" s="8">
        <f t="shared" si="451"/>
        <v>-1218</v>
      </c>
      <c r="AG949" s="8">
        <v>304182</v>
      </c>
      <c r="AH949" s="8">
        <f t="shared" si="452"/>
        <v>9341</v>
      </c>
      <c r="AI949" s="8">
        <v>-61706</v>
      </c>
      <c r="AJ949" s="8">
        <f t="shared" si="453"/>
        <v>-10559</v>
      </c>
      <c r="AK949" s="8">
        <v>119204</v>
      </c>
      <c r="AL949" s="8">
        <f t="shared" si="454"/>
        <v>-2697</v>
      </c>
      <c r="AM949" s="8">
        <v>286528</v>
      </c>
      <c r="AN949" s="8">
        <f t="shared" si="455"/>
        <v>7633</v>
      </c>
      <c r="AO949" s="8">
        <v>-167324</v>
      </c>
      <c r="AP949" s="8">
        <f t="shared" si="468"/>
        <v>-10330</v>
      </c>
      <c r="AR949" s="8">
        <v>2016786</v>
      </c>
      <c r="AS949" s="8">
        <f t="shared" si="469"/>
        <v>-7614</v>
      </c>
      <c r="AT949" s="8">
        <v>170991</v>
      </c>
      <c r="AU949" s="8">
        <f t="shared" si="470"/>
        <v>11214</v>
      </c>
      <c r="AV949" s="8">
        <v>413536</v>
      </c>
      <c r="AW949" s="8">
        <f t="shared" si="471"/>
        <v>-41337</v>
      </c>
      <c r="AX949" s="8">
        <v>-242545</v>
      </c>
      <c r="AY949" s="8">
        <f t="shared" si="478"/>
        <v>52551</v>
      </c>
      <c r="AZ949" s="8">
        <v>831157</v>
      </c>
      <c r="BA949" s="8">
        <f t="shared" si="472"/>
        <v>-22038</v>
      </c>
      <c r="BB949" s="8">
        <v>618745</v>
      </c>
      <c r="BC949" s="8">
        <f t="shared" si="473"/>
        <v>32358</v>
      </c>
      <c r="BD949" s="8">
        <v>212412</v>
      </c>
      <c r="BE949" s="8">
        <f t="shared" si="474"/>
        <v>-54396</v>
      </c>
      <c r="BF949" s="8">
        <v>521625</v>
      </c>
      <c r="BG949" s="8">
        <f t="shared" si="475"/>
        <v>-12308</v>
      </c>
      <c r="BH949" s="8">
        <v>533082</v>
      </c>
      <c r="BI949" s="8">
        <f t="shared" si="476"/>
        <v>26296</v>
      </c>
      <c r="BJ949" s="8">
        <v>-11457</v>
      </c>
      <c r="BK949" s="8">
        <f t="shared" si="450"/>
        <v>-38604</v>
      </c>
    </row>
    <row r="950" spans="1:63">
      <c r="A950" s="5">
        <f t="shared" si="477"/>
        <v>45517</v>
      </c>
      <c r="B950" s="8">
        <v>615765</v>
      </c>
      <c r="C950" s="8">
        <f t="shared" si="456"/>
        <v>14249</v>
      </c>
      <c r="D950" s="8">
        <v>54647</v>
      </c>
      <c r="E950" s="8">
        <f t="shared" si="457"/>
        <v>4137</v>
      </c>
      <c r="F950" s="8">
        <v>134920</v>
      </c>
      <c r="G950" s="8">
        <f t="shared" si="458"/>
        <v>5141</v>
      </c>
      <c r="H950" s="8">
        <v>-80273</v>
      </c>
      <c r="I950" s="8">
        <f t="shared" si="459"/>
        <v>-1004</v>
      </c>
      <c r="J950" s="8">
        <v>320728</v>
      </c>
      <c r="K950" s="8">
        <f t="shared" si="460"/>
        <v>10523</v>
      </c>
      <c r="L950" s="8">
        <v>263343</v>
      </c>
      <c r="M950" s="8">
        <f t="shared" si="461"/>
        <v>8072</v>
      </c>
      <c r="N950" s="8">
        <v>57385</v>
      </c>
      <c r="O950" s="8">
        <f t="shared" si="462"/>
        <v>2451</v>
      </c>
      <c r="P950" s="8">
        <v>169774</v>
      </c>
      <c r="Q950" s="8">
        <f t="shared" si="463"/>
        <v>11252</v>
      </c>
      <c r="R950" s="8">
        <v>249065</v>
      </c>
      <c r="S950" s="8">
        <f t="shared" si="464"/>
        <v>6816</v>
      </c>
      <c r="T950" s="8">
        <v>-79291</v>
      </c>
      <c r="U950" s="8">
        <f t="shared" si="465"/>
        <v>4436</v>
      </c>
      <c r="W950" s="8">
        <v>602441</v>
      </c>
      <c r="X950" s="8">
        <f t="shared" si="466"/>
        <v>28640</v>
      </c>
      <c r="Y950" s="8">
        <v>84324</v>
      </c>
      <c r="Z950" s="8">
        <f t="shared" si="467"/>
        <v>-18984</v>
      </c>
      <c r="AA950" s="8">
        <v>83545</v>
      </c>
      <c r="AB950" s="8">
        <f t="shared" si="479"/>
        <v>22246</v>
      </c>
      <c r="AC950" s="8">
        <v>779</v>
      </c>
      <c r="AD950" s="8">
        <f t="shared" si="480"/>
        <v>-41230</v>
      </c>
      <c r="AE950" s="8">
        <v>274371</v>
      </c>
      <c r="AF950" s="8">
        <f t="shared" si="451"/>
        <v>31895</v>
      </c>
      <c r="AG950" s="8">
        <v>292943</v>
      </c>
      <c r="AH950" s="8">
        <f t="shared" si="452"/>
        <v>-11239</v>
      </c>
      <c r="AI950" s="8">
        <v>-18572</v>
      </c>
      <c r="AJ950" s="8">
        <f t="shared" si="453"/>
        <v>43134</v>
      </c>
      <c r="AK950" s="8">
        <v>148533</v>
      </c>
      <c r="AL950" s="8">
        <f t="shared" si="454"/>
        <v>29329</v>
      </c>
      <c r="AM950" s="8">
        <v>275714</v>
      </c>
      <c r="AN950" s="8">
        <f t="shared" si="455"/>
        <v>-10814</v>
      </c>
      <c r="AO950" s="8">
        <v>-127181</v>
      </c>
      <c r="AP950" s="8">
        <f t="shared" si="468"/>
        <v>40143</v>
      </c>
      <c r="AR950" s="8">
        <v>2039692</v>
      </c>
      <c r="AS950" s="8">
        <f t="shared" si="469"/>
        <v>22906</v>
      </c>
      <c r="AT950" s="8">
        <v>184369</v>
      </c>
      <c r="AU950" s="8">
        <f t="shared" si="470"/>
        <v>13378</v>
      </c>
      <c r="AV950" s="8">
        <v>433376</v>
      </c>
      <c r="AW950" s="8">
        <f t="shared" si="471"/>
        <v>19840</v>
      </c>
      <c r="AX950" s="8">
        <v>-249007</v>
      </c>
      <c r="AY950" s="8">
        <f t="shared" si="478"/>
        <v>-6462</v>
      </c>
      <c r="AZ950" s="8">
        <v>824541</v>
      </c>
      <c r="BA950" s="8">
        <f t="shared" si="472"/>
        <v>-6616</v>
      </c>
      <c r="BB950" s="8">
        <v>599375</v>
      </c>
      <c r="BC950" s="8">
        <f t="shared" si="473"/>
        <v>-19370</v>
      </c>
      <c r="BD950" s="8">
        <v>225166</v>
      </c>
      <c r="BE950" s="8">
        <f t="shared" si="474"/>
        <v>12754</v>
      </c>
      <c r="BF950" s="8">
        <v>528989</v>
      </c>
      <c r="BG950" s="8">
        <f t="shared" si="475"/>
        <v>7364</v>
      </c>
      <c r="BH950" s="8">
        <v>519356</v>
      </c>
      <c r="BI950" s="8">
        <f t="shared" si="476"/>
        <v>-13726</v>
      </c>
      <c r="BJ950" s="8">
        <v>9633</v>
      </c>
      <c r="BK950" s="8">
        <f t="shared" si="450"/>
        <v>21090</v>
      </c>
    </row>
    <row r="951" spans="1:63">
      <c r="A951" s="5">
        <f t="shared" si="477"/>
        <v>45524</v>
      </c>
      <c r="B951" s="8">
        <v>634145</v>
      </c>
      <c r="C951" s="8">
        <f t="shared" si="456"/>
        <v>18380</v>
      </c>
      <c r="D951" s="8">
        <v>59939</v>
      </c>
      <c r="E951" s="8">
        <f t="shared" si="457"/>
        <v>5292</v>
      </c>
      <c r="F951" s="8">
        <v>144327</v>
      </c>
      <c r="G951" s="8">
        <f t="shared" si="458"/>
        <v>9407</v>
      </c>
      <c r="H951" s="8">
        <v>-84388</v>
      </c>
      <c r="I951" s="8">
        <f t="shared" si="459"/>
        <v>-4115</v>
      </c>
      <c r="J951" s="8">
        <v>326864</v>
      </c>
      <c r="K951" s="8">
        <f t="shared" si="460"/>
        <v>6136</v>
      </c>
      <c r="L951" s="8">
        <v>277661</v>
      </c>
      <c r="M951" s="8">
        <f t="shared" si="461"/>
        <v>14318</v>
      </c>
      <c r="N951" s="8">
        <v>49203</v>
      </c>
      <c r="O951" s="8">
        <f t="shared" si="462"/>
        <v>-8182</v>
      </c>
      <c r="P951" s="8">
        <v>175390</v>
      </c>
      <c r="Q951" s="8">
        <f t="shared" si="463"/>
        <v>5616</v>
      </c>
      <c r="R951" s="8">
        <v>261994</v>
      </c>
      <c r="S951" s="8">
        <f t="shared" si="464"/>
        <v>12929</v>
      </c>
      <c r="T951" s="8">
        <v>-86604</v>
      </c>
      <c r="U951" s="8">
        <f t="shared" si="465"/>
        <v>-7313</v>
      </c>
      <c r="W951" s="8">
        <v>594491</v>
      </c>
      <c r="X951" s="8">
        <f t="shared" si="466"/>
        <v>-7950</v>
      </c>
      <c r="Y951" s="8">
        <v>89357</v>
      </c>
      <c r="Z951" s="8">
        <f t="shared" si="467"/>
        <v>5033</v>
      </c>
      <c r="AA951" s="8">
        <v>85765</v>
      </c>
      <c r="AB951" s="8">
        <f t="shared" si="479"/>
        <v>2220</v>
      </c>
      <c r="AC951" s="8">
        <v>3592</v>
      </c>
      <c r="AD951" s="8">
        <f t="shared" si="480"/>
        <v>2813</v>
      </c>
      <c r="AE951" s="8">
        <v>269813</v>
      </c>
      <c r="AF951" s="8">
        <f t="shared" si="451"/>
        <v>-4558</v>
      </c>
      <c r="AG951" s="8">
        <v>296096</v>
      </c>
      <c r="AH951" s="8">
        <f t="shared" si="452"/>
        <v>3153</v>
      </c>
      <c r="AI951" s="8">
        <v>-26283</v>
      </c>
      <c r="AJ951" s="8">
        <f t="shared" si="453"/>
        <v>-7711</v>
      </c>
      <c r="AK951" s="8">
        <v>141486</v>
      </c>
      <c r="AL951" s="8">
        <f t="shared" si="454"/>
        <v>-7047</v>
      </c>
      <c r="AM951" s="8">
        <v>276878</v>
      </c>
      <c r="AN951" s="8">
        <f t="shared" si="455"/>
        <v>1164</v>
      </c>
      <c r="AO951" s="8">
        <v>-135392</v>
      </c>
      <c r="AP951" s="8">
        <f t="shared" si="468"/>
        <v>-8211</v>
      </c>
      <c r="AR951" s="8">
        <v>2005047</v>
      </c>
      <c r="AS951" s="8">
        <f t="shared" si="469"/>
        <v>-34645</v>
      </c>
      <c r="AT951" s="8">
        <v>174897</v>
      </c>
      <c r="AU951" s="8">
        <f t="shared" si="470"/>
        <v>-9472</v>
      </c>
      <c r="AV951" s="8">
        <v>432793</v>
      </c>
      <c r="AW951" s="8">
        <f t="shared" si="471"/>
        <v>-583</v>
      </c>
      <c r="AX951" s="8">
        <v>-257896</v>
      </c>
      <c r="AY951" s="8">
        <f t="shared" si="478"/>
        <v>-8889</v>
      </c>
      <c r="AZ951" s="8">
        <v>826536</v>
      </c>
      <c r="BA951" s="8">
        <f t="shared" si="472"/>
        <v>1995</v>
      </c>
      <c r="BB951" s="8">
        <v>589671</v>
      </c>
      <c r="BC951" s="8">
        <f t="shared" si="473"/>
        <v>-9704</v>
      </c>
      <c r="BD951" s="8">
        <v>236865</v>
      </c>
      <c r="BE951" s="8">
        <f t="shared" si="474"/>
        <v>11699</v>
      </c>
      <c r="BF951" s="8">
        <v>514047</v>
      </c>
      <c r="BG951" s="8">
        <f t="shared" si="475"/>
        <v>-14942</v>
      </c>
      <c r="BH951" s="8">
        <v>499378</v>
      </c>
      <c r="BI951" s="8">
        <f t="shared" si="476"/>
        <v>-19978</v>
      </c>
      <c r="BJ951" s="8">
        <v>14669</v>
      </c>
      <c r="BK951" s="8">
        <f t="shared" si="450"/>
        <v>5036</v>
      </c>
    </row>
    <row r="952" spans="1:63">
      <c r="A952" s="5">
        <f t="shared" si="477"/>
        <v>45531</v>
      </c>
      <c r="B952" s="8">
        <v>583828</v>
      </c>
      <c r="C952" s="8">
        <f t="shared" si="456"/>
        <v>-50317</v>
      </c>
      <c r="D952" s="8">
        <v>59287</v>
      </c>
      <c r="E952" s="8">
        <f t="shared" si="457"/>
        <v>-652</v>
      </c>
      <c r="F952" s="8">
        <v>127566</v>
      </c>
      <c r="G952" s="8">
        <f t="shared" si="458"/>
        <v>-16761</v>
      </c>
      <c r="H952" s="8">
        <v>-68279</v>
      </c>
      <c r="I952" s="8">
        <f t="shared" si="459"/>
        <v>16109</v>
      </c>
      <c r="J952" s="8">
        <v>303748</v>
      </c>
      <c r="K952" s="8">
        <f t="shared" si="460"/>
        <v>-23116</v>
      </c>
      <c r="L952" s="8">
        <v>270948</v>
      </c>
      <c r="M952" s="8">
        <f t="shared" si="461"/>
        <v>-6713</v>
      </c>
      <c r="N952" s="8">
        <v>32800</v>
      </c>
      <c r="O952" s="8">
        <f t="shared" si="462"/>
        <v>-16403</v>
      </c>
      <c r="P952" s="8">
        <v>156330</v>
      </c>
      <c r="Q952" s="8">
        <f t="shared" si="463"/>
        <v>-19060</v>
      </c>
      <c r="R952" s="8">
        <v>255945</v>
      </c>
      <c r="S952" s="8">
        <f t="shared" si="464"/>
        <v>-6049</v>
      </c>
      <c r="T952" s="8">
        <v>-99615</v>
      </c>
      <c r="U952" s="8">
        <f t="shared" si="465"/>
        <v>-13011</v>
      </c>
      <c r="W952" s="8">
        <v>575331</v>
      </c>
      <c r="X952" s="8">
        <f t="shared" si="466"/>
        <v>-19160</v>
      </c>
      <c r="Y952" s="8">
        <v>90479</v>
      </c>
      <c r="Z952" s="8">
        <f t="shared" si="467"/>
        <v>1122</v>
      </c>
      <c r="AA952" s="8">
        <v>85350</v>
      </c>
      <c r="AB952" s="8">
        <f t="shared" si="479"/>
        <v>-415</v>
      </c>
      <c r="AC952" s="8">
        <v>5129</v>
      </c>
      <c r="AD952" s="8">
        <f t="shared" si="480"/>
        <v>1537</v>
      </c>
      <c r="AE952" s="8">
        <v>262341</v>
      </c>
      <c r="AF952" s="8">
        <f t="shared" si="451"/>
        <v>-7472</v>
      </c>
      <c r="AG952" s="8">
        <v>293642</v>
      </c>
      <c r="AH952" s="8">
        <f t="shared" si="452"/>
        <v>-2454</v>
      </c>
      <c r="AI952" s="8">
        <v>-31301</v>
      </c>
      <c r="AJ952" s="8">
        <f t="shared" si="453"/>
        <v>-5018</v>
      </c>
      <c r="AK952" s="8">
        <v>137188</v>
      </c>
      <c r="AL952" s="8">
        <f t="shared" si="454"/>
        <v>-4298</v>
      </c>
      <c r="AM952" s="8">
        <v>273741</v>
      </c>
      <c r="AN952" s="8">
        <f t="shared" si="455"/>
        <v>-3137</v>
      </c>
      <c r="AO952" s="8">
        <v>-136553</v>
      </c>
      <c r="AP952" s="8">
        <f t="shared" si="468"/>
        <v>-1161</v>
      </c>
      <c r="AR952" s="8">
        <v>1777126</v>
      </c>
      <c r="AS952" s="8">
        <f t="shared" si="469"/>
        <v>-227921</v>
      </c>
      <c r="AT952" s="8">
        <v>181520</v>
      </c>
      <c r="AU952" s="8">
        <f t="shared" si="470"/>
        <v>6623</v>
      </c>
      <c r="AV952" s="8">
        <v>423428</v>
      </c>
      <c r="AW952" s="8">
        <f t="shared" si="471"/>
        <v>-9365</v>
      </c>
      <c r="AX952" s="8">
        <v>-241908</v>
      </c>
      <c r="AY952" s="8">
        <f t="shared" si="478"/>
        <v>15988</v>
      </c>
      <c r="AZ952" s="8">
        <v>738731</v>
      </c>
      <c r="BA952" s="8">
        <f t="shared" si="472"/>
        <v>-87805</v>
      </c>
      <c r="BB952" s="8">
        <v>537602</v>
      </c>
      <c r="BC952" s="8">
        <f t="shared" si="473"/>
        <v>-52069</v>
      </c>
      <c r="BD952" s="8">
        <v>201129</v>
      </c>
      <c r="BE952" s="8">
        <f t="shared" si="474"/>
        <v>-35736</v>
      </c>
      <c r="BF952" s="8">
        <v>453322</v>
      </c>
      <c r="BG952" s="8">
        <f t="shared" si="475"/>
        <v>-60725</v>
      </c>
      <c r="BH952" s="8">
        <v>471178</v>
      </c>
      <c r="BI952" s="8">
        <f t="shared" si="476"/>
        <v>-28200</v>
      </c>
      <c r="BJ952" s="8">
        <v>-17856</v>
      </c>
      <c r="BK952" s="8">
        <f t="shared" si="450"/>
        <v>-32525</v>
      </c>
    </row>
    <row r="953" spans="1:63">
      <c r="A953" s="5">
        <f t="shared" si="477"/>
        <v>45538</v>
      </c>
      <c r="B953" s="8">
        <v>583692</v>
      </c>
      <c r="C953" s="8">
        <f t="shared" si="456"/>
        <v>-136</v>
      </c>
      <c r="D953" s="8">
        <v>62712</v>
      </c>
      <c r="E953" s="8">
        <f t="shared" si="457"/>
        <v>3425</v>
      </c>
      <c r="F953" s="8">
        <v>110239</v>
      </c>
      <c r="G953" s="8">
        <f t="shared" si="458"/>
        <v>-17327</v>
      </c>
      <c r="H953" s="8">
        <v>-47527</v>
      </c>
      <c r="I953" s="8">
        <f t="shared" si="459"/>
        <v>20752</v>
      </c>
      <c r="J953" s="8">
        <v>301272</v>
      </c>
      <c r="K953" s="8">
        <f t="shared" si="460"/>
        <v>-2476</v>
      </c>
      <c r="L953" s="8">
        <v>287755</v>
      </c>
      <c r="M953" s="8">
        <f t="shared" si="461"/>
        <v>16807</v>
      </c>
      <c r="N953" s="8">
        <v>13517</v>
      </c>
      <c r="O953" s="8">
        <f t="shared" si="462"/>
        <v>-19283</v>
      </c>
      <c r="P953" s="8">
        <v>152031</v>
      </c>
      <c r="Q953" s="8">
        <f t="shared" si="463"/>
        <v>-4299</v>
      </c>
      <c r="R953" s="8">
        <v>273071</v>
      </c>
      <c r="S953" s="8">
        <f t="shared" si="464"/>
        <v>17126</v>
      </c>
      <c r="T953" s="8">
        <v>-121040</v>
      </c>
      <c r="U953" s="8">
        <f t="shared" si="465"/>
        <v>-21425</v>
      </c>
      <c r="W953" s="8">
        <v>569863</v>
      </c>
      <c r="X953" s="8">
        <f t="shared" si="466"/>
        <v>-5468</v>
      </c>
      <c r="Y953" s="8">
        <v>99841</v>
      </c>
      <c r="Z953" s="8">
        <f t="shared" si="467"/>
        <v>9362</v>
      </c>
      <c r="AA953" s="8">
        <v>76670</v>
      </c>
      <c r="AB953" s="8">
        <f t="shared" si="479"/>
        <v>-8680</v>
      </c>
      <c r="AC953" s="8">
        <v>23171</v>
      </c>
      <c r="AD953" s="8">
        <f t="shared" si="480"/>
        <v>18042</v>
      </c>
      <c r="AE953" s="8">
        <v>259418</v>
      </c>
      <c r="AF953" s="8">
        <f t="shared" si="451"/>
        <v>-2923</v>
      </c>
      <c r="AG953" s="8">
        <v>308098</v>
      </c>
      <c r="AH953" s="8">
        <f t="shared" si="452"/>
        <v>14456</v>
      </c>
      <c r="AI953" s="8">
        <v>-48680</v>
      </c>
      <c r="AJ953" s="8">
        <f t="shared" si="453"/>
        <v>-17379</v>
      </c>
      <c r="AK953" s="8">
        <v>129550</v>
      </c>
      <c r="AL953" s="8">
        <f t="shared" si="454"/>
        <v>-7638</v>
      </c>
      <c r="AM953" s="8">
        <v>286517</v>
      </c>
      <c r="AN953" s="8">
        <f t="shared" si="455"/>
        <v>12776</v>
      </c>
      <c r="AO953" s="8">
        <v>-156967</v>
      </c>
      <c r="AP953" s="8">
        <f t="shared" si="468"/>
        <v>-20414</v>
      </c>
      <c r="AR953" s="8">
        <v>1702699</v>
      </c>
      <c r="AS953" s="8">
        <f t="shared" si="469"/>
        <v>-74427</v>
      </c>
      <c r="AT953" s="8">
        <v>200006</v>
      </c>
      <c r="AU953" s="8">
        <f t="shared" si="470"/>
        <v>18486</v>
      </c>
      <c r="AV953" s="8">
        <v>376217</v>
      </c>
      <c r="AW953" s="8">
        <f t="shared" si="471"/>
        <v>-47211</v>
      </c>
      <c r="AX953" s="8">
        <v>-176211</v>
      </c>
      <c r="AY953" s="8">
        <f t="shared" si="478"/>
        <v>65697</v>
      </c>
      <c r="AZ953" s="8">
        <v>699952</v>
      </c>
      <c r="BA953" s="8">
        <f t="shared" si="472"/>
        <v>-38779</v>
      </c>
      <c r="BB953" s="8">
        <v>558485</v>
      </c>
      <c r="BC953" s="8">
        <f t="shared" si="473"/>
        <v>20883</v>
      </c>
      <c r="BD953" s="8">
        <v>141467</v>
      </c>
      <c r="BE953" s="8">
        <f t="shared" si="474"/>
        <v>-59662</v>
      </c>
      <c r="BF953" s="8">
        <v>411698</v>
      </c>
      <c r="BG953" s="8">
        <f t="shared" si="475"/>
        <v>-41624</v>
      </c>
      <c r="BH953" s="8">
        <v>487338</v>
      </c>
      <c r="BI953" s="8">
        <f t="shared" si="476"/>
        <v>16160</v>
      </c>
      <c r="BJ953" s="8">
        <v>-75640</v>
      </c>
      <c r="BK953" s="8">
        <f t="shared" si="450"/>
        <v>-57784</v>
      </c>
    </row>
    <row r="954" spans="1:63">
      <c r="A954" s="5">
        <f t="shared" si="477"/>
        <v>45545</v>
      </c>
      <c r="B954" s="8">
        <v>589366</v>
      </c>
      <c r="C954" s="8">
        <f t="shared" si="456"/>
        <v>5674</v>
      </c>
      <c r="D954" s="8">
        <v>67520</v>
      </c>
      <c r="E954" s="8">
        <f t="shared" si="457"/>
        <v>4808</v>
      </c>
      <c r="F954" s="8">
        <v>115137</v>
      </c>
      <c r="G954" s="8">
        <f t="shared" si="458"/>
        <v>4898</v>
      </c>
      <c r="H954" s="8">
        <v>-47617</v>
      </c>
      <c r="I954" s="8">
        <f t="shared" si="459"/>
        <v>-90</v>
      </c>
      <c r="J954" s="8">
        <v>295336</v>
      </c>
      <c r="K954" s="8">
        <f t="shared" si="460"/>
        <v>-5936</v>
      </c>
      <c r="L954" s="8">
        <v>284045</v>
      </c>
      <c r="M954" s="8">
        <f t="shared" si="461"/>
        <v>-3710</v>
      </c>
      <c r="N954" s="8">
        <v>11291</v>
      </c>
      <c r="O954" s="8">
        <f t="shared" si="462"/>
        <v>-2226</v>
      </c>
      <c r="P954" s="8">
        <v>148689</v>
      </c>
      <c r="Q954" s="8">
        <f t="shared" si="463"/>
        <v>-3342</v>
      </c>
      <c r="R954" s="8">
        <v>268849</v>
      </c>
      <c r="S954" s="8">
        <f t="shared" si="464"/>
        <v>-4222</v>
      </c>
      <c r="T954" s="8">
        <v>-120160</v>
      </c>
      <c r="U954" s="8">
        <f t="shared" si="465"/>
        <v>880</v>
      </c>
      <c r="W954" s="8">
        <v>565319</v>
      </c>
      <c r="X954" s="8">
        <f t="shared" si="466"/>
        <v>-4544</v>
      </c>
      <c r="Y954" s="8">
        <v>100475</v>
      </c>
      <c r="Z954" s="8">
        <f t="shared" si="467"/>
        <v>634</v>
      </c>
      <c r="AA954" s="8">
        <v>63427</v>
      </c>
      <c r="AB954" s="8">
        <f t="shared" si="479"/>
        <v>-13243</v>
      </c>
      <c r="AC954" s="8">
        <v>37048</v>
      </c>
      <c r="AD954" s="8">
        <f t="shared" si="480"/>
        <v>13877</v>
      </c>
      <c r="AE954" s="8">
        <v>262038</v>
      </c>
      <c r="AF954" s="8">
        <f t="shared" si="451"/>
        <v>2620</v>
      </c>
      <c r="AG954" s="8">
        <v>317963</v>
      </c>
      <c r="AH954" s="8">
        <f t="shared" si="452"/>
        <v>9865</v>
      </c>
      <c r="AI954" s="8">
        <v>-55925</v>
      </c>
      <c r="AJ954" s="8">
        <f t="shared" si="453"/>
        <v>-7245</v>
      </c>
      <c r="AK954" s="8">
        <v>132073</v>
      </c>
      <c r="AL954" s="8">
        <f t="shared" si="454"/>
        <v>2523</v>
      </c>
      <c r="AM954" s="8">
        <v>297021</v>
      </c>
      <c r="AN954" s="8">
        <f t="shared" si="455"/>
        <v>10504</v>
      </c>
      <c r="AO954" s="8">
        <v>-164948</v>
      </c>
      <c r="AP954" s="8">
        <f t="shared" si="468"/>
        <v>-7981</v>
      </c>
      <c r="AR954" s="8">
        <v>1712686</v>
      </c>
      <c r="AS954" s="8">
        <f t="shared" si="469"/>
        <v>9987</v>
      </c>
      <c r="AT954" s="8">
        <v>208463</v>
      </c>
      <c r="AU954" s="8">
        <f t="shared" si="470"/>
        <v>8457</v>
      </c>
      <c r="AV954" s="8">
        <v>340597</v>
      </c>
      <c r="AW954" s="8">
        <f t="shared" si="471"/>
        <v>-35620</v>
      </c>
      <c r="AX954" s="8">
        <v>-132134</v>
      </c>
      <c r="AY954" s="8">
        <f t="shared" si="478"/>
        <v>44077</v>
      </c>
      <c r="AZ954" s="8">
        <v>701175</v>
      </c>
      <c r="BA954" s="8">
        <f t="shared" si="472"/>
        <v>1223</v>
      </c>
      <c r="BB954" s="8">
        <v>589317</v>
      </c>
      <c r="BC954" s="8">
        <f t="shared" si="473"/>
        <v>30832</v>
      </c>
      <c r="BD954" s="8">
        <v>111858</v>
      </c>
      <c r="BE954" s="8">
        <f t="shared" si="474"/>
        <v>-29609</v>
      </c>
      <c r="BF954" s="8">
        <v>409174</v>
      </c>
      <c r="BG954" s="8">
        <f t="shared" si="475"/>
        <v>-2524</v>
      </c>
      <c r="BH954" s="8">
        <v>516523</v>
      </c>
      <c r="BI954" s="8">
        <f t="shared" si="476"/>
        <v>29185</v>
      </c>
      <c r="BJ954" s="8">
        <v>-107349</v>
      </c>
      <c r="BK954" s="8">
        <f t="shared" si="450"/>
        <v>-31709</v>
      </c>
    </row>
    <row r="955" spans="1:63">
      <c r="A955" s="5">
        <f t="shared" si="477"/>
        <v>45552</v>
      </c>
      <c r="B955" s="8">
        <v>605650</v>
      </c>
      <c r="C955" s="8">
        <f t="shared" si="456"/>
        <v>16284</v>
      </c>
      <c r="D955" s="8">
        <v>70478</v>
      </c>
      <c r="E955" s="8">
        <f t="shared" si="457"/>
        <v>2958</v>
      </c>
      <c r="F955" s="8">
        <v>121066</v>
      </c>
      <c r="G955" s="8">
        <f t="shared" si="458"/>
        <v>5929</v>
      </c>
      <c r="H955" s="8">
        <v>-50588</v>
      </c>
      <c r="I955" s="8">
        <f t="shared" si="459"/>
        <v>-2971</v>
      </c>
      <c r="J955" s="8">
        <v>295341</v>
      </c>
      <c r="K955" s="8">
        <f t="shared" si="460"/>
        <v>5</v>
      </c>
      <c r="L955" s="8">
        <v>280757</v>
      </c>
      <c r="M955" s="8">
        <f t="shared" si="461"/>
        <v>-3288</v>
      </c>
      <c r="N955" s="8">
        <v>14584</v>
      </c>
      <c r="O955" s="8">
        <f t="shared" si="462"/>
        <v>3293</v>
      </c>
      <c r="P955" s="8">
        <v>146537</v>
      </c>
      <c r="Q955" s="8">
        <f t="shared" si="463"/>
        <v>-2152</v>
      </c>
      <c r="R955" s="8">
        <v>262669</v>
      </c>
      <c r="S955" s="8">
        <f t="shared" si="464"/>
        <v>-6180</v>
      </c>
      <c r="T955" s="8">
        <v>-116132</v>
      </c>
      <c r="U955" s="8">
        <f t="shared" si="465"/>
        <v>4028</v>
      </c>
      <c r="W955" s="8">
        <v>574487</v>
      </c>
      <c r="X955" s="8">
        <f t="shared" si="466"/>
        <v>9168</v>
      </c>
      <c r="Y955" s="8">
        <v>104869</v>
      </c>
      <c r="Z955" s="8">
        <f t="shared" si="467"/>
        <v>4394</v>
      </c>
      <c r="AA955" s="8">
        <v>65111</v>
      </c>
      <c r="AB955" s="8">
        <f t="shared" si="479"/>
        <v>1684</v>
      </c>
      <c r="AC955" s="8">
        <v>39758</v>
      </c>
      <c r="AD955" s="8">
        <f t="shared" si="480"/>
        <v>2710</v>
      </c>
      <c r="AE955" s="8">
        <v>264739</v>
      </c>
      <c r="AF955" s="8">
        <f t="shared" si="451"/>
        <v>2701</v>
      </c>
      <c r="AG955" s="8">
        <v>324043</v>
      </c>
      <c r="AH955" s="8">
        <f t="shared" si="452"/>
        <v>6080</v>
      </c>
      <c r="AI955" s="8">
        <v>-59304</v>
      </c>
      <c r="AJ955" s="8">
        <f t="shared" si="453"/>
        <v>-3379</v>
      </c>
      <c r="AK955" s="8">
        <v>138198</v>
      </c>
      <c r="AL955" s="8">
        <f t="shared" si="454"/>
        <v>6125</v>
      </c>
      <c r="AM955" s="8">
        <v>302497</v>
      </c>
      <c r="AN955" s="8">
        <f t="shared" si="455"/>
        <v>5476</v>
      </c>
      <c r="AO955" s="8">
        <v>-164299</v>
      </c>
      <c r="AP955" s="8">
        <f t="shared" si="468"/>
        <v>649</v>
      </c>
      <c r="AR955" s="8">
        <v>1797042</v>
      </c>
      <c r="AS955" s="8">
        <f t="shared" si="469"/>
        <v>84356</v>
      </c>
      <c r="AT955" s="8">
        <v>206335</v>
      </c>
      <c r="AU955" s="8">
        <f t="shared" si="470"/>
        <v>-2128</v>
      </c>
      <c r="AV955" s="8">
        <v>341149</v>
      </c>
      <c r="AW955" s="8">
        <f t="shared" si="471"/>
        <v>552</v>
      </c>
      <c r="AX955" s="8">
        <v>-134814</v>
      </c>
      <c r="AY955" s="8">
        <f t="shared" si="478"/>
        <v>-2680</v>
      </c>
      <c r="AZ955" s="8">
        <v>718909</v>
      </c>
      <c r="BA955" s="8">
        <f t="shared" si="472"/>
        <v>17734</v>
      </c>
      <c r="BB955" s="8">
        <v>605758</v>
      </c>
      <c r="BC955" s="8">
        <f t="shared" si="473"/>
        <v>16441</v>
      </c>
      <c r="BD955" s="8">
        <v>113151</v>
      </c>
      <c r="BE955" s="8">
        <f t="shared" si="474"/>
        <v>1293</v>
      </c>
      <c r="BF955" s="8">
        <v>416821</v>
      </c>
      <c r="BG955" s="8">
        <f t="shared" si="475"/>
        <v>7647</v>
      </c>
      <c r="BH955" s="8">
        <v>519049</v>
      </c>
      <c r="BI955" s="8">
        <f t="shared" si="476"/>
        <v>2526</v>
      </c>
      <c r="BJ955" s="8">
        <v>-102228</v>
      </c>
      <c r="BK955" s="8">
        <f t="shared" si="450"/>
        <v>5121</v>
      </c>
    </row>
    <row r="956" spans="1:63">
      <c r="A956" s="5">
        <f t="shared" si="477"/>
        <v>45559</v>
      </c>
      <c r="B956" s="8">
        <v>587272</v>
      </c>
      <c r="C956" s="8">
        <f t="shared" si="456"/>
        <v>-18378</v>
      </c>
      <c r="D956" s="8">
        <v>76846</v>
      </c>
      <c r="E956" s="8">
        <f t="shared" si="457"/>
        <v>6368</v>
      </c>
      <c r="F956" s="8">
        <v>95702</v>
      </c>
      <c r="G956" s="8">
        <f t="shared" si="458"/>
        <v>-25364</v>
      </c>
      <c r="H956" s="8">
        <v>-18856</v>
      </c>
      <c r="I956" s="8">
        <f t="shared" si="459"/>
        <v>31732</v>
      </c>
      <c r="J956" s="8">
        <v>281651</v>
      </c>
      <c r="K956" s="8">
        <f t="shared" si="460"/>
        <v>-13690</v>
      </c>
      <c r="L956" s="8">
        <v>300030</v>
      </c>
      <c r="M956" s="8">
        <f t="shared" si="461"/>
        <v>19273</v>
      </c>
      <c r="N956" s="8">
        <v>-18379</v>
      </c>
      <c r="O956" s="8">
        <f t="shared" si="462"/>
        <v>-32963</v>
      </c>
      <c r="P956" s="8">
        <v>129281</v>
      </c>
      <c r="Q956" s="8">
        <f t="shared" si="463"/>
        <v>-17256</v>
      </c>
      <c r="R956" s="8">
        <v>274367</v>
      </c>
      <c r="S956" s="8">
        <f t="shared" si="464"/>
        <v>11698</v>
      </c>
      <c r="T956" s="8">
        <v>-145086</v>
      </c>
      <c r="U956" s="8">
        <f t="shared" si="465"/>
        <v>-28954</v>
      </c>
      <c r="W956" s="8">
        <v>574726</v>
      </c>
      <c r="X956" s="8">
        <f t="shared" si="466"/>
        <v>239</v>
      </c>
      <c r="Y956" s="8">
        <v>116135</v>
      </c>
      <c r="Z956" s="8">
        <f t="shared" si="467"/>
        <v>11266</v>
      </c>
      <c r="AA956" s="8">
        <v>57876</v>
      </c>
      <c r="AB956" s="8">
        <f t="shared" si="479"/>
        <v>-7235</v>
      </c>
      <c r="AC956" s="8">
        <v>58259</v>
      </c>
      <c r="AD956" s="8">
        <f t="shared" si="480"/>
        <v>18501</v>
      </c>
      <c r="AE956" s="8">
        <v>249858</v>
      </c>
      <c r="AF956" s="8">
        <f t="shared" si="451"/>
        <v>-14881</v>
      </c>
      <c r="AG956" s="8">
        <v>334218</v>
      </c>
      <c r="AH956" s="8">
        <f t="shared" si="452"/>
        <v>10175</v>
      </c>
      <c r="AI956" s="8">
        <v>-84360</v>
      </c>
      <c r="AJ956" s="8">
        <f t="shared" si="453"/>
        <v>-25056</v>
      </c>
      <c r="AK956" s="8">
        <v>125047</v>
      </c>
      <c r="AL956" s="8">
        <f t="shared" si="454"/>
        <v>-13151</v>
      </c>
      <c r="AM956" s="8">
        <v>311586</v>
      </c>
      <c r="AN956" s="8">
        <f t="shared" si="455"/>
        <v>9089</v>
      </c>
      <c r="AO956" s="8">
        <v>-186539</v>
      </c>
      <c r="AP956" s="8">
        <f t="shared" si="468"/>
        <v>-22240</v>
      </c>
      <c r="AR956" s="8">
        <v>1832471</v>
      </c>
      <c r="AS956" s="8">
        <f t="shared" si="469"/>
        <v>35429</v>
      </c>
      <c r="AT956" s="8">
        <v>195412</v>
      </c>
      <c r="AU956" s="8">
        <f t="shared" si="470"/>
        <v>-10923</v>
      </c>
      <c r="AV956" s="8">
        <v>326111</v>
      </c>
      <c r="AW956" s="8">
        <f t="shared" si="471"/>
        <v>-15038</v>
      </c>
      <c r="AX956" s="8">
        <v>-130699</v>
      </c>
      <c r="AY956" s="8">
        <f t="shared" si="478"/>
        <v>4115</v>
      </c>
      <c r="AZ956" s="8">
        <v>733058</v>
      </c>
      <c r="BA956" s="8">
        <f t="shared" si="472"/>
        <v>14149</v>
      </c>
      <c r="BB956" s="8">
        <v>616401</v>
      </c>
      <c r="BC956" s="8">
        <f t="shared" si="473"/>
        <v>10643</v>
      </c>
      <c r="BD956" s="8">
        <v>116657</v>
      </c>
      <c r="BE956" s="8">
        <f t="shared" si="474"/>
        <v>3506</v>
      </c>
      <c r="BF956" s="8">
        <v>426146</v>
      </c>
      <c r="BG956" s="8">
        <f t="shared" si="475"/>
        <v>9325</v>
      </c>
      <c r="BH956" s="8">
        <v>534182</v>
      </c>
      <c r="BI956" s="8">
        <f t="shared" si="476"/>
        <v>15133</v>
      </c>
      <c r="BJ956" s="8">
        <v>-108036</v>
      </c>
      <c r="BK956" s="8">
        <f t="shared" si="450"/>
        <v>-5808</v>
      </c>
    </row>
    <row r="957" spans="1:63">
      <c r="A957" s="5">
        <f t="shared" si="477"/>
        <v>45566</v>
      </c>
      <c r="B957" s="8">
        <v>581129</v>
      </c>
      <c r="C957" s="8">
        <f t="shared" si="456"/>
        <v>-6143</v>
      </c>
      <c r="D957" s="8">
        <v>84789</v>
      </c>
      <c r="E957" s="8">
        <f t="shared" si="457"/>
        <v>7943</v>
      </c>
      <c r="F957" s="8">
        <v>68986</v>
      </c>
      <c r="G957" s="8">
        <f t="shared" si="458"/>
        <v>-26716</v>
      </c>
      <c r="H957" s="8">
        <v>15803</v>
      </c>
      <c r="I957" s="8">
        <f t="shared" si="459"/>
        <v>34659</v>
      </c>
      <c r="J957" s="8">
        <v>273304</v>
      </c>
      <c r="K957" s="8">
        <f t="shared" si="460"/>
        <v>-8347</v>
      </c>
      <c r="L957" s="8">
        <v>323893</v>
      </c>
      <c r="M957" s="8">
        <f t="shared" si="461"/>
        <v>23863</v>
      </c>
      <c r="N957" s="8">
        <v>-50589</v>
      </c>
      <c r="O957" s="8">
        <f t="shared" si="462"/>
        <v>-32210</v>
      </c>
      <c r="P957" s="8">
        <v>119121</v>
      </c>
      <c r="Q957" s="8">
        <f t="shared" si="463"/>
        <v>-10160</v>
      </c>
      <c r="R957" s="8">
        <v>292151</v>
      </c>
      <c r="S957" s="8">
        <f t="shared" si="464"/>
        <v>17784</v>
      </c>
      <c r="T957" s="8">
        <v>-173030</v>
      </c>
      <c r="U957" s="8">
        <f t="shared" si="465"/>
        <v>-27944</v>
      </c>
      <c r="W957" s="8">
        <v>604338</v>
      </c>
      <c r="X957" s="8">
        <f t="shared" si="466"/>
        <v>29612</v>
      </c>
      <c r="Y957" s="8">
        <v>143474</v>
      </c>
      <c r="Z957" s="8">
        <f t="shared" si="467"/>
        <v>27339</v>
      </c>
      <c r="AA957" s="8">
        <v>40265</v>
      </c>
      <c r="AB957" s="8">
        <f t="shared" si="479"/>
        <v>-17611</v>
      </c>
      <c r="AC957" s="8">
        <v>103209</v>
      </c>
      <c r="AD957" s="8">
        <f t="shared" si="480"/>
        <v>44950</v>
      </c>
      <c r="AE957" s="8">
        <v>236348</v>
      </c>
      <c r="AF957" s="8">
        <f t="shared" si="451"/>
        <v>-13510</v>
      </c>
      <c r="AG957" s="8">
        <v>369054</v>
      </c>
      <c r="AH957" s="8">
        <f t="shared" si="452"/>
        <v>34836</v>
      </c>
      <c r="AI957" s="8">
        <v>-132706</v>
      </c>
      <c r="AJ957" s="8">
        <f t="shared" si="453"/>
        <v>-48346</v>
      </c>
      <c r="AK957" s="8">
        <v>108816</v>
      </c>
      <c r="AL957" s="8">
        <f t="shared" si="454"/>
        <v>-16231</v>
      </c>
      <c r="AM957" s="8">
        <v>340106</v>
      </c>
      <c r="AN957" s="8">
        <f t="shared" si="455"/>
        <v>28520</v>
      </c>
      <c r="AO957" s="8">
        <v>-231290</v>
      </c>
      <c r="AP957" s="8">
        <f t="shared" si="468"/>
        <v>-44751</v>
      </c>
      <c r="AR957" s="8">
        <v>1902877</v>
      </c>
      <c r="AS957" s="8">
        <f t="shared" si="469"/>
        <v>70406</v>
      </c>
      <c r="AT957" s="8">
        <v>198456</v>
      </c>
      <c r="AU957" s="8">
        <f t="shared" si="470"/>
        <v>3044</v>
      </c>
      <c r="AV957" s="8">
        <v>266155</v>
      </c>
      <c r="AW957" s="8">
        <f t="shared" si="471"/>
        <v>-59956</v>
      </c>
      <c r="AX957" s="8">
        <v>-67699</v>
      </c>
      <c r="AY957" s="8">
        <f t="shared" si="478"/>
        <v>63000</v>
      </c>
      <c r="AZ957" s="8">
        <v>776786</v>
      </c>
      <c r="BA957" s="8">
        <f t="shared" si="472"/>
        <v>43728</v>
      </c>
      <c r="BB957" s="8">
        <v>704075</v>
      </c>
      <c r="BC957" s="8">
        <f t="shared" si="473"/>
        <v>87674</v>
      </c>
      <c r="BD957" s="8">
        <v>72711</v>
      </c>
      <c r="BE957" s="8">
        <f t="shared" si="474"/>
        <v>-43946</v>
      </c>
      <c r="BF957" s="8">
        <v>457705</v>
      </c>
      <c r="BG957" s="8">
        <f t="shared" si="475"/>
        <v>31559</v>
      </c>
      <c r="BH957" s="8">
        <v>614805</v>
      </c>
      <c r="BI957" s="8">
        <f t="shared" si="476"/>
        <v>80623</v>
      </c>
      <c r="BJ957" s="8">
        <v>-157100</v>
      </c>
      <c r="BK957" s="8">
        <f t="shared" si="450"/>
        <v>-49064</v>
      </c>
    </row>
    <row r="958" spans="1:63">
      <c r="A958" s="5">
        <f t="shared" si="477"/>
        <v>45573</v>
      </c>
      <c r="B958" s="8">
        <v>580674</v>
      </c>
      <c r="C958" s="8">
        <f t="shared" si="456"/>
        <v>-455</v>
      </c>
      <c r="D958" s="8">
        <v>92414</v>
      </c>
      <c r="E958" s="8">
        <f t="shared" si="457"/>
        <v>7625</v>
      </c>
      <c r="F958" s="8">
        <v>59911</v>
      </c>
      <c r="G958" s="8">
        <f t="shared" si="458"/>
        <v>-9075</v>
      </c>
      <c r="H958" s="8">
        <v>32503</v>
      </c>
      <c r="I958" s="8">
        <f t="shared" si="459"/>
        <v>16700</v>
      </c>
      <c r="J958" s="8">
        <v>266806</v>
      </c>
      <c r="K958" s="8">
        <f t="shared" si="460"/>
        <v>-6498</v>
      </c>
      <c r="L958" s="8">
        <v>326009</v>
      </c>
      <c r="M958" s="8">
        <f t="shared" si="461"/>
        <v>2116</v>
      </c>
      <c r="N958" s="8">
        <v>-59203</v>
      </c>
      <c r="O958" s="8">
        <f t="shared" si="462"/>
        <v>-8614</v>
      </c>
      <c r="P958" s="8">
        <v>119839</v>
      </c>
      <c r="Q958" s="8">
        <f t="shared" si="463"/>
        <v>718</v>
      </c>
      <c r="R958" s="8">
        <v>298211</v>
      </c>
      <c r="S958" s="8">
        <f t="shared" si="464"/>
        <v>6060</v>
      </c>
      <c r="T958" s="8">
        <v>-178372</v>
      </c>
      <c r="U958" s="8">
        <f t="shared" si="465"/>
        <v>-5342</v>
      </c>
      <c r="W958" s="8">
        <v>614746</v>
      </c>
      <c r="X958" s="8">
        <f t="shared" si="466"/>
        <v>10408</v>
      </c>
      <c r="Y958" s="8">
        <v>140462</v>
      </c>
      <c r="Z958" s="8">
        <f t="shared" si="467"/>
        <v>-3012</v>
      </c>
      <c r="AA958" s="8">
        <v>43874</v>
      </c>
      <c r="AB958" s="8">
        <f t="shared" si="479"/>
        <v>3609</v>
      </c>
      <c r="AC958" s="8">
        <v>96588</v>
      </c>
      <c r="AD958" s="8">
        <f t="shared" si="480"/>
        <v>-6621</v>
      </c>
      <c r="AE958" s="8">
        <v>248977</v>
      </c>
      <c r="AF958" s="8">
        <f t="shared" si="451"/>
        <v>12629</v>
      </c>
      <c r="AG958" s="8">
        <v>374113</v>
      </c>
      <c r="AH958" s="8">
        <f t="shared" si="452"/>
        <v>5059</v>
      </c>
      <c r="AI958" s="8">
        <v>-125136</v>
      </c>
      <c r="AJ958" s="8">
        <f t="shared" si="453"/>
        <v>7570</v>
      </c>
      <c r="AK958" s="8">
        <v>118318</v>
      </c>
      <c r="AL958" s="8">
        <f t="shared" si="454"/>
        <v>9502</v>
      </c>
      <c r="AM958" s="8">
        <v>345210</v>
      </c>
      <c r="AN958" s="8">
        <f t="shared" si="455"/>
        <v>5104</v>
      </c>
      <c r="AO958" s="8">
        <v>-226892</v>
      </c>
      <c r="AP958" s="8">
        <f t="shared" si="468"/>
        <v>4398</v>
      </c>
      <c r="AR958" s="8">
        <v>1908605</v>
      </c>
      <c r="AS958" s="8">
        <f t="shared" si="469"/>
        <v>5728</v>
      </c>
      <c r="AT958" s="8">
        <v>198489</v>
      </c>
      <c r="AU958" s="8">
        <f t="shared" si="470"/>
        <v>33</v>
      </c>
      <c r="AV958" s="8">
        <v>222218</v>
      </c>
      <c r="AW958" s="8">
        <f t="shared" si="471"/>
        <v>-43937</v>
      </c>
      <c r="AX958" s="8">
        <v>-23729</v>
      </c>
      <c r="AY958" s="8">
        <f t="shared" si="478"/>
        <v>43970</v>
      </c>
      <c r="AZ958" s="8">
        <v>787650</v>
      </c>
      <c r="BA958" s="8">
        <f t="shared" si="472"/>
        <v>10864</v>
      </c>
      <c r="BB958" s="8">
        <v>745087</v>
      </c>
      <c r="BC958" s="8">
        <f t="shared" si="473"/>
        <v>41012</v>
      </c>
      <c r="BD958" s="8">
        <v>42563</v>
      </c>
      <c r="BE958" s="8">
        <f t="shared" si="474"/>
        <v>-30148</v>
      </c>
      <c r="BF958" s="8">
        <v>466131</v>
      </c>
      <c r="BG958" s="8">
        <f t="shared" si="475"/>
        <v>8426</v>
      </c>
      <c r="BH958" s="8">
        <v>658741</v>
      </c>
      <c r="BI958" s="8">
        <f t="shared" si="476"/>
        <v>43936</v>
      </c>
      <c r="BJ958" s="8">
        <v>-192610</v>
      </c>
      <c r="BK958" s="8">
        <f t="shared" si="450"/>
        <v>-35510</v>
      </c>
    </row>
    <row r="959" spans="1:63">
      <c r="A959" s="5">
        <f t="shared" si="477"/>
        <v>45580</v>
      </c>
      <c r="B959" s="8">
        <v>568287</v>
      </c>
      <c r="C959" s="8">
        <f t="shared" si="456"/>
        <v>-12387</v>
      </c>
      <c r="D959" s="8">
        <v>84648</v>
      </c>
      <c r="E959" s="8">
        <f t="shared" si="457"/>
        <v>-7766</v>
      </c>
      <c r="F959" s="8">
        <v>57710</v>
      </c>
      <c r="G959" s="8">
        <f t="shared" si="458"/>
        <v>-2201</v>
      </c>
      <c r="H959" s="8">
        <v>26938</v>
      </c>
      <c r="I959" s="8">
        <f t="shared" si="459"/>
        <v>-5565</v>
      </c>
      <c r="J959" s="8">
        <v>265328</v>
      </c>
      <c r="K959" s="8">
        <f t="shared" si="460"/>
        <v>-1478</v>
      </c>
      <c r="L959" s="8">
        <v>319203</v>
      </c>
      <c r="M959" s="8">
        <f t="shared" si="461"/>
        <v>-6806</v>
      </c>
      <c r="N959" s="8">
        <v>-53875</v>
      </c>
      <c r="O959" s="8">
        <f t="shared" si="462"/>
        <v>5328</v>
      </c>
      <c r="P959" s="8">
        <v>119053</v>
      </c>
      <c r="Q959" s="8">
        <f t="shared" si="463"/>
        <v>-786</v>
      </c>
      <c r="R959" s="8">
        <v>291279</v>
      </c>
      <c r="S959" s="8">
        <f t="shared" si="464"/>
        <v>-6932</v>
      </c>
      <c r="T959" s="8">
        <v>-172226</v>
      </c>
      <c r="U959" s="8">
        <f t="shared" si="465"/>
        <v>6146</v>
      </c>
      <c r="W959" s="8">
        <v>628963</v>
      </c>
      <c r="X959" s="8">
        <f t="shared" si="466"/>
        <v>14217</v>
      </c>
      <c r="Y959" s="8">
        <v>124255</v>
      </c>
      <c r="Z959" s="8">
        <f t="shared" si="467"/>
        <v>-16207</v>
      </c>
      <c r="AA959" s="8">
        <v>68544</v>
      </c>
      <c r="AB959" s="8">
        <f t="shared" si="479"/>
        <v>24670</v>
      </c>
      <c r="AC959" s="8">
        <v>55711</v>
      </c>
      <c r="AD959" s="8">
        <f t="shared" si="480"/>
        <v>-40877</v>
      </c>
      <c r="AE959" s="8">
        <v>264221</v>
      </c>
      <c r="AF959" s="8">
        <f t="shared" si="451"/>
        <v>15244</v>
      </c>
      <c r="AG959" s="8">
        <v>346809</v>
      </c>
      <c r="AH959" s="8">
        <f t="shared" si="452"/>
        <v>-27304</v>
      </c>
      <c r="AI959" s="8">
        <v>-82588</v>
      </c>
      <c r="AJ959" s="8">
        <f t="shared" si="453"/>
        <v>42548</v>
      </c>
      <c r="AK959" s="8">
        <v>134236</v>
      </c>
      <c r="AL959" s="8">
        <f t="shared" si="454"/>
        <v>15918</v>
      </c>
      <c r="AM959" s="8">
        <v>322562</v>
      </c>
      <c r="AN959" s="8">
        <f t="shared" si="455"/>
        <v>-22648</v>
      </c>
      <c r="AO959" s="8">
        <v>-188326</v>
      </c>
      <c r="AP959" s="8">
        <f t="shared" si="468"/>
        <v>38566</v>
      </c>
      <c r="AR959" s="8">
        <v>1991307</v>
      </c>
      <c r="AS959" s="8">
        <f t="shared" si="469"/>
        <v>82702</v>
      </c>
      <c r="AT959" s="8">
        <v>192250</v>
      </c>
      <c r="AU959" s="8">
        <f t="shared" si="470"/>
        <v>-6239</v>
      </c>
      <c r="AV959" s="8">
        <v>279238</v>
      </c>
      <c r="AW959" s="8">
        <f t="shared" si="471"/>
        <v>57020</v>
      </c>
      <c r="AX959" s="8">
        <v>-86988</v>
      </c>
      <c r="AY959" s="8">
        <f t="shared" si="478"/>
        <v>-63259</v>
      </c>
      <c r="AZ959" s="8">
        <v>855858</v>
      </c>
      <c r="BA959" s="8">
        <f t="shared" si="472"/>
        <v>68208</v>
      </c>
      <c r="BB959" s="8">
        <v>753962</v>
      </c>
      <c r="BC959" s="8">
        <f t="shared" si="473"/>
        <v>8875</v>
      </c>
      <c r="BD959" s="8">
        <v>101896</v>
      </c>
      <c r="BE959" s="8">
        <f t="shared" si="474"/>
        <v>59333</v>
      </c>
      <c r="BF959" s="8">
        <v>533685</v>
      </c>
      <c r="BG959" s="8">
        <f t="shared" si="475"/>
        <v>67554</v>
      </c>
      <c r="BH959" s="8">
        <v>666721</v>
      </c>
      <c r="BI959" s="8">
        <f t="shared" si="476"/>
        <v>7980</v>
      </c>
      <c r="BJ959" s="8">
        <v>-133036</v>
      </c>
      <c r="BK959" s="8">
        <f t="shared" si="450"/>
        <v>59574</v>
      </c>
    </row>
    <row r="960" spans="1:63">
      <c r="A960" s="5">
        <f t="shared" si="477"/>
        <v>45587</v>
      </c>
      <c r="B960" s="8">
        <v>594104</v>
      </c>
      <c r="C960" s="8">
        <f t="shared" si="456"/>
        <v>25817</v>
      </c>
      <c r="D960" s="8">
        <v>91431</v>
      </c>
      <c r="E960" s="8">
        <f t="shared" si="457"/>
        <v>6783</v>
      </c>
      <c r="F960" s="8">
        <v>50782</v>
      </c>
      <c r="G960" s="8">
        <f t="shared" si="458"/>
        <v>-6928</v>
      </c>
      <c r="H960" s="8">
        <v>40649</v>
      </c>
      <c r="I960" s="8">
        <f t="shared" si="459"/>
        <v>13711</v>
      </c>
      <c r="J960" s="8">
        <v>268695</v>
      </c>
      <c r="K960" s="8">
        <f t="shared" si="460"/>
        <v>3367</v>
      </c>
      <c r="L960" s="8">
        <v>345720</v>
      </c>
      <c r="M960" s="8">
        <f t="shared" si="461"/>
        <v>26517</v>
      </c>
      <c r="N960" s="8">
        <v>-77025</v>
      </c>
      <c r="O960" s="8">
        <f t="shared" si="462"/>
        <v>-23150</v>
      </c>
      <c r="P960" s="8">
        <v>120702</v>
      </c>
      <c r="Q960" s="8">
        <f t="shared" si="463"/>
        <v>1649</v>
      </c>
      <c r="R960" s="8">
        <v>313735</v>
      </c>
      <c r="S960" s="8">
        <f t="shared" si="464"/>
        <v>22456</v>
      </c>
      <c r="T960" s="8">
        <v>-193033</v>
      </c>
      <c r="U960" s="8">
        <f t="shared" si="465"/>
        <v>-20807</v>
      </c>
      <c r="W960" s="8">
        <v>643667</v>
      </c>
      <c r="X960" s="8">
        <f t="shared" si="466"/>
        <v>14704</v>
      </c>
      <c r="Y960" s="8">
        <v>123628</v>
      </c>
      <c r="Z960" s="8">
        <f t="shared" si="467"/>
        <v>-627</v>
      </c>
      <c r="AA960" s="8">
        <v>67180</v>
      </c>
      <c r="AB960" s="8">
        <f t="shared" si="479"/>
        <v>-1364</v>
      </c>
      <c r="AC960" s="8">
        <v>56448</v>
      </c>
      <c r="AD960" s="8">
        <f t="shared" si="480"/>
        <v>737</v>
      </c>
      <c r="AE960" s="8">
        <v>277160</v>
      </c>
      <c r="AF960" s="8">
        <f t="shared" si="451"/>
        <v>12939</v>
      </c>
      <c r="AG960" s="8">
        <v>361996</v>
      </c>
      <c r="AH960" s="8">
        <f t="shared" si="452"/>
        <v>15187</v>
      </c>
      <c r="AI960" s="8">
        <v>-84836</v>
      </c>
      <c r="AJ960" s="8">
        <f t="shared" si="453"/>
        <v>-2248</v>
      </c>
      <c r="AK960" s="8">
        <v>144263</v>
      </c>
      <c r="AL960" s="8">
        <f t="shared" si="454"/>
        <v>10027</v>
      </c>
      <c r="AM960" s="8">
        <v>335235</v>
      </c>
      <c r="AN960" s="8">
        <f t="shared" si="455"/>
        <v>12673</v>
      </c>
      <c r="AO960" s="8">
        <v>-190972</v>
      </c>
      <c r="AP960" s="8">
        <f t="shared" si="468"/>
        <v>-2646</v>
      </c>
      <c r="AR960" s="8">
        <v>2121387</v>
      </c>
      <c r="AS960" s="8">
        <f t="shared" si="469"/>
        <v>130080</v>
      </c>
      <c r="AT960" s="8">
        <v>230696</v>
      </c>
      <c r="AU960" s="8">
        <f t="shared" si="470"/>
        <v>38446</v>
      </c>
      <c r="AV960" s="8">
        <v>302195</v>
      </c>
      <c r="AW960" s="8">
        <f t="shared" si="471"/>
        <v>22957</v>
      </c>
      <c r="AX960" s="8">
        <v>-71499</v>
      </c>
      <c r="AY960" s="8">
        <f t="shared" si="478"/>
        <v>15489</v>
      </c>
      <c r="AZ960" s="8">
        <v>909416</v>
      </c>
      <c r="BA960" s="8">
        <f t="shared" si="472"/>
        <v>53558</v>
      </c>
      <c r="BB960" s="8">
        <v>836186</v>
      </c>
      <c r="BC960" s="8">
        <f t="shared" si="473"/>
        <v>82224</v>
      </c>
      <c r="BD960" s="8">
        <v>73230</v>
      </c>
      <c r="BE960" s="8">
        <f t="shared" si="474"/>
        <v>-28666</v>
      </c>
      <c r="BF960" s="8">
        <v>579530</v>
      </c>
      <c r="BG960" s="8">
        <f t="shared" si="475"/>
        <v>45845</v>
      </c>
      <c r="BH960" s="8">
        <v>735107</v>
      </c>
      <c r="BI960" s="8">
        <f t="shared" si="476"/>
        <v>68386</v>
      </c>
      <c r="BJ960" s="8">
        <v>-155577</v>
      </c>
      <c r="BK960" s="8">
        <f t="shared" si="450"/>
        <v>-22541</v>
      </c>
    </row>
    <row r="961" spans="1:63">
      <c r="A961" s="5">
        <v>45594</v>
      </c>
      <c r="B961" s="8">
        <v>588076</v>
      </c>
      <c r="C961" s="8">
        <f t="shared" si="456"/>
        <v>-6028</v>
      </c>
      <c r="D961" s="8">
        <v>91463</v>
      </c>
      <c r="E961" s="8">
        <f t="shared" si="457"/>
        <v>32</v>
      </c>
      <c r="F961" s="8">
        <v>53936</v>
      </c>
      <c r="G961" s="8">
        <f t="shared" si="458"/>
        <v>3154</v>
      </c>
      <c r="H961" s="8">
        <v>37527</v>
      </c>
      <c r="I961" s="8">
        <f t="shared" si="459"/>
        <v>-3122</v>
      </c>
      <c r="J961" s="8">
        <v>276397</v>
      </c>
      <c r="K961" s="8">
        <f t="shared" si="460"/>
        <v>7702</v>
      </c>
      <c r="L961" s="8">
        <v>342397</v>
      </c>
      <c r="M961" s="8">
        <f t="shared" si="461"/>
        <v>-3323</v>
      </c>
      <c r="N961" s="8">
        <v>-66000</v>
      </c>
      <c r="O961" s="8">
        <f t="shared" si="462"/>
        <v>11025</v>
      </c>
      <c r="P961" s="8">
        <v>124792</v>
      </c>
      <c r="Q961" s="8">
        <f t="shared" si="463"/>
        <v>4090</v>
      </c>
      <c r="R961" s="8">
        <v>305864</v>
      </c>
      <c r="S961" s="8">
        <f t="shared" si="464"/>
        <v>-7871</v>
      </c>
      <c r="T961" s="8">
        <v>-181072</v>
      </c>
      <c r="U961" s="8">
        <f t="shared" si="465"/>
        <v>11961</v>
      </c>
      <c r="W961" s="8">
        <v>661109</v>
      </c>
      <c r="X961" s="8">
        <f t="shared" si="466"/>
        <v>17442</v>
      </c>
      <c r="Y961" s="8">
        <v>110298</v>
      </c>
      <c r="Z961" s="8">
        <f t="shared" si="467"/>
        <v>-13330</v>
      </c>
      <c r="AA961" s="8">
        <v>97400</v>
      </c>
      <c r="AB961" s="8">
        <f t="shared" si="479"/>
        <v>30220</v>
      </c>
      <c r="AC961" s="8">
        <v>12898</v>
      </c>
      <c r="AD961" s="8">
        <f t="shared" si="480"/>
        <v>-43550</v>
      </c>
      <c r="AE961" s="8">
        <v>295802</v>
      </c>
      <c r="AF961" s="8">
        <f t="shared" si="451"/>
        <v>18642</v>
      </c>
      <c r="AG961" s="8">
        <v>340671</v>
      </c>
      <c r="AH961" s="8">
        <f t="shared" si="452"/>
        <v>-21325</v>
      </c>
      <c r="AI961" s="8">
        <v>-44869</v>
      </c>
      <c r="AJ961" s="8">
        <f t="shared" si="453"/>
        <v>39967</v>
      </c>
      <c r="AK961" s="8">
        <v>155911</v>
      </c>
      <c r="AL961" s="8">
        <f t="shared" si="454"/>
        <v>11648</v>
      </c>
      <c r="AM961" s="8">
        <v>315617</v>
      </c>
      <c r="AN961" s="8">
        <f t="shared" si="455"/>
        <v>-19618</v>
      </c>
      <c r="AO961" s="8">
        <v>-159706</v>
      </c>
      <c r="AP961" s="8">
        <f t="shared" si="468"/>
        <v>31266</v>
      </c>
      <c r="AR961" s="8">
        <v>2131836</v>
      </c>
      <c r="AS961" s="8">
        <f t="shared" si="469"/>
        <v>10449</v>
      </c>
      <c r="AT961" s="8">
        <v>244390</v>
      </c>
      <c r="AU961" s="8">
        <f t="shared" si="470"/>
        <v>13694</v>
      </c>
      <c r="AV961" s="8">
        <v>262093</v>
      </c>
      <c r="AW961" s="8">
        <f t="shared" si="471"/>
        <v>-40102</v>
      </c>
      <c r="AX961" s="8">
        <v>-17703</v>
      </c>
      <c r="AY961" s="8">
        <f t="shared" si="478"/>
        <v>53796</v>
      </c>
      <c r="AZ961" s="8">
        <v>919203</v>
      </c>
      <c r="BA961" s="8">
        <f t="shared" si="472"/>
        <v>9787</v>
      </c>
      <c r="BB961" s="8">
        <v>901603</v>
      </c>
      <c r="BC961" s="8">
        <f t="shared" si="473"/>
        <v>65417</v>
      </c>
      <c r="BD961" s="8">
        <v>17600</v>
      </c>
      <c r="BE961" s="8">
        <f t="shared" si="474"/>
        <v>-55630</v>
      </c>
      <c r="BF961" s="8">
        <v>580006</v>
      </c>
      <c r="BG961" s="8">
        <f t="shared" si="475"/>
        <v>476</v>
      </c>
      <c r="BH961" s="8">
        <v>798161</v>
      </c>
      <c r="BI961" s="8">
        <f t="shared" si="476"/>
        <v>63054</v>
      </c>
      <c r="BJ961" s="8">
        <v>-218155</v>
      </c>
      <c r="BK961" s="8">
        <f t="shared" si="450"/>
        <v>-62578</v>
      </c>
    </row>
    <row r="962" spans="1:63">
      <c r="A962" s="5">
        <v>45601</v>
      </c>
      <c r="B962" s="8">
        <v>629619</v>
      </c>
      <c r="C962" s="8">
        <f t="shared" si="456"/>
        <v>41543</v>
      </c>
      <c r="D962" s="8">
        <v>107157</v>
      </c>
      <c r="E962" s="8">
        <f t="shared" si="457"/>
        <v>15694</v>
      </c>
      <c r="F962" s="8">
        <v>43451</v>
      </c>
      <c r="G962" s="8">
        <f t="shared" si="458"/>
        <v>-10485</v>
      </c>
      <c r="H962" s="8">
        <v>63706</v>
      </c>
      <c r="I962" s="8">
        <f t="shared" si="459"/>
        <v>26179</v>
      </c>
      <c r="J962" s="8">
        <v>289549</v>
      </c>
      <c r="K962" s="8">
        <f t="shared" si="460"/>
        <v>13152</v>
      </c>
      <c r="L962" s="8">
        <v>376179</v>
      </c>
      <c r="M962" s="8">
        <f t="shared" si="461"/>
        <v>33782</v>
      </c>
      <c r="N962" s="8">
        <v>-86630</v>
      </c>
      <c r="O962" s="8">
        <f t="shared" si="462"/>
        <v>-20630</v>
      </c>
      <c r="P962" s="8">
        <v>135738</v>
      </c>
      <c r="Q962" s="8">
        <f t="shared" si="463"/>
        <v>10946</v>
      </c>
      <c r="R962" s="8">
        <v>334125</v>
      </c>
      <c r="S962" s="8">
        <f t="shared" si="464"/>
        <v>28261</v>
      </c>
      <c r="T962" s="8">
        <v>-198387</v>
      </c>
      <c r="U962" s="8">
        <f t="shared" si="465"/>
        <v>-17315</v>
      </c>
      <c r="W962" s="8">
        <v>669242</v>
      </c>
      <c r="X962" s="8">
        <f t="shared" si="466"/>
        <v>8133</v>
      </c>
      <c r="Y962" s="8">
        <v>104018</v>
      </c>
      <c r="Z962" s="8">
        <f t="shared" si="467"/>
        <v>-6280</v>
      </c>
      <c r="AA962" s="8">
        <v>112149</v>
      </c>
      <c r="AB962" s="8">
        <f t="shared" si="479"/>
        <v>14749</v>
      </c>
      <c r="AC962" s="8">
        <v>-8131</v>
      </c>
      <c r="AD962" s="8">
        <f t="shared" si="480"/>
        <v>-21029</v>
      </c>
      <c r="AE962" s="8">
        <v>304562</v>
      </c>
      <c r="AF962" s="8">
        <f t="shared" si="451"/>
        <v>8760</v>
      </c>
      <c r="AG962" s="8">
        <v>333485</v>
      </c>
      <c r="AH962" s="8">
        <f t="shared" si="452"/>
        <v>-7186</v>
      </c>
      <c r="AI962" s="8">
        <v>-28923</v>
      </c>
      <c r="AJ962" s="8">
        <f t="shared" si="453"/>
        <v>15946</v>
      </c>
      <c r="AK962" s="8">
        <v>168614</v>
      </c>
      <c r="AL962" s="8">
        <f t="shared" si="454"/>
        <v>12703</v>
      </c>
      <c r="AM962" s="8">
        <v>308805</v>
      </c>
      <c r="AN962" s="8">
        <f t="shared" si="455"/>
        <v>-6812</v>
      </c>
      <c r="AO962" s="8">
        <v>-140191</v>
      </c>
      <c r="AP962" s="8">
        <f t="shared" si="468"/>
        <v>19515</v>
      </c>
      <c r="AR962" s="8">
        <v>2145748</v>
      </c>
      <c r="AS962" s="8">
        <f t="shared" si="469"/>
        <v>13912</v>
      </c>
      <c r="AT962" s="8">
        <v>273279</v>
      </c>
      <c r="AU962" s="8">
        <f t="shared" si="470"/>
        <v>28889</v>
      </c>
      <c r="AV962" s="8">
        <v>251236</v>
      </c>
      <c r="AW962" s="8">
        <f t="shared" si="471"/>
        <v>-10857</v>
      </c>
      <c r="AX962" s="8">
        <v>22043</v>
      </c>
      <c r="AY962" s="8">
        <f t="shared" si="478"/>
        <v>39746</v>
      </c>
      <c r="AZ962" s="8">
        <v>907347</v>
      </c>
      <c r="BA962" s="8">
        <f t="shared" si="472"/>
        <v>-11856</v>
      </c>
      <c r="BB962" s="8">
        <v>919954</v>
      </c>
      <c r="BC962" s="8">
        <f t="shared" si="473"/>
        <v>18351</v>
      </c>
      <c r="BD962" s="8">
        <v>-12607</v>
      </c>
      <c r="BE962" s="8">
        <f t="shared" si="474"/>
        <v>-30207</v>
      </c>
      <c r="BF962" s="8">
        <v>567308</v>
      </c>
      <c r="BG962" s="8">
        <f t="shared" si="475"/>
        <v>-12698</v>
      </c>
      <c r="BH962" s="8">
        <v>810257</v>
      </c>
      <c r="BI962" s="8">
        <f t="shared" si="476"/>
        <v>12096</v>
      </c>
      <c r="BJ962" s="8">
        <v>-242949</v>
      </c>
      <c r="BK962" s="8">
        <f t="shared" si="450"/>
        <v>-24794</v>
      </c>
    </row>
    <row r="963" spans="1:63">
      <c r="A963" s="5">
        <v>45608</v>
      </c>
      <c r="B963" s="8">
        <v>674338</v>
      </c>
      <c r="C963" s="8">
        <f t="shared" si="456"/>
        <v>44719</v>
      </c>
      <c r="D963" s="8">
        <v>118652</v>
      </c>
      <c r="E963" s="8">
        <f t="shared" si="457"/>
        <v>11495</v>
      </c>
      <c r="F963" s="8">
        <v>43508</v>
      </c>
      <c r="G963" s="8">
        <f t="shared" si="458"/>
        <v>57</v>
      </c>
      <c r="H963" s="8">
        <v>75144</v>
      </c>
      <c r="I963" s="8">
        <f t="shared" si="459"/>
        <v>11438</v>
      </c>
      <c r="J963" s="8">
        <v>297981</v>
      </c>
      <c r="K963" s="8">
        <f t="shared" si="460"/>
        <v>8432</v>
      </c>
      <c r="L963" s="8">
        <v>406632</v>
      </c>
      <c r="M963" s="8">
        <f t="shared" si="461"/>
        <v>30453</v>
      </c>
      <c r="N963" s="8">
        <v>-108651</v>
      </c>
      <c r="O963" s="8">
        <f t="shared" si="462"/>
        <v>-22021</v>
      </c>
      <c r="P963" s="8">
        <v>143047</v>
      </c>
      <c r="Q963" s="8">
        <f t="shared" si="463"/>
        <v>7309</v>
      </c>
      <c r="R963" s="8">
        <v>359532</v>
      </c>
      <c r="S963" s="8">
        <f t="shared" si="464"/>
        <v>25407</v>
      </c>
      <c r="T963" s="8">
        <v>-216485</v>
      </c>
      <c r="U963" s="8">
        <f t="shared" si="465"/>
        <v>-18098</v>
      </c>
      <c r="W963" s="8">
        <v>710592</v>
      </c>
      <c r="X963" s="8">
        <f t="shared" si="466"/>
        <v>41350</v>
      </c>
      <c r="Y963" s="8">
        <v>98852</v>
      </c>
      <c r="Z963" s="8">
        <f t="shared" si="467"/>
        <v>-5166</v>
      </c>
      <c r="AA963" s="8">
        <v>126483</v>
      </c>
      <c r="AB963" s="8">
        <f t="shared" si="479"/>
        <v>14334</v>
      </c>
      <c r="AC963" s="8">
        <v>-27631</v>
      </c>
      <c r="AD963" s="8">
        <f t="shared" si="480"/>
        <v>-19500</v>
      </c>
      <c r="AE963" s="8">
        <v>324094</v>
      </c>
      <c r="AF963" s="8">
        <f t="shared" si="451"/>
        <v>19532</v>
      </c>
      <c r="AG963" s="8">
        <v>343905</v>
      </c>
      <c r="AH963" s="8">
        <f t="shared" si="452"/>
        <v>10420</v>
      </c>
      <c r="AI963" s="8">
        <v>-19811</v>
      </c>
      <c r="AJ963" s="8">
        <f t="shared" si="453"/>
        <v>9112</v>
      </c>
      <c r="AK963" s="8">
        <v>187390</v>
      </c>
      <c r="AL963" s="8">
        <f t="shared" si="454"/>
        <v>18776</v>
      </c>
      <c r="AM963" s="8">
        <v>315291</v>
      </c>
      <c r="AN963" s="8">
        <f t="shared" si="455"/>
        <v>6486</v>
      </c>
      <c r="AO963" s="8">
        <v>-127901</v>
      </c>
      <c r="AP963" s="8">
        <f t="shared" si="468"/>
        <v>12290</v>
      </c>
      <c r="AR963" s="8">
        <v>2167189</v>
      </c>
      <c r="AS963" s="8">
        <f t="shared" si="469"/>
        <v>21441</v>
      </c>
      <c r="AT963" s="8">
        <v>289914</v>
      </c>
      <c r="AU963" s="8">
        <f t="shared" si="470"/>
        <v>16635</v>
      </c>
      <c r="AV963" s="8">
        <v>179925</v>
      </c>
      <c r="AW963" s="8">
        <f t="shared" si="471"/>
        <v>-71311</v>
      </c>
      <c r="AX963" s="8">
        <v>109989</v>
      </c>
      <c r="AY963" s="8">
        <f t="shared" si="478"/>
        <v>87946</v>
      </c>
      <c r="AZ963" s="8">
        <v>925396</v>
      </c>
      <c r="BA963" s="8">
        <f t="shared" si="472"/>
        <v>18049</v>
      </c>
      <c r="BB963" s="8">
        <v>1009029</v>
      </c>
      <c r="BC963" s="8">
        <f t="shared" si="473"/>
        <v>89075</v>
      </c>
      <c r="BD963" s="8">
        <v>-83633</v>
      </c>
      <c r="BE963" s="8">
        <f t="shared" si="474"/>
        <v>-71026</v>
      </c>
      <c r="BF963" s="8">
        <v>582164</v>
      </c>
      <c r="BG963" s="8">
        <f t="shared" si="475"/>
        <v>14856</v>
      </c>
      <c r="BH963" s="8">
        <v>902801</v>
      </c>
      <c r="BI963" s="8">
        <f t="shared" si="476"/>
        <v>92544</v>
      </c>
      <c r="BJ963" s="8">
        <v>-320637</v>
      </c>
      <c r="BK963" s="8">
        <f t="shared" si="450"/>
        <v>-77688</v>
      </c>
    </row>
    <row r="964" spans="1:63">
      <c r="A964" s="5">
        <v>45615</v>
      </c>
      <c r="B964" s="8">
        <v>662809</v>
      </c>
      <c r="C964" s="8">
        <f t="shared" si="456"/>
        <v>-11529</v>
      </c>
      <c r="D964" s="8">
        <v>104807</v>
      </c>
      <c r="E964" s="8">
        <f t="shared" si="457"/>
        <v>-13845</v>
      </c>
      <c r="F964" s="8">
        <v>48747</v>
      </c>
      <c r="G964" s="8">
        <f t="shared" si="458"/>
        <v>5239</v>
      </c>
      <c r="H964" s="8">
        <v>56060</v>
      </c>
      <c r="I964" s="8">
        <f t="shared" si="459"/>
        <v>-19084</v>
      </c>
      <c r="J964" s="8">
        <v>307361</v>
      </c>
      <c r="K964" s="8">
        <f t="shared" si="460"/>
        <v>9380</v>
      </c>
      <c r="L964" s="8">
        <v>387812</v>
      </c>
      <c r="M964" s="8">
        <f t="shared" si="461"/>
        <v>-18820</v>
      </c>
      <c r="N964" s="8">
        <v>-80451</v>
      </c>
      <c r="O964" s="8">
        <f t="shared" si="462"/>
        <v>28200</v>
      </c>
      <c r="P964" s="8">
        <v>150489</v>
      </c>
      <c r="Q964" s="8">
        <f t="shared" si="463"/>
        <v>7442</v>
      </c>
      <c r="R964" s="8">
        <v>339411</v>
      </c>
      <c r="S964" s="8">
        <f t="shared" si="464"/>
        <v>-20121</v>
      </c>
      <c r="T964" s="8">
        <v>-188922</v>
      </c>
      <c r="U964" s="8">
        <f t="shared" si="465"/>
        <v>27563</v>
      </c>
      <c r="W964" s="8">
        <v>715690</v>
      </c>
      <c r="X964" s="8">
        <f t="shared" si="466"/>
        <v>5098</v>
      </c>
      <c r="Y964" s="8">
        <v>90526</v>
      </c>
      <c r="Z964" s="8">
        <f t="shared" si="467"/>
        <v>-8326</v>
      </c>
      <c r="AA964" s="8">
        <v>154226</v>
      </c>
      <c r="AB964" s="8">
        <f t="shared" si="479"/>
        <v>27743</v>
      </c>
      <c r="AC964" s="8">
        <v>-63700</v>
      </c>
      <c r="AD964" s="8">
        <f t="shared" si="480"/>
        <v>-36069</v>
      </c>
      <c r="AE964" s="8">
        <v>330352</v>
      </c>
      <c r="AF964" s="8">
        <f t="shared" si="451"/>
        <v>6258</v>
      </c>
      <c r="AG964" s="8">
        <v>321346</v>
      </c>
      <c r="AH964" s="8">
        <f t="shared" si="452"/>
        <v>-22559</v>
      </c>
      <c r="AI964" s="8">
        <v>9006</v>
      </c>
      <c r="AJ964" s="8">
        <f t="shared" si="453"/>
        <v>28817</v>
      </c>
      <c r="AK964" s="8">
        <v>193394</v>
      </c>
      <c r="AL964" s="8">
        <f t="shared" si="454"/>
        <v>6004</v>
      </c>
      <c r="AM964" s="8">
        <v>290734</v>
      </c>
      <c r="AN964" s="8">
        <f t="shared" si="455"/>
        <v>-24557</v>
      </c>
      <c r="AO964" s="8">
        <v>-97340</v>
      </c>
      <c r="AP964" s="8">
        <f t="shared" si="468"/>
        <v>30561</v>
      </c>
      <c r="AR964" s="8">
        <v>2168691</v>
      </c>
      <c r="AS964" s="8">
        <f t="shared" si="469"/>
        <v>1502</v>
      </c>
      <c r="AT964" s="8">
        <v>280490</v>
      </c>
      <c r="AU964" s="8">
        <f t="shared" si="470"/>
        <v>-9424</v>
      </c>
      <c r="AV964" s="8">
        <v>165862</v>
      </c>
      <c r="AW964" s="8">
        <f t="shared" si="471"/>
        <v>-14063</v>
      </c>
      <c r="AX964" s="8">
        <v>114628</v>
      </c>
      <c r="AY964" s="8">
        <f t="shared" si="478"/>
        <v>4639</v>
      </c>
      <c r="AZ964" s="8">
        <v>949928</v>
      </c>
      <c r="BA964" s="8">
        <f t="shared" si="472"/>
        <v>24532</v>
      </c>
      <c r="BB964" s="8">
        <v>1023709</v>
      </c>
      <c r="BC964" s="8">
        <f t="shared" si="473"/>
        <v>14680</v>
      </c>
      <c r="BD964" s="8">
        <v>-73781</v>
      </c>
      <c r="BE964" s="8">
        <f t="shared" si="474"/>
        <v>9852</v>
      </c>
      <c r="BF964" s="8">
        <v>590442</v>
      </c>
      <c r="BG964" s="8">
        <f t="shared" si="475"/>
        <v>8278</v>
      </c>
      <c r="BH964" s="8">
        <v>912416</v>
      </c>
      <c r="BI964" s="8">
        <f t="shared" si="476"/>
        <v>9615</v>
      </c>
      <c r="BJ964" s="8">
        <v>-321974</v>
      </c>
      <c r="BK964" s="8">
        <f t="shared" si="450"/>
        <v>-1337</v>
      </c>
    </row>
    <row r="965" spans="1:63">
      <c r="A965" s="5">
        <v>45622</v>
      </c>
      <c r="B965" s="8">
        <v>611342</v>
      </c>
      <c r="C965" s="8">
        <f t="shared" si="456"/>
        <v>-51467</v>
      </c>
      <c r="D965" s="8">
        <v>83232</v>
      </c>
      <c r="E965" s="8">
        <f t="shared" si="457"/>
        <v>-21575</v>
      </c>
      <c r="F965" s="8">
        <v>60039</v>
      </c>
      <c r="G965" s="8">
        <f t="shared" si="458"/>
        <v>11292</v>
      </c>
      <c r="H965" s="8">
        <v>23193</v>
      </c>
      <c r="I965" s="8">
        <f t="shared" si="459"/>
        <v>-32867</v>
      </c>
      <c r="J965" s="8">
        <v>309463</v>
      </c>
      <c r="K965" s="8">
        <f t="shared" si="460"/>
        <v>2102</v>
      </c>
      <c r="L965" s="8">
        <v>346677</v>
      </c>
      <c r="M965" s="8">
        <f t="shared" si="461"/>
        <v>-41135</v>
      </c>
      <c r="N965" s="8">
        <v>-37214</v>
      </c>
      <c r="O965" s="8">
        <f t="shared" si="462"/>
        <v>43237</v>
      </c>
      <c r="P965" s="8">
        <v>159673</v>
      </c>
      <c r="Q965" s="8">
        <f t="shared" si="463"/>
        <v>9184</v>
      </c>
      <c r="R965" s="8">
        <v>304011</v>
      </c>
      <c r="S965" s="8">
        <f t="shared" si="464"/>
        <v>-35400</v>
      </c>
      <c r="T965" s="8">
        <v>-144338</v>
      </c>
      <c r="U965" s="8">
        <f t="shared" si="465"/>
        <v>44584</v>
      </c>
      <c r="W965" s="8">
        <v>656787</v>
      </c>
      <c r="X965" s="8">
        <f t="shared" si="466"/>
        <v>-58903</v>
      </c>
      <c r="Y965" s="8">
        <v>84125</v>
      </c>
      <c r="Z965" s="8">
        <f t="shared" si="467"/>
        <v>-6401</v>
      </c>
      <c r="AA965" s="8">
        <v>159541</v>
      </c>
      <c r="AB965" s="8">
        <f t="shared" si="479"/>
        <v>5315</v>
      </c>
      <c r="AC965" s="8">
        <v>-75416</v>
      </c>
      <c r="AD965" s="8">
        <f t="shared" si="480"/>
        <v>-11716</v>
      </c>
      <c r="AE965" s="8">
        <v>306813</v>
      </c>
      <c r="AF965" s="8">
        <f t="shared" si="451"/>
        <v>-23539</v>
      </c>
      <c r="AG965" s="8">
        <v>277437</v>
      </c>
      <c r="AH965" s="8">
        <f t="shared" si="452"/>
        <v>-43909</v>
      </c>
      <c r="AI965" s="8">
        <v>29376</v>
      </c>
      <c r="AJ965" s="8">
        <f t="shared" si="453"/>
        <v>20370</v>
      </c>
      <c r="AK965" s="8">
        <v>182448</v>
      </c>
      <c r="AL965" s="8">
        <f t="shared" si="454"/>
        <v>-10946</v>
      </c>
      <c r="AM965" s="8">
        <v>254224</v>
      </c>
      <c r="AN965" s="8">
        <f t="shared" si="455"/>
        <v>-36510</v>
      </c>
      <c r="AO965" s="8">
        <v>-71776</v>
      </c>
      <c r="AP965" s="8">
        <f t="shared" si="468"/>
        <v>25564</v>
      </c>
      <c r="AR965" s="8">
        <v>1903173</v>
      </c>
      <c r="AS965" s="8">
        <f t="shared" si="469"/>
        <v>-265518</v>
      </c>
      <c r="AT965" s="8">
        <v>272315</v>
      </c>
      <c r="AU965" s="8">
        <f t="shared" si="470"/>
        <v>-8175</v>
      </c>
      <c r="AV965" s="8">
        <v>174873</v>
      </c>
      <c r="AW965" s="8">
        <f t="shared" si="471"/>
        <v>9011</v>
      </c>
      <c r="AX965" s="8">
        <v>97442</v>
      </c>
      <c r="AY965" s="8">
        <f t="shared" si="478"/>
        <v>-17186</v>
      </c>
      <c r="AZ965" s="8">
        <v>849411</v>
      </c>
      <c r="BA965" s="8">
        <f t="shared" si="472"/>
        <v>-100517</v>
      </c>
      <c r="BB965" s="8">
        <v>896592</v>
      </c>
      <c r="BC965" s="8">
        <f t="shared" si="473"/>
        <v>-127117</v>
      </c>
      <c r="BD965" s="8">
        <v>-47181</v>
      </c>
      <c r="BE965" s="8">
        <f t="shared" si="474"/>
        <v>26600</v>
      </c>
      <c r="BF965" s="8">
        <v>539013</v>
      </c>
      <c r="BG965" s="8">
        <f t="shared" si="475"/>
        <v>-51429</v>
      </c>
      <c r="BH965" s="8">
        <v>838076</v>
      </c>
      <c r="BI965" s="8">
        <f t="shared" si="476"/>
        <v>-74340</v>
      </c>
      <c r="BJ965" s="8">
        <v>-299063</v>
      </c>
      <c r="BK965" s="8">
        <f t="shared" si="450"/>
        <v>22911</v>
      </c>
    </row>
    <row r="966" spans="1:63">
      <c r="A966" s="5">
        <v>45629</v>
      </c>
      <c r="B966" s="8">
        <v>629553</v>
      </c>
      <c r="C966" s="8">
        <f t="shared" si="456"/>
        <v>18211</v>
      </c>
      <c r="D966" s="8">
        <v>83949</v>
      </c>
      <c r="E966" s="8">
        <f t="shared" si="457"/>
        <v>717</v>
      </c>
      <c r="F966" s="8">
        <v>74522</v>
      </c>
      <c r="G966" s="8">
        <f t="shared" si="458"/>
        <v>14483</v>
      </c>
      <c r="H966" s="8">
        <v>9427</v>
      </c>
      <c r="I966" s="8">
        <f t="shared" si="459"/>
        <v>-13766</v>
      </c>
      <c r="J966" s="8">
        <v>322403</v>
      </c>
      <c r="K966" s="8">
        <f t="shared" si="460"/>
        <v>12940</v>
      </c>
      <c r="L966" s="8">
        <v>352806</v>
      </c>
      <c r="M966" s="8">
        <f t="shared" si="461"/>
        <v>6129</v>
      </c>
      <c r="N966" s="8">
        <v>-30403</v>
      </c>
      <c r="O966" s="8">
        <f t="shared" si="462"/>
        <v>6811</v>
      </c>
      <c r="P966" s="8">
        <v>170859</v>
      </c>
      <c r="Q966" s="8">
        <f t="shared" si="463"/>
        <v>11186</v>
      </c>
      <c r="R966" s="8">
        <v>307528</v>
      </c>
      <c r="S966" s="8">
        <f t="shared" si="464"/>
        <v>3517</v>
      </c>
      <c r="T966" s="8">
        <v>-136669</v>
      </c>
      <c r="U966" s="8">
        <f t="shared" si="465"/>
        <v>7669</v>
      </c>
      <c r="W966" s="8">
        <v>669155</v>
      </c>
      <c r="X966" s="8">
        <f t="shared" si="466"/>
        <v>12368</v>
      </c>
      <c r="Y966" s="8">
        <v>83623</v>
      </c>
      <c r="Z966" s="8">
        <f t="shared" si="467"/>
        <v>-502</v>
      </c>
      <c r="AA966" s="8">
        <v>156922</v>
      </c>
      <c r="AB966" s="8">
        <f t="shared" si="479"/>
        <v>-2619</v>
      </c>
      <c r="AC966" s="8">
        <v>-73299</v>
      </c>
      <c r="AD966" s="8">
        <f t="shared" si="480"/>
        <v>2117</v>
      </c>
      <c r="AE966" s="8">
        <v>308084</v>
      </c>
      <c r="AF966" s="8">
        <f t="shared" si="451"/>
        <v>1271</v>
      </c>
      <c r="AG966" s="8">
        <v>280062</v>
      </c>
      <c r="AH966" s="8">
        <f t="shared" si="452"/>
        <v>2625</v>
      </c>
      <c r="AI966" s="8">
        <v>28022</v>
      </c>
      <c r="AJ966" s="8">
        <f t="shared" si="453"/>
        <v>-1354</v>
      </c>
      <c r="AK966" s="8">
        <v>181817</v>
      </c>
      <c r="AL966" s="8">
        <f t="shared" si="454"/>
        <v>-631</v>
      </c>
      <c r="AM966" s="8">
        <v>255158</v>
      </c>
      <c r="AN966" s="8">
        <f t="shared" si="455"/>
        <v>934</v>
      </c>
      <c r="AO966" s="8">
        <v>-73341</v>
      </c>
      <c r="AP966" s="8">
        <f t="shared" si="468"/>
        <v>-1565</v>
      </c>
      <c r="AR966" s="8">
        <v>1895924</v>
      </c>
      <c r="AS966" s="8">
        <f t="shared" si="469"/>
        <v>-7249</v>
      </c>
      <c r="AT966" s="8">
        <v>273628</v>
      </c>
      <c r="AU966" s="8">
        <f t="shared" si="470"/>
        <v>1313</v>
      </c>
      <c r="AV966" s="8">
        <v>185408</v>
      </c>
      <c r="AW966" s="8">
        <f t="shared" si="471"/>
        <v>10535</v>
      </c>
      <c r="AX966" s="8">
        <v>88220</v>
      </c>
      <c r="AY966" s="8">
        <f t="shared" si="478"/>
        <v>-9222</v>
      </c>
      <c r="AZ966" s="8">
        <v>841058</v>
      </c>
      <c r="BA966" s="8">
        <f t="shared" si="472"/>
        <v>-8353</v>
      </c>
      <c r="BB966" s="8">
        <v>892558</v>
      </c>
      <c r="BC966" s="8">
        <f t="shared" si="473"/>
        <v>-4034</v>
      </c>
      <c r="BD966" s="8">
        <v>-51500</v>
      </c>
      <c r="BE966" s="8">
        <f t="shared" si="474"/>
        <v>-4319</v>
      </c>
      <c r="BF966" s="8">
        <v>530523</v>
      </c>
      <c r="BG966" s="8">
        <f t="shared" si="475"/>
        <v>-8490</v>
      </c>
      <c r="BH966" s="8">
        <v>833908</v>
      </c>
      <c r="BI966" s="8">
        <f t="shared" si="476"/>
        <v>-4168</v>
      </c>
      <c r="BJ966" s="8">
        <v>-303385</v>
      </c>
      <c r="BK966" s="8">
        <f t="shared" ref="BK966:BK967" si="481">BJ966-BJ965</f>
        <v>-4322</v>
      </c>
    </row>
    <row r="967" spans="1:63">
      <c r="A967" s="5">
        <v>45636</v>
      </c>
      <c r="B967" s="8">
        <v>630002</v>
      </c>
      <c r="C967" s="8">
        <f t="shared" si="456"/>
        <v>449</v>
      </c>
      <c r="D967" s="8">
        <v>81950</v>
      </c>
      <c r="E967" s="8">
        <f t="shared" si="457"/>
        <v>-1999</v>
      </c>
      <c r="F967" s="8">
        <v>64431</v>
      </c>
      <c r="G967" s="8">
        <f t="shared" si="458"/>
        <v>-10091</v>
      </c>
      <c r="H967" s="8">
        <v>17519</v>
      </c>
      <c r="I967" s="8">
        <f t="shared" si="459"/>
        <v>8092</v>
      </c>
      <c r="J967" s="8">
        <v>316111</v>
      </c>
      <c r="K967" s="8">
        <f t="shared" si="460"/>
        <v>-6292</v>
      </c>
      <c r="L967" s="8">
        <v>365254</v>
      </c>
      <c r="M967" s="8">
        <f t="shared" si="461"/>
        <v>12448</v>
      </c>
      <c r="N967" s="8">
        <v>-49143</v>
      </c>
      <c r="O967" s="8">
        <f t="shared" si="462"/>
        <v>-18740</v>
      </c>
      <c r="P967" s="8">
        <v>171105</v>
      </c>
      <c r="Q967" s="8">
        <f t="shared" si="463"/>
        <v>246</v>
      </c>
      <c r="R967" s="8">
        <v>326935</v>
      </c>
      <c r="S967" s="8">
        <f t="shared" si="464"/>
        <v>19407</v>
      </c>
      <c r="T967" s="8">
        <v>-155830</v>
      </c>
      <c r="U967" s="8">
        <f t="shared" si="465"/>
        <v>-19161</v>
      </c>
      <c r="W967" s="8">
        <v>684821</v>
      </c>
      <c r="X967" s="8">
        <f t="shared" si="466"/>
        <v>15666</v>
      </c>
      <c r="Y967" s="8">
        <v>84914</v>
      </c>
      <c r="Z967" s="8">
        <f t="shared" si="467"/>
        <v>1291</v>
      </c>
      <c r="AA967" s="8">
        <v>157341</v>
      </c>
      <c r="AB967" s="8">
        <f t="shared" si="479"/>
        <v>419</v>
      </c>
      <c r="AC967" s="8">
        <v>-72427</v>
      </c>
      <c r="AD967" s="8">
        <f t="shared" si="480"/>
        <v>872</v>
      </c>
      <c r="AE967" s="8">
        <v>308653</v>
      </c>
      <c r="AF967" s="8">
        <f t="shared" si="451"/>
        <v>569</v>
      </c>
      <c r="AG967" s="8">
        <v>285578</v>
      </c>
      <c r="AH967" s="8">
        <f t="shared" si="452"/>
        <v>5516</v>
      </c>
      <c r="AI967" s="8">
        <v>23075</v>
      </c>
      <c r="AJ967" s="8">
        <f t="shared" si="453"/>
        <v>-4947</v>
      </c>
      <c r="AK967" s="8">
        <v>190859</v>
      </c>
      <c r="AL967" s="8">
        <f t="shared" si="454"/>
        <v>9042</v>
      </c>
      <c r="AM967" s="8">
        <v>268562</v>
      </c>
      <c r="AN967" s="8">
        <f t="shared" si="455"/>
        <v>13404</v>
      </c>
      <c r="AO967" s="8">
        <v>-77703</v>
      </c>
      <c r="AP967" s="8">
        <f t="shared" si="468"/>
        <v>-4362</v>
      </c>
      <c r="AR967" s="8">
        <v>2008681</v>
      </c>
      <c r="AS967" s="8">
        <f t="shared" si="469"/>
        <v>112757</v>
      </c>
      <c r="AT967" s="8">
        <v>327099</v>
      </c>
      <c r="AU967" s="8">
        <f t="shared" si="470"/>
        <v>53471</v>
      </c>
      <c r="AV967" s="8">
        <v>161209</v>
      </c>
      <c r="AW967" s="8">
        <f t="shared" si="471"/>
        <v>-24199</v>
      </c>
      <c r="AX967" s="8">
        <v>165890</v>
      </c>
      <c r="AY967" s="8">
        <f t="shared" si="478"/>
        <v>77670</v>
      </c>
      <c r="AZ967" s="8">
        <v>858480</v>
      </c>
      <c r="BA967" s="8">
        <f t="shared" si="472"/>
        <v>17422</v>
      </c>
      <c r="BB967" s="8">
        <v>991457</v>
      </c>
      <c r="BC967" s="8">
        <f t="shared" si="473"/>
        <v>98899</v>
      </c>
      <c r="BD967" s="8">
        <v>-132977</v>
      </c>
      <c r="BE967" s="8">
        <f t="shared" si="474"/>
        <v>-81477</v>
      </c>
      <c r="BF967" s="8">
        <v>527263</v>
      </c>
      <c r="BG967" s="8">
        <f t="shared" si="475"/>
        <v>-3260</v>
      </c>
      <c r="BH967" s="8">
        <v>913363</v>
      </c>
      <c r="BI967" s="8">
        <f t="shared" si="476"/>
        <v>79455</v>
      </c>
      <c r="BJ967" s="8">
        <v>-386100</v>
      </c>
      <c r="BK967" s="8">
        <f t="shared" si="481"/>
        <v>-82715</v>
      </c>
    </row>
    <row r="968" spans="1:63"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</row>
    <row r="969" spans="1:63"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</row>
    <row r="970" spans="1:63"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</row>
    <row r="971" spans="1:63"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</row>
    <row r="972" spans="1:63"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</row>
    <row r="973" spans="1:63"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</row>
    <row r="974" spans="1:63"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</row>
    <row r="975" spans="1:63"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</row>
    <row r="976" spans="1:63"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</row>
    <row r="977" spans="2:63"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</row>
    <row r="978" spans="2:63"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</row>
    <row r="979" spans="2:63"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</row>
    <row r="980" spans="2:63"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</row>
    <row r="981" spans="2:63"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</row>
    <row r="982" spans="2:63"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</row>
    <row r="983" spans="2:63"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</row>
    <row r="984" spans="2:63"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</row>
    <row r="985" spans="2:63"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</row>
    <row r="986" spans="2:63"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</row>
    <row r="987" spans="2:63"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</row>
    <row r="988" spans="2:63"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</row>
    <row r="989" spans="2:63"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</row>
    <row r="990" spans="2:63"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</row>
    <row r="991" spans="2:63"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</row>
    <row r="992" spans="2:63"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</row>
    <row r="993" spans="1:63"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</row>
    <row r="994" spans="1:63"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</row>
    <row r="995" spans="1:63"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</row>
    <row r="996" spans="1:63"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</row>
    <row r="997" spans="1:63"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</row>
    <row r="998" spans="1:63"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</row>
    <row r="999" spans="1:63"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</row>
    <row r="1000" spans="1:63" s="10" customFormat="1" ht="35.25">
      <c r="A1000" s="9" t="s">
        <v>19</v>
      </c>
    </row>
    <row r="1903" spans="13:17">
      <c r="M1903" s="6" t="s">
        <v>20</v>
      </c>
      <c r="N1903" s="6" t="e">
        <f>RTD("prophetx.rtdserver","","HISTORY","@BO@C","WEEKLY","1","24/06/2024","0","Open","0")</f>
        <v>#N/A</v>
      </c>
      <c r="O1903" s="6" t="e">
        <f>RTD("prophetx.rtdserver","","HISTORY","@BO@C","WEEKLY","1","24/06/2024","0","High","0")</f>
        <v>#N/A</v>
      </c>
      <c r="P1903" s="6" t="e">
        <f>RTD("prophetx.rtdserver","","HISTORY","@BO@C","WEEKLY","1","24/06/2024","0","Low","0")</f>
        <v>#N/A</v>
      </c>
      <c r="Q1903" s="6" t="e">
        <f>RTD("prophetx.rtdserver","","HISTORY","@BO@C","WEEKLY","1","24/06/2024","0","Close","0")</f>
        <v>#N/A</v>
      </c>
    </row>
    <row r="2060" spans="1:3" s="10" customFormat="1">
      <c r="A2060" s="11"/>
      <c r="C2060" s="12"/>
    </row>
  </sheetData>
  <mergeCells count="3">
    <mergeCell ref="B1:U1"/>
    <mergeCell ref="W1:AP1"/>
    <mergeCell ref="AQ1:B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13E03-CF5E-443E-9CB6-73CB23930C35}">
  <dimension ref="A1:I1000"/>
  <sheetViews>
    <sheetView tabSelected="1" workbookViewId="0">
      <pane xSplit="1" ySplit="1" topLeftCell="B926" activePane="bottomRight" state="frozen"/>
      <selection activeCell="A3" sqref="A3:BJ9"/>
      <selection pane="topRight" activeCell="A3" sqref="A3:BJ9"/>
      <selection pane="bottomLeft" activeCell="A3" sqref="A3:BJ9"/>
      <selection pane="bottomRight" activeCell="B955" sqref="B955"/>
    </sheetView>
  </sheetViews>
  <sheetFormatPr defaultRowHeight="12"/>
  <cols>
    <col min="1" max="1" width="10.85546875" style="16" bestFit="1" customWidth="1"/>
    <col min="2" max="2" width="9.85546875" style="16" bestFit="1" customWidth="1"/>
    <col min="3" max="6" width="9.28515625" style="16" bestFit="1" customWidth="1"/>
    <col min="7" max="7" width="9.140625" style="16"/>
    <col min="8" max="8" width="10.85546875" style="16" bestFit="1" customWidth="1"/>
    <col min="9" max="16384" width="9.140625" style="16"/>
  </cols>
  <sheetData>
    <row r="1" spans="1:9" ht="45">
      <c r="A1" s="14"/>
      <c r="B1" s="15" t="s">
        <v>21</v>
      </c>
      <c r="C1" s="15" t="s">
        <v>22</v>
      </c>
      <c r="D1" s="15" t="s">
        <v>23</v>
      </c>
      <c r="E1" s="15" t="s">
        <v>24</v>
      </c>
      <c r="F1" s="15" t="s">
        <v>25</v>
      </c>
    </row>
    <row r="2" spans="1:9">
      <c r="A2" s="17">
        <v>38965</v>
      </c>
      <c r="B2" s="18">
        <v>64334</v>
      </c>
      <c r="C2" s="19">
        <v>24.5</v>
      </c>
      <c r="D2" s="17"/>
      <c r="E2" s="20">
        <f t="shared" ref="E2:E65" si="0">MONTH(A2)</f>
        <v>9</v>
      </c>
      <c r="F2" s="20">
        <f t="shared" ref="F2:F65" si="1">YEAR(A2)</f>
        <v>2006</v>
      </c>
      <c r="H2" s="17">
        <v>38965</v>
      </c>
      <c r="I2" s="16" t="str">
        <f t="shared" ref="I2:I65" si="2">IF(H2=A2,"OK","")</f>
        <v>OK</v>
      </c>
    </row>
    <row r="3" spans="1:9">
      <c r="A3" s="17">
        <v>38972</v>
      </c>
      <c r="B3" s="18">
        <v>56254</v>
      </c>
      <c r="C3" s="19">
        <v>24.69</v>
      </c>
      <c r="D3" s="18">
        <f t="shared" ref="D3:D66" si="3">B3-B2</f>
        <v>-8080</v>
      </c>
      <c r="E3" s="20">
        <f t="shared" si="0"/>
        <v>9</v>
      </c>
      <c r="F3" s="20">
        <f t="shared" si="1"/>
        <v>2006</v>
      </c>
      <c r="H3" s="17">
        <v>38972</v>
      </c>
      <c r="I3" s="16" t="str">
        <f t="shared" si="2"/>
        <v>OK</v>
      </c>
    </row>
    <row r="4" spans="1:9">
      <c r="A4" s="17">
        <v>38979</v>
      </c>
      <c r="B4" s="18">
        <v>54118</v>
      </c>
      <c r="C4" s="19">
        <v>23.87</v>
      </c>
      <c r="D4" s="18">
        <f t="shared" si="3"/>
        <v>-2136</v>
      </c>
      <c r="E4" s="20">
        <f t="shared" si="0"/>
        <v>9</v>
      </c>
      <c r="F4" s="20">
        <f t="shared" si="1"/>
        <v>2006</v>
      </c>
      <c r="H4" s="17">
        <v>38979</v>
      </c>
      <c r="I4" s="16" t="str">
        <f t="shared" si="2"/>
        <v>OK</v>
      </c>
    </row>
    <row r="5" spans="1:9">
      <c r="A5" s="17">
        <v>38986</v>
      </c>
      <c r="B5" s="18">
        <v>38095</v>
      </c>
      <c r="C5" s="19">
        <v>23.77</v>
      </c>
      <c r="D5" s="18">
        <f t="shared" si="3"/>
        <v>-16023</v>
      </c>
      <c r="E5" s="20">
        <f t="shared" si="0"/>
        <v>9</v>
      </c>
      <c r="F5" s="20">
        <f t="shared" si="1"/>
        <v>2006</v>
      </c>
      <c r="H5" s="17">
        <v>38986</v>
      </c>
      <c r="I5" s="16" t="str">
        <f t="shared" si="2"/>
        <v>OK</v>
      </c>
    </row>
    <row r="6" spans="1:9">
      <c r="A6" s="17">
        <v>38993</v>
      </c>
      <c r="B6" s="18">
        <v>24801</v>
      </c>
      <c r="C6" s="19">
        <v>24</v>
      </c>
      <c r="D6" s="18">
        <f t="shared" si="3"/>
        <v>-13294</v>
      </c>
      <c r="E6" s="20">
        <f t="shared" si="0"/>
        <v>10</v>
      </c>
      <c r="F6" s="20">
        <f t="shared" si="1"/>
        <v>2006</v>
      </c>
      <c r="H6" s="17">
        <v>38993</v>
      </c>
      <c r="I6" s="16" t="str">
        <f t="shared" si="2"/>
        <v>OK</v>
      </c>
    </row>
    <row r="7" spans="1:9">
      <c r="A7" s="17">
        <v>39000</v>
      </c>
      <c r="B7" s="18">
        <v>19577</v>
      </c>
      <c r="C7" s="19">
        <v>24.82</v>
      </c>
      <c r="D7" s="18">
        <f t="shared" si="3"/>
        <v>-5224</v>
      </c>
      <c r="E7" s="20">
        <f t="shared" si="0"/>
        <v>10</v>
      </c>
      <c r="F7" s="20">
        <f t="shared" si="1"/>
        <v>2006</v>
      </c>
      <c r="H7" s="17">
        <v>39000</v>
      </c>
      <c r="I7" s="16" t="str">
        <f t="shared" si="2"/>
        <v>OK</v>
      </c>
    </row>
    <row r="8" spans="1:9">
      <c r="A8" s="17">
        <v>39007</v>
      </c>
      <c r="B8" s="18">
        <v>16395</v>
      </c>
      <c r="C8" s="19">
        <v>26.17</v>
      </c>
      <c r="D8" s="18">
        <f t="shared" si="3"/>
        <v>-3182</v>
      </c>
      <c r="E8" s="20">
        <f t="shared" si="0"/>
        <v>10</v>
      </c>
      <c r="F8" s="20">
        <f t="shared" si="1"/>
        <v>2006</v>
      </c>
      <c r="H8" s="17">
        <v>39007</v>
      </c>
      <c r="I8" s="16" t="str">
        <f t="shared" si="2"/>
        <v>OK</v>
      </c>
    </row>
    <row r="9" spans="1:9">
      <c r="A9" s="17">
        <v>39014</v>
      </c>
      <c r="B9" s="18">
        <v>11576</v>
      </c>
      <c r="C9" s="19">
        <v>27.5</v>
      </c>
      <c r="D9" s="18">
        <f t="shared" si="3"/>
        <v>-4819</v>
      </c>
      <c r="E9" s="20">
        <f t="shared" si="0"/>
        <v>10</v>
      </c>
      <c r="F9" s="20">
        <f t="shared" si="1"/>
        <v>2006</v>
      </c>
      <c r="H9" s="17">
        <v>39014</v>
      </c>
      <c r="I9" s="16" t="str">
        <f t="shared" si="2"/>
        <v>OK</v>
      </c>
    </row>
    <row r="10" spans="1:9">
      <c r="A10" s="17">
        <v>39021</v>
      </c>
      <c r="B10" s="18">
        <v>29029</v>
      </c>
      <c r="C10" s="19">
        <v>27.68</v>
      </c>
      <c r="D10" s="18">
        <f t="shared" si="3"/>
        <v>17453</v>
      </c>
      <c r="E10" s="20">
        <f t="shared" si="0"/>
        <v>10</v>
      </c>
      <c r="F10" s="20">
        <f t="shared" si="1"/>
        <v>2006</v>
      </c>
      <c r="H10" s="17">
        <v>39021</v>
      </c>
      <c r="I10" s="16" t="str">
        <f t="shared" si="2"/>
        <v>OK</v>
      </c>
    </row>
    <row r="11" spans="1:9">
      <c r="A11" s="17">
        <v>39028</v>
      </c>
      <c r="B11" s="18">
        <v>18114</v>
      </c>
      <c r="C11" s="19">
        <v>27.69</v>
      </c>
      <c r="D11" s="18">
        <f t="shared" si="3"/>
        <v>-10915</v>
      </c>
      <c r="E11" s="20">
        <f t="shared" si="0"/>
        <v>11</v>
      </c>
      <c r="F11" s="20">
        <f t="shared" si="1"/>
        <v>2006</v>
      </c>
      <c r="H11" s="17">
        <v>39028</v>
      </c>
      <c r="I11" s="16" t="str">
        <f t="shared" si="2"/>
        <v>OK</v>
      </c>
    </row>
    <row r="12" spans="1:9">
      <c r="A12" s="17">
        <v>39035</v>
      </c>
      <c r="B12" s="18">
        <v>17052</v>
      </c>
      <c r="C12" s="19">
        <v>28.28</v>
      </c>
      <c r="D12" s="18">
        <f t="shared" si="3"/>
        <v>-1062</v>
      </c>
      <c r="E12" s="20">
        <f t="shared" si="0"/>
        <v>11</v>
      </c>
      <c r="F12" s="20">
        <f t="shared" si="1"/>
        <v>2006</v>
      </c>
      <c r="H12" s="17">
        <v>39035</v>
      </c>
      <c r="I12" s="16" t="str">
        <f t="shared" si="2"/>
        <v>OK</v>
      </c>
    </row>
    <row r="13" spans="1:9">
      <c r="A13" s="17">
        <v>39042</v>
      </c>
      <c r="B13" s="18">
        <v>30101</v>
      </c>
      <c r="C13" s="19">
        <v>28.89</v>
      </c>
      <c r="D13" s="18">
        <f t="shared" si="3"/>
        <v>13049</v>
      </c>
      <c r="E13" s="20">
        <f t="shared" si="0"/>
        <v>11</v>
      </c>
      <c r="F13" s="20">
        <f t="shared" si="1"/>
        <v>2006</v>
      </c>
      <c r="H13" s="17">
        <v>39042</v>
      </c>
      <c r="I13" s="16" t="str">
        <f t="shared" si="2"/>
        <v>OK</v>
      </c>
    </row>
    <row r="14" spans="1:9">
      <c r="A14" s="17">
        <v>39049</v>
      </c>
      <c r="B14" s="18">
        <v>33873</v>
      </c>
      <c r="C14" s="19">
        <v>29.23</v>
      </c>
      <c r="D14" s="18">
        <f t="shared" si="3"/>
        <v>3772</v>
      </c>
      <c r="E14" s="20">
        <f t="shared" si="0"/>
        <v>11</v>
      </c>
      <c r="F14" s="20">
        <f t="shared" si="1"/>
        <v>2006</v>
      </c>
      <c r="H14" s="17">
        <v>39049</v>
      </c>
      <c r="I14" s="16" t="str">
        <f t="shared" si="2"/>
        <v>OK</v>
      </c>
    </row>
    <row r="15" spans="1:9">
      <c r="A15" s="17">
        <v>39056</v>
      </c>
      <c r="B15" s="18">
        <v>32061</v>
      </c>
      <c r="C15" s="19">
        <v>28.28</v>
      </c>
      <c r="D15" s="18">
        <f t="shared" si="3"/>
        <v>-1812</v>
      </c>
      <c r="E15" s="20">
        <f t="shared" si="0"/>
        <v>12</v>
      </c>
      <c r="F15" s="20">
        <f t="shared" si="1"/>
        <v>2006</v>
      </c>
      <c r="H15" s="17">
        <v>39056</v>
      </c>
      <c r="I15" s="16" t="str">
        <f t="shared" si="2"/>
        <v>OK</v>
      </c>
    </row>
    <row r="16" spans="1:9">
      <c r="A16" s="17">
        <v>39063</v>
      </c>
      <c r="B16" s="18">
        <v>42729</v>
      </c>
      <c r="C16" s="19">
        <v>28.15</v>
      </c>
      <c r="D16" s="18">
        <f t="shared" si="3"/>
        <v>10668</v>
      </c>
      <c r="E16" s="20">
        <f t="shared" si="0"/>
        <v>12</v>
      </c>
      <c r="F16" s="20">
        <f t="shared" si="1"/>
        <v>2006</v>
      </c>
      <c r="H16" s="17">
        <v>39063</v>
      </c>
      <c r="I16" s="16" t="str">
        <f t="shared" si="2"/>
        <v>OK</v>
      </c>
    </row>
    <row r="17" spans="1:9">
      <c r="A17" s="17">
        <v>39070</v>
      </c>
      <c r="B17" s="18">
        <v>40034</v>
      </c>
      <c r="C17" s="19">
        <v>28.42</v>
      </c>
      <c r="D17" s="18">
        <f t="shared" si="3"/>
        <v>-2695</v>
      </c>
      <c r="E17" s="20">
        <f t="shared" si="0"/>
        <v>12</v>
      </c>
      <c r="F17" s="20">
        <f t="shared" si="1"/>
        <v>2006</v>
      </c>
      <c r="H17" s="17">
        <v>39070</v>
      </c>
      <c r="I17" s="16" t="str">
        <f t="shared" si="2"/>
        <v>OK</v>
      </c>
    </row>
    <row r="18" spans="1:9">
      <c r="A18" s="17">
        <v>39077</v>
      </c>
      <c r="B18" s="18">
        <v>39856</v>
      </c>
      <c r="C18" s="19">
        <v>29.26</v>
      </c>
      <c r="D18" s="18">
        <f t="shared" si="3"/>
        <v>-178</v>
      </c>
      <c r="E18" s="20">
        <f t="shared" si="0"/>
        <v>12</v>
      </c>
      <c r="F18" s="20">
        <f t="shared" si="1"/>
        <v>2006</v>
      </c>
      <c r="H18" s="17">
        <v>39077</v>
      </c>
      <c r="I18" s="16" t="str">
        <f t="shared" si="2"/>
        <v>OK</v>
      </c>
    </row>
    <row r="19" spans="1:9">
      <c r="A19" s="17">
        <v>39084</v>
      </c>
      <c r="B19" s="18">
        <v>34723</v>
      </c>
      <c r="C19" s="19">
        <v>28.4</v>
      </c>
      <c r="D19" s="18">
        <f t="shared" si="3"/>
        <v>-5133</v>
      </c>
      <c r="E19" s="20">
        <f t="shared" si="0"/>
        <v>1</v>
      </c>
      <c r="F19" s="20">
        <f t="shared" si="1"/>
        <v>2007</v>
      </c>
      <c r="H19" s="17">
        <v>39084</v>
      </c>
      <c r="I19" s="16" t="str">
        <f t="shared" si="2"/>
        <v>OK</v>
      </c>
    </row>
    <row r="20" spans="1:9">
      <c r="A20" s="17">
        <v>39091</v>
      </c>
      <c r="B20" s="18">
        <v>34731</v>
      </c>
      <c r="C20" s="19">
        <v>28.8</v>
      </c>
      <c r="D20" s="18">
        <f t="shared" si="3"/>
        <v>8</v>
      </c>
      <c r="E20" s="20">
        <f t="shared" si="0"/>
        <v>1</v>
      </c>
      <c r="F20" s="20">
        <f t="shared" si="1"/>
        <v>2007</v>
      </c>
      <c r="H20" s="17">
        <v>39091</v>
      </c>
      <c r="I20" s="16" t="str">
        <f t="shared" si="2"/>
        <v>OK</v>
      </c>
    </row>
    <row r="21" spans="1:9">
      <c r="A21" s="17">
        <v>39098</v>
      </c>
      <c r="B21" s="18">
        <v>24206</v>
      </c>
      <c r="C21" s="19">
        <v>29.3</v>
      </c>
      <c r="D21" s="18">
        <f t="shared" si="3"/>
        <v>-10525</v>
      </c>
      <c r="E21" s="20">
        <f t="shared" si="0"/>
        <v>1</v>
      </c>
      <c r="F21" s="20">
        <f t="shared" si="1"/>
        <v>2007</v>
      </c>
      <c r="H21" s="17">
        <v>39098</v>
      </c>
      <c r="I21" s="16" t="str">
        <f t="shared" si="2"/>
        <v>OK</v>
      </c>
    </row>
    <row r="22" spans="1:9">
      <c r="A22" s="17">
        <v>39105</v>
      </c>
      <c r="B22" s="18">
        <v>25878</v>
      </c>
      <c r="C22" s="19">
        <v>29</v>
      </c>
      <c r="D22" s="18">
        <f t="shared" si="3"/>
        <v>1672</v>
      </c>
      <c r="E22" s="20">
        <f t="shared" si="0"/>
        <v>1</v>
      </c>
      <c r="F22" s="20">
        <f t="shared" si="1"/>
        <v>2007</v>
      </c>
      <c r="H22" s="17">
        <v>39105</v>
      </c>
      <c r="I22" s="16" t="str">
        <f t="shared" si="2"/>
        <v>OK</v>
      </c>
    </row>
    <row r="23" spans="1:9">
      <c r="A23" s="17">
        <v>39112</v>
      </c>
      <c r="B23" s="18">
        <v>26310</v>
      </c>
      <c r="C23" s="19">
        <v>30.37</v>
      </c>
      <c r="D23" s="18">
        <f t="shared" si="3"/>
        <v>432</v>
      </c>
      <c r="E23" s="20">
        <f t="shared" si="0"/>
        <v>1</v>
      </c>
      <c r="F23" s="20">
        <f t="shared" si="1"/>
        <v>2007</v>
      </c>
      <c r="H23" s="17">
        <v>39112</v>
      </c>
      <c r="I23" s="16" t="str">
        <f t="shared" si="2"/>
        <v>OK</v>
      </c>
    </row>
    <row r="24" spans="1:9">
      <c r="A24" s="17">
        <v>39119</v>
      </c>
      <c r="B24" s="18">
        <v>29340</v>
      </c>
      <c r="C24" s="19">
        <v>30.34</v>
      </c>
      <c r="D24" s="18">
        <f t="shared" si="3"/>
        <v>3030</v>
      </c>
      <c r="E24" s="20">
        <f t="shared" si="0"/>
        <v>2</v>
      </c>
      <c r="F24" s="20">
        <f t="shared" si="1"/>
        <v>2007</v>
      </c>
      <c r="H24" s="17">
        <v>39119</v>
      </c>
      <c r="I24" s="16" t="str">
        <f t="shared" si="2"/>
        <v>OK</v>
      </c>
    </row>
    <row r="25" spans="1:9">
      <c r="A25" s="17">
        <v>39126</v>
      </c>
      <c r="B25" s="18">
        <v>12215</v>
      </c>
      <c r="C25" s="19">
        <v>29.91</v>
      </c>
      <c r="D25" s="18">
        <f t="shared" si="3"/>
        <v>-17125</v>
      </c>
      <c r="E25" s="20">
        <f t="shared" si="0"/>
        <v>2</v>
      </c>
      <c r="F25" s="20">
        <f t="shared" si="1"/>
        <v>2007</v>
      </c>
      <c r="H25" s="17">
        <v>39126</v>
      </c>
      <c r="I25" s="16" t="str">
        <f t="shared" si="2"/>
        <v>OK</v>
      </c>
    </row>
    <row r="26" spans="1:9">
      <c r="A26" s="17">
        <v>39133</v>
      </c>
      <c r="B26" s="18">
        <v>5752</v>
      </c>
      <c r="C26" s="19">
        <v>30.39</v>
      </c>
      <c r="D26" s="18">
        <f t="shared" si="3"/>
        <v>-6463</v>
      </c>
      <c r="E26" s="20">
        <f t="shared" si="0"/>
        <v>2</v>
      </c>
      <c r="F26" s="20">
        <f t="shared" si="1"/>
        <v>2007</v>
      </c>
      <c r="H26" s="17">
        <v>39133</v>
      </c>
      <c r="I26" s="16" t="str">
        <f t="shared" si="2"/>
        <v>OK</v>
      </c>
    </row>
    <row r="27" spans="1:9">
      <c r="A27" s="17">
        <v>39140</v>
      </c>
      <c r="B27" s="18">
        <v>15794</v>
      </c>
      <c r="C27" s="19">
        <v>29.69</v>
      </c>
      <c r="D27" s="18">
        <f t="shared" si="3"/>
        <v>10042</v>
      </c>
      <c r="E27" s="20">
        <f t="shared" si="0"/>
        <v>2</v>
      </c>
      <c r="F27" s="20">
        <f t="shared" si="1"/>
        <v>2007</v>
      </c>
      <c r="H27" s="17">
        <v>39140</v>
      </c>
      <c r="I27" s="16" t="str">
        <f t="shared" si="2"/>
        <v>OK</v>
      </c>
    </row>
    <row r="28" spans="1:9">
      <c r="A28" s="17">
        <v>39147</v>
      </c>
      <c r="B28" s="18">
        <v>18536</v>
      </c>
      <c r="C28" s="19">
        <v>30.22</v>
      </c>
      <c r="D28" s="18">
        <f t="shared" si="3"/>
        <v>2742</v>
      </c>
      <c r="E28" s="20">
        <f t="shared" si="0"/>
        <v>3</v>
      </c>
      <c r="F28" s="20">
        <f t="shared" si="1"/>
        <v>2007</v>
      </c>
      <c r="H28" s="17">
        <v>39147</v>
      </c>
      <c r="I28" s="16" t="str">
        <f t="shared" si="2"/>
        <v>OK</v>
      </c>
    </row>
    <row r="29" spans="1:9">
      <c r="A29" s="17">
        <v>39154</v>
      </c>
      <c r="B29" s="18">
        <v>24301</v>
      </c>
      <c r="C29" s="19">
        <v>30.77</v>
      </c>
      <c r="D29" s="18">
        <f t="shared" si="3"/>
        <v>5765</v>
      </c>
      <c r="E29" s="20">
        <f t="shared" si="0"/>
        <v>3</v>
      </c>
      <c r="F29" s="20">
        <f t="shared" si="1"/>
        <v>2007</v>
      </c>
      <c r="H29" s="17">
        <v>39154</v>
      </c>
      <c r="I29" s="16" t="str">
        <f t="shared" si="2"/>
        <v>OK</v>
      </c>
    </row>
    <row r="30" spans="1:9">
      <c r="A30" s="17">
        <v>39161</v>
      </c>
      <c r="B30" s="18">
        <v>30042</v>
      </c>
      <c r="C30" s="19">
        <v>31.96</v>
      </c>
      <c r="D30" s="18">
        <f t="shared" si="3"/>
        <v>5741</v>
      </c>
      <c r="E30" s="20">
        <f t="shared" si="0"/>
        <v>3</v>
      </c>
      <c r="F30" s="20">
        <f t="shared" si="1"/>
        <v>2007</v>
      </c>
      <c r="H30" s="17">
        <v>39161</v>
      </c>
      <c r="I30" s="16" t="str">
        <f t="shared" si="2"/>
        <v>OK</v>
      </c>
    </row>
    <row r="31" spans="1:9">
      <c r="A31" s="17">
        <v>39168</v>
      </c>
      <c r="B31" s="18">
        <v>48608</v>
      </c>
      <c r="C31" s="19">
        <v>32.479999999999997</v>
      </c>
      <c r="D31" s="18">
        <f t="shared" si="3"/>
        <v>18566</v>
      </c>
      <c r="E31" s="20">
        <f t="shared" si="0"/>
        <v>3</v>
      </c>
      <c r="F31" s="20">
        <f t="shared" si="1"/>
        <v>2007</v>
      </c>
      <c r="H31" s="17">
        <v>39168</v>
      </c>
      <c r="I31" s="16" t="str">
        <f t="shared" si="2"/>
        <v>OK</v>
      </c>
    </row>
    <row r="32" spans="1:9">
      <c r="A32" s="17">
        <v>39175</v>
      </c>
      <c r="B32" s="18">
        <v>56819</v>
      </c>
      <c r="C32" s="19">
        <v>32.42</v>
      </c>
      <c r="D32" s="18">
        <f t="shared" si="3"/>
        <v>8211</v>
      </c>
      <c r="E32" s="20">
        <f t="shared" si="0"/>
        <v>4</v>
      </c>
      <c r="F32" s="20">
        <f t="shared" si="1"/>
        <v>2007</v>
      </c>
      <c r="H32" s="17">
        <v>39175</v>
      </c>
      <c r="I32" s="16" t="str">
        <f t="shared" si="2"/>
        <v>OK</v>
      </c>
    </row>
    <row r="33" spans="1:9">
      <c r="A33" s="17">
        <v>39182</v>
      </c>
      <c r="B33" s="18">
        <v>65930</v>
      </c>
      <c r="C33" s="19">
        <v>32.97</v>
      </c>
      <c r="D33" s="18">
        <f t="shared" si="3"/>
        <v>9111</v>
      </c>
      <c r="E33" s="20">
        <f t="shared" si="0"/>
        <v>4</v>
      </c>
      <c r="F33" s="20">
        <f t="shared" si="1"/>
        <v>2007</v>
      </c>
      <c r="H33" s="17">
        <v>39182</v>
      </c>
      <c r="I33" s="16" t="str">
        <f t="shared" si="2"/>
        <v>OK</v>
      </c>
    </row>
    <row r="34" spans="1:9">
      <c r="A34" s="17">
        <v>39189</v>
      </c>
      <c r="B34" s="18">
        <v>63619</v>
      </c>
      <c r="C34" s="19">
        <v>32.35</v>
      </c>
      <c r="D34" s="18">
        <f t="shared" si="3"/>
        <v>-2311</v>
      </c>
      <c r="E34" s="20">
        <f t="shared" si="0"/>
        <v>4</v>
      </c>
      <c r="F34" s="20">
        <f t="shared" si="1"/>
        <v>2007</v>
      </c>
      <c r="H34" s="17">
        <v>39189</v>
      </c>
      <c r="I34" s="16" t="str">
        <f t="shared" si="2"/>
        <v>OK</v>
      </c>
    </row>
    <row r="35" spans="1:9">
      <c r="A35" s="17">
        <v>39196</v>
      </c>
      <c r="B35" s="18">
        <v>53967</v>
      </c>
      <c r="C35" s="19">
        <v>32.93</v>
      </c>
      <c r="D35" s="18">
        <f t="shared" si="3"/>
        <v>-9652</v>
      </c>
      <c r="E35" s="20">
        <f t="shared" si="0"/>
        <v>4</v>
      </c>
      <c r="F35" s="20">
        <f t="shared" si="1"/>
        <v>2007</v>
      </c>
      <c r="H35" s="17">
        <v>39196</v>
      </c>
      <c r="I35" s="16" t="str">
        <f t="shared" si="2"/>
        <v>OK</v>
      </c>
    </row>
    <row r="36" spans="1:9">
      <c r="A36" s="17">
        <v>39203</v>
      </c>
      <c r="B36" s="18">
        <v>61961</v>
      </c>
      <c r="C36" s="19">
        <v>32.72</v>
      </c>
      <c r="D36" s="18">
        <f t="shared" si="3"/>
        <v>7994</v>
      </c>
      <c r="E36" s="20">
        <f t="shared" si="0"/>
        <v>5</v>
      </c>
      <c r="F36" s="20">
        <f t="shared" si="1"/>
        <v>2007</v>
      </c>
      <c r="H36" s="17">
        <v>39203</v>
      </c>
      <c r="I36" s="16" t="str">
        <f t="shared" si="2"/>
        <v>OK</v>
      </c>
    </row>
    <row r="37" spans="1:9">
      <c r="A37" s="17">
        <v>39210</v>
      </c>
      <c r="B37" s="18">
        <v>63127</v>
      </c>
      <c r="C37" s="19">
        <v>34.1</v>
      </c>
      <c r="D37" s="18">
        <f t="shared" si="3"/>
        <v>1166</v>
      </c>
      <c r="E37" s="20">
        <f t="shared" si="0"/>
        <v>5</v>
      </c>
      <c r="F37" s="20">
        <f t="shared" si="1"/>
        <v>2007</v>
      </c>
      <c r="H37" s="17">
        <v>39210</v>
      </c>
      <c r="I37" s="16" t="str">
        <f t="shared" si="2"/>
        <v>OK</v>
      </c>
    </row>
    <row r="38" spans="1:9">
      <c r="A38" s="17">
        <v>39217</v>
      </c>
      <c r="B38" s="18">
        <v>66869</v>
      </c>
      <c r="C38" s="19">
        <v>35.15</v>
      </c>
      <c r="D38" s="18">
        <f t="shared" si="3"/>
        <v>3742</v>
      </c>
      <c r="E38" s="20">
        <f t="shared" si="0"/>
        <v>5</v>
      </c>
      <c r="F38" s="20">
        <f t="shared" si="1"/>
        <v>2007</v>
      </c>
      <c r="H38" s="17">
        <v>39217</v>
      </c>
      <c r="I38" s="16" t="str">
        <f t="shared" si="2"/>
        <v>OK</v>
      </c>
    </row>
    <row r="39" spans="1:9">
      <c r="A39" s="17">
        <v>39224</v>
      </c>
      <c r="B39" s="18">
        <v>58930</v>
      </c>
      <c r="C39" s="19">
        <v>35.840000000000003</v>
      </c>
      <c r="D39" s="18">
        <f t="shared" si="3"/>
        <v>-7939</v>
      </c>
      <c r="E39" s="20">
        <f t="shared" si="0"/>
        <v>5</v>
      </c>
      <c r="F39" s="20">
        <f t="shared" si="1"/>
        <v>2007</v>
      </c>
      <c r="H39" s="17">
        <v>39224</v>
      </c>
      <c r="I39" s="16" t="str">
        <f t="shared" si="2"/>
        <v>OK</v>
      </c>
    </row>
    <row r="40" spans="1:9">
      <c r="A40" s="17">
        <v>39231</v>
      </c>
      <c r="B40" s="18">
        <v>53962</v>
      </c>
      <c r="C40" s="19">
        <v>35.81</v>
      </c>
      <c r="D40" s="18">
        <f t="shared" si="3"/>
        <v>-4968</v>
      </c>
      <c r="E40" s="20">
        <f t="shared" si="0"/>
        <v>5</v>
      </c>
      <c r="F40" s="20">
        <f t="shared" si="1"/>
        <v>2007</v>
      </c>
      <c r="H40" s="17">
        <v>39231</v>
      </c>
      <c r="I40" s="16" t="str">
        <f t="shared" si="2"/>
        <v>OK</v>
      </c>
    </row>
    <row r="41" spans="1:9">
      <c r="A41" s="17">
        <v>39238</v>
      </c>
      <c r="B41" s="18">
        <v>46877</v>
      </c>
      <c r="C41" s="19">
        <v>35.369999999999997</v>
      </c>
      <c r="D41" s="18">
        <f t="shared" si="3"/>
        <v>-7085</v>
      </c>
      <c r="E41" s="20">
        <f t="shared" si="0"/>
        <v>6</v>
      </c>
      <c r="F41" s="20">
        <f t="shared" si="1"/>
        <v>2007</v>
      </c>
      <c r="H41" s="17">
        <v>39238</v>
      </c>
      <c r="I41" s="16" t="str">
        <f t="shared" si="2"/>
        <v>OK</v>
      </c>
    </row>
    <row r="42" spans="1:9">
      <c r="A42" s="17">
        <v>39245</v>
      </c>
      <c r="B42" s="18">
        <v>39969</v>
      </c>
      <c r="C42" s="19">
        <v>35.880000000000003</v>
      </c>
      <c r="D42" s="18">
        <f t="shared" si="3"/>
        <v>-6908</v>
      </c>
      <c r="E42" s="20">
        <f t="shared" si="0"/>
        <v>6</v>
      </c>
      <c r="F42" s="20">
        <f t="shared" si="1"/>
        <v>2007</v>
      </c>
      <c r="H42" s="17">
        <v>39245</v>
      </c>
      <c r="I42" s="16" t="str">
        <f t="shared" si="2"/>
        <v>OK</v>
      </c>
    </row>
    <row r="43" spans="1:9">
      <c r="A43" s="17">
        <v>39252</v>
      </c>
      <c r="B43" s="18">
        <v>36391</v>
      </c>
      <c r="C43" s="19">
        <v>34.729999999999997</v>
      </c>
      <c r="D43" s="18">
        <f t="shared" si="3"/>
        <v>-3578</v>
      </c>
      <c r="E43" s="20">
        <f t="shared" si="0"/>
        <v>6</v>
      </c>
      <c r="F43" s="20">
        <f t="shared" si="1"/>
        <v>2007</v>
      </c>
      <c r="H43" s="17">
        <v>39252</v>
      </c>
      <c r="I43" s="16" t="str">
        <f t="shared" si="2"/>
        <v>OK</v>
      </c>
    </row>
    <row r="44" spans="1:9">
      <c r="A44" s="17">
        <v>39259</v>
      </c>
      <c r="B44" s="18">
        <v>24061</v>
      </c>
      <c r="C44" s="19">
        <v>36.630000000000003</v>
      </c>
      <c r="D44" s="18">
        <f t="shared" si="3"/>
        <v>-12330</v>
      </c>
      <c r="E44" s="20">
        <f t="shared" si="0"/>
        <v>6</v>
      </c>
      <c r="F44" s="20">
        <f t="shared" si="1"/>
        <v>2007</v>
      </c>
      <c r="H44" s="17">
        <v>39259</v>
      </c>
      <c r="I44" s="16" t="str">
        <f t="shared" si="2"/>
        <v>OK</v>
      </c>
    </row>
    <row r="45" spans="1:9">
      <c r="A45" s="17">
        <v>39266</v>
      </c>
      <c r="B45" s="18">
        <v>25654</v>
      </c>
      <c r="C45" s="19">
        <v>37.130000000000003</v>
      </c>
      <c r="D45" s="18">
        <f t="shared" si="3"/>
        <v>1593</v>
      </c>
      <c r="E45" s="20">
        <f t="shared" si="0"/>
        <v>7</v>
      </c>
      <c r="F45" s="20">
        <f t="shared" si="1"/>
        <v>2007</v>
      </c>
      <c r="H45" s="17">
        <v>39266</v>
      </c>
      <c r="I45" s="16" t="str">
        <f t="shared" si="2"/>
        <v>OK</v>
      </c>
    </row>
    <row r="46" spans="1:9">
      <c r="A46" s="17">
        <v>39273</v>
      </c>
      <c r="B46" s="18">
        <v>20766</v>
      </c>
      <c r="C46" s="19">
        <v>37.72</v>
      </c>
      <c r="D46" s="18">
        <f t="shared" si="3"/>
        <v>-4888</v>
      </c>
      <c r="E46" s="20">
        <f t="shared" si="0"/>
        <v>7</v>
      </c>
      <c r="F46" s="20">
        <f t="shared" si="1"/>
        <v>2007</v>
      </c>
      <c r="H46" s="17">
        <v>39273</v>
      </c>
      <c r="I46" s="16" t="str">
        <f t="shared" si="2"/>
        <v>OK</v>
      </c>
    </row>
    <row r="47" spans="1:9">
      <c r="A47" s="17">
        <v>39280</v>
      </c>
      <c r="B47" s="18">
        <v>16639</v>
      </c>
      <c r="C47" s="19">
        <v>37.49</v>
      </c>
      <c r="D47" s="18">
        <f t="shared" si="3"/>
        <v>-4127</v>
      </c>
      <c r="E47" s="20">
        <f t="shared" si="0"/>
        <v>7</v>
      </c>
      <c r="F47" s="20">
        <f t="shared" si="1"/>
        <v>2007</v>
      </c>
      <c r="H47" s="17">
        <v>39280</v>
      </c>
      <c r="I47" s="16" t="str">
        <f t="shared" si="2"/>
        <v>OK</v>
      </c>
    </row>
    <row r="48" spans="1:9">
      <c r="A48" s="17">
        <v>39287</v>
      </c>
      <c r="B48" s="18">
        <v>25434</v>
      </c>
      <c r="C48" s="19">
        <v>36.76</v>
      </c>
      <c r="D48" s="18">
        <f t="shared" si="3"/>
        <v>8795</v>
      </c>
      <c r="E48" s="20">
        <f t="shared" si="0"/>
        <v>7</v>
      </c>
      <c r="F48" s="20">
        <f t="shared" si="1"/>
        <v>2007</v>
      </c>
      <c r="H48" s="17">
        <v>39287</v>
      </c>
      <c r="I48" s="16" t="str">
        <f t="shared" si="2"/>
        <v>OK</v>
      </c>
    </row>
    <row r="49" spans="1:9">
      <c r="A49" s="17">
        <v>39294</v>
      </c>
      <c r="B49" s="18">
        <v>31252</v>
      </c>
      <c r="C49" s="19">
        <v>37.35</v>
      </c>
      <c r="D49" s="18">
        <f t="shared" si="3"/>
        <v>5818</v>
      </c>
      <c r="E49" s="20">
        <f t="shared" si="0"/>
        <v>7</v>
      </c>
      <c r="F49" s="20">
        <f t="shared" si="1"/>
        <v>2007</v>
      </c>
      <c r="H49" s="17">
        <v>39294</v>
      </c>
      <c r="I49" s="16" t="str">
        <f t="shared" si="2"/>
        <v>OK</v>
      </c>
    </row>
    <row r="50" spans="1:9">
      <c r="A50" s="17">
        <v>39301</v>
      </c>
      <c r="B50" s="18">
        <v>18273</v>
      </c>
      <c r="C50" s="19">
        <v>36.28</v>
      </c>
      <c r="D50" s="18">
        <f t="shared" si="3"/>
        <v>-12979</v>
      </c>
      <c r="E50" s="20">
        <f t="shared" si="0"/>
        <v>8</v>
      </c>
      <c r="F50" s="20">
        <f t="shared" si="1"/>
        <v>2007</v>
      </c>
      <c r="H50" s="17">
        <v>39301</v>
      </c>
      <c r="I50" s="16" t="str">
        <f t="shared" si="2"/>
        <v>OK</v>
      </c>
    </row>
    <row r="51" spans="1:9">
      <c r="A51" s="17">
        <v>39308</v>
      </c>
      <c r="B51" s="18">
        <v>6736</v>
      </c>
      <c r="C51" s="19">
        <v>35.39</v>
      </c>
      <c r="D51" s="18">
        <f t="shared" si="3"/>
        <v>-11537</v>
      </c>
      <c r="E51" s="20">
        <f t="shared" si="0"/>
        <v>8</v>
      </c>
      <c r="F51" s="20">
        <f t="shared" si="1"/>
        <v>2007</v>
      </c>
      <c r="H51" s="17">
        <v>39308</v>
      </c>
      <c r="I51" s="16" t="str">
        <f t="shared" si="2"/>
        <v>OK</v>
      </c>
    </row>
    <row r="52" spans="1:9">
      <c r="A52" s="17">
        <v>39315</v>
      </c>
      <c r="B52" s="18">
        <v>-9773</v>
      </c>
      <c r="C52" s="19">
        <v>35.92</v>
      </c>
      <c r="D52" s="18">
        <f t="shared" si="3"/>
        <v>-16509</v>
      </c>
      <c r="E52" s="20">
        <f t="shared" si="0"/>
        <v>8</v>
      </c>
      <c r="F52" s="20">
        <f t="shared" si="1"/>
        <v>2007</v>
      </c>
      <c r="H52" s="17">
        <v>39315</v>
      </c>
      <c r="I52" s="16" t="str">
        <f t="shared" si="2"/>
        <v>OK</v>
      </c>
    </row>
    <row r="53" spans="1:9">
      <c r="A53" s="17">
        <v>39322</v>
      </c>
      <c r="B53" s="18">
        <v>-18362</v>
      </c>
      <c r="C53" s="19">
        <v>36.54</v>
      </c>
      <c r="D53" s="18">
        <f t="shared" si="3"/>
        <v>-8589</v>
      </c>
      <c r="E53" s="20">
        <f t="shared" si="0"/>
        <v>8</v>
      </c>
      <c r="F53" s="20">
        <f t="shared" si="1"/>
        <v>2007</v>
      </c>
      <c r="H53" s="17">
        <v>39322</v>
      </c>
      <c r="I53" s="16" t="str">
        <f t="shared" si="2"/>
        <v>OK</v>
      </c>
    </row>
    <row r="54" spans="1:9">
      <c r="A54" s="17">
        <v>39329</v>
      </c>
      <c r="B54" s="18">
        <v>-11765</v>
      </c>
      <c r="C54" s="19">
        <v>37.28</v>
      </c>
      <c r="D54" s="18">
        <f t="shared" si="3"/>
        <v>6597</v>
      </c>
      <c r="E54" s="20">
        <f t="shared" si="0"/>
        <v>9</v>
      </c>
      <c r="F54" s="20">
        <f t="shared" si="1"/>
        <v>2007</v>
      </c>
      <c r="H54" s="17">
        <v>39329</v>
      </c>
      <c r="I54" s="16" t="str">
        <f t="shared" si="2"/>
        <v>OK</v>
      </c>
    </row>
    <row r="55" spans="1:9">
      <c r="A55" s="17">
        <v>39336</v>
      </c>
      <c r="B55" s="18">
        <v>-3547</v>
      </c>
      <c r="C55" s="19">
        <v>39.369999999999997</v>
      </c>
      <c r="D55" s="18">
        <f t="shared" si="3"/>
        <v>8218</v>
      </c>
      <c r="E55" s="20">
        <f t="shared" si="0"/>
        <v>9</v>
      </c>
      <c r="F55" s="20">
        <f t="shared" si="1"/>
        <v>2007</v>
      </c>
      <c r="H55" s="17">
        <v>39336</v>
      </c>
      <c r="I55" s="16" t="str">
        <f t="shared" si="2"/>
        <v>OK</v>
      </c>
    </row>
    <row r="56" spans="1:9">
      <c r="A56" s="17">
        <v>39343</v>
      </c>
      <c r="B56" s="18">
        <v>-2990</v>
      </c>
      <c r="C56" s="19">
        <v>38.99</v>
      </c>
      <c r="D56" s="18">
        <f t="shared" si="3"/>
        <v>557</v>
      </c>
      <c r="E56" s="20">
        <f t="shared" si="0"/>
        <v>9</v>
      </c>
      <c r="F56" s="20">
        <f t="shared" si="1"/>
        <v>2007</v>
      </c>
      <c r="H56" s="17">
        <v>39343</v>
      </c>
      <c r="I56" s="16" t="str">
        <f t="shared" si="2"/>
        <v>OK</v>
      </c>
    </row>
    <row r="57" spans="1:9">
      <c r="A57" s="17">
        <v>39350</v>
      </c>
      <c r="B57" s="18">
        <v>-3258</v>
      </c>
      <c r="C57" s="19">
        <v>39.49</v>
      </c>
      <c r="D57" s="18">
        <f t="shared" si="3"/>
        <v>-268</v>
      </c>
      <c r="E57" s="20">
        <f t="shared" si="0"/>
        <v>9</v>
      </c>
      <c r="F57" s="20">
        <f t="shared" si="1"/>
        <v>2007</v>
      </c>
      <c r="H57" s="17">
        <v>39350</v>
      </c>
      <c r="I57" s="16" t="str">
        <f t="shared" si="2"/>
        <v>OK</v>
      </c>
    </row>
    <row r="58" spans="1:9">
      <c r="A58" s="17">
        <v>39357</v>
      </c>
      <c r="B58" s="18">
        <v>-4326</v>
      </c>
      <c r="C58" s="19">
        <v>38.5</v>
      </c>
      <c r="D58" s="18">
        <f t="shared" si="3"/>
        <v>-1068</v>
      </c>
      <c r="E58" s="20">
        <f t="shared" si="0"/>
        <v>10</v>
      </c>
      <c r="F58" s="20">
        <f t="shared" si="1"/>
        <v>2007</v>
      </c>
      <c r="H58" s="17">
        <v>39357</v>
      </c>
      <c r="I58" s="16" t="str">
        <f t="shared" si="2"/>
        <v>OK</v>
      </c>
    </row>
    <row r="59" spans="1:9">
      <c r="A59" s="17">
        <v>39364</v>
      </c>
      <c r="B59" s="18">
        <v>-2263</v>
      </c>
      <c r="C59" s="19">
        <v>39.380000000000003</v>
      </c>
      <c r="D59" s="18">
        <f t="shared" si="3"/>
        <v>2063</v>
      </c>
      <c r="E59" s="20">
        <f t="shared" si="0"/>
        <v>10</v>
      </c>
      <c r="F59" s="20">
        <f t="shared" si="1"/>
        <v>2007</v>
      </c>
      <c r="H59" s="17">
        <v>39364</v>
      </c>
      <c r="I59" s="16" t="str">
        <f t="shared" si="2"/>
        <v>OK</v>
      </c>
    </row>
    <row r="60" spans="1:9">
      <c r="A60" s="17">
        <v>39371</v>
      </c>
      <c r="B60" s="18">
        <v>-1286</v>
      </c>
      <c r="C60" s="19">
        <v>40.56</v>
      </c>
      <c r="D60" s="18">
        <f t="shared" si="3"/>
        <v>977</v>
      </c>
      <c r="E60" s="20">
        <f t="shared" si="0"/>
        <v>10</v>
      </c>
      <c r="F60" s="20">
        <f t="shared" si="1"/>
        <v>2007</v>
      </c>
      <c r="H60" s="17">
        <v>39371</v>
      </c>
      <c r="I60" s="16" t="str">
        <f t="shared" si="2"/>
        <v>OK</v>
      </c>
    </row>
    <row r="61" spans="1:9">
      <c r="A61" s="17">
        <v>39378</v>
      </c>
      <c r="B61" s="18">
        <v>-5666</v>
      </c>
      <c r="C61" s="19">
        <v>41.38</v>
      </c>
      <c r="D61" s="18">
        <f t="shared" si="3"/>
        <v>-4380</v>
      </c>
      <c r="E61" s="20">
        <f t="shared" si="0"/>
        <v>10</v>
      </c>
      <c r="F61" s="20">
        <f t="shared" si="1"/>
        <v>2007</v>
      </c>
      <c r="H61" s="17">
        <v>39378</v>
      </c>
      <c r="I61" s="16" t="str">
        <f t="shared" si="2"/>
        <v>OK</v>
      </c>
    </row>
    <row r="62" spans="1:9">
      <c r="A62" s="17">
        <v>39385</v>
      </c>
      <c r="B62" s="18">
        <v>-5863</v>
      </c>
      <c r="C62" s="19">
        <v>42.64</v>
      </c>
      <c r="D62" s="18">
        <f t="shared" si="3"/>
        <v>-197</v>
      </c>
      <c r="E62" s="20">
        <f t="shared" si="0"/>
        <v>10</v>
      </c>
      <c r="F62" s="20">
        <f t="shared" si="1"/>
        <v>2007</v>
      </c>
      <c r="H62" s="17">
        <v>39385</v>
      </c>
      <c r="I62" s="16" t="str">
        <f t="shared" si="2"/>
        <v>OK</v>
      </c>
    </row>
    <row r="63" spans="1:9">
      <c r="A63" s="17">
        <v>39392</v>
      </c>
      <c r="B63" s="18">
        <v>-6873</v>
      </c>
      <c r="C63" s="19">
        <v>45.08</v>
      </c>
      <c r="D63" s="18">
        <f t="shared" si="3"/>
        <v>-1010</v>
      </c>
      <c r="E63" s="20">
        <f t="shared" si="0"/>
        <v>11</v>
      </c>
      <c r="F63" s="20">
        <f t="shared" si="1"/>
        <v>2007</v>
      </c>
      <c r="H63" s="17">
        <v>39392</v>
      </c>
      <c r="I63" s="16" t="str">
        <f t="shared" si="2"/>
        <v>OK</v>
      </c>
    </row>
    <row r="64" spans="1:9">
      <c r="A64" s="17">
        <v>39399</v>
      </c>
      <c r="B64" s="18">
        <v>-8980</v>
      </c>
      <c r="C64" s="19">
        <v>44.82</v>
      </c>
      <c r="D64" s="18">
        <f t="shared" si="3"/>
        <v>-2107</v>
      </c>
      <c r="E64" s="20">
        <f t="shared" si="0"/>
        <v>11</v>
      </c>
      <c r="F64" s="20">
        <f t="shared" si="1"/>
        <v>2007</v>
      </c>
      <c r="H64" s="17">
        <v>39399</v>
      </c>
      <c r="I64" s="16" t="str">
        <f t="shared" si="2"/>
        <v>OK</v>
      </c>
    </row>
    <row r="65" spans="1:9">
      <c r="A65" s="17">
        <v>39406</v>
      </c>
      <c r="B65" s="18">
        <v>-7659</v>
      </c>
      <c r="C65" s="19">
        <v>46.67</v>
      </c>
      <c r="D65" s="18">
        <f t="shared" si="3"/>
        <v>1321</v>
      </c>
      <c r="E65" s="20">
        <f t="shared" si="0"/>
        <v>11</v>
      </c>
      <c r="F65" s="20">
        <f t="shared" si="1"/>
        <v>2007</v>
      </c>
      <c r="H65" s="17">
        <v>39406</v>
      </c>
      <c r="I65" s="16" t="str">
        <f t="shared" si="2"/>
        <v>OK</v>
      </c>
    </row>
    <row r="66" spans="1:9">
      <c r="A66" s="17">
        <v>39413</v>
      </c>
      <c r="B66" s="18">
        <v>-7216</v>
      </c>
      <c r="C66" s="19">
        <v>45.64</v>
      </c>
      <c r="D66" s="18">
        <f t="shared" si="3"/>
        <v>443</v>
      </c>
      <c r="E66" s="20">
        <f t="shared" ref="E66:E129" si="4">MONTH(A66)</f>
        <v>11</v>
      </c>
      <c r="F66" s="20">
        <f t="shared" ref="F66:F129" si="5">YEAR(A66)</f>
        <v>2007</v>
      </c>
      <c r="H66" s="17">
        <v>39413</v>
      </c>
      <c r="I66" s="16" t="str">
        <f t="shared" ref="I66:I129" si="6">IF(H66=A66,"OK","")</f>
        <v>OK</v>
      </c>
    </row>
    <row r="67" spans="1:9">
      <c r="A67" s="17">
        <v>39420</v>
      </c>
      <c r="B67" s="18">
        <v>-11767</v>
      </c>
      <c r="C67" s="19">
        <v>45.3</v>
      </c>
      <c r="D67" s="18">
        <f t="shared" ref="D67:D130" si="7">B67-B66</f>
        <v>-4551</v>
      </c>
      <c r="E67" s="20">
        <f t="shared" si="4"/>
        <v>12</v>
      </c>
      <c r="F67" s="20">
        <f t="shared" si="5"/>
        <v>2007</v>
      </c>
      <c r="H67" s="17">
        <v>39420</v>
      </c>
      <c r="I67" s="16" t="str">
        <f t="shared" si="6"/>
        <v>OK</v>
      </c>
    </row>
    <row r="68" spans="1:9">
      <c r="A68" s="17">
        <v>39427</v>
      </c>
      <c r="B68" s="18">
        <v>-26075</v>
      </c>
      <c r="C68" s="19">
        <v>45.85</v>
      </c>
      <c r="D68" s="18">
        <f t="shared" si="7"/>
        <v>-14308</v>
      </c>
      <c r="E68" s="20">
        <f t="shared" si="4"/>
        <v>12</v>
      </c>
      <c r="F68" s="20">
        <f t="shared" si="5"/>
        <v>2007</v>
      </c>
      <c r="H68" s="17">
        <v>39427</v>
      </c>
      <c r="I68" s="16" t="str">
        <f t="shared" si="6"/>
        <v>OK</v>
      </c>
    </row>
    <row r="69" spans="1:9">
      <c r="A69" s="17">
        <v>39434</v>
      </c>
      <c r="B69" s="18">
        <v>-26527</v>
      </c>
      <c r="C69" s="19">
        <v>47.15</v>
      </c>
      <c r="D69" s="18">
        <f t="shared" si="7"/>
        <v>-452</v>
      </c>
      <c r="E69" s="20">
        <f t="shared" si="4"/>
        <v>12</v>
      </c>
      <c r="F69" s="20">
        <f t="shared" si="5"/>
        <v>2007</v>
      </c>
      <c r="H69" s="17">
        <v>39434</v>
      </c>
      <c r="I69" s="16" t="str">
        <f t="shared" si="6"/>
        <v>OK</v>
      </c>
    </row>
    <row r="70" spans="1:9">
      <c r="A70" s="17">
        <v>39455</v>
      </c>
      <c r="B70" s="18">
        <v>-9432</v>
      </c>
      <c r="C70" s="19">
        <v>52.1</v>
      </c>
      <c r="D70" s="18">
        <f t="shared" si="7"/>
        <v>17095</v>
      </c>
      <c r="E70" s="20">
        <f t="shared" si="4"/>
        <v>1</v>
      </c>
      <c r="F70" s="20">
        <f t="shared" si="5"/>
        <v>2008</v>
      </c>
      <c r="H70" s="17">
        <v>39455</v>
      </c>
      <c r="I70" s="16" t="str">
        <f t="shared" si="6"/>
        <v>OK</v>
      </c>
    </row>
    <row r="71" spans="1:9">
      <c r="A71" s="17">
        <v>39462</v>
      </c>
      <c r="B71" s="18">
        <v>-6157</v>
      </c>
      <c r="C71" s="19">
        <v>53.14</v>
      </c>
      <c r="D71" s="18">
        <f t="shared" si="7"/>
        <v>3275</v>
      </c>
      <c r="E71" s="20">
        <f t="shared" si="4"/>
        <v>1</v>
      </c>
      <c r="F71" s="20">
        <f t="shared" si="5"/>
        <v>2008</v>
      </c>
      <c r="H71" s="17">
        <v>39462</v>
      </c>
      <c r="I71" s="16" t="str">
        <f t="shared" si="6"/>
        <v>OK</v>
      </c>
    </row>
    <row r="72" spans="1:9">
      <c r="A72" s="17">
        <v>39469</v>
      </c>
      <c r="B72" s="18">
        <v>-2338</v>
      </c>
      <c r="C72" s="19">
        <v>52.01</v>
      </c>
      <c r="D72" s="18">
        <f t="shared" si="7"/>
        <v>3819</v>
      </c>
      <c r="E72" s="20">
        <f t="shared" si="4"/>
        <v>1</v>
      </c>
      <c r="F72" s="20">
        <f t="shared" si="5"/>
        <v>2008</v>
      </c>
      <c r="H72" s="17">
        <v>39469</v>
      </c>
      <c r="I72" s="16" t="str">
        <f t="shared" si="6"/>
        <v>OK</v>
      </c>
    </row>
    <row r="73" spans="1:9">
      <c r="A73" s="17">
        <v>39476</v>
      </c>
      <c r="B73" s="18">
        <v>-2496</v>
      </c>
      <c r="C73" s="19">
        <v>54.12</v>
      </c>
      <c r="D73" s="18">
        <f t="shared" si="7"/>
        <v>-158</v>
      </c>
      <c r="E73" s="20">
        <f t="shared" si="4"/>
        <v>1</v>
      </c>
      <c r="F73" s="20">
        <f t="shared" si="5"/>
        <v>2008</v>
      </c>
      <c r="H73" s="17">
        <v>39476</v>
      </c>
      <c r="I73" s="16" t="str">
        <f t="shared" si="6"/>
        <v>OK</v>
      </c>
    </row>
    <row r="74" spans="1:9">
      <c r="A74" s="17">
        <v>39483</v>
      </c>
      <c r="B74" s="18">
        <v>-691</v>
      </c>
      <c r="C74" s="19">
        <v>55.42</v>
      </c>
      <c r="D74" s="18">
        <f t="shared" si="7"/>
        <v>1805</v>
      </c>
      <c r="E74" s="20">
        <f t="shared" si="4"/>
        <v>2</v>
      </c>
      <c r="F74" s="20">
        <f t="shared" si="5"/>
        <v>2008</v>
      </c>
      <c r="H74" s="17">
        <v>39483</v>
      </c>
      <c r="I74" s="16" t="str">
        <f t="shared" si="6"/>
        <v>OK</v>
      </c>
    </row>
    <row r="75" spans="1:9">
      <c r="A75" s="17">
        <v>39490</v>
      </c>
      <c r="B75" s="18">
        <v>-797</v>
      </c>
      <c r="C75" s="19">
        <v>58.57</v>
      </c>
      <c r="D75" s="18">
        <f t="shared" si="7"/>
        <v>-106</v>
      </c>
      <c r="E75" s="20">
        <f t="shared" si="4"/>
        <v>2</v>
      </c>
      <c r="F75" s="20">
        <f t="shared" si="5"/>
        <v>2008</v>
      </c>
      <c r="H75" s="17">
        <v>39490</v>
      </c>
      <c r="I75" s="16" t="str">
        <f t="shared" si="6"/>
        <v>OK</v>
      </c>
    </row>
    <row r="76" spans="1:9">
      <c r="A76" s="17">
        <v>39497</v>
      </c>
      <c r="B76" s="18">
        <v>-5727</v>
      </c>
      <c r="C76" s="19">
        <v>62.3</v>
      </c>
      <c r="D76" s="18">
        <f t="shared" si="7"/>
        <v>-4930</v>
      </c>
      <c r="E76" s="20">
        <f t="shared" si="4"/>
        <v>2</v>
      </c>
      <c r="F76" s="20">
        <f t="shared" si="5"/>
        <v>2008</v>
      </c>
      <c r="H76" s="17">
        <v>39497</v>
      </c>
      <c r="I76" s="16" t="str">
        <f t="shared" si="6"/>
        <v>OK</v>
      </c>
    </row>
    <row r="77" spans="1:9">
      <c r="A77" s="17">
        <v>39504</v>
      </c>
      <c r="B77" s="18">
        <v>-5069</v>
      </c>
      <c r="C77" s="19">
        <v>68.150000000000006</v>
      </c>
      <c r="D77" s="18">
        <f t="shared" si="7"/>
        <v>658</v>
      </c>
      <c r="E77" s="20">
        <f t="shared" si="4"/>
        <v>2</v>
      </c>
      <c r="F77" s="20">
        <f t="shared" si="5"/>
        <v>2008</v>
      </c>
      <c r="H77" s="17">
        <v>39504</v>
      </c>
      <c r="I77" s="16" t="str">
        <f t="shared" si="6"/>
        <v>OK</v>
      </c>
    </row>
    <row r="78" spans="1:9">
      <c r="A78" s="17">
        <v>39511</v>
      </c>
      <c r="B78" s="18">
        <v>-14305</v>
      </c>
      <c r="C78" s="19">
        <v>60.25</v>
      </c>
      <c r="D78" s="18">
        <f t="shared" si="7"/>
        <v>-9236</v>
      </c>
      <c r="E78" s="20">
        <f t="shared" si="4"/>
        <v>3</v>
      </c>
      <c r="F78" s="20">
        <f t="shared" si="5"/>
        <v>2008</v>
      </c>
      <c r="H78" s="17">
        <v>39511</v>
      </c>
      <c r="I78" s="16" t="str">
        <f t="shared" si="6"/>
        <v>OK</v>
      </c>
    </row>
    <row r="79" spans="1:9">
      <c r="A79" s="17">
        <v>39518</v>
      </c>
      <c r="B79" s="18">
        <v>-4340</v>
      </c>
      <c r="C79" s="19">
        <v>60</v>
      </c>
      <c r="D79" s="18">
        <f t="shared" si="7"/>
        <v>9965</v>
      </c>
      <c r="E79" s="20">
        <f t="shared" si="4"/>
        <v>3</v>
      </c>
      <c r="F79" s="20">
        <f t="shared" si="5"/>
        <v>2008</v>
      </c>
      <c r="H79" s="17">
        <v>39518</v>
      </c>
      <c r="I79" s="16" t="str">
        <f t="shared" si="6"/>
        <v>OK</v>
      </c>
    </row>
    <row r="80" spans="1:9">
      <c r="A80" s="17">
        <v>39525</v>
      </c>
      <c r="B80" s="18">
        <v>-5930</v>
      </c>
      <c r="C80" s="19">
        <v>54.4</v>
      </c>
      <c r="D80" s="18">
        <f t="shared" si="7"/>
        <v>-1590</v>
      </c>
      <c r="E80" s="20">
        <f t="shared" si="4"/>
        <v>3</v>
      </c>
      <c r="F80" s="20">
        <f t="shared" si="5"/>
        <v>2008</v>
      </c>
      <c r="H80" s="17">
        <v>39525</v>
      </c>
      <c r="I80" s="16" t="str">
        <f t="shared" si="6"/>
        <v>OK</v>
      </c>
    </row>
    <row r="81" spans="1:9">
      <c r="A81" s="17">
        <v>39532</v>
      </c>
      <c r="B81" s="18">
        <v>-5258</v>
      </c>
      <c r="C81" s="19">
        <v>54.98</v>
      </c>
      <c r="D81" s="18">
        <f t="shared" si="7"/>
        <v>672</v>
      </c>
      <c r="E81" s="20">
        <f t="shared" si="4"/>
        <v>3</v>
      </c>
      <c r="F81" s="20">
        <f t="shared" si="5"/>
        <v>2008</v>
      </c>
      <c r="H81" s="17">
        <v>39532</v>
      </c>
      <c r="I81" s="16" t="str">
        <f t="shared" si="6"/>
        <v>OK</v>
      </c>
    </row>
    <row r="82" spans="1:9">
      <c r="A82" s="17">
        <v>39539</v>
      </c>
      <c r="B82" s="18">
        <v>-10627</v>
      </c>
      <c r="C82" s="19">
        <v>56.61</v>
      </c>
      <c r="D82" s="18">
        <f t="shared" si="7"/>
        <v>-5369</v>
      </c>
      <c r="E82" s="20">
        <f t="shared" si="4"/>
        <v>4</v>
      </c>
      <c r="F82" s="20">
        <f t="shared" si="5"/>
        <v>2008</v>
      </c>
      <c r="H82" s="17">
        <v>39539</v>
      </c>
      <c r="I82" s="16" t="str">
        <f t="shared" si="6"/>
        <v>OK</v>
      </c>
    </row>
    <row r="83" spans="1:9">
      <c r="A83" s="17">
        <v>39546</v>
      </c>
      <c r="B83" s="18">
        <v>-17826</v>
      </c>
      <c r="C83" s="19">
        <v>59.94</v>
      </c>
      <c r="D83" s="18">
        <f t="shared" si="7"/>
        <v>-7199</v>
      </c>
      <c r="E83" s="20">
        <f t="shared" si="4"/>
        <v>4</v>
      </c>
      <c r="F83" s="20">
        <f t="shared" si="5"/>
        <v>2008</v>
      </c>
      <c r="H83" s="17">
        <v>39546</v>
      </c>
      <c r="I83" s="16" t="str">
        <f t="shared" si="6"/>
        <v>OK</v>
      </c>
    </row>
    <row r="84" spans="1:9">
      <c r="A84" s="17">
        <v>39553</v>
      </c>
      <c r="B84" s="18">
        <v>-9130</v>
      </c>
      <c r="C84" s="19">
        <v>60.98</v>
      </c>
      <c r="D84" s="18">
        <f t="shared" si="7"/>
        <v>8696</v>
      </c>
      <c r="E84" s="20">
        <f t="shared" si="4"/>
        <v>4</v>
      </c>
      <c r="F84" s="20">
        <f t="shared" si="5"/>
        <v>2008</v>
      </c>
      <c r="H84" s="17">
        <v>39553</v>
      </c>
      <c r="I84" s="16" t="str">
        <f t="shared" si="6"/>
        <v>OK</v>
      </c>
    </row>
    <row r="85" spans="1:9">
      <c r="A85" s="17">
        <v>39560</v>
      </c>
      <c r="B85" s="18">
        <v>-5950</v>
      </c>
      <c r="C85" s="19">
        <v>58.97</v>
      </c>
      <c r="D85" s="18">
        <f t="shared" si="7"/>
        <v>3180</v>
      </c>
      <c r="E85" s="20">
        <f t="shared" si="4"/>
        <v>4</v>
      </c>
      <c r="F85" s="20">
        <f t="shared" si="5"/>
        <v>2008</v>
      </c>
      <c r="H85" s="17">
        <v>39560</v>
      </c>
      <c r="I85" s="16" t="str">
        <f t="shared" si="6"/>
        <v>OK</v>
      </c>
    </row>
    <row r="86" spans="1:9">
      <c r="A86" s="17">
        <v>39567</v>
      </c>
      <c r="B86" s="18">
        <v>-5544</v>
      </c>
      <c r="C86" s="19">
        <v>56.67</v>
      </c>
      <c r="D86" s="18">
        <f t="shared" si="7"/>
        <v>406</v>
      </c>
      <c r="E86" s="20">
        <f t="shared" si="4"/>
        <v>4</v>
      </c>
      <c r="F86" s="20">
        <f t="shared" si="5"/>
        <v>2008</v>
      </c>
      <c r="H86" s="17">
        <v>39567</v>
      </c>
      <c r="I86" s="16" t="str">
        <f t="shared" si="6"/>
        <v>OK</v>
      </c>
    </row>
    <row r="87" spans="1:9">
      <c r="A87" s="17">
        <v>39574</v>
      </c>
      <c r="B87" s="18">
        <v>-7123</v>
      </c>
      <c r="C87" s="19">
        <v>61.53</v>
      </c>
      <c r="D87" s="18">
        <f t="shared" si="7"/>
        <v>-1579</v>
      </c>
      <c r="E87" s="20">
        <f t="shared" si="4"/>
        <v>5</v>
      </c>
      <c r="F87" s="20">
        <f t="shared" si="5"/>
        <v>2008</v>
      </c>
      <c r="H87" s="17">
        <v>39574</v>
      </c>
      <c r="I87" s="16" t="str">
        <f t="shared" si="6"/>
        <v>OK</v>
      </c>
    </row>
    <row r="88" spans="1:9">
      <c r="A88" s="17">
        <v>39581</v>
      </c>
      <c r="B88" s="18">
        <v>-4585</v>
      </c>
      <c r="C88" s="19">
        <v>61.85</v>
      </c>
      <c r="D88" s="18">
        <f t="shared" si="7"/>
        <v>2538</v>
      </c>
      <c r="E88" s="20">
        <f t="shared" si="4"/>
        <v>5</v>
      </c>
      <c r="F88" s="20">
        <f t="shared" si="5"/>
        <v>2008</v>
      </c>
      <c r="H88" s="17">
        <v>39581</v>
      </c>
      <c r="I88" s="16" t="str">
        <f t="shared" si="6"/>
        <v>OK</v>
      </c>
    </row>
    <row r="89" spans="1:9">
      <c r="A89" s="17">
        <v>39588</v>
      </c>
      <c r="B89" s="18">
        <v>-8525</v>
      </c>
      <c r="C89" s="19">
        <v>63.56</v>
      </c>
      <c r="D89" s="18">
        <f t="shared" si="7"/>
        <v>-3940</v>
      </c>
      <c r="E89" s="20">
        <f t="shared" si="4"/>
        <v>5</v>
      </c>
      <c r="F89" s="20">
        <f t="shared" si="5"/>
        <v>2008</v>
      </c>
      <c r="H89" s="17">
        <v>39588</v>
      </c>
      <c r="I89" s="16" t="str">
        <f t="shared" si="6"/>
        <v>OK</v>
      </c>
    </row>
    <row r="90" spans="1:9">
      <c r="A90" s="17">
        <v>39595</v>
      </c>
      <c r="B90" s="18">
        <v>-10481</v>
      </c>
      <c r="C90" s="19">
        <v>61.31</v>
      </c>
      <c r="D90" s="18">
        <f t="shared" si="7"/>
        <v>-1956</v>
      </c>
      <c r="E90" s="20">
        <f t="shared" si="4"/>
        <v>5</v>
      </c>
      <c r="F90" s="20">
        <f t="shared" si="5"/>
        <v>2008</v>
      </c>
      <c r="H90" s="17">
        <v>39595</v>
      </c>
      <c r="I90" s="16" t="str">
        <f t="shared" si="6"/>
        <v>OK</v>
      </c>
    </row>
    <row r="91" spans="1:9">
      <c r="A91" s="17">
        <v>39602</v>
      </c>
      <c r="B91" s="18">
        <v>-13698</v>
      </c>
      <c r="C91" s="19">
        <v>64.34</v>
      </c>
      <c r="D91" s="18">
        <f t="shared" si="7"/>
        <v>-3217</v>
      </c>
      <c r="E91" s="20">
        <f t="shared" si="4"/>
        <v>6</v>
      </c>
      <c r="F91" s="20">
        <f t="shared" si="5"/>
        <v>2008</v>
      </c>
      <c r="H91" s="17">
        <v>39602</v>
      </c>
      <c r="I91" s="16" t="str">
        <f t="shared" si="6"/>
        <v>OK</v>
      </c>
    </row>
    <row r="92" spans="1:9">
      <c r="A92" s="17">
        <v>39609</v>
      </c>
      <c r="B92" s="18">
        <v>-21982</v>
      </c>
      <c r="C92" s="19">
        <v>66.19</v>
      </c>
      <c r="D92" s="18">
        <f t="shared" si="7"/>
        <v>-8284</v>
      </c>
      <c r="E92" s="20">
        <f t="shared" si="4"/>
        <v>6</v>
      </c>
      <c r="F92" s="20">
        <f t="shared" si="5"/>
        <v>2008</v>
      </c>
      <c r="H92" s="17">
        <v>39609</v>
      </c>
      <c r="I92" s="16" t="str">
        <f t="shared" si="6"/>
        <v>OK</v>
      </c>
    </row>
    <row r="93" spans="1:9">
      <c r="A93" s="17">
        <v>39616</v>
      </c>
      <c r="B93" s="18">
        <v>-27074</v>
      </c>
      <c r="C93" s="19">
        <v>63.88</v>
      </c>
      <c r="D93" s="18">
        <f t="shared" si="7"/>
        <v>-5092</v>
      </c>
      <c r="E93" s="20">
        <f t="shared" si="4"/>
        <v>6</v>
      </c>
      <c r="F93" s="20">
        <f t="shared" si="5"/>
        <v>2008</v>
      </c>
      <c r="H93" s="17">
        <v>39616</v>
      </c>
      <c r="I93" s="16" t="str">
        <f t="shared" si="6"/>
        <v>OK</v>
      </c>
    </row>
    <row r="94" spans="1:9">
      <c r="A94" s="17">
        <v>39623</v>
      </c>
      <c r="B94" s="18">
        <v>-31944</v>
      </c>
      <c r="C94" s="19">
        <v>65.569999999999993</v>
      </c>
      <c r="D94" s="18">
        <f t="shared" si="7"/>
        <v>-4870</v>
      </c>
      <c r="E94" s="20">
        <f t="shared" si="4"/>
        <v>6</v>
      </c>
      <c r="F94" s="20">
        <f t="shared" si="5"/>
        <v>2008</v>
      </c>
      <c r="H94" s="17">
        <v>39623</v>
      </c>
      <c r="I94" s="16" t="str">
        <f t="shared" si="6"/>
        <v>OK</v>
      </c>
    </row>
    <row r="95" spans="1:9">
      <c r="A95" s="17">
        <v>39630</v>
      </c>
      <c r="B95" s="18">
        <v>-25780</v>
      </c>
      <c r="C95" s="19">
        <v>67.33</v>
      </c>
      <c r="D95" s="18">
        <f t="shared" si="7"/>
        <v>6164</v>
      </c>
      <c r="E95" s="20">
        <f t="shared" si="4"/>
        <v>7</v>
      </c>
      <c r="F95" s="20">
        <f t="shared" si="5"/>
        <v>2008</v>
      </c>
      <c r="H95" s="17">
        <v>39630</v>
      </c>
      <c r="I95" s="16" t="str">
        <f t="shared" si="6"/>
        <v>OK</v>
      </c>
    </row>
    <row r="96" spans="1:9">
      <c r="A96" s="17">
        <v>39637</v>
      </c>
      <c r="B96" s="18">
        <v>-27251</v>
      </c>
      <c r="C96" s="19">
        <v>64.48</v>
      </c>
      <c r="D96" s="18">
        <f t="shared" si="7"/>
        <v>-1471</v>
      </c>
      <c r="E96" s="20">
        <f t="shared" si="4"/>
        <v>7</v>
      </c>
      <c r="F96" s="20">
        <f t="shared" si="5"/>
        <v>2008</v>
      </c>
      <c r="H96" s="17">
        <v>39637</v>
      </c>
      <c r="I96" s="16" t="str">
        <f t="shared" si="6"/>
        <v>OK</v>
      </c>
    </row>
    <row r="97" spans="1:9">
      <c r="A97" s="17">
        <v>39644</v>
      </c>
      <c r="B97" s="18">
        <v>-28665</v>
      </c>
      <c r="C97" s="19">
        <v>62.09</v>
      </c>
      <c r="D97" s="18">
        <f t="shared" si="7"/>
        <v>-1414</v>
      </c>
      <c r="E97" s="20">
        <f t="shared" si="4"/>
        <v>7</v>
      </c>
      <c r="F97" s="20">
        <f t="shared" si="5"/>
        <v>2008</v>
      </c>
      <c r="H97" s="17">
        <v>39644</v>
      </c>
      <c r="I97" s="16" t="str">
        <f t="shared" si="6"/>
        <v>OK</v>
      </c>
    </row>
    <row r="98" spans="1:9">
      <c r="A98" s="17">
        <v>39651</v>
      </c>
      <c r="B98" s="18">
        <v>-24297</v>
      </c>
      <c r="C98" s="19">
        <v>59.17</v>
      </c>
      <c r="D98" s="18">
        <f t="shared" si="7"/>
        <v>4368</v>
      </c>
      <c r="E98" s="20">
        <f t="shared" si="4"/>
        <v>7</v>
      </c>
      <c r="F98" s="20">
        <f t="shared" si="5"/>
        <v>2008</v>
      </c>
      <c r="H98" s="17">
        <v>39651</v>
      </c>
      <c r="I98" s="16" t="str">
        <f t="shared" si="6"/>
        <v>OK</v>
      </c>
    </row>
    <row r="99" spans="1:9">
      <c r="A99" s="17">
        <v>39658</v>
      </c>
      <c r="B99" s="18">
        <v>-24005</v>
      </c>
      <c r="C99" s="19">
        <v>56.61</v>
      </c>
      <c r="D99" s="18">
        <f t="shared" si="7"/>
        <v>292</v>
      </c>
      <c r="E99" s="20">
        <f t="shared" si="4"/>
        <v>7</v>
      </c>
      <c r="F99" s="20">
        <f t="shared" si="5"/>
        <v>2008</v>
      </c>
      <c r="H99" s="17">
        <v>39658</v>
      </c>
      <c r="I99" s="16" t="str">
        <f t="shared" si="6"/>
        <v>OK</v>
      </c>
    </row>
    <row r="100" spans="1:9">
      <c r="A100" s="17">
        <v>39665</v>
      </c>
      <c r="B100" s="18">
        <v>-23627</v>
      </c>
      <c r="C100" s="19">
        <v>50.39</v>
      </c>
      <c r="D100" s="18">
        <f t="shared" si="7"/>
        <v>378</v>
      </c>
      <c r="E100" s="20">
        <f t="shared" si="4"/>
        <v>8</v>
      </c>
      <c r="F100" s="20">
        <f t="shared" si="5"/>
        <v>2008</v>
      </c>
      <c r="H100" s="17">
        <v>39665</v>
      </c>
      <c r="I100" s="16" t="str">
        <f t="shared" si="6"/>
        <v>OK</v>
      </c>
    </row>
    <row r="101" spans="1:9">
      <c r="A101" s="17">
        <v>39672</v>
      </c>
      <c r="B101" s="18">
        <v>-27641</v>
      </c>
      <c r="C101" s="19">
        <v>50.04</v>
      </c>
      <c r="D101" s="18">
        <f t="shared" si="7"/>
        <v>-4014</v>
      </c>
      <c r="E101" s="20">
        <f t="shared" si="4"/>
        <v>8</v>
      </c>
      <c r="F101" s="20">
        <f t="shared" si="5"/>
        <v>2008</v>
      </c>
      <c r="H101" s="17">
        <v>39672</v>
      </c>
      <c r="I101" s="16" t="str">
        <f t="shared" si="6"/>
        <v>OK</v>
      </c>
    </row>
    <row r="102" spans="1:9">
      <c r="A102" s="17">
        <v>39679</v>
      </c>
      <c r="B102" s="18">
        <v>-25323</v>
      </c>
      <c r="C102" s="19">
        <v>54.15</v>
      </c>
      <c r="D102" s="18">
        <f t="shared" si="7"/>
        <v>2318</v>
      </c>
      <c r="E102" s="20">
        <f t="shared" si="4"/>
        <v>8</v>
      </c>
      <c r="F102" s="20">
        <f t="shared" si="5"/>
        <v>2008</v>
      </c>
      <c r="H102" s="17">
        <v>39679</v>
      </c>
      <c r="I102" s="16" t="str">
        <f t="shared" si="6"/>
        <v>OK</v>
      </c>
    </row>
    <row r="103" spans="1:9">
      <c r="A103" s="17">
        <v>39686</v>
      </c>
      <c r="B103" s="18">
        <v>-27651</v>
      </c>
      <c r="C103" s="19">
        <v>53.4</v>
      </c>
      <c r="D103" s="18">
        <f t="shared" si="7"/>
        <v>-2328</v>
      </c>
      <c r="E103" s="20">
        <f t="shared" si="4"/>
        <v>8</v>
      </c>
      <c r="F103" s="20">
        <f t="shared" si="5"/>
        <v>2008</v>
      </c>
      <c r="H103" s="17">
        <v>39686</v>
      </c>
      <c r="I103" s="16" t="str">
        <f t="shared" si="6"/>
        <v>OK</v>
      </c>
    </row>
    <row r="104" spans="1:9">
      <c r="A104" s="17">
        <v>39693</v>
      </c>
      <c r="B104" s="18">
        <v>-26951</v>
      </c>
      <c r="C104" s="19">
        <v>48.18</v>
      </c>
      <c r="D104" s="18">
        <f t="shared" si="7"/>
        <v>700</v>
      </c>
      <c r="E104" s="20">
        <f t="shared" si="4"/>
        <v>9</v>
      </c>
      <c r="F104" s="20">
        <f t="shared" si="5"/>
        <v>2008</v>
      </c>
      <c r="H104" s="17">
        <v>39693</v>
      </c>
      <c r="I104" s="16" t="str">
        <f t="shared" si="6"/>
        <v>OK</v>
      </c>
    </row>
    <row r="105" spans="1:9">
      <c r="A105" s="17">
        <v>39700</v>
      </c>
      <c r="B105" s="18">
        <v>-27623</v>
      </c>
      <c r="C105" s="19">
        <v>47.15</v>
      </c>
      <c r="D105" s="18">
        <f t="shared" si="7"/>
        <v>-672</v>
      </c>
      <c r="E105" s="20">
        <f t="shared" si="4"/>
        <v>9</v>
      </c>
      <c r="F105" s="20">
        <f t="shared" si="5"/>
        <v>2008</v>
      </c>
      <c r="H105" s="17">
        <v>39700</v>
      </c>
      <c r="I105" s="16" t="str">
        <f t="shared" si="6"/>
        <v>OK</v>
      </c>
    </row>
    <row r="106" spans="1:9">
      <c r="A106" s="17">
        <v>39707</v>
      </c>
      <c r="B106" s="18">
        <v>-25715</v>
      </c>
      <c r="C106" s="19">
        <v>46.92</v>
      </c>
      <c r="D106" s="18">
        <f t="shared" si="7"/>
        <v>1908</v>
      </c>
      <c r="E106" s="20">
        <f t="shared" si="4"/>
        <v>9</v>
      </c>
      <c r="F106" s="20">
        <f t="shared" si="5"/>
        <v>2008</v>
      </c>
      <c r="H106" s="17">
        <v>39707</v>
      </c>
      <c r="I106" s="16" t="str">
        <f t="shared" si="6"/>
        <v>OK</v>
      </c>
    </row>
    <row r="107" spans="1:9">
      <c r="A107" s="17">
        <v>39714</v>
      </c>
      <c r="B107" s="18">
        <v>-20650</v>
      </c>
      <c r="C107" s="19">
        <v>47.4</v>
      </c>
      <c r="D107" s="18">
        <f t="shared" si="7"/>
        <v>5065</v>
      </c>
      <c r="E107" s="20">
        <f t="shared" si="4"/>
        <v>9</v>
      </c>
      <c r="F107" s="20">
        <f t="shared" si="5"/>
        <v>2008</v>
      </c>
      <c r="H107" s="17">
        <v>39714</v>
      </c>
      <c r="I107" s="16" t="str">
        <f t="shared" si="6"/>
        <v>OK</v>
      </c>
    </row>
    <row r="108" spans="1:9">
      <c r="A108" s="17">
        <v>39721</v>
      </c>
      <c r="B108" s="18">
        <v>-11971</v>
      </c>
      <c r="C108" s="19">
        <v>42</v>
      </c>
      <c r="D108" s="18">
        <f t="shared" si="7"/>
        <v>8679</v>
      </c>
      <c r="E108" s="20">
        <f t="shared" si="4"/>
        <v>9</v>
      </c>
      <c r="F108" s="20">
        <f t="shared" si="5"/>
        <v>2008</v>
      </c>
      <c r="H108" s="17">
        <v>39721</v>
      </c>
      <c r="I108" s="16" t="str">
        <f t="shared" si="6"/>
        <v>OK</v>
      </c>
    </row>
    <row r="109" spans="1:9">
      <c r="A109" s="17">
        <v>39728</v>
      </c>
      <c r="B109" s="18">
        <v>-7252</v>
      </c>
      <c r="C109" s="19">
        <v>36.5</v>
      </c>
      <c r="D109" s="18">
        <f t="shared" si="7"/>
        <v>4719</v>
      </c>
      <c r="E109" s="20">
        <f t="shared" si="4"/>
        <v>10</v>
      </c>
      <c r="F109" s="20">
        <f t="shared" si="5"/>
        <v>2008</v>
      </c>
      <c r="H109" s="17">
        <v>39728</v>
      </c>
      <c r="I109" s="16" t="str">
        <f t="shared" si="6"/>
        <v>OK</v>
      </c>
    </row>
    <row r="110" spans="1:9">
      <c r="A110" s="17">
        <v>39735</v>
      </c>
      <c r="B110" s="18">
        <v>-3423</v>
      </c>
      <c r="C110" s="19">
        <v>35.5</v>
      </c>
      <c r="D110" s="18">
        <f t="shared" si="7"/>
        <v>3829</v>
      </c>
      <c r="E110" s="20">
        <f t="shared" si="4"/>
        <v>10</v>
      </c>
      <c r="F110" s="20">
        <f t="shared" si="5"/>
        <v>2008</v>
      </c>
      <c r="H110" s="17">
        <v>39735</v>
      </c>
      <c r="I110" s="16" t="str">
        <f t="shared" si="6"/>
        <v>OK</v>
      </c>
    </row>
    <row r="111" spans="1:9">
      <c r="A111" s="17">
        <v>39742</v>
      </c>
      <c r="B111" s="18">
        <v>-11543</v>
      </c>
      <c r="C111" s="19">
        <v>31.47</v>
      </c>
      <c r="D111" s="18">
        <f t="shared" si="7"/>
        <v>-8120</v>
      </c>
      <c r="E111" s="20">
        <f t="shared" si="4"/>
        <v>10</v>
      </c>
      <c r="F111" s="20">
        <f t="shared" si="5"/>
        <v>2008</v>
      </c>
      <c r="H111" s="17">
        <v>39742</v>
      </c>
      <c r="I111" s="16" t="str">
        <f t="shared" si="6"/>
        <v>OK</v>
      </c>
    </row>
    <row r="112" spans="1:9">
      <c r="A112" s="17">
        <v>39749</v>
      </c>
      <c r="B112" s="18">
        <v>-13576</v>
      </c>
      <c r="C112" s="19">
        <v>33.6</v>
      </c>
      <c r="D112" s="18">
        <f t="shared" si="7"/>
        <v>-2033</v>
      </c>
      <c r="E112" s="20">
        <f t="shared" si="4"/>
        <v>10</v>
      </c>
      <c r="F112" s="20">
        <f t="shared" si="5"/>
        <v>2008</v>
      </c>
      <c r="H112" s="17">
        <v>39749</v>
      </c>
      <c r="I112" s="16" t="str">
        <f t="shared" si="6"/>
        <v>OK</v>
      </c>
    </row>
    <row r="113" spans="1:9">
      <c r="A113" s="17">
        <v>39756</v>
      </c>
      <c r="B113" s="18">
        <v>-10846</v>
      </c>
      <c r="C113" s="19">
        <v>33.9</v>
      </c>
      <c r="D113" s="18">
        <f t="shared" si="7"/>
        <v>2730</v>
      </c>
      <c r="E113" s="20">
        <f t="shared" si="4"/>
        <v>11</v>
      </c>
      <c r="F113" s="20">
        <f t="shared" si="5"/>
        <v>2008</v>
      </c>
      <c r="H113" s="17">
        <v>39756</v>
      </c>
      <c r="I113" s="16" t="str">
        <f t="shared" si="6"/>
        <v>OK</v>
      </c>
    </row>
    <row r="114" spans="1:9">
      <c r="A114" s="17">
        <v>39763</v>
      </c>
      <c r="B114" s="18">
        <v>-9117</v>
      </c>
      <c r="C114" s="19">
        <v>32.6</v>
      </c>
      <c r="D114" s="18">
        <f t="shared" si="7"/>
        <v>1729</v>
      </c>
      <c r="E114" s="20">
        <f t="shared" si="4"/>
        <v>11</v>
      </c>
      <c r="F114" s="20">
        <f t="shared" si="5"/>
        <v>2008</v>
      </c>
      <c r="H114" s="17">
        <v>39763</v>
      </c>
      <c r="I114" s="16" t="str">
        <f t="shared" si="6"/>
        <v>OK</v>
      </c>
    </row>
    <row r="115" spans="1:9">
      <c r="A115" s="17">
        <v>39770</v>
      </c>
      <c r="B115" s="18">
        <v>-11356</v>
      </c>
      <c r="C115" s="19">
        <v>30.7</v>
      </c>
      <c r="D115" s="18">
        <f t="shared" si="7"/>
        <v>-2239</v>
      </c>
      <c r="E115" s="20">
        <f t="shared" si="4"/>
        <v>11</v>
      </c>
      <c r="F115" s="20">
        <f t="shared" si="5"/>
        <v>2008</v>
      </c>
      <c r="H115" s="17">
        <v>39770</v>
      </c>
      <c r="I115" s="16" t="str">
        <f t="shared" si="6"/>
        <v>OK</v>
      </c>
    </row>
    <row r="116" spans="1:9">
      <c r="A116" s="17">
        <v>39777</v>
      </c>
      <c r="B116" s="18">
        <v>-12216</v>
      </c>
      <c r="C116" s="19">
        <v>32.58</v>
      </c>
      <c r="D116" s="18">
        <f t="shared" si="7"/>
        <v>-860</v>
      </c>
      <c r="E116" s="20">
        <f t="shared" si="4"/>
        <v>11</v>
      </c>
      <c r="F116" s="20">
        <f t="shared" si="5"/>
        <v>2008</v>
      </c>
      <c r="H116" s="17">
        <v>39777</v>
      </c>
      <c r="I116" s="16" t="str">
        <f t="shared" si="6"/>
        <v>OK</v>
      </c>
    </row>
    <row r="117" spans="1:9">
      <c r="A117" s="17">
        <v>39784</v>
      </c>
      <c r="B117" s="18">
        <v>-11923</v>
      </c>
      <c r="C117" s="19">
        <v>28.25</v>
      </c>
      <c r="D117" s="18">
        <f t="shared" si="7"/>
        <v>293</v>
      </c>
      <c r="E117" s="20">
        <f t="shared" si="4"/>
        <v>12</v>
      </c>
      <c r="F117" s="20">
        <f t="shared" si="5"/>
        <v>2008</v>
      </c>
      <c r="H117" s="17">
        <v>39784</v>
      </c>
      <c r="I117" s="16" t="str">
        <f t="shared" si="6"/>
        <v>OK</v>
      </c>
    </row>
    <row r="118" spans="1:9">
      <c r="A118" s="17">
        <v>39791</v>
      </c>
      <c r="B118" s="18">
        <v>-12822</v>
      </c>
      <c r="C118" s="19">
        <v>31.1</v>
      </c>
      <c r="D118" s="18">
        <f t="shared" si="7"/>
        <v>-899</v>
      </c>
      <c r="E118" s="20">
        <f t="shared" si="4"/>
        <v>12</v>
      </c>
      <c r="F118" s="20">
        <f t="shared" si="5"/>
        <v>2008</v>
      </c>
      <c r="H118" s="17">
        <v>39791</v>
      </c>
      <c r="I118" s="16" t="str">
        <f t="shared" si="6"/>
        <v>OK</v>
      </c>
    </row>
    <row r="119" spans="1:9">
      <c r="A119" s="17">
        <v>39798</v>
      </c>
      <c r="B119" s="18">
        <v>-9619</v>
      </c>
      <c r="C119" s="19">
        <v>30.6</v>
      </c>
      <c r="D119" s="18">
        <f t="shared" si="7"/>
        <v>3203</v>
      </c>
      <c r="E119" s="20">
        <f t="shared" si="4"/>
        <v>12</v>
      </c>
      <c r="F119" s="20">
        <f t="shared" si="5"/>
        <v>2008</v>
      </c>
      <c r="H119" s="17">
        <v>39798</v>
      </c>
      <c r="I119" s="16" t="str">
        <f t="shared" si="6"/>
        <v>OK</v>
      </c>
    </row>
    <row r="120" spans="1:9">
      <c r="A120" s="17">
        <v>39812</v>
      </c>
      <c r="B120" s="18">
        <v>-14839</v>
      </c>
      <c r="C120" s="19">
        <v>33.58</v>
      </c>
      <c r="D120" s="18">
        <f t="shared" si="7"/>
        <v>-5220</v>
      </c>
      <c r="E120" s="20">
        <f t="shared" si="4"/>
        <v>12</v>
      </c>
      <c r="F120" s="20">
        <f t="shared" si="5"/>
        <v>2008</v>
      </c>
      <c r="H120" s="17">
        <v>39812</v>
      </c>
      <c r="I120" s="16" t="str">
        <f t="shared" si="6"/>
        <v>OK</v>
      </c>
    </row>
    <row r="121" spans="1:9">
      <c r="A121" s="17">
        <v>39819</v>
      </c>
      <c r="B121" s="18">
        <v>-12313</v>
      </c>
      <c r="C121" s="19">
        <v>36.5</v>
      </c>
      <c r="D121" s="18">
        <f t="shared" si="7"/>
        <v>2526</v>
      </c>
      <c r="E121" s="20">
        <f t="shared" si="4"/>
        <v>1</v>
      </c>
      <c r="F121" s="20">
        <f t="shared" si="5"/>
        <v>2009</v>
      </c>
      <c r="H121" s="17">
        <v>39819</v>
      </c>
      <c r="I121" s="16" t="str">
        <f t="shared" si="6"/>
        <v>OK</v>
      </c>
    </row>
    <row r="122" spans="1:9">
      <c r="A122" s="17">
        <v>39826</v>
      </c>
      <c r="B122" s="18">
        <v>-9932</v>
      </c>
      <c r="C122" s="19">
        <v>34.590000000000003</v>
      </c>
      <c r="D122" s="18">
        <f t="shared" si="7"/>
        <v>2381</v>
      </c>
      <c r="E122" s="20">
        <f t="shared" si="4"/>
        <v>1</v>
      </c>
      <c r="F122" s="20">
        <f t="shared" si="5"/>
        <v>2009</v>
      </c>
      <c r="H122" s="17">
        <v>39826</v>
      </c>
      <c r="I122" s="16" t="str">
        <f t="shared" si="6"/>
        <v>OK</v>
      </c>
    </row>
    <row r="123" spans="1:9">
      <c r="A123" s="17">
        <v>39833</v>
      </c>
      <c r="B123" s="18">
        <v>-15203</v>
      </c>
      <c r="C123" s="19">
        <v>33.6</v>
      </c>
      <c r="D123" s="18">
        <f t="shared" si="7"/>
        <v>-5271</v>
      </c>
      <c r="E123" s="20">
        <f t="shared" si="4"/>
        <v>1</v>
      </c>
      <c r="F123" s="20">
        <f t="shared" si="5"/>
        <v>2009</v>
      </c>
      <c r="H123" s="17">
        <v>39833</v>
      </c>
      <c r="I123" s="16" t="str">
        <f t="shared" si="6"/>
        <v>OK</v>
      </c>
    </row>
    <row r="124" spans="1:9">
      <c r="A124" s="17">
        <v>39840</v>
      </c>
      <c r="B124" s="18">
        <v>-22933</v>
      </c>
      <c r="C124" s="19">
        <v>32.729999999999997</v>
      </c>
      <c r="D124" s="18">
        <f t="shared" si="7"/>
        <v>-7730</v>
      </c>
      <c r="E124" s="20">
        <f t="shared" si="4"/>
        <v>1</v>
      </c>
      <c r="F124" s="20">
        <f t="shared" si="5"/>
        <v>2009</v>
      </c>
      <c r="H124" s="17">
        <v>39840</v>
      </c>
      <c r="I124" s="16" t="str">
        <f t="shared" si="6"/>
        <v>OK</v>
      </c>
    </row>
    <row r="125" spans="1:9">
      <c r="A125" s="17">
        <v>39847</v>
      </c>
      <c r="B125" s="18">
        <v>-26445</v>
      </c>
      <c r="C125" s="19">
        <v>33.4</v>
      </c>
      <c r="D125" s="18">
        <f t="shared" si="7"/>
        <v>-3512</v>
      </c>
      <c r="E125" s="20">
        <f t="shared" si="4"/>
        <v>2</v>
      </c>
      <c r="F125" s="20">
        <f t="shared" si="5"/>
        <v>2009</v>
      </c>
      <c r="H125" s="17">
        <v>39847</v>
      </c>
      <c r="I125" s="16" t="str">
        <f t="shared" si="6"/>
        <v>OK</v>
      </c>
    </row>
    <row r="126" spans="1:9">
      <c r="A126" s="17">
        <v>39854</v>
      </c>
      <c r="B126" s="18">
        <v>-27532</v>
      </c>
      <c r="C126" s="19">
        <v>33</v>
      </c>
      <c r="D126" s="18">
        <f t="shared" si="7"/>
        <v>-1087</v>
      </c>
      <c r="E126" s="20">
        <f t="shared" si="4"/>
        <v>2</v>
      </c>
      <c r="F126" s="20">
        <f t="shared" si="5"/>
        <v>2009</v>
      </c>
      <c r="H126" s="17">
        <v>39854</v>
      </c>
      <c r="I126" s="16" t="str">
        <f t="shared" si="6"/>
        <v>OK</v>
      </c>
    </row>
    <row r="127" spans="1:9">
      <c r="A127" s="17">
        <v>39861</v>
      </c>
      <c r="B127" s="18">
        <v>-25903</v>
      </c>
      <c r="C127" s="19">
        <v>30.22</v>
      </c>
      <c r="D127" s="18">
        <f t="shared" si="7"/>
        <v>1629</v>
      </c>
      <c r="E127" s="20">
        <f t="shared" si="4"/>
        <v>2</v>
      </c>
      <c r="F127" s="20">
        <f t="shared" si="5"/>
        <v>2009</v>
      </c>
      <c r="H127" s="17">
        <v>39861</v>
      </c>
      <c r="I127" s="16" t="str">
        <f t="shared" si="6"/>
        <v>OK</v>
      </c>
    </row>
    <row r="128" spans="1:9">
      <c r="A128" s="17">
        <v>39868</v>
      </c>
      <c r="B128" s="18">
        <v>-21830</v>
      </c>
      <c r="C128" s="19">
        <v>30.85</v>
      </c>
      <c r="D128" s="18">
        <f t="shared" si="7"/>
        <v>4073</v>
      </c>
      <c r="E128" s="20">
        <f t="shared" si="4"/>
        <v>2</v>
      </c>
      <c r="F128" s="20">
        <f t="shared" si="5"/>
        <v>2009</v>
      </c>
      <c r="H128" s="17">
        <v>39868</v>
      </c>
      <c r="I128" s="16" t="str">
        <f t="shared" si="6"/>
        <v>OK</v>
      </c>
    </row>
    <row r="129" spans="1:9">
      <c r="A129" s="17">
        <v>39875</v>
      </c>
      <c r="B129" s="18">
        <v>-23011</v>
      </c>
      <c r="C129" s="19">
        <v>30.76</v>
      </c>
      <c r="D129" s="18">
        <f t="shared" si="7"/>
        <v>-1181</v>
      </c>
      <c r="E129" s="20">
        <f t="shared" si="4"/>
        <v>3</v>
      </c>
      <c r="F129" s="20">
        <f t="shared" si="5"/>
        <v>2009</v>
      </c>
      <c r="H129" s="17">
        <v>39875</v>
      </c>
      <c r="I129" s="16" t="str">
        <f t="shared" si="6"/>
        <v>OK</v>
      </c>
    </row>
    <row r="130" spans="1:9">
      <c r="A130" s="17">
        <v>39882</v>
      </c>
      <c r="B130" s="18">
        <v>-21223</v>
      </c>
      <c r="C130" s="19">
        <v>29.8</v>
      </c>
      <c r="D130" s="18">
        <f t="shared" si="7"/>
        <v>1788</v>
      </c>
      <c r="E130" s="20">
        <f t="shared" ref="E130:E193" si="8">MONTH(A130)</f>
        <v>3</v>
      </c>
      <c r="F130" s="20">
        <f t="shared" ref="F130:F193" si="9">YEAR(A130)</f>
        <v>2009</v>
      </c>
      <c r="H130" s="17">
        <v>39882</v>
      </c>
      <c r="I130" s="16" t="str">
        <f t="shared" ref="I130:I193" si="10">IF(H130=A130,"OK","")</f>
        <v>OK</v>
      </c>
    </row>
    <row r="131" spans="1:9">
      <c r="A131" s="17">
        <v>39889</v>
      </c>
      <c r="B131" s="18">
        <v>-32577</v>
      </c>
      <c r="C131" s="19">
        <v>32.25</v>
      </c>
      <c r="D131" s="18">
        <f t="shared" ref="D131:D194" si="11">B131-B130</f>
        <v>-11354</v>
      </c>
      <c r="E131" s="20">
        <f t="shared" si="8"/>
        <v>3</v>
      </c>
      <c r="F131" s="20">
        <f t="shared" si="9"/>
        <v>2009</v>
      </c>
      <c r="H131" s="17">
        <v>39889</v>
      </c>
      <c r="I131" s="16" t="str">
        <f t="shared" si="10"/>
        <v>OK</v>
      </c>
    </row>
    <row r="132" spans="1:9">
      <c r="A132" s="17">
        <v>39896</v>
      </c>
      <c r="B132" s="18">
        <v>-33156</v>
      </c>
      <c r="C132" s="19">
        <v>32.42</v>
      </c>
      <c r="D132" s="18">
        <f t="shared" si="11"/>
        <v>-579</v>
      </c>
      <c r="E132" s="20">
        <f t="shared" si="8"/>
        <v>3</v>
      </c>
      <c r="F132" s="20">
        <f t="shared" si="9"/>
        <v>2009</v>
      </c>
      <c r="H132" s="17">
        <v>39896</v>
      </c>
      <c r="I132" s="16" t="str">
        <f t="shared" si="10"/>
        <v>OK</v>
      </c>
    </row>
    <row r="133" spans="1:9">
      <c r="A133" s="17">
        <v>39903</v>
      </c>
      <c r="B133" s="18">
        <v>-26679</v>
      </c>
      <c r="C133" s="19">
        <v>35.32</v>
      </c>
      <c r="D133" s="18">
        <f t="shared" si="11"/>
        <v>6477</v>
      </c>
      <c r="E133" s="20">
        <f t="shared" si="8"/>
        <v>3</v>
      </c>
      <c r="F133" s="20">
        <f t="shared" si="9"/>
        <v>2009</v>
      </c>
      <c r="H133" s="17">
        <v>39903</v>
      </c>
      <c r="I133" s="16" t="str">
        <f t="shared" si="10"/>
        <v>OK</v>
      </c>
    </row>
    <row r="134" spans="1:9">
      <c r="A134" s="17">
        <v>39910</v>
      </c>
      <c r="B134" s="18">
        <v>-17962</v>
      </c>
      <c r="C134" s="19">
        <v>35.42</v>
      </c>
      <c r="D134" s="18">
        <f t="shared" si="11"/>
        <v>8717</v>
      </c>
      <c r="E134" s="20">
        <f t="shared" si="8"/>
        <v>4</v>
      </c>
      <c r="F134" s="20">
        <f t="shared" si="9"/>
        <v>2009</v>
      </c>
      <c r="H134" s="17">
        <v>39910</v>
      </c>
      <c r="I134" s="16" t="str">
        <f t="shared" si="10"/>
        <v>OK</v>
      </c>
    </row>
    <row r="135" spans="1:9">
      <c r="A135" s="17">
        <v>39917</v>
      </c>
      <c r="B135" s="18">
        <v>-17654</v>
      </c>
      <c r="C135" s="19">
        <v>36.770000000000003</v>
      </c>
      <c r="D135" s="18">
        <f t="shared" si="11"/>
        <v>308</v>
      </c>
      <c r="E135" s="20">
        <f t="shared" si="8"/>
        <v>4</v>
      </c>
      <c r="F135" s="20">
        <f t="shared" si="9"/>
        <v>2009</v>
      </c>
      <c r="H135" s="17">
        <v>39917</v>
      </c>
      <c r="I135" s="16" t="str">
        <f t="shared" si="10"/>
        <v>OK</v>
      </c>
    </row>
    <row r="136" spans="1:9">
      <c r="A136" s="17">
        <v>39924</v>
      </c>
      <c r="B136" s="18">
        <v>-25781</v>
      </c>
      <c r="C136" s="19">
        <v>36.340000000000003</v>
      </c>
      <c r="D136" s="18">
        <f t="shared" si="11"/>
        <v>-8127</v>
      </c>
      <c r="E136" s="20">
        <f t="shared" si="8"/>
        <v>4</v>
      </c>
      <c r="F136" s="20">
        <f t="shared" si="9"/>
        <v>2009</v>
      </c>
      <c r="H136" s="17">
        <v>39924</v>
      </c>
      <c r="I136" s="16" t="str">
        <f t="shared" si="10"/>
        <v>OK</v>
      </c>
    </row>
    <row r="137" spans="1:9">
      <c r="A137" s="17">
        <v>39931</v>
      </c>
      <c r="B137" s="18">
        <v>-23054</v>
      </c>
      <c r="C137" s="19">
        <v>37.43</v>
      </c>
      <c r="D137" s="18">
        <f t="shared" si="11"/>
        <v>2727</v>
      </c>
      <c r="E137" s="20">
        <f t="shared" si="8"/>
        <v>4</v>
      </c>
      <c r="F137" s="20">
        <f t="shared" si="9"/>
        <v>2009</v>
      </c>
      <c r="H137" s="17">
        <v>39931</v>
      </c>
      <c r="I137" s="16" t="str">
        <f t="shared" si="10"/>
        <v>OK</v>
      </c>
    </row>
    <row r="138" spans="1:9">
      <c r="A138" s="17">
        <v>39938</v>
      </c>
      <c r="B138" s="18">
        <v>-26657</v>
      </c>
      <c r="C138" s="19">
        <v>39.299999999999997</v>
      </c>
      <c r="D138" s="18">
        <f t="shared" si="11"/>
        <v>-3603</v>
      </c>
      <c r="E138" s="20">
        <f t="shared" si="8"/>
        <v>5</v>
      </c>
      <c r="F138" s="20">
        <f t="shared" si="9"/>
        <v>2009</v>
      </c>
      <c r="H138" s="17">
        <v>39938</v>
      </c>
      <c r="I138" s="16" t="str">
        <f t="shared" si="10"/>
        <v>OK</v>
      </c>
    </row>
    <row r="139" spans="1:9">
      <c r="A139" s="17">
        <v>39945</v>
      </c>
      <c r="B139" s="18">
        <v>-17976</v>
      </c>
      <c r="C139" s="19">
        <v>37.9</v>
      </c>
      <c r="D139" s="18">
        <f t="shared" si="11"/>
        <v>8681</v>
      </c>
      <c r="E139" s="20">
        <f t="shared" si="8"/>
        <v>5</v>
      </c>
      <c r="F139" s="20">
        <f t="shared" si="9"/>
        <v>2009</v>
      </c>
      <c r="H139" s="17">
        <v>39945</v>
      </c>
      <c r="I139" s="16" t="str">
        <f t="shared" si="10"/>
        <v>OK</v>
      </c>
    </row>
    <row r="140" spans="1:9">
      <c r="A140" s="17">
        <v>39952</v>
      </c>
      <c r="B140" s="18">
        <v>-32777</v>
      </c>
      <c r="C140" s="19">
        <v>38.1</v>
      </c>
      <c r="D140" s="18">
        <f t="shared" si="11"/>
        <v>-14801</v>
      </c>
      <c r="E140" s="20">
        <f t="shared" si="8"/>
        <v>5</v>
      </c>
      <c r="F140" s="20">
        <f t="shared" si="9"/>
        <v>2009</v>
      </c>
      <c r="H140" s="17">
        <v>39952</v>
      </c>
      <c r="I140" s="16" t="str">
        <f t="shared" si="10"/>
        <v>OK</v>
      </c>
    </row>
    <row r="141" spans="1:9">
      <c r="A141" s="17">
        <v>39959</v>
      </c>
      <c r="B141" s="18">
        <v>-41631</v>
      </c>
      <c r="C141" s="19">
        <v>39.049999999999997</v>
      </c>
      <c r="D141" s="18">
        <f t="shared" si="11"/>
        <v>-8854</v>
      </c>
      <c r="E141" s="20">
        <f t="shared" si="8"/>
        <v>5</v>
      </c>
      <c r="F141" s="20">
        <f t="shared" si="9"/>
        <v>2009</v>
      </c>
      <c r="H141" s="17">
        <v>39959</v>
      </c>
      <c r="I141" s="16" t="str">
        <f t="shared" si="10"/>
        <v>OK</v>
      </c>
    </row>
    <row r="142" spans="1:9">
      <c r="A142" s="17">
        <v>39966</v>
      </c>
      <c r="B142" s="18">
        <v>-34942</v>
      </c>
      <c r="C142" s="19">
        <v>39.729999999999997</v>
      </c>
      <c r="D142" s="18">
        <f t="shared" si="11"/>
        <v>6689</v>
      </c>
      <c r="E142" s="20">
        <f t="shared" si="8"/>
        <v>6</v>
      </c>
      <c r="F142" s="20">
        <f t="shared" si="9"/>
        <v>2009</v>
      </c>
      <c r="H142" s="17">
        <v>39966</v>
      </c>
      <c r="I142" s="16" t="str">
        <f t="shared" si="10"/>
        <v>OK</v>
      </c>
    </row>
    <row r="143" spans="1:9">
      <c r="A143" s="17">
        <v>39973</v>
      </c>
      <c r="B143" s="18">
        <v>-36138</v>
      </c>
      <c r="C143" s="19">
        <v>37.159999999999997</v>
      </c>
      <c r="D143" s="18">
        <f t="shared" si="11"/>
        <v>-1196</v>
      </c>
      <c r="E143" s="20">
        <f t="shared" si="8"/>
        <v>6</v>
      </c>
      <c r="F143" s="20">
        <f t="shared" si="9"/>
        <v>2009</v>
      </c>
      <c r="H143" s="17">
        <v>39973</v>
      </c>
      <c r="I143" s="16" t="str">
        <f t="shared" si="10"/>
        <v>OK</v>
      </c>
    </row>
    <row r="144" spans="1:9">
      <c r="A144" s="17">
        <v>39980</v>
      </c>
      <c r="B144" s="18">
        <v>-55213</v>
      </c>
      <c r="C144" s="19">
        <v>36.53</v>
      </c>
      <c r="D144" s="18">
        <f t="shared" si="11"/>
        <v>-19075</v>
      </c>
      <c r="E144" s="20">
        <f t="shared" si="8"/>
        <v>6</v>
      </c>
      <c r="F144" s="20">
        <f t="shared" si="9"/>
        <v>2009</v>
      </c>
      <c r="H144" s="17">
        <v>39980</v>
      </c>
      <c r="I144" s="16" t="str">
        <f t="shared" si="10"/>
        <v>OK</v>
      </c>
    </row>
    <row r="145" spans="1:9">
      <c r="A145" s="17">
        <v>39987</v>
      </c>
      <c r="B145" s="18">
        <v>-50109</v>
      </c>
      <c r="C145" s="19">
        <v>36.08</v>
      </c>
      <c r="D145" s="18">
        <f t="shared" si="11"/>
        <v>5104</v>
      </c>
      <c r="E145" s="20">
        <f t="shared" si="8"/>
        <v>6</v>
      </c>
      <c r="F145" s="20">
        <f t="shared" si="9"/>
        <v>2009</v>
      </c>
      <c r="H145" s="17">
        <v>39987</v>
      </c>
      <c r="I145" s="16" t="str">
        <f t="shared" si="10"/>
        <v>OK</v>
      </c>
    </row>
    <row r="146" spans="1:9">
      <c r="A146" s="17">
        <v>39994</v>
      </c>
      <c r="B146" s="18">
        <v>-56635</v>
      </c>
      <c r="C146" s="19">
        <v>35.18</v>
      </c>
      <c r="D146" s="18">
        <f t="shared" si="11"/>
        <v>-6526</v>
      </c>
      <c r="E146" s="20">
        <f t="shared" si="8"/>
        <v>6</v>
      </c>
      <c r="F146" s="20">
        <f t="shared" si="9"/>
        <v>2009</v>
      </c>
      <c r="H146" s="17">
        <v>39994</v>
      </c>
      <c r="I146" s="16" t="str">
        <f t="shared" si="10"/>
        <v>OK</v>
      </c>
    </row>
    <row r="147" spans="1:9">
      <c r="A147" s="17">
        <v>40001</v>
      </c>
      <c r="B147" s="18">
        <v>-55373</v>
      </c>
      <c r="C147" s="19">
        <v>32.700000000000003</v>
      </c>
      <c r="D147" s="18">
        <f t="shared" si="11"/>
        <v>1262</v>
      </c>
      <c r="E147" s="20">
        <f t="shared" si="8"/>
        <v>7</v>
      </c>
      <c r="F147" s="20">
        <f t="shared" si="9"/>
        <v>2009</v>
      </c>
      <c r="H147" s="17">
        <v>40001</v>
      </c>
      <c r="I147" s="16" t="str">
        <f t="shared" si="10"/>
        <v>OK</v>
      </c>
    </row>
    <row r="148" spans="1:9">
      <c r="A148" s="17">
        <v>40008</v>
      </c>
      <c r="B148" s="18">
        <v>-52763</v>
      </c>
      <c r="C148" s="19">
        <v>34.82</v>
      </c>
      <c r="D148" s="18">
        <f t="shared" si="11"/>
        <v>2610</v>
      </c>
      <c r="E148" s="20">
        <f t="shared" si="8"/>
        <v>7</v>
      </c>
      <c r="F148" s="20">
        <f t="shared" si="9"/>
        <v>2009</v>
      </c>
      <c r="H148" s="17">
        <v>40008</v>
      </c>
      <c r="I148" s="16" t="str">
        <f t="shared" si="10"/>
        <v>OK</v>
      </c>
    </row>
    <row r="149" spans="1:9">
      <c r="A149" s="17">
        <v>40015</v>
      </c>
      <c r="B149" s="18">
        <v>-49993</v>
      </c>
      <c r="C149" s="19">
        <v>33.89</v>
      </c>
      <c r="D149" s="18">
        <f t="shared" si="11"/>
        <v>2770</v>
      </c>
      <c r="E149" s="20">
        <f t="shared" si="8"/>
        <v>7</v>
      </c>
      <c r="F149" s="20">
        <f t="shared" si="9"/>
        <v>2009</v>
      </c>
      <c r="H149" s="17">
        <v>40015</v>
      </c>
      <c r="I149" s="16" t="str">
        <f t="shared" si="10"/>
        <v>OK</v>
      </c>
    </row>
    <row r="150" spans="1:9">
      <c r="A150" s="17">
        <v>40022</v>
      </c>
      <c r="B150" s="18">
        <v>-51773</v>
      </c>
      <c r="C150" s="19">
        <v>35.06</v>
      </c>
      <c r="D150" s="18">
        <f t="shared" si="11"/>
        <v>-1780</v>
      </c>
      <c r="E150" s="20">
        <f t="shared" si="8"/>
        <v>7</v>
      </c>
      <c r="F150" s="20">
        <f t="shared" si="9"/>
        <v>2009</v>
      </c>
      <c r="H150" s="17">
        <v>40022</v>
      </c>
      <c r="I150" s="16" t="str">
        <f t="shared" si="10"/>
        <v>OK</v>
      </c>
    </row>
    <row r="151" spans="1:9">
      <c r="A151" s="17">
        <v>40029</v>
      </c>
      <c r="B151" s="18">
        <v>-44254</v>
      </c>
      <c r="C151" s="19">
        <v>36.78</v>
      </c>
      <c r="D151" s="18">
        <f t="shared" si="11"/>
        <v>7519</v>
      </c>
      <c r="E151" s="20">
        <f t="shared" si="8"/>
        <v>8</v>
      </c>
      <c r="F151" s="20">
        <f t="shared" si="9"/>
        <v>2009</v>
      </c>
      <c r="H151" s="17">
        <v>40029</v>
      </c>
      <c r="I151" s="16" t="str">
        <f t="shared" si="10"/>
        <v>OK</v>
      </c>
    </row>
    <row r="152" spans="1:9">
      <c r="A152" s="17">
        <v>40036</v>
      </c>
      <c r="B152" s="18">
        <v>-38623</v>
      </c>
      <c r="C152" s="19">
        <v>37.18</v>
      </c>
      <c r="D152" s="18">
        <f t="shared" si="11"/>
        <v>5631</v>
      </c>
      <c r="E152" s="20">
        <f t="shared" si="8"/>
        <v>8</v>
      </c>
      <c r="F152" s="20">
        <f t="shared" si="9"/>
        <v>2009</v>
      </c>
      <c r="H152" s="17">
        <v>40036</v>
      </c>
      <c r="I152" s="16" t="str">
        <f t="shared" si="10"/>
        <v>OK</v>
      </c>
    </row>
    <row r="153" spans="1:9">
      <c r="A153" s="17">
        <v>40043</v>
      </c>
      <c r="B153" s="18">
        <v>-33579</v>
      </c>
      <c r="C153" s="19">
        <v>36.33</v>
      </c>
      <c r="D153" s="18">
        <f t="shared" si="11"/>
        <v>5044</v>
      </c>
      <c r="E153" s="20">
        <f t="shared" si="8"/>
        <v>8</v>
      </c>
      <c r="F153" s="20">
        <f t="shared" si="9"/>
        <v>2009</v>
      </c>
      <c r="H153" s="17">
        <v>40043</v>
      </c>
      <c r="I153" s="16" t="str">
        <f t="shared" si="10"/>
        <v>OK</v>
      </c>
    </row>
    <row r="154" spans="1:9">
      <c r="A154" s="17">
        <v>40050</v>
      </c>
      <c r="B154" s="18">
        <v>-30045</v>
      </c>
      <c r="C154" s="19">
        <v>36.07</v>
      </c>
      <c r="D154" s="18">
        <f t="shared" si="11"/>
        <v>3534</v>
      </c>
      <c r="E154" s="20">
        <f t="shared" si="8"/>
        <v>8</v>
      </c>
      <c r="F154" s="20">
        <f t="shared" si="9"/>
        <v>2009</v>
      </c>
      <c r="H154" s="17">
        <v>40050</v>
      </c>
      <c r="I154" s="16" t="str">
        <f t="shared" si="10"/>
        <v>OK</v>
      </c>
    </row>
    <row r="155" spans="1:9">
      <c r="A155" s="17">
        <v>40057</v>
      </c>
      <c r="B155" s="18">
        <v>-47248</v>
      </c>
      <c r="C155" s="19">
        <v>33.65</v>
      </c>
      <c r="D155" s="18">
        <f t="shared" si="11"/>
        <v>-17203</v>
      </c>
      <c r="E155" s="20">
        <f t="shared" si="8"/>
        <v>9</v>
      </c>
      <c r="F155" s="20">
        <f t="shared" si="9"/>
        <v>2009</v>
      </c>
      <c r="H155" s="17">
        <v>40057</v>
      </c>
      <c r="I155" s="16" t="str">
        <f t="shared" si="10"/>
        <v>OK</v>
      </c>
    </row>
    <row r="156" spans="1:9">
      <c r="A156" s="17">
        <v>40064</v>
      </c>
      <c r="B156" s="18">
        <v>-50871</v>
      </c>
      <c r="C156" s="19">
        <v>33.36</v>
      </c>
      <c r="D156" s="18">
        <f t="shared" si="11"/>
        <v>-3623</v>
      </c>
      <c r="E156" s="20">
        <f t="shared" si="8"/>
        <v>9</v>
      </c>
      <c r="F156" s="20">
        <f t="shared" si="9"/>
        <v>2009</v>
      </c>
      <c r="H156" s="17">
        <v>40064</v>
      </c>
      <c r="I156" s="16" t="str">
        <f t="shared" si="10"/>
        <v>OK</v>
      </c>
    </row>
    <row r="157" spans="1:9">
      <c r="A157" s="17">
        <v>40071</v>
      </c>
      <c r="B157" s="18">
        <v>-53034</v>
      </c>
      <c r="C157" s="19">
        <v>34.68</v>
      </c>
      <c r="D157" s="18">
        <f t="shared" si="11"/>
        <v>-2163</v>
      </c>
      <c r="E157" s="20">
        <f t="shared" si="8"/>
        <v>9</v>
      </c>
      <c r="F157" s="20">
        <f t="shared" si="9"/>
        <v>2009</v>
      </c>
      <c r="H157" s="17">
        <v>40071</v>
      </c>
      <c r="I157" s="16" t="str">
        <f t="shared" si="10"/>
        <v>OK</v>
      </c>
    </row>
    <row r="158" spans="1:9">
      <c r="A158" s="17">
        <v>40078</v>
      </c>
      <c r="B158" s="18">
        <v>-48144</v>
      </c>
      <c r="C158" s="19">
        <v>34.04</v>
      </c>
      <c r="D158" s="18">
        <f t="shared" si="11"/>
        <v>4890</v>
      </c>
      <c r="E158" s="20">
        <f t="shared" si="8"/>
        <v>9</v>
      </c>
      <c r="F158" s="20">
        <f t="shared" si="9"/>
        <v>2009</v>
      </c>
      <c r="H158" s="17">
        <v>40078</v>
      </c>
      <c r="I158" s="16" t="str">
        <f t="shared" si="10"/>
        <v>OK</v>
      </c>
    </row>
    <row r="159" spans="1:9">
      <c r="A159" s="17">
        <v>40085</v>
      </c>
      <c r="B159" s="18">
        <v>-52465</v>
      </c>
      <c r="C159" s="19">
        <v>33.729999999999997</v>
      </c>
      <c r="D159" s="18">
        <f t="shared" si="11"/>
        <v>-4321</v>
      </c>
      <c r="E159" s="20">
        <f t="shared" si="8"/>
        <v>9</v>
      </c>
      <c r="F159" s="20">
        <f t="shared" si="9"/>
        <v>2009</v>
      </c>
      <c r="H159" s="17">
        <v>40085</v>
      </c>
      <c r="I159" s="16" t="str">
        <f t="shared" si="10"/>
        <v>OK</v>
      </c>
    </row>
    <row r="160" spans="1:9">
      <c r="A160" s="17">
        <v>40092</v>
      </c>
      <c r="B160" s="18">
        <v>-47837</v>
      </c>
      <c r="C160" s="19">
        <v>34.909999999999997</v>
      </c>
      <c r="D160" s="18">
        <f t="shared" si="11"/>
        <v>4628</v>
      </c>
      <c r="E160" s="20">
        <f t="shared" si="8"/>
        <v>10</v>
      </c>
      <c r="F160" s="20">
        <f t="shared" si="9"/>
        <v>2009</v>
      </c>
      <c r="H160" s="17">
        <v>40092</v>
      </c>
      <c r="I160" s="16" t="str">
        <f t="shared" si="10"/>
        <v>OK</v>
      </c>
    </row>
    <row r="161" spans="1:9">
      <c r="A161" s="17">
        <v>40099</v>
      </c>
      <c r="B161" s="18">
        <v>-40156</v>
      </c>
      <c r="C161" s="19">
        <v>36.94</v>
      </c>
      <c r="D161" s="18">
        <f t="shared" si="11"/>
        <v>7681</v>
      </c>
      <c r="E161" s="20">
        <f t="shared" si="8"/>
        <v>10</v>
      </c>
      <c r="F161" s="20">
        <f t="shared" si="9"/>
        <v>2009</v>
      </c>
      <c r="H161" s="17">
        <v>40099</v>
      </c>
      <c r="I161" s="16" t="str">
        <f t="shared" si="10"/>
        <v>OK</v>
      </c>
    </row>
    <row r="162" spans="1:9">
      <c r="A162" s="17">
        <v>40106</v>
      </c>
      <c r="B162" s="18">
        <v>-20254</v>
      </c>
      <c r="C162" s="19">
        <v>37.94</v>
      </c>
      <c r="D162" s="18">
        <f t="shared" si="11"/>
        <v>19902</v>
      </c>
      <c r="E162" s="20">
        <f t="shared" si="8"/>
        <v>10</v>
      </c>
      <c r="F162" s="20">
        <f t="shared" si="9"/>
        <v>2009</v>
      </c>
      <c r="H162" s="17">
        <v>40106</v>
      </c>
      <c r="I162" s="16" t="str">
        <f t="shared" si="10"/>
        <v>OK</v>
      </c>
    </row>
    <row r="163" spans="1:9">
      <c r="A163" s="17">
        <v>40113</v>
      </c>
      <c r="B163" s="18">
        <v>-477</v>
      </c>
      <c r="C163" s="19">
        <v>36.4</v>
      </c>
      <c r="D163" s="18">
        <f t="shared" si="11"/>
        <v>19777</v>
      </c>
      <c r="E163" s="20">
        <f t="shared" si="8"/>
        <v>10</v>
      </c>
      <c r="F163" s="20">
        <f t="shared" si="9"/>
        <v>2009</v>
      </c>
      <c r="H163" s="17">
        <v>40113</v>
      </c>
      <c r="I163" s="16" t="str">
        <f t="shared" si="10"/>
        <v>OK</v>
      </c>
    </row>
    <row r="164" spans="1:9">
      <c r="A164" s="17">
        <v>40120</v>
      </c>
      <c r="B164" s="18">
        <v>-16796</v>
      </c>
      <c r="C164" s="19">
        <v>36.770000000000003</v>
      </c>
      <c r="D164" s="18">
        <f t="shared" si="11"/>
        <v>-16319</v>
      </c>
      <c r="E164" s="20">
        <f t="shared" si="8"/>
        <v>11</v>
      </c>
      <c r="F164" s="20">
        <f t="shared" si="9"/>
        <v>2009</v>
      </c>
      <c r="H164" s="17">
        <v>40120</v>
      </c>
      <c r="I164" s="16" t="str">
        <f t="shared" si="10"/>
        <v>OK</v>
      </c>
    </row>
    <row r="165" spans="1:9">
      <c r="A165" s="17">
        <v>40127</v>
      </c>
      <c r="B165" s="18">
        <v>-11553</v>
      </c>
      <c r="C165" s="19">
        <v>38.61</v>
      </c>
      <c r="D165" s="18">
        <f t="shared" si="11"/>
        <v>5243</v>
      </c>
      <c r="E165" s="20">
        <f t="shared" si="8"/>
        <v>11</v>
      </c>
      <c r="F165" s="20">
        <f t="shared" si="9"/>
        <v>2009</v>
      </c>
      <c r="H165" s="17">
        <v>40127</v>
      </c>
      <c r="I165" s="16" t="str">
        <f t="shared" si="10"/>
        <v>OK</v>
      </c>
    </row>
    <row r="166" spans="1:9">
      <c r="A166" s="17">
        <v>40134</v>
      </c>
      <c r="B166" s="18">
        <v>6680</v>
      </c>
      <c r="C166" s="19">
        <v>39.71</v>
      </c>
      <c r="D166" s="18">
        <f t="shared" si="11"/>
        <v>18233</v>
      </c>
      <c r="E166" s="20">
        <f t="shared" si="8"/>
        <v>11</v>
      </c>
      <c r="F166" s="20">
        <f t="shared" si="9"/>
        <v>2009</v>
      </c>
      <c r="H166" s="17">
        <v>40134</v>
      </c>
      <c r="I166" s="16" t="str">
        <f t="shared" si="10"/>
        <v>OK</v>
      </c>
    </row>
    <row r="167" spans="1:9">
      <c r="A167" s="17">
        <v>40141</v>
      </c>
      <c r="B167" s="18">
        <v>10216</v>
      </c>
      <c r="C167" s="19">
        <v>40.1</v>
      </c>
      <c r="D167" s="18">
        <f t="shared" si="11"/>
        <v>3536</v>
      </c>
      <c r="E167" s="20">
        <f t="shared" si="8"/>
        <v>11</v>
      </c>
      <c r="F167" s="20">
        <f t="shared" si="9"/>
        <v>2009</v>
      </c>
      <c r="H167" s="17">
        <v>40141</v>
      </c>
      <c r="I167" s="16" t="str">
        <f t="shared" si="10"/>
        <v>OK</v>
      </c>
    </row>
    <row r="168" spans="1:9">
      <c r="A168" s="17">
        <v>40148</v>
      </c>
      <c r="B168" s="18">
        <v>8287</v>
      </c>
      <c r="C168" s="19">
        <v>39.76</v>
      </c>
      <c r="D168" s="18">
        <f t="shared" si="11"/>
        <v>-1929</v>
      </c>
      <c r="E168" s="20">
        <f t="shared" si="8"/>
        <v>12</v>
      </c>
      <c r="F168" s="20">
        <f t="shared" si="9"/>
        <v>2009</v>
      </c>
      <c r="H168" s="17">
        <v>40148</v>
      </c>
      <c r="I168" s="16" t="str">
        <f t="shared" si="10"/>
        <v>OK</v>
      </c>
    </row>
    <row r="169" spans="1:9">
      <c r="A169" s="17">
        <v>40155</v>
      </c>
      <c r="B169" s="18">
        <v>11483</v>
      </c>
      <c r="C169" s="19">
        <v>39.22</v>
      </c>
      <c r="D169" s="18">
        <f t="shared" si="11"/>
        <v>3196</v>
      </c>
      <c r="E169" s="20">
        <f t="shared" si="8"/>
        <v>12</v>
      </c>
      <c r="F169" s="20">
        <f t="shared" si="9"/>
        <v>2009</v>
      </c>
      <c r="H169" s="17">
        <v>40155</v>
      </c>
      <c r="I169" s="16" t="str">
        <f t="shared" si="10"/>
        <v>OK</v>
      </c>
    </row>
    <row r="170" spans="1:9">
      <c r="A170" s="17">
        <v>40162</v>
      </c>
      <c r="B170" s="18">
        <v>3135</v>
      </c>
      <c r="C170" s="19">
        <v>38.33</v>
      </c>
      <c r="D170" s="18">
        <f t="shared" si="11"/>
        <v>-8348</v>
      </c>
      <c r="E170" s="20">
        <f t="shared" si="8"/>
        <v>12</v>
      </c>
      <c r="F170" s="20">
        <f t="shared" si="9"/>
        <v>2009</v>
      </c>
      <c r="H170" s="17">
        <v>40162</v>
      </c>
      <c r="I170" s="16" t="str">
        <f t="shared" si="10"/>
        <v>OK</v>
      </c>
    </row>
    <row r="171" spans="1:9">
      <c r="A171" s="17">
        <v>40169</v>
      </c>
      <c r="B171" s="18">
        <v>-5630</v>
      </c>
      <c r="C171" s="19">
        <v>38.46</v>
      </c>
      <c r="D171" s="18">
        <f t="shared" si="11"/>
        <v>-8765</v>
      </c>
      <c r="E171" s="20">
        <f t="shared" si="8"/>
        <v>12</v>
      </c>
      <c r="F171" s="20">
        <f t="shared" si="9"/>
        <v>2009</v>
      </c>
      <c r="H171" s="17">
        <v>40169</v>
      </c>
      <c r="I171" s="16" t="str">
        <f t="shared" si="10"/>
        <v>OK</v>
      </c>
    </row>
    <row r="172" spans="1:9">
      <c r="A172" s="17">
        <v>40176</v>
      </c>
      <c r="B172" s="18">
        <v>3135</v>
      </c>
      <c r="C172" s="19">
        <v>40.35</v>
      </c>
      <c r="D172" s="18">
        <f t="shared" si="11"/>
        <v>8765</v>
      </c>
      <c r="E172" s="20">
        <f t="shared" si="8"/>
        <v>12</v>
      </c>
      <c r="F172" s="20">
        <f t="shared" si="9"/>
        <v>2009</v>
      </c>
      <c r="H172" s="17">
        <v>40176</v>
      </c>
      <c r="I172" s="16" t="str">
        <f t="shared" si="10"/>
        <v>OK</v>
      </c>
    </row>
    <row r="173" spans="1:9">
      <c r="A173" s="17">
        <v>40183</v>
      </c>
      <c r="B173" s="18">
        <v>467</v>
      </c>
      <c r="C173" s="19">
        <v>39.53</v>
      </c>
      <c r="D173" s="18">
        <f t="shared" si="11"/>
        <v>-2668</v>
      </c>
      <c r="E173" s="20">
        <f t="shared" si="8"/>
        <v>1</v>
      </c>
      <c r="F173" s="20">
        <f t="shared" si="9"/>
        <v>2010</v>
      </c>
      <c r="H173" s="17">
        <v>40183</v>
      </c>
      <c r="I173" s="16" t="str">
        <f t="shared" si="10"/>
        <v>OK</v>
      </c>
    </row>
    <row r="174" spans="1:9">
      <c r="A174" s="17">
        <v>40190</v>
      </c>
      <c r="B174" s="18">
        <v>-6219</v>
      </c>
      <c r="C174" s="19">
        <v>37.53</v>
      </c>
      <c r="D174" s="18">
        <f t="shared" si="11"/>
        <v>-6686</v>
      </c>
      <c r="E174" s="20">
        <f t="shared" si="8"/>
        <v>1</v>
      </c>
      <c r="F174" s="20">
        <f t="shared" si="9"/>
        <v>2010</v>
      </c>
      <c r="H174" s="17">
        <v>40190</v>
      </c>
      <c r="I174" s="16" t="str">
        <f t="shared" si="10"/>
        <v>OK</v>
      </c>
    </row>
    <row r="175" spans="1:9">
      <c r="A175" s="17">
        <v>40197</v>
      </c>
      <c r="B175" s="18">
        <v>-21308</v>
      </c>
      <c r="C175" s="19">
        <v>36.71</v>
      </c>
      <c r="D175" s="18">
        <f t="shared" si="11"/>
        <v>-15089</v>
      </c>
      <c r="E175" s="20">
        <f t="shared" si="8"/>
        <v>1</v>
      </c>
      <c r="F175" s="20">
        <f t="shared" si="9"/>
        <v>2010</v>
      </c>
      <c r="H175" s="17">
        <v>40197</v>
      </c>
      <c r="I175" s="16" t="str">
        <f t="shared" si="10"/>
        <v>OK</v>
      </c>
    </row>
    <row r="176" spans="1:9">
      <c r="A176" s="17">
        <v>40204</v>
      </c>
      <c r="B176" s="18">
        <v>-29833</v>
      </c>
      <c r="C176" s="19">
        <v>36.15</v>
      </c>
      <c r="D176" s="18">
        <f t="shared" si="11"/>
        <v>-8525</v>
      </c>
      <c r="E176" s="20">
        <f t="shared" si="8"/>
        <v>1</v>
      </c>
      <c r="F176" s="20">
        <f t="shared" si="9"/>
        <v>2010</v>
      </c>
      <c r="H176" s="17">
        <v>40204</v>
      </c>
      <c r="I176" s="16" t="str">
        <f t="shared" si="10"/>
        <v>OK</v>
      </c>
    </row>
    <row r="177" spans="1:9">
      <c r="A177" s="17">
        <v>40211</v>
      </c>
      <c r="B177" s="18">
        <v>-23250</v>
      </c>
      <c r="C177" s="19">
        <v>37</v>
      </c>
      <c r="D177" s="18">
        <f t="shared" si="11"/>
        <v>6583</v>
      </c>
      <c r="E177" s="20">
        <f t="shared" si="8"/>
        <v>2</v>
      </c>
      <c r="F177" s="20">
        <f t="shared" si="9"/>
        <v>2010</v>
      </c>
      <c r="H177" s="17">
        <v>40211</v>
      </c>
      <c r="I177" s="16" t="str">
        <f t="shared" si="10"/>
        <v>OK</v>
      </c>
    </row>
    <row r="178" spans="1:9">
      <c r="A178" s="17">
        <v>40218</v>
      </c>
      <c r="B178" s="18">
        <v>-10915</v>
      </c>
      <c r="C178" s="19">
        <v>37.840000000000003</v>
      </c>
      <c r="D178" s="18">
        <f t="shared" si="11"/>
        <v>12335</v>
      </c>
      <c r="E178" s="20">
        <f t="shared" si="8"/>
        <v>2</v>
      </c>
      <c r="F178" s="20">
        <f t="shared" si="9"/>
        <v>2010</v>
      </c>
      <c r="H178" s="17">
        <v>40218</v>
      </c>
      <c r="I178" s="16" t="str">
        <f t="shared" si="10"/>
        <v>OK</v>
      </c>
    </row>
    <row r="179" spans="1:9">
      <c r="A179" s="17">
        <v>40225</v>
      </c>
      <c r="B179" s="18">
        <v>-1344</v>
      </c>
      <c r="C179" s="19">
        <v>38.520000000000003</v>
      </c>
      <c r="D179" s="18">
        <f t="shared" si="11"/>
        <v>9571</v>
      </c>
      <c r="E179" s="20">
        <f t="shared" si="8"/>
        <v>2</v>
      </c>
      <c r="F179" s="20">
        <f t="shared" si="9"/>
        <v>2010</v>
      </c>
      <c r="H179" s="17">
        <v>40225</v>
      </c>
      <c r="I179" s="16" t="str">
        <f t="shared" si="10"/>
        <v>OK</v>
      </c>
    </row>
    <row r="180" spans="1:9">
      <c r="A180" s="17">
        <v>40232</v>
      </c>
      <c r="B180" s="18">
        <v>-3019</v>
      </c>
      <c r="C180" s="19">
        <v>39.29</v>
      </c>
      <c r="D180" s="18">
        <f t="shared" si="11"/>
        <v>-1675</v>
      </c>
      <c r="E180" s="20">
        <f t="shared" si="8"/>
        <v>2</v>
      </c>
      <c r="F180" s="20">
        <f t="shared" si="9"/>
        <v>2010</v>
      </c>
      <c r="H180" s="17">
        <v>40232</v>
      </c>
      <c r="I180" s="16" t="str">
        <f t="shared" si="10"/>
        <v>OK</v>
      </c>
    </row>
    <row r="181" spans="1:9">
      <c r="A181" s="17">
        <v>40239</v>
      </c>
      <c r="B181" s="18">
        <v>10428</v>
      </c>
      <c r="C181" s="19">
        <v>39.72</v>
      </c>
      <c r="D181" s="18">
        <f t="shared" si="11"/>
        <v>13447</v>
      </c>
      <c r="E181" s="20">
        <f t="shared" si="8"/>
        <v>3</v>
      </c>
      <c r="F181" s="20">
        <f t="shared" si="9"/>
        <v>2010</v>
      </c>
      <c r="H181" s="17">
        <v>40239</v>
      </c>
      <c r="I181" s="16" t="str">
        <f t="shared" si="10"/>
        <v>OK</v>
      </c>
    </row>
    <row r="182" spans="1:9">
      <c r="A182" s="17">
        <v>40246</v>
      </c>
      <c r="B182" s="18">
        <v>25481</v>
      </c>
      <c r="C182" s="19">
        <v>39.049999999999997</v>
      </c>
      <c r="D182" s="18">
        <f t="shared" si="11"/>
        <v>15053</v>
      </c>
      <c r="E182" s="20">
        <f t="shared" si="8"/>
        <v>3</v>
      </c>
      <c r="F182" s="20">
        <f t="shared" si="9"/>
        <v>2010</v>
      </c>
      <c r="H182" s="17">
        <v>40246</v>
      </c>
      <c r="I182" s="16" t="str">
        <f t="shared" si="10"/>
        <v>OK</v>
      </c>
    </row>
    <row r="183" spans="1:9">
      <c r="A183" s="17">
        <v>40253</v>
      </c>
      <c r="B183" s="18">
        <v>18324</v>
      </c>
      <c r="C183" s="19">
        <v>39.299999999999997</v>
      </c>
      <c r="D183" s="18">
        <f t="shared" si="11"/>
        <v>-7157</v>
      </c>
      <c r="E183" s="20">
        <f t="shared" si="8"/>
        <v>3</v>
      </c>
      <c r="F183" s="20">
        <f t="shared" si="9"/>
        <v>2010</v>
      </c>
      <c r="H183" s="17">
        <v>40253</v>
      </c>
      <c r="I183" s="16" t="str">
        <f t="shared" si="10"/>
        <v>OK</v>
      </c>
    </row>
    <row r="184" spans="1:9">
      <c r="A184" s="17">
        <v>40260</v>
      </c>
      <c r="B184" s="18">
        <v>5182</v>
      </c>
      <c r="C184" s="19">
        <v>38.950000000000003</v>
      </c>
      <c r="D184" s="18">
        <f t="shared" si="11"/>
        <v>-13142</v>
      </c>
      <c r="E184" s="20">
        <f t="shared" si="8"/>
        <v>3</v>
      </c>
      <c r="F184" s="20">
        <f t="shared" si="9"/>
        <v>2010</v>
      </c>
      <c r="H184" s="17">
        <v>40260</v>
      </c>
      <c r="I184" s="16" t="str">
        <f t="shared" si="10"/>
        <v>OK</v>
      </c>
    </row>
    <row r="185" spans="1:9">
      <c r="A185" s="17">
        <v>40267</v>
      </c>
      <c r="B185" s="18">
        <v>-16934</v>
      </c>
      <c r="C185" s="19">
        <v>38.979999999999997</v>
      </c>
      <c r="D185" s="18">
        <f t="shared" si="11"/>
        <v>-22116</v>
      </c>
      <c r="E185" s="20">
        <f t="shared" si="8"/>
        <v>3</v>
      </c>
      <c r="F185" s="20">
        <f t="shared" si="9"/>
        <v>2010</v>
      </c>
      <c r="H185" s="17">
        <v>40267</v>
      </c>
      <c r="I185" s="16" t="str">
        <f t="shared" si="10"/>
        <v>OK</v>
      </c>
    </row>
    <row r="186" spans="1:9">
      <c r="A186" s="17">
        <v>40274</v>
      </c>
      <c r="B186" s="18">
        <v>20</v>
      </c>
      <c r="C186" s="19">
        <v>40.04</v>
      </c>
      <c r="D186" s="18">
        <f t="shared" si="11"/>
        <v>16954</v>
      </c>
      <c r="E186" s="20">
        <f t="shared" si="8"/>
        <v>4</v>
      </c>
      <c r="F186" s="20">
        <f t="shared" si="9"/>
        <v>2010</v>
      </c>
      <c r="H186" s="17">
        <v>40274</v>
      </c>
      <c r="I186" s="16" t="str">
        <f t="shared" si="10"/>
        <v>OK</v>
      </c>
    </row>
    <row r="187" spans="1:9">
      <c r="A187" s="17">
        <v>40281</v>
      </c>
      <c r="B187" s="18">
        <v>11570</v>
      </c>
      <c r="C187" s="19">
        <v>39.799999999999997</v>
      </c>
      <c r="D187" s="18">
        <f t="shared" si="11"/>
        <v>11550</v>
      </c>
      <c r="E187" s="20">
        <f t="shared" si="8"/>
        <v>4</v>
      </c>
      <c r="F187" s="20">
        <f t="shared" si="9"/>
        <v>2010</v>
      </c>
      <c r="H187" s="17">
        <v>40281</v>
      </c>
      <c r="I187" s="16" t="str">
        <f t="shared" si="10"/>
        <v>OK</v>
      </c>
    </row>
    <row r="188" spans="1:9">
      <c r="A188" s="17">
        <v>40288</v>
      </c>
      <c r="B188" s="18">
        <v>-12596</v>
      </c>
      <c r="C188" s="19">
        <v>39.35</v>
      </c>
      <c r="D188" s="18">
        <f t="shared" si="11"/>
        <v>-24166</v>
      </c>
      <c r="E188" s="20">
        <f t="shared" si="8"/>
        <v>4</v>
      </c>
      <c r="F188" s="20">
        <f t="shared" si="9"/>
        <v>2010</v>
      </c>
      <c r="H188" s="17">
        <v>40288</v>
      </c>
      <c r="I188" s="16" t="str">
        <f t="shared" si="10"/>
        <v>OK</v>
      </c>
    </row>
    <row r="189" spans="1:9">
      <c r="A189" s="17">
        <v>40295</v>
      </c>
      <c r="B189" s="18">
        <v>-35361</v>
      </c>
      <c r="C189" s="19">
        <v>38.58</v>
      </c>
      <c r="D189" s="18">
        <f t="shared" si="11"/>
        <v>-22765</v>
      </c>
      <c r="E189" s="20">
        <f t="shared" si="8"/>
        <v>4</v>
      </c>
      <c r="F189" s="20">
        <f t="shared" si="9"/>
        <v>2010</v>
      </c>
      <c r="H189" s="17">
        <v>40295</v>
      </c>
      <c r="I189" s="16" t="str">
        <f t="shared" si="10"/>
        <v>OK</v>
      </c>
    </row>
    <row r="190" spans="1:9">
      <c r="A190" s="17">
        <v>40302</v>
      </c>
      <c r="B190" s="18">
        <v>-54146</v>
      </c>
      <c r="C190" s="19">
        <v>38.130000000000003</v>
      </c>
      <c r="D190" s="18">
        <f t="shared" si="11"/>
        <v>-18785</v>
      </c>
      <c r="E190" s="20">
        <f t="shared" si="8"/>
        <v>5</v>
      </c>
      <c r="F190" s="20">
        <f t="shared" si="9"/>
        <v>2010</v>
      </c>
      <c r="H190" s="17">
        <v>40302</v>
      </c>
      <c r="I190" s="16" t="str">
        <f t="shared" si="10"/>
        <v>OK</v>
      </c>
    </row>
    <row r="191" spans="1:9">
      <c r="A191" s="17">
        <v>40309</v>
      </c>
      <c r="B191" s="18">
        <v>-48545</v>
      </c>
      <c r="C191" s="19">
        <v>37.17</v>
      </c>
      <c r="D191" s="18">
        <f t="shared" si="11"/>
        <v>5601</v>
      </c>
      <c r="E191" s="20">
        <f t="shared" si="8"/>
        <v>5</v>
      </c>
      <c r="F191" s="20">
        <f t="shared" si="9"/>
        <v>2010</v>
      </c>
      <c r="H191" s="17">
        <v>40309</v>
      </c>
      <c r="I191" s="16" t="str">
        <f t="shared" si="10"/>
        <v>OK</v>
      </c>
    </row>
    <row r="192" spans="1:9">
      <c r="A192" s="17">
        <v>40316</v>
      </c>
      <c r="B192" s="18">
        <v>-57780</v>
      </c>
      <c r="C192" s="19">
        <v>36.96</v>
      </c>
      <c r="D192" s="18">
        <f t="shared" si="11"/>
        <v>-9235</v>
      </c>
      <c r="E192" s="20">
        <f t="shared" si="8"/>
        <v>5</v>
      </c>
      <c r="F192" s="20">
        <f t="shared" si="9"/>
        <v>2010</v>
      </c>
      <c r="H192" s="17">
        <v>40316</v>
      </c>
      <c r="I192" s="16" t="str">
        <f t="shared" si="10"/>
        <v>OK</v>
      </c>
    </row>
    <row r="193" spans="1:9">
      <c r="A193" s="17">
        <v>40323</v>
      </c>
      <c r="B193" s="18">
        <v>-64928</v>
      </c>
      <c r="C193" s="19">
        <v>37.61</v>
      </c>
      <c r="D193" s="18">
        <f t="shared" si="11"/>
        <v>-7148</v>
      </c>
      <c r="E193" s="20">
        <f t="shared" si="8"/>
        <v>5</v>
      </c>
      <c r="F193" s="20">
        <f t="shared" si="9"/>
        <v>2010</v>
      </c>
      <c r="H193" s="17">
        <v>40323</v>
      </c>
      <c r="I193" s="16" t="str">
        <f t="shared" si="10"/>
        <v>OK</v>
      </c>
    </row>
    <row r="194" spans="1:9">
      <c r="A194" s="17">
        <v>40330</v>
      </c>
      <c r="B194" s="18">
        <v>-50414</v>
      </c>
      <c r="C194" s="19">
        <v>36.78</v>
      </c>
      <c r="D194" s="18">
        <f t="shared" si="11"/>
        <v>14514</v>
      </c>
      <c r="E194" s="20">
        <f t="shared" ref="E194:E257" si="12">MONTH(A194)</f>
        <v>6</v>
      </c>
      <c r="F194" s="20">
        <f t="shared" ref="F194:F257" si="13">YEAR(A194)</f>
        <v>2010</v>
      </c>
      <c r="H194" s="17">
        <v>40330</v>
      </c>
      <c r="I194" s="16" t="str">
        <f t="shared" ref="I194:I257" si="14">IF(H194=A194,"OK","")</f>
        <v>OK</v>
      </c>
    </row>
    <row r="195" spans="1:9">
      <c r="A195" s="17">
        <v>40337</v>
      </c>
      <c r="B195" s="18">
        <v>-65312</v>
      </c>
      <c r="C195" s="19">
        <v>36.9</v>
      </c>
      <c r="D195" s="18">
        <f t="shared" ref="D195:D258" si="15">B195-B194</f>
        <v>-14898</v>
      </c>
      <c r="E195" s="20">
        <f t="shared" si="12"/>
        <v>6</v>
      </c>
      <c r="F195" s="20">
        <f t="shared" si="13"/>
        <v>2010</v>
      </c>
      <c r="H195" s="17">
        <v>40337</v>
      </c>
      <c r="I195" s="16" t="str">
        <f t="shared" si="14"/>
        <v>OK</v>
      </c>
    </row>
    <row r="196" spans="1:9">
      <c r="A196" s="17">
        <v>40344</v>
      </c>
      <c r="B196" s="18">
        <v>-67812</v>
      </c>
      <c r="C196" s="19">
        <v>37.92</v>
      </c>
      <c r="D196" s="18">
        <f t="shared" si="15"/>
        <v>-2500</v>
      </c>
      <c r="E196" s="20">
        <f t="shared" si="12"/>
        <v>6</v>
      </c>
      <c r="F196" s="20">
        <f t="shared" si="13"/>
        <v>2010</v>
      </c>
      <c r="H196" s="17">
        <v>40344</v>
      </c>
      <c r="I196" s="16" t="str">
        <f t="shared" si="14"/>
        <v>OK</v>
      </c>
    </row>
    <row r="197" spans="1:9">
      <c r="A197" s="17">
        <v>40351</v>
      </c>
      <c r="B197" s="18">
        <v>-60653</v>
      </c>
      <c r="C197" s="19">
        <v>37.159999999999997</v>
      </c>
      <c r="D197" s="18">
        <f t="shared" si="15"/>
        <v>7159</v>
      </c>
      <c r="E197" s="20">
        <f t="shared" si="12"/>
        <v>6</v>
      </c>
      <c r="F197" s="20">
        <f t="shared" si="13"/>
        <v>2010</v>
      </c>
      <c r="H197" s="17">
        <v>40351</v>
      </c>
      <c r="I197" s="16" t="str">
        <f t="shared" si="14"/>
        <v>OK</v>
      </c>
    </row>
    <row r="198" spans="1:9">
      <c r="A198" s="17">
        <v>40358</v>
      </c>
      <c r="B198" s="18">
        <v>-86409</v>
      </c>
      <c r="C198" s="19">
        <v>36.01</v>
      </c>
      <c r="D198" s="18">
        <f t="shared" si="15"/>
        <v>-25756</v>
      </c>
      <c r="E198" s="20">
        <f t="shared" si="12"/>
        <v>6</v>
      </c>
      <c r="F198" s="20">
        <f t="shared" si="13"/>
        <v>2010</v>
      </c>
      <c r="H198" s="17">
        <v>40358</v>
      </c>
      <c r="I198" s="16" t="str">
        <f t="shared" si="14"/>
        <v>OK</v>
      </c>
    </row>
    <row r="199" spans="1:9">
      <c r="A199" s="17">
        <v>40365</v>
      </c>
      <c r="B199" s="18">
        <v>-89162</v>
      </c>
      <c r="C199" s="19">
        <v>37.380000000000003</v>
      </c>
      <c r="D199" s="18">
        <f t="shared" si="15"/>
        <v>-2753</v>
      </c>
      <c r="E199" s="20">
        <f t="shared" si="12"/>
        <v>7</v>
      </c>
      <c r="F199" s="20">
        <f t="shared" si="13"/>
        <v>2010</v>
      </c>
      <c r="H199" s="17">
        <v>40365</v>
      </c>
      <c r="I199" s="16" t="str">
        <f t="shared" si="14"/>
        <v>OK</v>
      </c>
    </row>
    <row r="200" spans="1:9">
      <c r="A200" s="17">
        <v>40372</v>
      </c>
      <c r="B200" s="18">
        <v>-80380</v>
      </c>
      <c r="C200" s="19">
        <v>38.31</v>
      </c>
      <c r="D200" s="18">
        <f t="shared" si="15"/>
        <v>8782</v>
      </c>
      <c r="E200" s="20">
        <f t="shared" si="12"/>
        <v>7</v>
      </c>
      <c r="F200" s="20">
        <f t="shared" si="13"/>
        <v>2010</v>
      </c>
      <c r="H200" s="17">
        <v>40372</v>
      </c>
      <c r="I200" s="16" t="str">
        <f t="shared" si="14"/>
        <v>OK</v>
      </c>
    </row>
    <row r="201" spans="1:9">
      <c r="A201" s="17">
        <v>40379</v>
      </c>
      <c r="B201" s="18">
        <v>-66226</v>
      </c>
      <c r="C201" s="19">
        <v>39.07</v>
      </c>
      <c r="D201" s="18">
        <f t="shared" si="15"/>
        <v>14154</v>
      </c>
      <c r="E201" s="20">
        <f t="shared" si="12"/>
        <v>7</v>
      </c>
      <c r="F201" s="20">
        <f t="shared" si="13"/>
        <v>2010</v>
      </c>
      <c r="H201" s="17">
        <v>40379</v>
      </c>
      <c r="I201" s="16" t="str">
        <f t="shared" si="14"/>
        <v>OK</v>
      </c>
    </row>
    <row r="202" spans="1:9">
      <c r="A202" s="17">
        <v>40386</v>
      </c>
      <c r="B202" s="18">
        <v>-52762</v>
      </c>
      <c r="C202" s="19">
        <v>39.83</v>
      </c>
      <c r="D202" s="18">
        <f t="shared" si="15"/>
        <v>13464</v>
      </c>
      <c r="E202" s="20">
        <f t="shared" si="12"/>
        <v>7</v>
      </c>
      <c r="F202" s="20">
        <f t="shared" si="13"/>
        <v>2010</v>
      </c>
      <c r="H202" s="17">
        <v>40386</v>
      </c>
      <c r="I202" s="16" t="str">
        <f t="shared" si="14"/>
        <v>OK</v>
      </c>
    </row>
    <row r="203" spans="1:9">
      <c r="A203" s="17">
        <v>40393</v>
      </c>
      <c r="B203" s="18">
        <v>-30058</v>
      </c>
      <c r="C203" s="19">
        <v>41.39</v>
      </c>
      <c r="D203" s="18">
        <f t="shared" si="15"/>
        <v>22704</v>
      </c>
      <c r="E203" s="20">
        <f t="shared" si="12"/>
        <v>8</v>
      </c>
      <c r="F203" s="20">
        <f t="shared" si="13"/>
        <v>2010</v>
      </c>
      <c r="H203" s="17">
        <v>40393</v>
      </c>
      <c r="I203" s="16" t="str">
        <f t="shared" si="14"/>
        <v>OK</v>
      </c>
    </row>
    <row r="204" spans="1:9">
      <c r="A204" s="17">
        <v>40400</v>
      </c>
      <c r="B204" s="18">
        <v>-22881</v>
      </c>
      <c r="C204" s="19">
        <v>41.8</v>
      </c>
      <c r="D204" s="18">
        <f t="shared" si="15"/>
        <v>7177</v>
      </c>
      <c r="E204" s="20">
        <f t="shared" si="12"/>
        <v>8</v>
      </c>
      <c r="F204" s="20">
        <f t="shared" si="13"/>
        <v>2010</v>
      </c>
      <c r="H204" s="17">
        <v>40400</v>
      </c>
      <c r="I204" s="16" t="str">
        <f t="shared" si="14"/>
        <v>OK</v>
      </c>
    </row>
    <row r="205" spans="1:9">
      <c r="A205" s="17">
        <v>40407</v>
      </c>
      <c r="B205" s="18">
        <v>-16243</v>
      </c>
      <c r="C205" s="19">
        <v>39.520000000000003</v>
      </c>
      <c r="D205" s="18">
        <f t="shared" si="15"/>
        <v>6638</v>
      </c>
      <c r="E205" s="20">
        <f t="shared" si="12"/>
        <v>8</v>
      </c>
      <c r="F205" s="20">
        <f t="shared" si="13"/>
        <v>2010</v>
      </c>
      <c r="H205" s="17">
        <v>40407</v>
      </c>
      <c r="I205" s="16" t="str">
        <f t="shared" si="14"/>
        <v>OK</v>
      </c>
    </row>
    <row r="206" spans="1:9">
      <c r="A206" s="17">
        <v>40414</v>
      </c>
      <c r="B206" s="18">
        <v>-31068</v>
      </c>
      <c r="C206" s="19">
        <v>40.200000000000003</v>
      </c>
      <c r="D206" s="18">
        <f t="shared" si="15"/>
        <v>-14825</v>
      </c>
      <c r="E206" s="20">
        <f t="shared" si="12"/>
        <v>8</v>
      </c>
      <c r="F206" s="20">
        <f t="shared" si="13"/>
        <v>2010</v>
      </c>
      <c r="H206" s="17">
        <v>40414</v>
      </c>
      <c r="I206" s="16" t="str">
        <f t="shared" si="14"/>
        <v>OK</v>
      </c>
    </row>
    <row r="207" spans="1:9">
      <c r="A207" s="17">
        <v>40421</v>
      </c>
      <c r="B207" s="18">
        <v>-49117</v>
      </c>
      <c r="C207" s="19">
        <v>40.32</v>
      </c>
      <c r="D207" s="18">
        <f t="shared" si="15"/>
        <v>-18049</v>
      </c>
      <c r="E207" s="20">
        <f t="shared" si="12"/>
        <v>8</v>
      </c>
      <c r="F207" s="20">
        <f t="shared" si="13"/>
        <v>2010</v>
      </c>
      <c r="H207" s="17">
        <v>40421</v>
      </c>
      <c r="I207" s="16" t="str">
        <f t="shared" si="14"/>
        <v>OK</v>
      </c>
    </row>
    <row r="208" spans="1:9">
      <c r="A208" s="17">
        <v>40428</v>
      </c>
      <c r="B208" s="18">
        <v>-46080</v>
      </c>
      <c r="C208" s="19">
        <v>41.25</v>
      </c>
      <c r="D208" s="18">
        <f t="shared" si="15"/>
        <v>3037</v>
      </c>
      <c r="E208" s="20">
        <f t="shared" si="12"/>
        <v>9</v>
      </c>
      <c r="F208" s="20">
        <f t="shared" si="13"/>
        <v>2010</v>
      </c>
      <c r="H208" s="17">
        <v>40428</v>
      </c>
      <c r="I208" s="16" t="str">
        <f t="shared" si="14"/>
        <v>OK</v>
      </c>
    </row>
    <row r="209" spans="1:9">
      <c r="A209" s="17">
        <v>40435</v>
      </c>
      <c r="B209" s="18">
        <v>-25075</v>
      </c>
      <c r="C209" s="19">
        <v>41.91</v>
      </c>
      <c r="D209" s="18">
        <f t="shared" si="15"/>
        <v>21005</v>
      </c>
      <c r="E209" s="20">
        <f t="shared" si="12"/>
        <v>9</v>
      </c>
      <c r="F209" s="20">
        <f t="shared" si="13"/>
        <v>2010</v>
      </c>
      <c r="H209" s="17">
        <v>40435</v>
      </c>
      <c r="I209" s="16" t="str">
        <f t="shared" si="14"/>
        <v>OK</v>
      </c>
    </row>
    <row r="210" spans="1:9">
      <c r="A210" s="17">
        <v>40442</v>
      </c>
      <c r="B210" s="18">
        <v>-30226</v>
      </c>
      <c r="C210" s="19">
        <v>44.48</v>
      </c>
      <c r="D210" s="18">
        <f t="shared" si="15"/>
        <v>-5151</v>
      </c>
      <c r="E210" s="20">
        <f t="shared" si="12"/>
        <v>9</v>
      </c>
      <c r="F210" s="20">
        <f t="shared" si="13"/>
        <v>2010</v>
      </c>
      <c r="H210" s="17">
        <v>40442</v>
      </c>
      <c r="I210" s="16" t="str">
        <f t="shared" si="14"/>
        <v>OK</v>
      </c>
    </row>
    <row r="211" spans="1:9">
      <c r="A211" s="17">
        <v>40449</v>
      </c>
      <c r="B211" s="18">
        <v>3063</v>
      </c>
      <c r="C211" s="19">
        <v>43.49</v>
      </c>
      <c r="D211" s="18">
        <f t="shared" si="15"/>
        <v>33289</v>
      </c>
      <c r="E211" s="20">
        <f t="shared" si="12"/>
        <v>9</v>
      </c>
      <c r="F211" s="20">
        <f t="shared" si="13"/>
        <v>2010</v>
      </c>
      <c r="H211" s="17">
        <v>40449</v>
      </c>
      <c r="I211" s="16" t="str">
        <f t="shared" si="14"/>
        <v>OK</v>
      </c>
    </row>
    <row r="212" spans="1:9">
      <c r="A212" s="17">
        <v>40456</v>
      </c>
      <c r="B212" s="18">
        <v>33650</v>
      </c>
      <c r="C212" s="19">
        <v>46.22</v>
      </c>
      <c r="D212" s="18">
        <f t="shared" si="15"/>
        <v>30587</v>
      </c>
      <c r="E212" s="20">
        <f t="shared" si="12"/>
        <v>10</v>
      </c>
      <c r="F212" s="20">
        <f t="shared" si="13"/>
        <v>2010</v>
      </c>
      <c r="H212" s="17">
        <v>40456</v>
      </c>
      <c r="I212" s="16" t="str">
        <f t="shared" si="14"/>
        <v>OK</v>
      </c>
    </row>
    <row r="213" spans="1:9">
      <c r="A213" s="17">
        <v>40463</v>
      </c>
      <c r="B213" s="18">
        <v>27661</v>
      </c>
      <c r="C213" s="19">
        <v>47.77</v>
      </c>
      <c r="D213" s="18">
        <f t="shared" si="15"/>
        <v>-5989</v>
      </c>
      <c r="E213" s="20">
        <f t="shared" si="12"/>
        <v>10</v>
      </c>
      <c r="F213" s="20">
        <f t="shared" si="13"/>
        <v>2010</v>
      </c>
      <c r="H213" s="17">
        <v>40463</v>
      </c>
      <c r="I213" s="16" t="str">
        <f t="shared" si="14"/>
        <v>OK</v>
      </c>
    </row>
    <row r="214" spans="1:9">
      <c r="A214" s="17">
        <v>40470</v>
      </c>
      <c r="B214" s="18">
        <v>27833</v>
      </c>
      <c r="C214" s="19">
        <v>48.3</v>
      </c>
      <c r="D214" s="18">
        <f t="shared" si="15"/>
        <v>172</v>
      </c>
      <c r="E214" s="20">
        <f t="shared" si="12"/>
        <v>10</v>
      </c>
      <c r="F214" s="20">
        <f t="shared" si="13"/>
        <v>2010</v>
      </c>
      <c r="H214" s="17">
        <v>40470</v>
      </c>
      <c r="I214" s="16" t="str">
        <f t="shared" si="14"/>
        <v>OK</v>
      </c>
    </row>
    <row r="215" spans="1:9">
      <c r="A215" s="17">
        <v>40477</v>
      </c>
      <c r="B215" s="18">
        <v>26336</v>
      </c>
      <c r="C215" s="19">
        <v>49.3</v>
      </c>
      <c r="D215" s="18">
        <f t="shared" si="15"/>
        <v>-1497</v>
      </c>
      <c r="E215" s="20">
        <f t="shared" si="12"/>
        <v>10</v>
      </c>
      <c r="F215" s="20">
        <f t="shared" si="13"/>
        <v>2010</v>
      </c>
      <c r="H215" s="17">
        <v>40477</v>
      </c>
      <c r="I215" s="16" t="str">
        <f t="shared" si="14"/>
        <v>OK</v>
      </c>
    </row>
    <row r="216" spans="1:9">
      <c r="A216" s="17">
        <v>40484</v>
      </c>
      <c r="B216" s="18">
        <v>29155</v>
      </c>
      <c r="C216" s="19">
        <v>52.22</v>
      </c>
      <c r="D216" s="18">
        <f t="shared" si="15"/>
        <v>2819</v>
      </c>
      <c r="E216" s="20">
        <f t="shared" si="12"/>
        <v>11</v>
      </c>
      <c r="F216" s="20">
        <f t="shared" si="13"/>
        <v>2010</v>
      </c>
      <c r="H216" s="17">
        <v>40484</v>
      </c>
      <c r="I216" s="16" t="str">
        <f t="shared" si="14"/>
        <v>OK</v>
      </c>
    </row>
    <row r="217" spans="1:9">
      <c r="A217" s="17">
        <v>40491</v>
      </c>
      <c r="B217" s="18">
        <v>13597</v>
      </c>
      <c r="C217" s="19">
        <v>52.53</v>
      </c>
      <c r="D217" s="18">
        <f t="shared" si="15"/>
        <v>-15558</v>
      </c>
      <c r="E217" s="20">
        <f t="shared" si="12"/>
        <v>11</v>
      </c>
      <c r="F217" s="20">
        <f t="shared" si="13"/>
        <v>2010</v>
      </c>
      <c r="H217" s="17">
        <v>40491</v>
      </c>
      <c r="I217" s="16" t="str">
        <f t="shared" si="14"/>
        <v>OK</v>
      </c>
    </row>
    <row r="218" spans="1:9">
      <c r="A218" s="17">
        <v>40498</v>
      </c>
      <c r="B218" s="18">
        <v>17233</v>
      </c>
      <c r="C218" s="19">
        <v>48.96</v>
      </c>
      <c r="D218" s="18">
        <f t="shared" si="15"/>
        <v>3636</v>
      </c>
      <c r="E218" s="20">
        <f t="shared" si="12"/>
        <v>11</v>
      </c>
      <c r="F218" s="20">
        <f t="shared" si="13"/>
        <v>2010</v>
      </c>
      <c r="H218" s="17">
        <v>40498</v>
      </c>
      <c r="I218" s="16" t="str">
        <f t="shared" si="14"/>
        <v>OK</v>
      </c>
    </row>
    <row r="219" spans="1:9">
      <c r="A219" s="17">
        <v>40505</v>
      </c>
      <c r="B219" s="18">
        <v>10088</v>
      </c>
      <c r="C219" s="19">
        <v>49.9</v>
      </c>
      <c r="D219" s="18">
        <f t="shared" si="15"/>
        <v>-7145</v>
      </c>
      <c r="E219" s="20">
        <f t="shared" si="12"/>
        <v>11</v>
      </c>
      <c r="F219" s="20">
        <f t="shared" si="13"/>
        <v>2010</v>
      </c>
      <c r="H219" s="17">
        <v>40505</v>
      </c>
      <c r="I219" s="16" t="str">
        <f t="shared" si="14"/>
        <v>OK</v>
      </c>
    </row>
    <row r="220" spans="1:9">
      <c r="A220" s="17">
        <v>40512</v>
      </c>
      <c r="B220" s="18">
        <v>10310</v>
      </c>
      <c r="C220" s="19">
        <v>53.08</v>
      </c>
      <c r="D220" s="18">
        <f t="shared" si="15"/>
        <v>222</v>
      </c>
      <c r="E220" s="20">
        <f t="shared" si="12"/>
        <v>11</v>
      </c>
      <c r="F220" s="20">
        <f t="shared" si="13"/>
        <v>2010</v>
      </c>
      <c r="H220" s="17">
        <v>40512</v>
      </c>
      <c r="I220" s="16" t="str">
        <f t="shared" si="14"/>
        <v>OK</v>
      </c>
    </row>
    <row r="221" spans="1:9">
      <c r="A221" s="17">
        <v>40519</v>
      </c>
      <c r="B221" s="18">
        <v>15823</v>
      </c>
      <c r="C221" s="19">
        <v>53.79</v>
      </c>
      <c r="D221" s="18">
        <f t="shared" si="15"/>
        <v>5513</v>
      </c>
      <c r="E221" s="20">
        <f t="shared" si="12"/>
        <v>12</v>
      </c>
      <c r="F221" s="20">
        <f t="shared" si="13"/>
        <v>2010</v>
      </c>
      <c r="H221" s="17">
        <v>40519</v>
      </c>
      <c r="I221" s="16" t="str">
        <f t="shared" si="14"/>
        <v>OK</v>
      </c>
    </row>
    <row r="222" spans="1:9">
      <c r="A222" s="17">
        <v>40526</v>
      </c>
      <c r="B222" s="18">
        <v>22489</v>
      </c>
      <c r="C222" s="19">
        <v>54.13</v>
      </c>
      <c r="D222" s="18">
        <f t="shared" si="15"/>
        <v>6666</v>
      </c>
      <c r="E222" s="20">
        <f t="shared" si="12"/>
        <v>12</v>
      </c>
      <c r="F222" s="20">
        <f t="shared" si="13"/>
        <v>2010</v>
      </c>
      <c r="H222" s="17">
        <v>40526</v>
      </c>
      <c r="I222" s="16" t="str">
        <f t="shared" si="14"/>
        <v>OK</v>
      </c>
    </row>
    <row r="223" spans="1:9">
      <c r="A223" s="17">
        <v>40533</v>
      </c>
      <c r="B223" s="18">
        <v>18387</v>
      </c>
      <c r="C223" s="19">
        <v>56.59</v>
      </c>
      <c r="D223" s="18">
        <f t="shared" si="15"/>
        <v>-4102</v>
      </c>
      <c r="E223" s="20">
        <f t="shared" si="12"/>
        <v>12</v>
      </c>
      <c r="F223" s="20">
        <f t="shared" si="13"/>
        <v>2010</v>
      </c>
      <c r="H223" s="17">
        <v>40533</v>
      </c>
      <c r="I223" s="16" t="str">
        <f t="shared" si="14"/>
        <v>OK</v>
      </c>
    </row>
    <row r="224" spans="1:9">
      <c r="A224" s="17">
        <v>40540</v>
      </c>
      <c r="B224" s="18">
        <v>16832</v>
      </c>
      <c r="C224" s="19">
        <v>57.74</v>
      </c>
      <c r="D224" s="18">
        <f t="shared" si="15"/>
        <v>-1555</v>
      </c>
      <c r="E224" s="20">
        <f t="shared" si="12"/>
        <v>12</v>
      </c>
      <c r="F224" s="20">
        <f t="shared" si="13"/>
        <v>2010</v>
      </c>
      <c r="H224" s="17">
        <v>40540</v>
      </c>
      <c r="I224" s="16" t="str">
        <f t="shared" si="14"/>
        <v>OK</v>
      </c>
    </row>
    <row r="225" spans="1:9">
      <c r="A225" s="17">
        <v>40547</v>
      </c>
      <c r="B225" s="18">
        <v>15154</v>
      </c>
      <c r="C225" s="19">
        <v>56.35</v>
      </c>
      <c r="D225" s="18">
        <f t="shared" si="15"/>
        <v>-1678</v>
      </c>
      <c r="E225" s="20">
        <f t="shared" si="12"/>
        <v>1</v>
      </c>
      <c r="F225" s="20">
        <f t="shared" si="13"/>
        <v>2011</v>
      </c>
      <c r="H225" s="17">
        <v>40547</v>
      </c>
      <c r="I225" s="16" t="str">
        <f t="shared" si="14"/>
        <v>OK</v>
      </c>
    </row>
    <row r="226" spans="1:9">
      <c r="A226" s="17">
        <v>40554</v>
      </c>
      <c r="B226" s="18">
        <v>16150</v>
      </c>
      <c r="C226" s="19">
        <v>56.7</v>
      </c>
      <c r="D226" s="18">
        <f t="shared" si="15"/>
        <v>996</v>
      </c>
      <c r="E226" s="20">
        <f t="shared" si="12"/>
        <v>1</v>
      </c>
      <c r="F226" s="20">
        <f t="shared" si="13"/>
        <v>2011</v>
      </c>
      <c r="H226" s="17">
        <v>40554</v>
      </c>
      <c r="I226" s="16" t="str">
        <f t="shared" si="14"/>
        <v>OK</v>
      </c>
    </row>
    <row r="227" spans="1:9">
      <c r="A227" s="17">
        <v>40561</v>
      </c>
      <c r="B227" s="18">
        <v>17908</v>
      </c>
      <c r="C227" s="19">
        <v>57.56</v>
      </c>
      <c r="D227" s="18">
        <f t="shared" si="15"/>
        <v>1758</v>
      </c>
      <c r="E227" s="20">
        <f t="shared" si="12"/>
        <v>1</v>
      </c>
      <c r="F227" s="20">
        <f t="shared" si="13"/>
        <v>2011</v>
      </c>
      <c r="H227" s="17">
        <v>40561</v>
      </c>
      <c r="I227" s="16" t="str">
        <f t="shared" si="14"/>
        <v>OK</v>
      </c>
    </row>
    <row r="228" spans="1:9">
      <c r="A228" s="17">
        <v>40568</v>
      </c>
      <c r="B228" s="18">
        <v>9237</v>
      </c>
      <c r="C228" s="19">
        <v>57.27</v>
      </c>
      <c r="D228" s="18">
        <f t="shared" si="15"/>
        <v>-8671</v>
      </c>
      <c r="E228" s="20">
        <f t="shared" si="12"/>
        <v>1</v>
      </c>
      <c r="F228" s="20">
        <f t="shared" si="13"/>
        <v>2011</v>
      </c>
      <c r="H228" s="17">
        <v>40568</v>
      </c>
      <c r="I228" s="16" t="str">
        <f t="shared" si="14"/>
        <v>OK</v>
      </c>
    </row>
    <row r="229" spans="1:9">
      <c r="A229" s="17">
        <v>40575</v>
      </c>
      <c r="B229" s="18">
        <v>25457</v>
      </c>
      <c r="C229" s="19">
        <v>58.98</v>
      </c>
      <c r="D229" s="18">
        <f t="shared" si="15"/>
        <v>16220</v>
      </c>
      <c r="E229" s="20">
        <f t="shared" si="12"/>
        <v>2</v>
      </c>
      <c r="F229" s="20">
        <f t="shared" si="13"/>
        <v>2011</v>
      </c>
      <c r="H229" s="17">
        <v>40575</v>
      </c>
      <c r="I229" s="16" t="str">
        <f t="shared" si="14"/>
        <v>OK</v>
      </c>
    </row>
    <row r="230" spans="1:9">
      <c r="A230" s="17">
        <v>40582</v>
      </c>
      <c r="B230" s="18">
        <v>33816</v>
      </c>
      <c r="C230" s="19">
        <v>58.49</v>
      </c>
      <c r="D230" s="18">
        <f t="shared" si="15"/>
        <v>8359</v>
      </c>
      <c r="E230" s="20">
        <f t="shared" si="12"/>
        <v>2</v>
      </c>
      <c r="F230" s="20">
        <f t="shared" si="13"/>
        <v>2011</v>
      </c>
      <c r="H230" s="17">
        <v>40582</v>
      </c>
      <c r="I230" s="16" t="str">
        <f t="shared" si="14"/>
        <v>OK</v>
      </c>
    </row>
    <row r="231" spans="1:9">
      <c r="A231" s="17">
        <v>40589</v>
      </c>
      <c r="B231" s="18">
        <v>27815</v>
      </c>
      <c r="C231" s="19">
        <v>56.49</v>
      </c>
      <c r="D231" s="18">
        <f t="shared" si="15"/>
        <v>-6001</v>
      </c>
      <c r="E231" s="20">
        <f t="shared" si="12"/>
        <v>2</v>
      </c>
      <c r="F231" s="20">
        <f t="shared" si="13"/>
        <v>2011</v>
      </c>
      <c r="H231" s="17">
        <v>40589</v>
      </c>
      <c r="I231" s="16" t="str">
        <f t="shared" si="14"/>
        <v>OK</v>
      </c>
    </row>
    <row r="232" spans="1:9">
      <c r="A232" s="17">
        <v>40596</v>
      </c>
      <c r="B232" s="18">
        <v>23500</v>
      </c>
      <c r="C232" s="19">
        <v>56.95</v>
      </c>
      <c r="D232" s="18">
        <f t="shared" si="15"/>
        <v>-4315</v>
      </c>
      <c r="E232" s="20">
        <f t="shared" si="12"/>
        <v>2</v>
      </c>
      <c r="F232" s="20">
        <f t="shared" si="13"/>
        <v>2011</v>
      </c>
      <c r="H232" s="17">
        <v>40596</v>
      </c>
      <c r="I232" s="16" t="str">
        <f t="shared" si="14"/>
        <v>OK</v>
      </c>
    </row>
    <row r="233" spans="1:9">
      <c r="A233" s="17">
        <v>40603</v>
      </c>
      <c r="B233" s="18">
        <v>37701</v>
      </c>
      <c r="C233" s="19">
        <v>58.96</v>
      </c>
      <c r="D233" s="18">
        <f t="shared" si="15"/>
        <v>14201</v>
      </c>
      <c r="E233" s="20">
        <f t="shared" si="12"/>
        <v>3</v>
      </c>
      <c r="F233" s="20">
        <f t="shared" si="13"/>
        <v>2011</v>
      </c>
      <c r="H233" s="17">
        <v>40603</v>
      </c>
      <c r="I233" s="16" t="str">
        <f t="shared" si="14"/>
        <v>OK</v>
      </c>
    </row>
    <row r="234" spans="1:9">
      <c r="A234" s="17">
        <v>40610</v>
      </c>
      <c r="B234" s="18">
        <v>45727</v>
      </c>
      <c r="C234" s="19">
        <v>55.49</v>
      </c>
      <c r="D234" s="18">
        <f t="shared" si="15"/>
        <v>8026</v>
      </c>
      <c r="E234" s="20">
        <f t="shared" si="12"/>
        <v>3</v>
      </c>
      <c r="F234" s="20">
        <f t="shared" si="13"/>
        <v>2011</v>
      </c>
      <c r="H234" s="17">
        <v>40610</v>
      </c>
      <c r="I234" s="16" t="str">
        <f t="shared" si="14"/>
        <v>OK</v>
      </c>
    </row>
    <row r="235" spans="1:9">
      <c r="A235" s="17">
        <v>40617</v>
      </c>
      <c r="B235" s="18">
        <v>26802</v>
      </c>
      <c r="C235" s="19">
        <v>55.77</v>
      </c>
      <c r="D235" s="18">
        <f t="shared" si="15"/>
        <v>-18925</v>
      </c>
      <c r="E235" s="20">
        <f t="shared" si="12"/>
        <v>3</v>
      </c>
      <c r="F235" s="20">
        <f t="shared" si="13"/>
        <v>2011</v>
      </c>
      <c r="H235" s="17">
        <v>40617</v>
      </c>
      <c r="I235" s="16" t="str">
        <f t="shared" si="14"/>
        <v>OK</v>
      </c>
    </row>
    <row r="236" spans="1:9">
      <c r="A236" s="17">
        <v>40624</v>
      </c>
      <c r="B236" s="18">
        <v>16550</v>
      </c>
      <c r="C236" s="19">
        <v>56.84</v>
      </c>
      <c r="D236" s="18">
        <f t="shared" si="15"/>
        <v>-10252</v>
      </c>
      <c r="E236" s="20">
        <f t="shared" si="12"/>
        <v>3</v>
      </c>
      <c r="F236" s="20">
        <f t="shared" si="13"/>
        <v>2011</v>
      </c>
      <c r="H236" s="17">
        <v>40624</v>
      </c>
      <c r="I236" s="16" t="str">
        <f t="shared" si="14"/>
        <v>OK</v>
      </c>
    </row>
    <row r="237" spans="1:9">
      <c r="A237" s="17">
        <v>40631</v>
      </c>
      <c r="B237" s="18">
        <v>25193</v>
      </c>
      <c r="C237" s="19">
        <v>58.68</v>
      </c>
      <c r="D237" s="18">
        <f t="shared" si="15"/>
        <v>8643</v>
      </c>
      <c r="E237" s="20">
        <f t="shared" si="12"/>
        <v>3</v>
      </c>
      <c r="F237" s="20">
        <f t="shared" si="13"/>
        <v>2011</v>
      </c>
      <c r="H237" s="17">
        <v>40631</v>
      </c>
      <c r="I237" s="16" t="str">
        <f t="shared" si="14"/>
        <v>OK</v>
      </c>
    </row>
    <row r="238" spans="1:9">
      <c r="A238" s="17">
        <v>40638</v>
      </c>
      <c r="B238" s="18">
        <v>40778</v>
      </c>
      <c r="C238" s="19">
        <v>59.77</v>
      </c>
      <c r="D238" s="18">
        <f t="shared" si="15"/>
        <v>15585</v>
      </c>
      <c r="E238" s="20">
        <f t="shared" si="12"/>
        <v>4</v>
      </c>
      <c r="F238" s="20">
        <f t="shared" si="13"/>
        <v>2011</v>
      </c>
      <c r="H238" s="17">
        <v>40638</v>
      </c>
      <c r="I238" s="16" t="str">
        <f t="shared" si="14"/>
        <v>OK</v>
      </c>
    </row>
    <row r="239" spans="1:9">
      <c r="A239" s="17">
        <v>40645</v>
      </c>
      <c r="B239" s="18">
        <v>45117</v>
      </c>
      <c r="C239" s="19">
        <v>56.84</v>
      </c>
      <c r="D239" s="18">
        <f t="shared" si="15"/>
        <v>4339</v>
      </c>
      <c r="E239" s="20">
        <f t="shared" si="12"/>
        <v>4</v>
      </c>
      <c r="F239" s="20">
        <f t="shared" si="13"/>
        <v>2011</v>
      </c>
      <c r="H239" s="17">
        <v>40645</v>
      </c>
      <c r="I239" s="16" t="str">
        <f t="shared" si="14"/>
        <v>OK</v>
      </c>
    </row>
    <row r="240" spans="1:9">
      <c r="A240" s="17">
        <v>40652</v>
      </c>
      <c r="B240" s="18">
        <v>47913</v>
      </c>
      <c r="C240" s="19">
        <v>58.27</v>
      </c>
      <c r="D240" s="18">
        <f t="shared" si="15"/>
        <v>2796</v>
      </c>
      <c r="E240" s="20">
        <f t="shared" si="12"/>
        <v>4</v>
      </c>
      <c r="F240" s="20">
        <f t="shared" si="13"/>
        <v>2011</v>
      </c>
      <c r="H240" s="17">
        <v>40652</v>
      </c>
      <c r="I240" s="16" t="str">
        <f t="shared" si="14"/>
        <v>OK</v>
      </c>
    </row>
    <row r="241" spans="1:9">
      <c r="A241" s="17">
        <v>40659</v>
      </c>
      <c r="B241" s="18">
        <v>37365</v>
      </c>
      <c r="C241" s="19">
        <v>58.13</v>
      </c>
      <c r="D241" s="18">
        <f t="shared" si="15"/>
        <v>-10548</v>
      </c>
      <c r="E241" s="20">
        <f t="shared" si="12"/>
        <v>4</v>
      </c>
      <c r="F241" s="20">
        <f t="shared" si="13"/>
        <v>2011</v>
      </c>
      <c r="H241" s="17">
        <v>40659</v>
      </c>
      <c r="I241" s="16" t="str">
        <f t="shared" si="14"/>
        <v>OK</v>
      </c>
    </row>
    <row r="242" spans="1:9">
      <c r="A242" s="17">
        <v>40666</v>
      </c>
      <c r="B242" s="18">
        <v>30748</v>
      </c>
      <c r="C242" s="19">
        <v>55.37</v>
      </c>
      <c r="D242" s="18">
        <f t="shared" si="15"/>
        <v>-6617</v>
      </c>
      <c r="E242" s="20">
        <f t="shared" si="12"/>
        <v>5</v>
      </c>
      <c r="F242" s="20">
        <f t="shared" si="13"/>
        <v>2011</v>
      </c>
      <c r="H242" s="17">
        <v>40666</v>
      </c>
      <c r="I242" s="16" t="str">
        <f t="shared" si="14"/>
        <v>OK</v>
      </c>
    </row>
    <row r="243" spans="1:9">
      <c r="A243" s="17">
        <v>40673</v>
      </c>
      <c r="B243" s="18">
        <v>13309</v>
      </c>
      <c r="C243" s="19">
        <v>55.75</v>
      </c>
      <c r="D243" s="18">
        <f t="shared" si="15"/>
        <v>-17439</v>
      </c>
      <c r="E243" s="20">
        <f t="shared" si="12"/>
        <v>5</v>
      </c>
      <c r="F243" s="20">
        <f t="shared" si="13"/>
        <v>2011</v>
      </c>
      <c r="H243" s="17">
        <v>40673</v>
      </c>
      <c r="I243" s="16" t="str">
        <f t="shared" si="14"/>
        <v>OK</v>
      </c>
    </row>
    <row r="244" spans="1:9">
      <c r="A244" s="17">
        <v>40680</v>
      </c>
      <c r="B244" s="18">
        <v>10190</v>
      </c>
      <c r="C244" s="19">
        <v>57.46</v>
      </c>
      <c r="D244" s="18">
        <f t="shared" si="15"/>
        <v>-3119</v>
      </c>
      <c r="E244" s="20">
        <f t="shared" si="12"/>
        <v>5</v>
      </c>
      <c r="F244" s="20">
        <f t="shared" si="13"/>
        <v>2011</v>
      </c>
      <c r="H244" s="17">
        <v>40680</v>
      </c>
      <c r="I244" s="16" t="str">
        <f t="shared" si="14"/>
        <v>OK</v>
      </c>
    </row>
    <row r="245" spans="1:9">
      <c r="A245" s="17">
        <v>40687</v>
      </c>
      <c r="B245" s="18">
        <v>14755</v>
      </c>
      <c r="C245" s="19">
        <v>58.61</v>
      </c>
      <c r="D245" s="18">
        <f t="shared" si="15"/>
        <v>4565</v>
      </c>
      <c r="E245" s="20">
        <f t="shared" si="12"/>
        <v>5</v>
      </c>
      <c r="F245" s="20">
        <f t="shared" si="13"/>
        <v>2011</v>
      </c>
      <c r="H245" s="17">
        <v>40687</v>
      </c>
      <c r="I245" s="16" t="str">
        <f t="shared" si="14"/>
        <v>OK</v>
      </c>
    </row>
    <row r="246" spans="1:9">
      <c r="A246" s="17">
        <v>40694</v>
      </c>
      <c r="B246" s="18">
        <v>30881</v>
      </c>
      <c r="C246" s="19">
        <v>58.73</v>
      </c>
      <c r="D246" s="18">
        <f t="shared" si="15"/>
        <v>16126</v>
      </c>
      <c r="E246" s="20">
        <f t="shared" si="12"/>
        <v>5</v>
      </c>
      <c r="F246" s="20">
        <f t="shared" si="13"/>
        <v>2011</v>
      </c>
      <c r="H246" s="17">
        <v>40694</v>
      </c>
      <c r="I246" s="16" t="str">
        <f t="shared" si="14"/>
        <v>OK</v>
      </c>
    </row>
    <row r="247" spans="1:9">
      <c r="A247" s="17">
        <v>40701</v>
      </c>
      <c r="B247" s="18">
        <v>25635</v>
      </c>
      <c r="C247" s="19">
        <v>56.85</v>
      </c>
      <c r="D247" s="18">
        <f t="shared" si="15"/>
        <v>-5246</v>
      </c>
      <c r="E247" s="20">
        <f t="shared" si="12"/>
        <v>6</v>
      </c>
      <c r="F247" s="20">
        <f t="shared" si="13"/>
        <v>2011</v>
      </c>
      <c r="H247" s="17">
        <v>40701</v>
      </c>
      <c r="I247" s="16" t="str">
        <f t="shared" si="14"/>
        <v>OK</v>
      </c>
    </row>
    <row r="248" spans="1:9">
      <c r="A248" s="17">
        <v>40708</v>
      </c>
      <c r="B248" s="18">
        <v>10925</v>
      </c>
      <c r="C248" s="19">
        <v>55.92</v>
      </c>
      <c r="D248" s="18">
        <f t="shared" si="15"/>
        <v>-14710</v>
      </c>
      <c r="E248" s="20">
        <f t="shared" si="12"/>
        <v>6</v>
      </c>
      <c r="F248" s="20">
        <f t="shared" si="13"/>
        <v>2011</v>
      </c>
      <c r="H248" s="17">
        <v>40708</v>
      </c>
      <c r="I248" s="16" t="str">
        <f t="shared" si="14"/>
        <v>OK</v>
      </c>
    </row>
    <row r="249" spans="1:9">
      <c r="A249" s="17">
        <v>40715</v>
      </c>
      <c r="B249" s="18">
        <v>12142</v>
      </c>
      <c r="C249" s="19">
        <v>55.22</v>
      </c>
      <c r="D249" s="18">
        <f t="shared" si="15"/>
        <v>1217</v>
      </c>
      <c r="E249" s="20">
        <f t="shared" si="12"/>
        <v>6</v>
      </c>
      <c r="F249" s="20">
        <f t="shared" si="13"/>
        <v>2011</v>
      </c>
      <c r="H249" s="17">
        <v>40715</v>
      </c>
      <c r="I249" s="16" t="str">
        <f t="shared" si="14"/>
        <v>OK</v>
      </c>
    </row>
    <row r="250" spans="1:9">
      <c r="A250" s="17">
        <v>40722</v>
      </c>
      <c r="B250" s="18">
        <v>19248</v>
      </c>
      <c r="C250" s="19">
        <v>55.16</v>
      </c>
      <c r="D250" s="18">
        <f t="shared" si="15"/>
        <v>7106</v>
      </c>
      <c r="E250" s="20">
        <f t="shared" si="12"/>
        <v>6</v>
      </c>
      <c r="F250" s="20">
        <f t="shared" si="13"/>
        <v>2011</v>
      </c>
      <c r="H250" s="17">
        <v>40722</v>
      </c>
      <c r="I250" s="16" t="str">
        <f t="shared" si="14"/>
        <v>OK</v>
      </c>
    </row>
    <row r="251" spans="1:9">
      <c r="A251" s="17">
        <v>40729</v>
      </c>
      <c r="B251" s="18">
        <v>10493</v>
      </c>
      <c r="C251" s="19">
        <v>56.2</v>
      </c>
      <c r="D251" s="18">
        <f t="shared" si="15"/>
        <v>-8755</v>
      </c>
      <c r="E251" s="20">
        <f t="shared" si="12"/>
        <v>7</v>
      </c>
      <c r="F251" s="20">
        <f t="shared" si="13"/>
        <v>2011</v>
      </c>
      <c r="H251" s="17">
        <v>40729</v>
      </c>
      <c r="I251" s="16" t="str">
        <f t="shared" si="14"/>
        <v>OK</v>
      </c>
    </row>
    <row r="252" spans="1:9">
      <c r="A252" s="17">
        <v>40736</v>
      </c>
      <c r="B252" s="18">
        <v>15505</v>
      </c>
      <c r="C252" s="19">
        <v>57.35</v>
      </c>
      <c r="D252" s="18">
        <f t="shared" si="15"/>
        <v>5012</v>
      </c>
      <c r="E252" s="20">
        <f t="shared" si="12"/>
        <v>7</v>
      </c>
      <c r="F252" s="20">
        <f t="shared" si="13"/>
        <v>2011</v>
      </c>
      <c r="H252" s="17">
        <v>40736</v>
      </c>
      <c r="I252" s="16" t="str">
        <f t="shared" si="14"/>
        <v>OK</v>
      </c>
    </row>
    <row r="253" spans="1:9">
      <c r="A253" s="17">
        <v>40743</v>
      </c>
      <c r="B253" s="18">
        <v>6316</v>
      </c>
      <c r="C253" s="19">
        <v>56.51</v>
      </c>
      <c r="D253" s="18">
        <f t="shared" si="15"/>
        <v>-9189</v>
      </c>
      <c r="E253" s="20">
        <f t="shared" si="12"/>
        <v>7</v>
      </c>
      <c r="F253" s="20">
        <f t="shared" si="13"/>
        <v>2011</v>
      </c>
      <c r="H253" s="17">
        <v>40743</v>
      </c>
      <c r="I253" s="16" t="str">
        <f t="shared" si="14"/>
        <v>OK</v>
      </c>
    </row>
    <row r="254" spans="1:9">
      <c r="A254" s="17">
        <v>40750</v>
      </c>
      <c r="B254" s="18">
        <v>-12266</v>
      </c>
      <c r="C254" s="19">
        <v>55.65</v>
      </c>
      <c r="D254" s="18">
        <f t="shared" si="15"/>
        <v>-18582</v>
      </c>
      <c r="E254" s="20">
        <f t="shared" si="12"/>
        <v>7</v>
      </c>
      <c r="F254" s="20">
        <f t="shared" si="13"/>
        <v>2011</v>
      </c>
      <c r="H254" s="17">
        <v>40750</v>
      </c>
      <c r="I254" s="16" t="str">
        <f t="shared" si="14"/>
        <v>OK</v>
      </c>
    </row>
    <row r="255" spans="1:9">
      <c r="A255" s="17">
        <v>40757</v>
      </c>
      <c r="B255" s="18">
        <v>-9311</v>
      </c>
      <c r="C255" s="19">
        <v>54.9</v>
      </c>
      <c r="D255" s="18">
        <f t="shared" si="15"/>
        <v>2955</v>
      </c>
      <c r="E255" s="20">
        <f t="shared" si="12"/>
        <v>8</v>
      </c>
      <c r="F255" s="20">
        <f t="shared" si="13"/>
        <v>2011</v>
      </c>
      <c r="H255" s="17">
        <v>40757</v>
      </c>
      <c r="I255" s="16" t="str">
        <f t="shared" si="14"/>
        <v>OK</v>
      </c>
    </row>
    <row r="256" spans="1:9">
      <c r="A256" s="17">
        <v>40764</v>
      </c>
      <c r="B256" s="18">
        <v>-30426</v>
      </c>
      <c r="C256" s="19">
        <v>54.6</v>
      </c>
      <c r="D256" s="18">
        <f t="shared" si="15"/>
        <v>-21115</v>
      </c>
      <c r="E256" s="20">
        <f t="shared" si="12"/>
        <v>8</v>
      </c>
      <c r="F256" s="20">
        <f t="shared" si="13"/>
        <v>2011</v>
      </c>
      <c r="H256" s="17">
        <v>40764</v>
      </c>
      <c r="I256" s="16" t="str">
        <f t="shared" si="14"/>
        <v>OK</v>
      </c>
    </row>
    <row r="257" spans="1:9">
      <c r="A257" s="17">
        <v>40771</v>
      </c>
      <c r="B257" s="18">
        <v>-23450</v>
      </c>
      <c r="C257" s="19">
        <v>55.39</v>
      </c>
      <c r="D257" s="18">
        <f t="shared" si="15"/>
        <v>6976</v>
      </c>
      <c r="E257" s="20">
        <f t="shared" si="12"/>
        <v>8</v>
      </c>
      <c r="F257" s="20">
        <f t="shared" si="13"/>
        <v>2011</v>
      </c>
      <c r="H257" s="17">
        <v>40771</v>
      </c>
      <c r="I257" s="16" t="str">
        <f t="shared" si="14"/>
        <v>OK</v>
      </c>
    </row>
    <row r="258" spans="1:9">
      <c r="A258" s="17">
        <v>40778</v>
      </c>
      <c r="B258" s="18">
        <v>-25955</v>
      </c>
      <c r="C258" s="19">
        <v>56.6</v>
      </c>
      <c r="D258" s="18">
        <f t="shared" si="15"/>
        <v>-2505</v>
      </c>
      <c r="E258" s="20">
        <f t="shared" ref="E258:E321" si="16">MONTH(A258)</f>
        <v>8</v>
      </c>
      <c r="F258" s="20">
        <f t="shared" ref="F258:F321" si="17">YEAR(A258)</f>
        <v>2011</v>
      </c>
      <c r="H258" s="17">
        <v>40778</v>
      </c>
      <c r="I258" s="16" t="str">
        <f t="shared" ref="I258:I321" si="18">IF(H258=A258,"OK","")</f>
        <v>OK</v>
      </c>
    </row>
    <row r="259" spans="1:9">
      <c r="A259" s="17">
        <v>40785</v>
      </c>
      <c r="B259" s="18">
        <v>-7317</v>
      </c>
      <c r="C259" s="19">
        <v>57.74</v>
      </c>
      <c r="D259" s="18">
        <f t="shared" ref="D259:D322" si="19">B259-B258</f>
        <v>18638</v>
      </c>
      <c r="E259" s="20">
        <f t="shared" si="16"/>
        <v>8</v>
      </c>
      <c r="F259" s="20">
        <f t="shared" si="17"/>
        <v>2011</v>
      </c>
      <c r="H259" s="17">
        <v>40785</v>
      </c>
      <c r="I259" s="16" t="str">
        <f t="shared" si="18"/>
        <v>OK</v>
      </c>
    </row>
    <row r="260" spans="1:9">
      <c r="A260" s="17">
        <v>40792</v>
      </c>
      <c r="B260" s="18">
        <v>-9893</v>
      </c>
      <c r="C260" s="19">
        <v>58.2</v>
      </c>
      <c r="D260" s="18">
        <f t="shared" si="19"/>
        <v>-2576</v>
      </c>
      <c r="E260" s="20">
        <f t="shared" si="16"/>
        <v>9</v>
      </c>
      <c r="F260" s="20">
        <f t="shared" si="17"/>
        <v>2011</v>
      </c>
      <c r="H260" s="17">
        <v>40792</v>
      </c>
      <c r="I260" s="16" t="str">
        <f t="shared" si="18"/>
        <v>OK</v>
      </c>
    </row>
    <row r="261" spans="1:9">
      <c r="A261" s="17">
        <v>40799</v>
      </c>
      <c r="B261" s="18">
        <v>-2587</v>
      </c>
      <c r="C261" s="19">
        <v>56.55</v>
      </c>
      <c r="D261" s="18">
        <f t="shared" si="19"/>
        <v>7306</v>
      </c>
      <c r="E261" s="20">
        <f t="shared" si="16"/>
        <v>9</v>
      </c>
      <c r="F261" s="20">
        <f t="shared" si="17"/>
        <v>2011</v>
      </c>
      <c r="H261" s="17">
        <v>40799</v>
      </c>
      <c r="I261" s="16" t="str">
        <f t="shared" si="18"/>
        <v>OK</v>
      </c>
    </row>
    <row r="262" spans="1:9">
      <c r="A262" s="17">
        <v>40806</v>
      </c>
      <c r="B262" s="18">
        <v>7690</v>
      </c>
      <c r="C262" s="19">
        <v>52.4</v>
      </c>
      <c r="D262" s="18">
        <f t="shared" si="19"/>
        <v>10277</v>
      </c>
      <c r="E262" s="20">
        <f t="shared" si="16"/>
        <v>9</v>
      </c>
      <c r="F262" s="20">
        <f t="shared" si="17"/>
        <v>2011</v>
      </c>
      <c r="H262" s="17">
        <v>40806</v>
      </c>
      <c r="I262" s="16" t="str">
        <f t="shared" si="18"/>
        <v>OK</v>
      </c>
    </row>
    <row r="263" spans="1:9">
      <c r="A263" s="17">
        <v>40813</v>
      </c>
      <c r="B263" s="18">
        <v>2046</v>
      </c>
      <c r="C263" s="19">
        <v>49.95</v>
      </c>
      <c r="D263" s="18">
        <f t="shared" si="19"/>
        <v>-5644</v>
      </c>
      <c r="E263" s="20">
        <f t="shared" si="16"/>
        <v>9</v>
      </c>
      <c r="F263" s="20">
        <f t="shared" si="17"/>
        <v>2011</v>
      </c>
      <c r="H263" s="17">
        <v>40813</v>
      </c>
      <c r="I263" s="16" t="str">
        <f t="shared" si="18"/>
        <v>OK</v>
      </c>
    </row>
    <row r="264" spans="1:9">
      <c r="A264" s="17">
        <v>40820</v>
      </c>
      <c r="B264" s="18">
        <v>827</v>
      </c>
      <c r="C264" s="19">
        <v>49.07</v>
      </c>
      <c r="D264" s="18">
        <f t="shared" si="19"/>
        <v>-1219</v>
      </c>
      <c r="E264" s="20">
        <f t="shared" si="16"/>
        <v>10</v>
      </c>
      <c r="F264" s="20">
        <f t="shared" si="17"/>
        <v>2011</v>
      </c>
      <c r="H264" s="17">
        <v>40820</v>
      </c>
      <c r="I264" s="16" t="str">
        <f t="shared" si="18"/>
        <v>OK</v>
      </c>
    </row>
    <row r="265" spans="1:9">
      <c r="A265" s="17">
        <v>40827</v>
      </c>
      <c r="B265" s="18">
        <v>2764</v>
      </c>
      <c r="C265" s="19">
        <v>53.2</v>
      </c>
      <c r="D265" s="18">
        <f t="shared" si="19"/>
        <v>1937</v>
      </c>
      <c r="E265" s="20">
        <f t="shared" si="16"/>
        <v>10</v>
      </c>
      <c r="F265" s="20">
        <f t="shared" si="17"/>
        <v>2011</v>
      </c>
      <c r="H265" s="17">
        <v>40827</v>
      </c>
      <c r="I265" s="16" t="str">
        <f t="shared" si="18"/>
        <v>OK</v>
      </c>
    </row>
    <row r="266" spans="1:9">
      <c r="A266" s="17">
        <v>40834</v>
      </c>
      <c r="B266" s="18">
        <v>11296</v>
      </c>
      <c r="C266" s="19">
        <v>51.25</v>
      </c>
      <c r="D266" s="18">
        <f t="shared" si="19"/>
        <v>8532</v>
      </c>
      <c r="E266" s="20">
        <f t="shared" si="16"/>
        <v>10</v>
      </c>
      <c r="F266" s="20">
        <f t="shared" si="17"/>
        <v>2011</v>
      </c>
      <c r="H266" s="17">
        <v>40834</v>
      </c>
      <c r="I266" s="16" t="str">
        <f t="shared" si="18"/>
        <v>OK</v>
      </c>
    </row>
    <row r="267" spans="1:9">
      <c r="A267" s="17">
        <v>40841</v>
      </c>
      <c r="B267" s="18">
        <v>-3515</v>
      </c>
      <c r="C267" s="19">
        <v>51.77</v>
      </c>
      <c r="D267" s="18">
        <f t="shared" si="19"/>
        <v>-14811</v>
      </c>
      <c r="E267" s="20">
        <f t="shared" si="16"/>
        <v>10</v>
      </c>
      <c r="F267" s="20">
        <f t="shared" si="17"/>
        <v>2011</v>
      </c>
      <c r="H267" s="17">
        <v>40841</v>
      </c>
      <c r="I267" s="16" t="str">
        <f t="shared" si="18"/>
        <v>OK</v>
      </c>
    </row>
    <row r="268" spans="1:9">
      <c r="A268" s="17">
        <v>40848</v>
      </c>
      <c r="B268" s="18">
        <v>1302</v>
      </c>
      <c r="C268" s="19">
        <v>51.87</v>
      </c>
      <c r="D268" s="18">
        <f t="shared" si="19"/>
        <v>4817</v>
      </c>
      <c r="E268" s="20">
        <f t="shared" si="16"/>
        <v>11</v>
      </c>
      <c r="F268" s="20">
        <f t="shared" si="17"/>
        <v>2011</v>
      </c>
      <c r="H268" s="17">
        <v>40848</v>
      </c>
      <c r="I268" s="16" t="str">
        <f t="shared" si="18"/>
        <v>OK</v>
      </c>
    </row>
    <row r="269" spans="1:9">
      <c r="A269" s="17">
        <v>40855</v>
      </c>
      <c r="B269" s="18">
        <v>742</v>
      </c>
      <c r="C269" s="19">
        <v>50.98</v>
      </c>
      <c r="D269" s="18">
        <f t="shared" si="19"/>
        <v>-560</v>
      </c>
      <c r="E269" s="20">
        <f t="shared" si="16"/>
        <v>11</v>
      </c>
      <c r="F269" s="20">
        <f t="shared" si="17"/>
        <v>2011</v>
      </c>
      <c r="H269" s="17">
        <v>40855</v>
      </c>
      <c r="I269" s="16" t="str">
        <f t="shared" si="18"/>
        <v>OK</v>
      </c>
    </row>
    <row r="270" spans="1:9">
      <c r="A270" s="17">
        <v>40862</v>
      </c>
      <c r="B270" s="18">
        <v>20627</v>
      </c>
      <c r="C270" s="19">
        <v>50.88</v>
      </c>
      <c r="D270" s="18">
        <f t="shared" si="19"/>
        <v>19885</v>
      </c>
      <c r="E270" s="20">
        <f t="shared" si="16"/>
        <v>11</v>
      </c>
      <c r="F270" s="20">
        <f t="shared" si="17"/>
        <v>2011</v>
      </c>
      <c r="H270" s="17">
        <v>40862</v>
      </c>
      <c r="I270" s="16" t="str">
        <f t="shared" si="18"/>
        <v>OK</v>
      </c>
    </row>
    <row r="271" spans="1:9">
      <c r="A271" s="17">
        <v>40869</v>
      </c>
      <c r="B271" s="18">
        <v>11421</v>
      </c>
      <c r="C271" s="19">
        <v>48.23</v>
      </c>
      <c r="D271" s="18">
        <f t="shared" si="19"/>
        <v>-9206</v>
      </c>
      <c r="E271" s="20">
        <f t="shared" si="16"/>
        <v>11</v>
      </c>
      <c r="F271" s="20">
        <f t="shared" si="17"/>
        <v>2011</v>
      </c>
      <c r="H271" s="17">
        <v>40869</v>
      </c>
      <c r="I271" s="16" t="str">
        <f t="shared" si="18"/>
        <v>OK</v>
      </c>
    </row>
    <row r="272" spans="1:9">
      <c r="A272" s="17">
        <v>40876</v>
      </c>
      <c r="B272" s="18">
        <v>8556</v>
      </c>
      <c r="C272" s="19">
        <v>50.05</v>
      </c>
      <c r="D272" s="18">
        <f t="shared" si="19"/>
        <v>-2865</v>
      </c>
      <c r="E272" s="20">
        <f t="shared" si="16"/>
        <v>11</v>
      </c>
      <c r="F272" s="20">
        <f t="shared" si="17"/>
        <v>2011</v>
      </c>
      <c r="H272" s="17">
        <v>40876</v>
      </c>
      <c r="I272" s="16" t="str">
        <f t="shared" si="18"/>
        <v>OK</v>
      </c>
    </row>
    <row r="273" spans="1:9">
      <c r="A273" s="17">
        <v>40883</v>
      </c>
      <c r="B273" s="18">
        <v>17292</v>
      </c>
      <c r="C273" s="19">
        <v>49.34</v>
      </c>
      <c r="D273" s="18">
        <f t="shared" si="19"/>
        <v>8736</v>
      </c>
      <c r="E273" s="20">
        <f t="shared" si="16"/>
        <v>12</v>
      </c>
      <c r="F273" s="20">
        <f t="shared" si="17"/>
        <v>2011</v>
      </c>
      <c r="H273" s="17">
        <v>40883</v>
      </c>
      <c r="I273" s="16" t="str">
        <f t="shared" si="18"/>
        <v>OK</v>
      </c>
    </row>
    <row r="274" spans="1:9">
      <c r="A274" s="17">
        <v>40890</v>
      </c>
      <c r="B274" s="18">
        <v>18209</v>
      </c>
      <c r="C274" s="19">
        <v>49.55</v>
      </c>
      <c r="D274" s="18">
        <f t="shared" si="19"/>
        <v>917</v>
      </c>
      <c r="E274" s="20">
        <f t="shared" si="16"/>
        <v>12</v>
      </c>
      <c r="F274" s="20">
        <f t="shared" si="17"/>
        <v>2011</v>
      </c>
      <c r="H274" s="17">
        <v>40890</v>
      </c>
      <c r="I274" s="16" t="str">
        <f t="shared" si="18"/>
        <v>OK</v>
      </c>
    </row>
    <row r="275" spans="1:9">
      <c r="A275" s="17">
        <v>40897</v>
      </c>
      <c r="B275" s="18">
        <v>11423</v>
      </c>
      <c r="C275" s="19">
        <v>50.96</v>
      </c>
      <c r="D275" s="18">
        <f t="shared" si="19"/>
        <v>-6786</v>
      </c>
      <c r="E275" s="20">
        <f t="shared" si="16"/>
        <v>12</v>
      </c>
      <c r="F275" s="20">
        <f t="shared" si="17"/>
        <v>2011</v>
      </c>
      <c r="H275" s="17">
        <v>40897</v>
      </c>
      <c r="I275" s="16" t="str">
        <f t="shared" si="18"/>
        <v>OK</v>
      </c>
    </row>
    <row r="276" spans="1:9">
      <c r="A276" s="17">
        <v>40904</v>
      </c>
      <c r="B276" s="18">
        <v>13129</v>
      </c>
      <c r="C276" s="19">
        <v>52.09</v>
      </c>
      <c r="D276" s="18">
        <f t="shared" si="19"/>
        <v>1706</v>
      </c>
      <c r="E276" s="20">
        <f t="shared" si="16"/>
        <v>12</v>
      </c>
      <c r="F276" s="20">
        <f t="shared" si="17"/>
        <v>2011</v>
      </c>
      <c r="H276" s="17">
        <v>40904</v>
      </c>
      <c r="I276" s="16" t="str">
        <f t="shared" si="18"/>
        <v>OK</v>
      </c>
    </row>
    <row r="277" spans="1:9">
      <c r="A277" s="17">
        <v>40911</v>
      </c>
      <c r="B277" s="18">
        <v>24183</v>
      </c>
      <c r="C277" s="19">
        <v>50.8</v>
      </c>
      <c r="D277" s="18">
        <f t="shared" si="19"/>
        <v>11054</v>
      </c>
      <c r="E277" s="20">
        <f t="shared" si="16"/>
        <v>1</v>
      </c>
      <c r="F277" s="20">
        <f t="shared" si="17"/>
        <v>2012</v>
      </c>
      <c r="H277" s="17">
        <v>40911</v>
      </c>
      <c r="I277" s="16" t="str">
        <f t="shared" si="18"/>
        <v>OK</v>
      </c>
    </row>
    <row r="278" spans="1:9">
      <c r="A278" s="17">
        <v>40918</v>
      </c>
      <c r="B278" s="18">
        <v>22169</v>
      </c>
      <c r="C278" s="19">
        <v>50.2</v>
      </c>
      <c r="D278" s="18">
        <f t="shared" si="19"/>
        <v>-2014</v>
      </c>
      <c r="E278" s="20">
        <f t="shared" si="16"/>
        <v>1</v>
      </c>
      <c r="F278" s="20">
        <f t="shared" si="17"/>
        <v>2012</v>
      </c>
      <c r="H278" s="17">
        <v>40918</v>
      </c>
      <c r="I278" s="16" t="str">
        <f t="shared" si="18"/>
        <v>OK</v>
      </c>
    </row>
    <row r="279" spans="1:9">
      <c r="A279" s="17">
        <v>40925</v>
      </c>
      <c r="B279" s="18">
        <v>6394</v>
      </c>
      <c r="C279" s="19">
        <v>50.43</v>
      </c>
      <c r="D279" s="18">
        <f t="shared" si="19"/>
        <v>-15775</v>
      </c>
      <c r="E279" s="20">
        <f t="shared" si="16"/>
        <v>1</v>
      </c>
      <c r="F279" s="20">
        <f t="shared" si="17"/>
        <v>2012</v>
      </c>
      <c r="H279" s="17">
        <v>40925</v>
      </c>
      <c r="I279" s="16" t="str">
        <f t="shared" si="18"/>
        <v>OK</v>
      </c>
    </row>
    <row r="280" spans="1:9">
      <c r="A280" s="17">
        <v>40932</v>
      </c>
      <c r="B280" s="18">
        <v>-3782</v>
      </c>
      <c r="C280" s="19">
        <v>51.59</v>
      </c>
      <c r="D280" s="18">
        <f t="shared" si="19"/>
        <v>-10176</v>
      </c>
      <c r="E280" s="20">
        <f t="shared" si="16"/>
        <v>1</v>
      </c>
      <c r="F280" s="20">
        <f t="shared" si="17"/>
        <v>2012</v>
      </c>
      <c r="H280" s="17">
        <v>40932</v>
      </c>
      <c r="I280" s="16" t="str">
        <f t="shared" si="18"/>
        <v>OK</v>
      </c>
    </row>
    <row r="281" spans="1:9">
      <c r="A281" s="17">
        <v>40939</v>
      </c>
      <c r="B281" s="18">
        <v>-11635</v>
      </c>
      <c r="C281" s="19">
        <v>51.65</v>
      </c>
      <c r="D281" s="18">
        <f t="shared" si="19"/>
        <v>-7853</v>
      </c>
      <c r="E281" s="20">
        <f t="shared" si="16"/>
        <v>1</v>
      </c>
      <c r="F281" s="20">
        <f t="shared" si="17"/>
        <v>2012</v>
      </c>
      <c r="H281" s="17">
        <v>40939</v>
      </c>
      <c r="I281" s="16" t="str">
        <f t="shared" si="18"/>
        <v>OK</v>
      </c>
    </row>
    <row r="282" spans="1:9">
      <c r="A282" s="17">
        <v>40946</v>
      </c>
      <c r="B282" s="18">
        <v>-5066</v>
      </c>
      <c r="C282" s="19">
        <v>52.53</v>
      </c>
      <c r="D282" s="18">
        <f t="shared" si="19"/>
        <v>6569</v>
      </c>
      <c r="E282" s="20">
        <f t="shared" si="16"/>
        <v>2</v>
      </c>
      <c r="F282" s="20">
        <f t="shared" si="17"/>
        <v>2012</v>
      </c>
      <c r="H282" s="17">
        <v>40946</v>
      </c>
      <c r="I282" s="16" t="str">
        <f t="shared" si="18"/>
        <v>OK</v>
      </c>
    </row>
    <row r="283" spans="1:9">
      <c r="A283" s="17">
        <v>40953</v>
      </c>
      <c r="B283" s="18">
        <v>10578</v>
      </c>
      <c r="C283" s="19">
        <v>53.4</v>
      </c>
      <c r="D283" s="18">
        <f t="shared" si="19"/>
        <v>15644</v>
      </c>
      <c r="E283" s="20">
        <f t="shared" si="16"/>
        <v>2</v>
      </c>
      <c r="F283" s="20">
        <f t="shared" si="17"/>
        <v>2012</v>
      </c>
      <c r="H283" s="17">
        <v>40953</v>
      </c>
      <c r="I283" s="16" t="str">
        <f t="shared" si="18"/>
        <v>OK</v>
      </c>
    </row>
    <row r="284" spans="1:9">
      <c r="A284" s="17">
        <v>40960</v>
      </c>
      <c r="B284" s="18">
        <v>12802</v>
      </c>
      <c r="C284" s="19">
        <v>54.29</v>
      </c>
      <c r="D284" s="18">
        <f t="shared" si="19"/>
        <v>2224</v>
      </c>
      <c r="E284" s="20">
        <f t="shared" si="16"/>
        <v>2</v>
      </c>
      <c r="F284" s="20">
        <f t="shared" si="17"/>
        <v>2012</v>
      </c>
      <c r="H284" s="17">
        <v>40960</v>
      </c>
      <c r="I284" s="16" t="str">
        <f t="shared" si="18"/>
        <v>OK</v>
      </c>
    </row>
    <row r="285" spans="1:9">
      <c r="A285" s="17">
        <v>40967</v>
      </c>
      <c r="B285" s="18">
        <v>8668</v>
      </c>
      <c r="C285" s="19">
        <v>53.76</v>
      </c>
      <c r="D285" s="18">
        <f t="shared" si="19"/>
        <v>-4134</v>
      </c>
      <c r="E285" s="20">
        <f t="shared" si="16"/>
        <v>2</v>
      </c>
      <c r="F285" s="20">
        <f t="shared" si="17"/>
        <v>2012</v>
      </c>
      <c r="H285" s="17">
        <v>40967</v>
      </c>
      <c r="I285" s="16" t="str">
        <f t="shared" si="18"/>
        <v>OK</v>
      </c>
    </row>
    <row r="286" spans="1:9">
      <c r="A286" s="17">
        <v>40974</v>
      </c>
      <c r="B286" s="18">
        <v>-30471</v>
      </c>
      <c r="C286" s="19">
        <v>53.95</v>
      </c>
      <c r="D286" s="18">
        <f t="shared" si="19"/>
        <v>-39139</v>
      </c>
      <c r="E286" s="20">
        <f t="shared" si="16"/>
        <v>3</v>
      </c>
      <c r="F286" s="20">
        <f t="shared" si="17"/>
        <v>2012</v>
      </c>
      <c r="H286" s="17">
        <v>40974</v>
      </c>
      <c r="I286" s="16" t="str">
        <f t="shared" si="18"/>
        <v>OK</v>
      </c>
    </row>
    <row r="287" spans="1:9">
      <c r="A287" s="17">
        <v>40981</v>
      </c>
      <c r="B287" s="18">
        <v>-37528</v>
      </c>
      <c r="C287" s="19">
        <v>55.5</v>
      </c>
      <c r="D287" s="18">
        <f t="shared" si="19"/>
        <v>-7057</v>
      </c>
      <c r="E287" s="20">
        <f t="shared" si="16"/>
        <v>3</v>
      </c>
      <c r="F287" s="20">
        <f t="shared" si="17"/>
        <v>2012</v>
      </c>
      <c r="H287" s="17">
        <v>40981</v>
      </c>
      <c r="I287" s="16" t="str">
        <f t="shared" si="18"/>
        <v>OK</v>
      </c>
    </row>
    <row r="288" spans="1:9">
      <c r="A288" s="17">
        <v>40988</v>
      </c>
      <c r="B288" s="18">
        <v>-40162</v>
      </c>
      <c r="C288" s="19">
        <v>54.88</v>
      </c>
      <c r="D288" s="18">
        <f t="shared" si="19"/>
        <v>-2634</v>
      </c>
      <c r="E288" s="20">
        <f t="shared" si="16"/>
        <v>3</v>
      </c>
      <c r="F288" s="20">
        <f t="shared" si="17"/>
        <v>2012</v>
      </c>
      <c r="H288" s="17">
        <v>40988</v>
      </c>
      <c r="I288" s="16" t="str">
        <f t="shared" si="18"/>
        <v>OK</v>
      </c>
    </row>
    <row r="289" spans="1:9">
      <c r="A289" s="17">
        <v>40995</v>
      </c>
      <c r="B289" s="18">
        <v>-47392</v>
      </c>
      <c r="C289" s="19">
        <v>55.1</v>
      </c>
      <c r="D289" s="18">
        <f t="shared" si="19"/>
        <v>-7230</v>
      </c>
      <c r="E289" s="20">
        <f t="shared" si="16"/>
        <v>3</v>
      </c>
      <c r="F289" s="20">
        <f t="shared" si="17"/>
        <v>2012</v>
      </c>
      <c r="H289" s="17">
        <v>40995</v>
      </c>
      <c r="I289" s="16" t="str">
        <f t="shared" si="18"/>
        <v>OK</v>
      </c>
    </row>
    <row r="290" spans="1:9">
      <c r="A290" s="17">
        <v>41002</v>
      </c>
      <c r="B290" s="18">
        <v>-46817</v>
      </c>
      <c r="C290" s="19">
        <v>56.64</v>
      </c>
      <c r="D290" s="18">
        <f t="shared" si="19"/>
        <v>575</v>
      </c>
      <c r="E290" s="20">
        <f t="shared" si="16"/>
        <v>4</v>
      </c>
      <c r="F290" s="20">
        <f t="shared" si="17"/>
        <v>2012</v>
      </c>
      <c r="H290" s="17">
        <v>41002</v>
      </c>
      <c r="I290" s="16" t="str">
        <f t="shared" si="18"/>
        <v>OK</v>
      </c>
    </row>
    <row r="291" spans="1:9">
      <c r="A291" s="17">
        <v>41009</v>
      </c>
      <c r="B291" s="18">
        <v>-34243</v>
      </c>
      <c r="C291" s="19">
        <v>56.52</v>
      </c>
      <c r="D291" s="18">
        <f t="shared" si="19"/>
        <v>12574</v>
      </c>
      <c r="E291" s="20">
        <f t="shared" si="16"/>
        <v>4</v>
      </c>
      <c r="F291" s="20">
        <f t="shared" si="17"/>
        <v>2012</v>
      </c>
      <c r="H291" s="17">
        <v>41009</v>
      </c>
      <c r="I291" s="16" t="str">
        <f t="shared" si="18"/>
        <v>OK</v>
      </c>
    </row>
    <row r="292" spans="1:9">
      <c r="A292" s="17">
        <v>41016</v>
      </c>
      <c r="B292" s="18">
        <v>-44264</v>
      </c>
      <c r="C292" s="19">
        <v>55.83</v>
      </c>
      <c r="D292" s="18">
        <f t="shared" si="19"/>
        <v>-10021</v>
      </c>
      <c r="E292" s="20">
        <f t="shared" si="16"/>
        <v>4</v>
      </c>
      <c r="F292" s="20">
        <f t="shared" si="17"/>
        <v>2012</v>
      </c>
      <c r="H292" s="17">
        <v>41016</v>
      </c>
      <c r="I292" s="16" t="str">
        <f t="shared" si="18"/>
        <v>OK</v>
      </c>
    </row>
    <row r="293" spans="1:9">
      <c r="A293" s="17">
        <v>41023</v>
      </c>
      <c r="B293" s="18">
        <v>-58682</v>
      </c>
      <c r="C293" s="19">
        <v>55.18</v>
      </c>
      <c r="D293" s="18">
        <f t="shared" si="19"/>
        <v>-14418</v>
      </c>
      <c r="E293" s="20">
        <f t="shared" si="16"/>
        <v>4</v>
      </c>
      <c r="F293" s="20">
        <f t="shared" si="17"/>
        <v>2012</v>
      </c>
      <c r="H293" s="17">
        <v>41023</v>
      </c>
      <c r="I293" s="16" t="str">
        <f t="shared" si="18"/>
        <v>OK</v>
      </c>
    </row>
    <row r="294" spans="1:9">
      <c r="A294" s="17">
        <v>41030</v>
      </c>
      <c r="B294" s="18">
        <v>-73342</v>
      </c>
      <c r="C294" s="19">
        <v>53.3</v>
      </c>
      <c r="D294" s="18">
        <f t="shared" si="19"/>
        <v>-14660</v>
      </c>
      <c r="E294" s="20">
        <f t="shared" si="16"/>
        <v>5</v>
      </c>
      <c r="F294" s="20">
        <f t="shared" si="17"/>
        <v>2012</v>
      </c>
      <c r="H294" s="17">
        <v>41030</v>
      </c>
      <c r="I294" s="16" t="str">
        <f t="shared" si="18"/>
        <v>OK</v>
      </c>
    </row>
    <row r="295" spans="1:9">
      <c r="A295" s="17">
        <v>41037</v>
      </c>
      <c r="B295" s="18">
        <v>-85623</v>
      </c>
      <c r="C295" s="19">
        <v>51.9</v>
      </c>
      <c r="D295" s="18">
        <f t="shared" si="19"/>
        <v>-12281</v>
      </c>
      <c r="E295" s="20">
        <f t="shared" si="16"/>
        <v>5</v>
      </c>
      <c r="F295" s="20">
        <f t="shared" si="17"/>
        <v>2012</v>
      </c>
      <c r="H295" s="17">
        <v>41037</v>
      </c>
      <c r="I295" s="16" t="str">
        <f t="shared" si="18"/>
        <v>OK</v>
      </c>
    </row>
    <row r="296" spans="1:9">
      <c r="A296" s="17">
        <v>41044</v>
      </c>
      <c r="B296" s="18">
        <v>-101171</v>
      </c>
      <c r="C296" s="19">
        <v>50.32</v>
      </c>
      <c r="D296" s="18">
        <f t="shared" si="19"/>
        <v>-15548</v>
      </c>
      <c r="E296" s="20">
        <f t="shared" si="16"/>
        <v>5</v>
      </c>
      <c r="F296" s="20">
        <f t="shared" si="17"/>
        <v>2012</v>
      </c>
      <c r="H296" s="17">
        <v>41044</v>
      </c>
      <c r="I296" s="16" t="str">
        <f t="shared" si="18"/>
        <v>OK</v>
      </c>
    </row>
    <row r="297" spans="1:9">
      <c r="A297" s="17">
        <v>41051</v>
      </c>
      <c r="B297" s="18">
        <v>-105170</v>
      </c>
      <c r="C297" s="19">
        <v>50.12</v>
      </c>
      <c r="D297" s="18">
        <f t="shared" si="19"/>
        <v>-3999</v>
      </c>
      <c r="E297" s="20">
        <f t="shared" si="16"/>
        <v>5</v>
      </c>
      <c r="F297" s="20">
        <f t="shared" si="17"/>
        <v>2012</v>
      </c>
      <c r="H297" s="17">
        <v>41051</v>
      </c>
      <c r="I297" s="16" t="str">
        <f t="shared" si="18"/>
        <v>OK</v>
      </c>
    </row>
    <row r="298" spans="1:9">
      <c r="A298" s="17">
        <v>41058</v>
      </c>
      <c r="B298" s="18">
        <v>-107611</v>
      </c>
      <c r="C298" s="19">
        <v>48.59</v>
      </c>
      <c r="D298" s="18">
        <f t="shared" si="19"/>
        <v>-2441</v>
      </c>
      <c r="E298" s="20">
        <f t="shared" si="16"/>
        <v>5</v>
      </c>
      <c r="F298" s="20">
        <f t="shared" si="17"/>
        <v>2012</v>
      </c>
      <c r="H298" s="17">
        <v>41058</v>
      </c>
      <c r="I298" s="16" t="str">
        <f t="shared" si="18"/>
        <v>OK</v>
      </c>
    </row>
    <row r="299" spans="1:9">
      <c r="A299" s="17">
        <v>41065</v>
      </c>
      <c r="B299" s="18">
        <v>-101381</v>
      </c>
      <c r="C299" s="19">
        <v>49.46</v>
      </c>
      <c r="D299" s="18">
        <f t="shared" si="19"/>
        <v>6230</v>
      </c>
      <c r="E299" s="20">
        <f t="shared" si="16"/>
        <v>6</v>
      </c>
      <c r="F299" s="20">
        <f t="shared" si="17"/>
        <v>2012</v>
      </c>
      <c r="H299" s="17">
        <v>41065</v>
      </c>
      <c r="I299" s="16" t="str">
        <f t="shared" si="18"/>
        <v>OK</v>
      </c>
    </row>
    <row r="300" spans="1:9">
      <c r="A300" s="17">
        <v>41072</v>
      </c>
      <c r="B300" s="18">
        <v>-107083</v>
      </c>
      <c r="C300" s="19">
        <v>48.44</v>
      </c>
      <c r="D300" s="18">
        <f t="shared" si="19"/>
        <v>-5702</v>
      </c>
      <c r="E300" s="20">
        <f t="shared" si="16"/>
        <v>6</v>
      </c>
      <c r="F300" s="20">
        <f t="shared" si="17"/>
        <v>2012</v>
      </c>
      <c r="H300" s="17">
        <v>41072</v>
      </c>
      <c r="I300" s="16" t="str">
        <f t="shared" si="18"/>
        <v>OK</v>
      </c>
    </row>
    <row r="301" spans="1:9">
      <c r="A301" s="17">
        <v>41079</v>
      </c>
      <c r="B301" s="18">
        <v>-109418</v>
      </c>
      <c r="C301" s="19">
        <v>49.74</v>
      </c>
      <c r="D301" s="18">
        <f t="shared" si="19"/>
        <v>-2335</v>
      </c>
      <c r="E301" s="20">
        <f t="shared" si="16"/>
        <v>6</v>
      </c>
      <c r="F301" s="20">
        <f t="shared" si="17"/>
        <v>2012</v>
      </c>
      <c r="H301" s="17">
        <v>41079</v>
      </c>
      <c r="I301" s="16" t="str">
        <f t="shared" si="18"/>
        <v>OK</v>
      </c>
    </row>
    <row r="302" spans="1:9">
      <c r="A302" s="17">
        <v>41086</v>
      </c>
      <c r="B302" s="18">
        <v>-106159</v>
      </c>
      <c r="C302" s="19">
        <v>52.21</v>
      </c>
      <c r="D302" s="18">
        <f t="shared" si="19"/>
        <v>3259</v>
      </c>
      <c r="E302" s="20">
        <f t="shared" si="16"/>
        <v>6</v>
      </c>
      <c r="F302" s="20">
        <f t="shared" si="17"/>
        <v>2012</v>
      </c>
      <c r="H302" s="17">
        <v>41086</v>
      </c>
      <c r="I302" s="16" t="str">
        <f t="shared" si="18"/>
        <v>OK</v>
      </c>
    </row>
    <row r="303" spans="1:9">
      <c r="A303" s="17">
        <v>41093</v>
      </c>
      <c r="B303" s="18">
        <v>-103214</v>
      </c>
      <c r="C303" s="19">
        <v>53.27</v>
      </c>
      <c r="D303" s="18">
        <f t="shared" si="19"/>
        <v>2945</v>
      </c>
      <c r="E303" s="20">
        <f t="shared" si="16"/>
        <v>7</v>
      </c>
      <c r="F303" s="20">
        <f t="shared" si="17"/>
        <v>2012</v>
      </c>
      <c r="H303" s="17">
        <v>41093</v>
      </c>
      <c r="I303" s="16" t="str">
        <f t="shared" si="18"/>
        <v>OK</v>
      </c>
    </row>
    <row r="304" spans="1:9">
      <c r="A304" s="17">
        <v>41100</v>
      </c>
      <c r="B304" s="18">
        <v>-75148</v>
      </c>
      <c r="C304" s="19">
        <v>53.57</v>
      </c>
      <c r="D304" s="18">
        <f t="shared" si="19"/>
        <v>28066</v>
      </c>
      <c r="E304" s="20">
        <f t="shared" si="16"/>
        <v>7</v>
      </c>
      <c r="F304" s="20">
        <f t="shared" si="17"/>
        <v>2012</v>
      </c>
      <c r="H304" s="17">
        <v>41100</v>
      </c>
      <c r="I304" s="16" t="str">
        <f t="shared" si="18"/>
        <v>OK</v>
      </c>
    </row>
    <row r="305" spans="1:9">
      <c r="A305" s="17">
        <v>41107</v>
      </c>
      <c r="B305" s="18">
        <v>-70058</v>
      </c>
      <c r="C305" s="19">
        <v>54.36</v>
      </c>
      <c r="D305" s="18">
        <f t="shared" si="19"/>
        <v>5090</v>
      </c>
      <c r="E305" s="20">
        <f t="shared" si="16"/>
        <v>7</v>
      </c>
      <c r="F305" s="20">
        <f t="shared" si="17"/>
        <v>2012</v>
      </c>
      <c r="H305" s="17">
        <v>41107</v>
      </c>
      <c r="I305" s="16" t="str">
        <f t="shared" si="18"/>
        <v>OK</v>
      </c>
    </row>
    <row r="306" spans="1:9">
      <c r="A306" s="17">
        <v>41114</v>
      </c>
      <c r="B306" s="18">
        <v>-66934</v>
      </c>
      <c r="C306" s="19">
        <v>52.04</v>
      </c>
      <c r="D306" s="18">
        <f t="shared" si="19"/>
        <v>3124</v>
      </c>
      <c r="E306" s="20">
        <f t="shared" si="16"/>
        <v>7</v>
      </c>
      <c r="F306" s="20">
        <f t="shared" si="17"/>
        <v>2012</v>
      </c>
      <c r="H306" s="17">
        <v>41114</v>
      </c>
      <c r="I306" s="16" t="str">
        <f t="shared" si="18"/>
        <v>OK</v>
      </c>
    </row>
    <row r="307" spans="1:9">
      <c r="A307" s="17">
        <v>41121</v>
      </c>
      <c r="B307" s="18">
        <v>-56577</v>
      </c>
      <c r="C307" s="19">
        <v>52.04</v>
      </c>
      <c r="D307" s="18">
        <f t="shared" si="19"/>
        <v>10357</v>
      </c>
      <c r="E307" s="20">
        <f t="shared" si="16"/>
        <v>7</v>
      </c>
      <c r="F307" s="20">
        <f t="shared" si="17"/>
        <v>2012</v>
      </c>
      <c r="H307" s="17">
        <v>41121</v>
      </c>
      <c r="I307" s="16" t="str">
        <f t="shared" si="18"/>
        <v>OK</v>
      </c>
    </row>
    <row r="308" spans="1:9">
      <c r="A308" s="17">
        <v>41128</v>
      </c>
      <c r="B308" s="18">
        <v>-62565</v>
      </c>
      <c r="C308" s="19">
        <v>53.6</v>
      </c>
      <c r="D308" s="18">
        <f t="shared" si="19"/>
        <v>-5988</v>
      </c>
      <c r="E308" s="20">
        <f t="shared" si="16"/>
        <v>8</v>
      </c>
      <c r="F308" s="20">
        <f t="shared" si="17"/>
        <v>2012</v>
      </c>
      <c r="H308" s="17">
        <v>41128</v>
      </c>
      <c r="I308" s="16" t="str">
        <f t="shared" si="18"/>
        <v>OK</v>
      </c>
    </row>
    <row r="309" spans="1:9">
      <c r="A309" s="17">
        <v>41135</v>
      </c>
      <c r="B309" s="18">
        <v>-56559</v>
      </c>
      <c r="C309" s="19">
        <v>53.11</v>
      </c>
      <c r="D309" s="18">
        <f t="shared" si="19"/>
        <v>6006</v>
      </c>
      <c r="E309" s="20">
        <f t="shared" si="16"/>
        <v>8</v>
      </c>
      <c r="F309" s="20">
        <f t="shared" si="17"/>
        <v>2012</v>
      </c>
      <c r="H309" s="17">
        <v>41135</v>
      </c>
      <c r="I309" s="16" t="str">
        <f t="shared" si="18"/>
        <v>OK</v>
      </c>
    </row>
    <row r="310" spans="1:9">
      <c r="A310" s="17">
        <v>41142</v>
      </c>
      <c r="B310" s="18">
        <v>-45270</v>
      </c>
      <c r="C310" s="19">
        <v>56.24</v>
      </c>
      <c r="D310" s="18">
        <f t="shared" si="19"/>
        <v>11289</v>
      </c>
      <c r="E310" s="20">
        <f t="shared" si="16"/>
        <v>8</v>
      </c>
      <c r="F310" s="20">
        <f t="shared" si="17"/>
        <v>2012</v>
      </c>
      <c r="H310" s="17">
        <v>41142</v>
      </c>
      <c r="I310" s="16" t="str">
        <f t="shared" si="18"/>
        <v>OK</v>
      </c>
    </row>
    <row r="311" spans="1:9">
      <c r="A311" s="17">
        <v>41149</v>
      </c>
      <c r="B311" s="18">
        <v>-27495</v>
      </c>
      <c r="C311" s="19">
        <v>56.42</v>
      </c>
      <c r="D311" s="18">
        <f t="shared" si="19"/>
        <v>17775</v>
      </c>
      <c r="E311" s="20">
        <f t="shared" si="16"/>
        <v>8</v>
      </c>
      <c r="F311" s="20">
        <f t="shared" si="17"/>
        <v>2012</v>
      </c>
      <c r="H311" s="17">
        <v>41149</v>
      </c>
      <c r="I311" s="16" t="str">
        <f t="shared" si="18"/>
        <v>OK</v>
      </c>
    </row>
    <row r="312" spans="1:9">
      <c r="A312" s="17">
        <v>41156</v>
      </c>
      <c r="B312" s="18">
        <v>-19535</v>
      </c>
      <c r="C312" s="19">
        <v>56.07</v>
      </c>
      <c r="D312" s="18">
        <f t="shared" si="19"/>
        <v>7960</v>
      </c>
      <c r="E312" s="20">
        <f t="shared" si="16"/>
        <v>9</v>
      </c>
      <c r="F312" s="20">
        <f t="shared" si="17"/>
        <v>2012</v>
      </c>
      <c r="H312" s="17">
        <v>41156</v>
      </c>
      <c r="I312" s="16" t="str">
        <f t="shared" si="18"/>
        <v>OK</v>
      </c>
    </row>
    <row r="313" spans="1:9">
      <c r="A313" s="17">
        <v>41163</v>
      </c>
      <c r="B313" s="18">
        <v>-15314</v>
      </c>
      <c r="C313" s="19">
        <v>56.64</v>
      </c>
      <c r="D313" s="18">
        <f t="shared" si="19"/>
        <v>4221</v>
      </c>
      <c r="E313" s="20">
        <f t="shared" si="16"/>
        <v>9</v>
      </c>
      <c r="F313" s="20">
        <f t="shared" si="17"/>
        <v>2012</v>
      </c>
      <c r="H313" s="17">
        <v>41163</v>
      </c>
      <c r="I313" s="16" t="str">
        <f t="shared" si="18"/>
        <v>OK</v>
      </c>
    </row>
    <row r="314" spans="1:9">
      <c r="A314" s="17">
        <v>41170</v>
      </c>
      <c r="B314" s="18">
        <v>-11791</v>
      </c>
      <c r="C314" s="19">
        <v>54.45</v>
      </c>
      <c r="D314" s="18">
        <f t="shared" si="19"/>
        <v>3523</v>
      </c>
      <c r="E314" s="20">
        <f t="shared" si="16"/>
        <v>9</v>
      </c>
      <c r="F314" s="20">
        <f t="shared" si="17"/>
        <v>2012</v>
      </c>
      <c r="H314" s="17">
        <v>41170</v>
      </c>
      <c r="I314" s="16" t="str">
        <f t="shared" si="18"/>
        <v>OK</v>
      </c>
    </row>
    <row r="315" spans="1:9">
      <c r="A315" s="17">
        <v>41177</v>
      </c>
      <c r="B315" s="18">
        <v>-13772</v>
      </c>
      <c r="C315" s="19">
        <v>52.18</v>
      </c>
      <c r="D315" s="18">
        <f t="shared" si="19"/>
        <v>-1981</v>
      </c>
      <c r="E315" s="20">
        <f t="shared" si="16"/>
        <v>9</v>
      </c>
      <c r="F315" s="20">
        <f t="shared" si="17"/>
        <v>2012</v>
      </c>
      <c r="H315" s="17">
        <v>41177</v>
      </c>
      <c r="I315" s="16" t="str">
        <f t="shared" si="18"/>
        <v>OK</v>
      </c>
    </row>
    <row r="316" spans="1:9">
      <c r="A316" s="17">
        <v>41184</v>
      </c>
      <c r="B316" s="18">
        <v>-28057</v>
      </c>
      <c r="C316" s="19">
        <v>50.76</v>
      </c>
      <c r="D316" s="18">
        <f t="shared" si="19"/>
        <v>-14285</v>
      </c>
      <c r="E316" s="20">
        <f t="shared" si="16"/>
        <v>10</v>
      </c>
      <c r="F316" s="20">
        <f t="shared" si="17"/>
        <v>2012</v>
      </c>
      <c r="H316" s="17">
        <v>41184</v>
      </c>
      <c r="I316" s="16" t="str">
        <f t="shared" si="18"/>
        <v>OK</v>
      </c>
    </row>
    <row r="317" spans="1:9">
      <c r="A317" s="17">
        <v>41191</v>
      </c>
      <c r="B317" s="18">
        <v>-37616</v>
      </c>
      <c r="C317" s="19">
        <v>49.89</v>
      </c>
      <c r="D317" s="18">
        <f t="shared" si="19"/>
        <v>-9559</v>
      </c>
      <c r="E317" s="20">
        <f t="shared" si="16"/>
        <v>10</v>
      </c>
      <c r="F317" s="20">
        <f t="shared" si="17"/>
        <v>2012</v>
      </c>
      <c r="H317" s="17">
        <v>41191</v>
      </c>
      <c r="I317" s="16" t="str">
        <f t="shared" si="18"/>
        <v>OK</v>
      </c>
    </row>
    <row r="318" spans="1:9">
      <c r="A318" s="17">
        <v>41198</v>
      </c>
      <c r="B318" s="18">
        <v>-55387</v>
      </c>
      <c r="C318" s="19">
        <v>51.58</v>
      </c>
      <c r="D318" s="18">
        <f t="shared" si="19"/>
        <v>-17771</v>
      </c>
      <c r="E318" s="20">
        <f t="shared" si="16"/>
        <v>10</v>
      </c>
      <c r="F318" s="20">
        <f t="shared" si="17"/>
        <v>2012</v>
      </c>
      <c r="H318" s="17">
        <v>41198</v>
      </c>
      <c r="I318" s="16" t="str">
        <f t="shared" si="18"/>
        <v>OK</v>
      </c>
    </row>
    <row r="319" spans="1:9">
      <c r="A319" s="17">
        <v>41205</v>
      </c>
      <c r="B319" s="18">
        <v>-58559</v>
      </c>
      <c r="C319" s="19">
        <v>50.96</v>
      </c>
      <c r="D319" s="18">
        <f t="shared" si="19"/>
        <v>-3172</v>
      </c>
      <c r="E319" s="20">
        <f t="shared" si="16"/>
        <v>10</v>
      </c>
      <c r="F319" s="20">
        <f t="shared" si="17"/>
        <v>2012</v>
      </c>
      <c r="H319" s="17">
        <v>41205</v>
      </c>
      <c r="I319" s="16" t="str">
        <f t="shared" si="18"/>
        <v>OK</v>
      </c>
    </row>
    <row r="320" spans="1:9">
      <c r="A320" s="17">
        <v>41212</v>
      </c>
      <c r="B320" s="18">
        <v>-71872</v>
      </c>
      <c r="C320" s="19">
        <v>49.26</v>
      </c>
      <c r="D320" s="18">
        <f t="shared" si="19"/>
        <v>-13313</v>
      </c>
      <c r="E320" s="20">
        <f t="shared" si="16"/>
        <v>10</v>
      </c>
      <c r="F320" s="20">
        <f t="shared" si="17"/>
        <v>2012</v>
      </c>
      <c r="H320" s="17">
        <v>41212</v>
      </c>
      <c r="I320" s="16" t="str">
        <f t="shared" si="18"/>
        <v>OK</v>
      </c>
    </row>
    <row r="321" spans="1:9">
      <c r="A321" s="17">
        <v>41219</v>
      </c>
      <c r="B321" s="18">
        <v>-82199</v>
      </c>
      <c r="C321" s="19">
        <v>47.77</v>
      </c>
      <c r="D321" s="18">
        <f t="shared" si="19"/>
        <v>-10327</v>
      </c>
      <c r="E321" s="20">
        <f t="shared" si="16"/>
        <v>11</v>
      </c>
      <c r="F321" s="20">
        <f t="shared" si="17"/>
        <v>2012</v>
      </c>
      <c r="H321" s="17">
        <v>41219</v>
      </c>
      <c r="I321" s="16" t="str">
        <f t="shared" si="18"/>
        <v>OK</v>
      </c>
    </row>
    <row r="322" spans="1:9">
      <c r="A322" s="17">
        <v>41226</v>
      </c>
      <c r="B322" s="18">
        <v>-73519</v>
      </c>
      <c r="C322" s="19">
        <v>47.05</v>
      </c>
      <c r="D322" s="18">
        <f t="shared" si="19"/>
        <v>8680</v>
      </c>
      <c r="E322" s="20">
        <f t="shared" ref="E322:E385" si="20">MONTH(A322)</f>
        <v>11</v>
      </c>
      <c r="F322" s="20">
        <f t="shared" ref="F322:F385" si="21">YEAR(A322)</f>
        <v>2012</v>
      </c>
      <c r="H322" s="17">
        <v>41226</v>
      </c>
      <c r="I322" s="16" t="str">
        <f t="shared" ref="I322:I385" si="22">IF(H322=A322,"OK","")</f>
        <v>OK</v>
      </c>
    </row>
    <row r="323" spans="1:9">
      <c r="A323" s="17">
        <v>41233</v>
      </c>
      <c r="B323" s="18">
        <v>-80947</v>
      </c>
      <c r="C323" s="19">
        <v>49.04</v>
      </c>
      <c r="D323" s="18">
        <f t="shared" ref="D323:D386" si="23">B323-B322</f>
        <v>-7428</v>
      </c>
      <c r="E323" s="20">
        <f t="shared" si="20"/>
        <v>11</v>
      </c>
      <c r="F323" s="20">
        <f t="shared" si="21"/>
        <v>2012</v>
      </c>
      <c r="H323" s="17">
        <v>41233</v>
      </c>
      <c r="I323" s="16" t="str">
        <f t="shared" si="22"/>
        <v>OK</v>
      </c>
    </row>
    <row r="324" spans="1:9">
      <c r="A324" s="17">
        <v>41240</v>
      </c>
      <c r="B324" s="18">
        <v>-72870</v>
      </c>
      <c r="C324" s="19">
        <v>49.41</v>
      </c>
      <c r="D324" s="18">
        <f t="shared" si="23"/>
        <v>8077</v>
      </c>
      <c r="E324" s="20">
        <f t="shared" si="20"/>
        <v>11</v>
      </c>
      <c r="F324" s="20">
        <f t="shared" si="21"/>
        <v>2012</v>
      </c>
      <c r="H324" s="17">
        <v>41240</v>
      </c>
      <c r="I324" s="16" t="str">
        <f t="shared" si="22"/>
        <v>OK</v>
      </c>
    </row>
    <row r="325" spans="1:9">
      <c r="A325" s="17">
        <v>41247</v>
      </c>
      <c r="B325" s="18">
        <v>-70727</v>
      </c>
      <c r="C325" s="19">
        <v>50.82</v>
      </c>
      <c r="D325" s="18">
        <f t="shared" si="23"/>
        <v>2143</v>
      </c>
      <c r="E325" s="20">
        <f t="shared" si="20"/>
        <v>12</v>
      </c>
      <c r="F325" s="20">
        <f t="shared" si="21"/>
        <v>2012</v>
      </c>
      <c r="H325" s="17">
        <v>41247</v>
      </c>
      <c r="I325" s="16" t="str">
        <f t="shared" si="22"/>
        <v>OK</v>
      </c>
    </row>
    <row r="326" spans="1:9">
      <c r="A326" s="17">
        <v>41254</v>
      </c>
      <c r="B326" s="18">
        <v>-66563</v>
      </c>
      <c r="C326" s="19">
        <v>49.63</v>
      </c>
      <c r="D326" s="18">
        <f t="shared" si="23"/>
        <v>4164</v>
      </c>
      <c r="E326" s="20">
        <f t="shared" si="20"/>
        <v>12</v>
      </c>
      <c r="F326" s="20">
        <f t="shared" si="21"/>
        <v>2012</v>
      </c>
      <c r="H326" s="17">
        <v>41254</v>
      </c>
      <c r="I326" s="16" t="str">
        <f t="shared" si="22"/>
        <v>OK</v>
      </c>
    </row>
    <row r="327" spans="1:9">
      <c r="A327" s="17">
        <v>41261</v>
      </c>
      <c r="B327" s="18">
        <v>-78086</v>
      </c>
      <c r="C327" s="19">
        <v>48.71</v>
      </c>
      <c r="D327" s="18">
        <f t="shared" si="23"/>
        <v>-11523</v>
      </c>
      <c r="E327" s="20">
        <f t="shared" si="20"/>
        <v>12</v>
      </c>
      <c r="F327" s="20">
        <f t="shared" si="21"/>
        <v>2012</v>
      </c>
      <c r="H327" s="17">
        <v>41261</v>
      </c>
      <c r="I327" s="16" t="str">
        <f t="shared" si="22"/>
        <v>OK</v>
      </c>
    </row>
    <row r="328" spans="1:9">
      <c r="A328" s="17">
        <v>41268</v>
      </c>
      <c r="B328" s="18">
        <v>-83913</v>
      </c>
      <c r="C328" s="19">
        <v>48.94</v>
      </c>
      <c r="D328" s="18">
        <f t="shared" si="23"/>
        <v>-5827</v>
      </c>
      <c r="E328" s="20">
        <f t="shared" si="20"/>
        <v>12</v>
      </c>
      <c r="F328" s="20">
        <f t="shared" si="21"/>
        <v>2012</v>
      </c>
      <c r="H328" s="17">
        <v>41268</v>
      </c>
      <c r="I328" s="16" t="str">
        <f t="shared" si="22"/>
        <v>OK</v>
      </c>
    </row>
    <row r="329" spans="1:9">
      <c r="A329" s="17">
        <v>41275</v>
      </c>
      <c r="B329" s="18">
        <v>-79935</v>
      </c>
      <c r="C329" s="19">
        <v>49.42</v>
      </c>
      <c r="D329" s="18">
        <f t="shared" si="23"/>
        <v>3978</v>
      </c>
      <c r="E329" s="20">
        <f t="shared" si="20"/>
        <v>1</v>
      </c>
      <c r="F329" s="20">
        <f t="shared" si="21"/>
        <v>2013</v>
      </c>
      <c r="H329" s="17">
        <v>41275</v>
      </c>
      <c r="I329" s="16" t="str">
        <f t="shared" si="22"/>
        <v>OK</v>
      </c>
    </row>
    <row r="330" spans="1:9">
      <c r="A330" s="17">
        <v>41282</v>
      </c>
      <c r="B330" s="18">
        <v>-73204</v>
      </c>
      <c r="C330" s="19">
        <v>48.88</v>
      </c>
      <c r="D330" s="18">
        <f t="shared" si="23"/>
        <v>6731</v>
      </c>
      <c r="E330" s="20">
        <f t="shared" si="20"/>
        <v>1</v>
      </c>
      <c r="F330" s="20">
        <f t="shared" si="21"/>
        <v>2013</v>
      </c>
      <c r="H330" s="17">
        <v>41282</v>
      </c>
      <c r="I330" s="16" t="str">
        <f t="shared" si="22"/>
        <v>OK</v>
      </c>
    </row>
    <row r="331" spans="1:9">
      <c r="A331" s="17">
        <v>41289</v>
      </c>
      <c r="B331" s="18">
        <v>-59069</v>
      </c>
      <c r="C331" s="19">
        <v>51.68</v>
      </c>
      <c r="D331" s="18">
        <f t="shared" si="23"/>
        <v>14135</v>
      </c>
      <c r="E331" s="20">
        <f t="shared" si="20"/>
        <v>1</v>
      </c>
      <c r="F331" s="20">
        <f t="shared" si="21"/>
        <v>2013</v>
      </c>
      <c r="H331" s="17">
        <v>41289</v>
      </c>
      <c r="I331" s="16" t="str">
        <f t="shared" si="22"/>
        <v>OK</v>
      </c>
    </row>
    <row r="332" spans="1:9">
      <c r="A332" s="17">
        <v>41296</v>
      </c>
      <c r="B332" s="18">
        <v>-46354</v>
      </c>
      <c r="C332" s="19">
        <v>52.1</v>
      </c>
      <c r="D332" s="18">
        <f t="shared" si="23"/>
        <v>12715</v>
      </c>
      <c r="E332" s="20">
        <f t="shared" si="20"/>
        <v>1</v>
      </c>
      <c r="F332" s="20">
        <f t="shared" si="21"/>
        <v>2013</v>
      </c>
      <c r="H332" s="17">
        <v>41296</v>
      </c>
      <c r="I332" s="16" t="str">
        <f t="shared" si="22"/>
        <v>OK</v>
      </c>
    </row>
    <row r="333" spans="1:9">
      <c r="A333" s="17">
        <v>41303</v>
      </c>
      <c r="B333" s="18">
        <v>-38666</v>
      </c>
      <c r="C333" s="19">
        <v>52.99</v>
      </c>
      <c r="D333" s="18">
        <f t="shared" si="23"/>
        <v>7688</v>
      </c>
      <c r="E333" s="20">
        <f t="shared" si="20"/>
        <v>1</v>
      </c>
      <c r="F333" s="20">
        <f t="shared" si="21"/>
        <v>2013</v>
      </c>
      <c r="H333" s="17">
        <v>41303</v>
      </c>
      <c r="I333" s="16" t="str">
        <f t="shared" si="22"/>
        <v>OK</v>
      </c>
    </row>
    <row r="334" spans="1:9">
      <c r="A334" s="17">
        <v>41310</v>
      </c>
      <c r="B334" s="18">
        <v>-38092</v>
      </c>
      <c r="C334" s="19">
        <v>51.43</v>
      </c>
      <c r="D334" s="18">
        <f t="shared" si="23"/>
        <v>574</v>
      </c>
      <c r="E334" s="20">
        <f t="shared" si="20"/>
        <v>2</v>
      </c>
      <c r="F334" s="20">
        <f t="shared" si="21"/>
        <v>2013</v>
      </c>
      <c r="H334" s="17">
        <v>41310</v>
      </c>
      <c r="I334" s="16" t="str">
        <f t="shared" si="22"/>
        <v>OK</v>
      </c>
    </row>
    <row r="335" spans="1:9">
      <c r="A335" s="17">
        <v>41317</v>
      </c>
      <c r="B335" s="18">
        <v>-59362</v>
      </c>
      <c r="C335" s="19">
        <v>51.62</v>
      </c>
      <c r="D335" s="18">
        <f t="shared" si="23"/>
        <v>-21270</v>
      </c>
      <c r="E335" s="20">
        <f t="shared" si="20"/>
        <v>2</v>
      </c>
      <c r="F335" s="20">
        <f t="shared" si="21"/>
        <v>2013</v>
      </c>
      <c r="H335" s="17">
        <v>41317</v>
      </c>
      <c r="I335" s="16" t="str">
        <f t="shared" si="22"/>
        <v>OK</v>
      </c>
    </row>
    <row r="336" spans="1:9">
      <c r="A336" s="17">
        <v>41324</v>
      </c>
      <c r="B336" s="18">
        <v>-54285</v>
      </c>
      <c r="C336" s="19">
        <v>50.35</v>
      </c>
      <c r="D336" s="18">
        <f t="shared" si="23"/>
        <v>5077</v>
      </c>
      <c r="E336" s="20">
        <f t="shared" si="20"/>
        <v>2</v>
      </c>
      <c r="F336" s="20">
        <f t="shared" si="21"/>
        <v>2013</v>
      </c>
      <c r="H336" s="17">
        <v>41324</v>
      </c>
      <c r="I336" s="16" t="str">
        <f t="shared" si="22"/>
        <v>OK</v>
      </c>
    </row>
    <row r="337" spans="1:9">
      <c r="A337" s="17">
        <v>41331</v>
      </c>
      <c r="B337" s="18">
        <v>-89537</v>
      </c>
      <c r="C337" s="19">
        <v>49.47</v>
      </c>
      <c r="D337" s="18">
        <f t="shared" si="23"/>
        <v>-35252</v>
      </c>
      <c r="E337" s="20">
        <f t="shared" si="20"/>
        <v>2</v>
      </c>
      <c r="F337" s="20">
        <f t="shared" si="21"/>
        <v>2013</v>
      </c>
      <c r="H337" s="17">
        <v>41331</v>
      </c>
      <c r="I337" s="16" t="str">
        <f t="shared" si="22"/>
        <v>OK</v>
      </c>
    </row>
    <row r="338" spans="1:9">
      <c r="A338" s="17">
        <v>41338</v>
      </c>
      <c r="B338" s="18">
        <v>-111538</v>
      </c>
      <c r="C338" s="19">
        <v>50.16</v>
      </c>
      <c r="D338" s="18">
        <f t="shared" si="23"/>
        <v>-22001</v>
      </c>
      <c r="E338" s="20">
        <f t="shared" si="20"/>
        <v>3</v>
      </c>
      <c r="F338" s="20">
        <f t="shared" si="21"/>
        <v>2013</v>
      </c>
      <c r="H338" s="17">
        <v>41338</v>
      </c>
      <c r="I338" s="16" t="str">
        <f t="shared" si="22"/>
        <v>OK</v>
      </c>
    </row>
    <row r="339" spans="1:9">
      <c r="A339" s="17">
        <v>41345</v>
      </c>
      <c r="B339" s="18">
        <v>-113779</v>
      </c>
      <c r="C339" s="19">
        <v>49.91</v>
      </c>
      <c r="D339" s="18">
        <f t="shared" si="23"/>
        <v>-2241</v>
      </c>
      <c r="E339" s="20">
        <f t="shared" si="20"/>
        <v>3</v>
      </c>
      <c r="F339" s="20">
        <f t="shared" si="21"/>
        <v>2013</v>
      </c>
      <c r="H339" s="17">
        <v>41345</v>
      </c>
      <c r="I339" s="16" t="str">
        <f t="shared" si="22"/>
        <v>OK</v>
      </c>
    </row>
    <row r="340" spans="1:9">
      <c r="A340" s="17">
        <v>41352</v>
      </c>
      <c r="B340" s="18">
        <v>-99684</v>
      </c>
      <c r="C340" s="19">
        <v>50.43</v>
      </c>
      <c r="D340" s="18">
        <f t="shared" si="23"/>
        <v>14095</v>
      </c>
      <c r="E340" s="20">
        <f t="shared" si="20"/>
        <v>3</v>
      </c>
      <c r="F340" s="20">
        <f t="shared" si="21"/>
        <v>2013</v>
      </c>
      <c r="H340" s="17">
        <v>41352</v>
      </c>
      <c r="I340" s="16" t="str">
        <f t="shared" si="22"/>
        <v>OK</v>
      </c>
    </row>
    <row r="341" spans="1:9">
      <c r="A341" s="17">
        <v>41359</v>
      </c>
      <c r="B341" s="18">
        <v>-73545</v>
      </c>
      <c r="C341" s="19">
        <v>50.11</v>
      </c>
      <c r="D341" s="18">
        <f t="shared" si="23"/>
        <v>26139</v>
      </c>
      <c r="E341" s="20">
        <f t="shared" si="20"/>
        <v>3</v>
      </c>
      <c r="F341" s="20">
        <f t="shared" si="21"/>
        <v>2013</v>
      </c>
      <c r="H341" s="17">
        <v>41359</v>
      </c>
      <c r="I341" s="16" t="str">
        <f t="shared" si="22"/>
        <v>OK</v>
      </c>
    </row>
    <row r="342" spans="1:9">
      <c r="A342" s="17">
        <v>41366</v>
      </c>
      <c r="B342" s="18">
        <v>-60542</v>
      </c>
      <c r="C342" s="19">
        <v>48.83</v>
      </c>
      <c r="D342" s="18">
        <f t="shared" si="23"/>
        <v>13003</v>
      </c>
      <c r="E342" s="20">
        <f t="shared" si="20"/>
        <v>4</v>
      </c>
      <c r="F342" s="20">
        <f t="shared" si="21"/>
        <v>2013</v>
      </c>
      <c r="H342" s="17">
        <v>41366</v>
      </c>
      <c r="I342" s="16" t="str">
        <f t="shared" si="22"/>
        <v>OK</v>
      </c>
    </row>
    <row r="343" spans="1:9">
      <c r="A343" s="17">
        <v>41373</v>
      </c>
      <c r="B343" s="18">
        <v>-59631</v>
      </c>
      <c r="C343" s="19">
        <v>49.23</v>
      </c>
      <c r="D343" s="18">
        <f t="shared" si="23"/>
        <v>911</v>
      </c>
      <c r="E343" s="20">
        <f t="shared" si="20"/>
        <v>4</v>
      </c>
      <c r="F343" s="20">
        <f t="shared" si="21"/>
        <v>2013</v>
      </c>
      <c r="H343" s="17">
        <v>41373</v>
      </c>
      <c r="I343" s="16" t="str">
        <f t="shared" si="22"/>
        <v>OK</v>
      </c>
    </row>
    <row r="344" spans="1:9">
      <c r="A344" s="17">
        <v>41380</v>
      </c>
      <c r="B344" s="18">
        <v>-66271</v>
      </c>
      <c r="C344" s="19">
        <v>49.16</v>
      </c>
      <c r="D344" s="18">
        <f t="shared" si="23"/>
        <v>-6640</v>
      </c>
      <c r="E344" s="20">
        <f t="shared" si="20"/>
        <v>4</v>
      </c>
      <c r="F344" s="20">
        <f t="shared" si="21"/>
        <v>2013</v>
      </c>
      <c r="H344" s="17">
        <v>41380</v>
      </c>
      <c r="I344" s="16" t="str">
        <f t="shared" si="22"/>
        <v>OK</v>
      </c>
    </row>
    <row r="345" spans="1:9">
      <c r="A345" s="17">
        <v>41387</v>
      </c>
      <c r="B345" s="18">
        <v>-59134</v>
      </c>
      <c r="C345" s="19">
        <v>49.66</v>
      </c>
      <c r="D345" s="18">
        <f t="shared" si="23"/>
        <v>7137</v>
      </c>
      <c r="E345" s="20">
        <f t="shared" si="20"/>
        <v>4</v>
      </c>
      <c r="F345" s="20">
        <f t="shared" si="21"/>
        <v>2013</v>
      </c>
      <c r="H345" s="17">
        <v>41387</v>
      </c>
      <c r="I345" s="16" t="str">
        <f t="shared" si="22"/>
        <v>OK</v>
      </c>
    </row>
    <row r="346" spans="1:9">
      <c r="A346" s="17">
        <v>41394</v>
      </c>
      <c r="B346" s="18">
        <v>-55334</v>
      </c>
      <c r="C346" s="19">
        <v>49.16</v>
      </c>
      <c r="D346" s="18">
        <f t="shared" si="23"/>
        <v>3800</v>
      </c>
      <c r="E346" s="20">
        <f t="shared" si="20"/>
        <v>4</v>
      </c>
      <c r="F346" s="20">
        <f t="shared" si="21"/>
        <v>2013</v>
      </c>
      <c r="H346" s="17">
        <v>41394</v>
      </c>
      <c r="I346" s="16" t="str">
        <f t="shared" si="22"/>
        <v>OK</v>
      </c>
    </row>
    <row r="347" spans="1:9">
      <c r="A347" s="17">
        <v>41401</v>
      </c>
      <c r="B347" s="18">
        <v>-50536</v>
      </c>
      <c r="C347" s="19">
        <v>49.17</v>
      </c>
      <c r="D347" s="18">
        <f t="shared" si="23"/>
        <v>4798</v>
      </c>
      <c r="E347" s="20">
        <f t="shared" si="20"/>
        <v>5</v>
      </c>
      <c r="F347" s="20">
        <f t="shared" si="21"/>
        <v>2013</v>
      </c>
      <c r="H347" s="17">
        <v>41401</v>
      </c>
      <c r="I347" s="16" t="str">
        <f t="shared" si="22"/>
        <v>OK</v>
      </c>
    </row>
    <row r="348" spans="1:9">
      <c r="A348" s="17">
        <v>41408</v>
      </c>
      <c r="B348" s="18">
        <v>-49661</v>
      </c>
      <c r="C348" s="19">
        <v>49.52</v>
      </c>
      <c r="D348" s="18">
        <f t="shared" si="23"/>
        <v>875</v>
      </c>
      <c r="E348" s="20">
        <f t="shared" si="20"/>
        <v>5</v>
      </c>
      <c r="F348" s="20">
        <f t="shared" si="21"/>
        <v>2013</v>
      </c>
      <c r="H348" s="17">
        <v>41408</v>
      </c>
      <c r="I348" s="16" t="str">
        <f t="shared" si="22"/>
        <v>OK</v>
      </c>
    </row>
    <row r="349" spans="1:9">
      <c r="A349" s="17">
        <v>41415</v>
      </c>
      <c r="B349" s="18">
        <v>-57261</v>
      </c>
      <c r="C349" s="19">
        <v>49.24</v>
      </c>
      <c r="D349" s="18">
        <f t="shared" si="23"/>
        <v>-7600</v>
      </c>
      <c r="E349" s="20">
        <f t="shared" si="20"/>
        <v>5</v>
      </c>
      <c r="F349" s="20">
        <f t="shared" si="21"/>
        <v>2013</v>
      </c>
      <c r="H349" s="17">
        <v>41415</v>
      </c>
      <c r="I349" s="16" t="str">
        <f t="shared" si="22"/>
        <v>OK</v>
      </c>
    </row>
    <row r="350" spans="1:9">
      <c r="A350" s="17">
        <v>41422</v>
      </c>
      <c r="B350" s="18">
        <v>-59944</v>
      </c>
      <c r="C350" s="19">
        <v>48.38</v>
      </c>
      <c r="D350" s="18">
        <f t="shared" si="23"/>
        <v>-2683</v>
      </c>
      <c r="E350" s="20">
        <f t="shared" si="20"/>
        <v>5</v>
      </c>
      <c r="F350" s="20">
        <f t="shared" si="21"/>
        <v>2013</v>
      </c>
      <c r="H350" s="17">
        <v>41422</v>
      </c>
      <c r="I350" s="16" t="str">
        <f t="shared" si="22"/>
        <v>OK</v>
      </c>
    </row>
    <row r="351" spans="1:9">
      <c r="A351" s="17">
        <v>41429</v>
      </c>
      <c r="B351" s="18">
        <v>-81637</v>
      </c>
      <c r="C351" s="19">
        <v>48.53</v>
      </c>
      <c r="D351" s="18">
        <f t="shared" si="23"/>
        <v>-21693</v>
      </c>
      <c r="E351" s="20">
        <f t="shared" si="20"/>
        <v>6</v>
      </c>
      <c r="F351" s="20">
        <f t="shared" si="21"/>
        <v>2013</v>
      </c>
      <c r="H351" s="17">
        <v>41429</v>
      </c>
      <c r="I351" s="16" t="str">
        <f t="shared" si="22"/>
        <v>OK</v>
      </c>
    </row>
    <row r="352" spans="1:9">
      <c r="A352" s="17">
        <v>41436</v>
      </c>
      <c r="B352" s="18">
        <v>-88993</v>
      </c>
      <c r="C352" s="19">
        <v>48.48</v>
      </c>
      <c r="D352" s="18">
        <f t="shared" si="23"/>
        <v>-7356</v>
      </c>
      <c r="E352" s="20">
        <f t="shared" si="20"/>
        <v>6</v>
      </c>
      <c r="F352" s="20">
        <f t="shared" si="21"/>
        <v>2013</v>
      </c>
      <c r="H352" s="17">
        <v>41436</v>
      </c>
      <c r="I352" s="16" t="str">
        <f t="shared" si="22"/>
        <v>OK</v>
      </c>
    </row>
    <row r="353" spans="1:9">
      <c r="A353" s="17">
        <v>41443</v>
      </c>
      <c r="B353" s="18">
        <v>-86863</v>
      </c>
      <c r="C353" s="19">
        <v>48.02</v>
      </c>
      <c r="D353" s="18">
        <f t="shared" si="23"/>
        <v>2130</v>
      </c>
      <c r="E353" s="20">
        <f t="shared" si="20"/>
        <v>6</v>
      </c>
      <c r="F353" s="20">
        <f t="shared" si="21"/>
        <v>2013</v>
      </c>
      <c r="H353" s="17">
        <v>41443</v>
      </c>
      <c r="I353" s="16" t="str">
        <f t="shared" si="22"/>
        <v>OK</v>
      </c>
    </row>
    <row r="354" spans="1:9">
      <c r="A354" s="17">
        <v>41450</v>
      </c>
      <c r="B354" s="18">
        <v>-89584</v>
      </c>
      <c r="C354" s="19">
        <v>46.42</v>
      </c>
      <c r="D354" s="18">
        <f t="shared" si="23"/>
        <v>-2721</v>
      </c>
      <c r="E354" s="20">
        <f t="shared" si="20"/>
        <v>6</v>
      </c>
      <c r="F354" s="20">
        <f t="shared" si="21"/>
        <v>2013</v>
      </c>
      <c r="H354" s="17">
        <v>41450</v>
      </c>
      <c r="I354" s="16" t="str">
        <f t="shared" si="22"/>
        <v>OK</v>
      </c>
    </row>
    <row r="355" spans="1:9">
      <c r="A355" s="17">
        <v>41457</v>
      </c>
      <c r="B355" s="18">
        <v>-88958</v>
      </c>
      <c r="C355" s="19">
        <v>47.23</v>
      </c>
      <c r="D355" s="18">
        <f t="shared" si="23"/>
        <v>626</v>
      </c>
      <c r="E355" s="20">
        <f t="shared" si="20"/>
        <v>7</v>
      </c>
      <c r="F355" s="20">
        <f t="shared" si="21"/>
        <v>2013</v>
      </c>
      <c r="H355" s="17">
        <v>41457</v>
      </c>
      <c r="I355" s="16" t="str">
        <f t="shared" si="22"/>
        <v>OK</v>
      </c>
    </row>
    <row r="356" spans="1:9">
      <c r="A356" s="17">
        <v>41464</v>
      </c>
      <c r="B356" s="18">
        <v>-86358</v>
      </c>
      <c r="C356" s="19">
        <v>46.09</v>
      </c>
      <c r="D356" s="18">
        <f t="shared" si="23"/>
        <v>2600</v>
      </c>
      <c r="E356" s="20">
        <f t="shared" si="20"/>
        <v>7</v>
      </c>
      <c r="F356" s="20">
        <f t="shared" si="21"/>
        <v>2013</v>
      </c>
      <c r="H356" s="17">
        <v>41464</v>
      </c>
      <c r="I356" s="16" t="str">
        <f t="shared" si="22"/>
        <v>OK</v>
      </c>
    </row>
    <row r="357" spans="1:9">
      <c r="A357" s="17">
        <v>41471</v>
      </c>
      <c r="B357" s="18">
        <v>-87464</v>
      </c>
      <c r="C357" s="19">
        <v>45.5</v>
      </c>
      <c r="D357" s="18">
        <f t="shared" si="23"/>
        <v>-1106</v>
      </c>
      <c r="E357" s="20">
        <f t="shared" si="20"/>
        <v>7</v>
      </c>
      <c r="F357" s="20">
        <f t="shared" si="21"/>
        <v>2013</v>
      </c>
      <c r="H357" s="17">
        <v>41471</v>
      </c>
      <c r="I357" s="16" t="str">
        <f t="shared" si="22"/>
        <v>OK</v>
      </c>
    </row>
    <row r="358" spans="1:9">
      <c r="A358" s="17">
        <v>41478</v>
      </c>
      <c r="B358" s="18">
        <v>-94241</v>
      </c>
      <c r="C358" s="19">
        <v>43.58</v>
      </c>
      <c r="D358" s="18">
        <f t="shared" si="23"/>
        <v>-6777</v>
      </c>
      <c r="E358" s="20">
        <f t="shared" si="20"/>
        <v>7</v>
      </c>
      <c r="F358" s="20">
        <f t="shared" si="21"/>
        <v>2013</v>
      </c>
      <c r="H358" s="17">
        <v>41478</v>
      </c>
      <c r="I358" s="16" t="str">
        <f t="shared" si="22"/>
        <v>OK</v>
      </c>
    </row>
    <row r="359" spans="1:9">
      <c r="A359" s="17">
        <v>41485</v>
      </c>
      <c r="B359" s="18">
        <v>-76470</v>
      </c>
      <c r="C359" s="19">
        <v>42.38</v>
      </c>
      <c r="D359" s="18">
        <f t="shared" si="23"/>
        <v>17771</v>
      </c>
      <c r="E359" s="20">
        <f t="shared" si="20"/>
        <v>7</v>
      </c>
      <c r="F359" s="20">
        <f t="shared" si="21"/>
        <v>2013</v>
      </c>
      <c r="H359" s="17">
        <v>41485</v>
      </c>
      <c r="I359" s="16" t="str">
        <f t="shared" si="22"/>
        <v>OK</v>
      </c>
    </row>
    <row r="360" spans="1:9">
      <c r="A360" s="17">
        <v>41492</v>
      </c>
      <c r="B360" s="18">
        <v>-77889</v>
      </c>
      <c r="C360" s="19">
        <v>41.4</v>
      </c>
      <c r="D360" s="18">
        <f t="shared" si="23"/>
        <v>-1419</v>
      </c>
      <c r="E360" s="20">
        <f t="shared" si="20"/>
        <v>8</v>
      </c>
      <c r="F360" s="20">
        <f t="shared" si="21"/>
        <v>2013</v>
      </c>
      <c r="H360" s="17">
        <v>41492</v>
      </c>
      <c r="I360" s="16" t="str">
        <f t="shared" si="22"/>
        <v>OK</v>
      </c>
    </row>
    <row r="361" spans="1:9">
      <c r="A361" s="17">
        <v>41499</v>
      </c>
      <c r="B361" s="18">
        <v>-74066</v>
      </c>
      <c r="C361" s="19">
        <v>42.81</v>
      </c>
      <c r="D361" s="18">
        <f t="shared" si="23"/>
        <v>3823</v>
      </c>
      <c r="E361" s="20">
        <f t="shared" si="20"/>
        <v>8</v>
      </c>
      <c r="F361" s="20">
        <f t="shared" si="21"/>
        <v>2013</v>
      </c>
      <c r="H361" s="17">
        <v>41499</v>
      </c>
      <c r="I361" s="16" t="str">
        <f t="shared" si="22"/>
        <v>OK</v>
      </c>
    </row>
    <row r="362" spans="1:9">
      <c r="A362" s="17">
        <v>41506</v>
      </c>
      <c r="B362" s="18">
        <v>-79587</v>
      </c>
      <c r="C362" s="19">
        <v>42.64</v>
      </c>
      <c r="D362" s="18">
        <f t="shared" si="23"/>
        <v>-5521</v>
      </c>
      <c r="E362" s="20">
        <f t="shared" si="20"/>
        <v>8</v>
      </c>
      <c r="F362" s="20">
        <f t="shared" si="21"/>
        <v>2013</v>
      </c>
      <c r="H362" s="17">
        <v>41506</v>
      </c>
      <c r="I362" s="16" t="str">
        <f t="shared" si="22"/>
        <v>OK</v>
      </c>
    </row>
    <row r="363" spans="1:9">
      <c r="A363" s="17">
        <v>41513</v>
      </c>
      <c r="B363" s="18">
        <v>-74597</v>
      </c>
      <c r="C363" s="19">
        <v>43.89</v>
      </c>
      <c r="D363" s="18">
        <f t="shared" si="23"/>
        <v>4990</v>
      </c>
      <c r="E363" s="20">
        <f t="shared" si="20"/>
        <v>8</v>
      </c>
      <c r="F363" s="20">
        <f t="shared" si="21"/>
        <v>2013</v>
      </c>
      <c r="H363" s="17">
        <v>41513</v>
      </c>
      <c r="I363" s="16" t="str">
        <f t="shared" si="22"/>
        <v>OK</v>
      </c>
    </row>
    <row r="364" spans="1:9">
      <c r="A364" s="17">
        <v>41520</v>
      </c>
      <c r="B364" s="18">
        <v>-80484</v>
      </c>
      <c r="C364" s="19">
        <v>43.36</v>
      </c>
      <c r="D364" s="18">
        <f t="shared" si="23"/>
        <v>-5887</v>
      </c>
      <c r="E364" s="20">
        <f t="shared" si="20"/>
        <v>9</v>
      </c>
      <c r="F364" s="20">
        <f t="shared" si="21"/>
        <v>2013</v>
      </c>
      <c r="H364" s="17">
        <v>41520</v>
      </c>
      <c r="I364" s="16" t="str">
        <f t="shared" si="22"/>
        <v>OK</v>
      </c>
    </row>
    <row r="365" spans="1:9">
      <c r="A365" s="17">
        <v>41527</v>
      </c>
      <c r="B365" s="18">
        <v>-86257</v>
      </c>
      <c r="C365" s="19">
        <v>42.22</v>
      </c>
      <c r="D365" s="18">
        <f t="shared" si="23"/>
        <v>-5773</v>
      </c>
      <c r="E365" s="20">
        <f t="shared" si="20"/>
        <v>9</v>
      </c>
      <c r="F365" s="20">
        <f t="shared" si="21"/>
        <v>2013</v>
      </c>
      <c r="H365" s="17">
        <v>41527</v>
      </c>
      <c r="I365" s="16" t="str">
        <f t="shared" si="22"/>
        <v>OK</v>
      </c>
    </row>
    <row r="366" spans="1:9">
      <c r="A366" s="17">
        <v>41534</v>
      </c>
      <c r="B366" s="18">
        <v>-86163</v>
      </c>
      <c r="C366" s="19">
        <v>42.09</v>
      </c>
      <c r="D366" s="18">
        <f t="shared" si="23"/>
        <v>94</v>
      </c>
      <c r="E366" s="20">
        <f t="shared" si="20"/>
        <v>9</v>
      </c>
      <c r="F366" s="20">
        <f t="shared" si="21"/>
        <v>2013</v>
      </c>
      <c r="H366" s="17">
        <v>41534</v>
      </c>
      <c r="I366" s="16" t="str">
        <f t="shared" si="22"/>
        <v>OK</v>
      </c>
    </row>
    <row r="367" spans="1:9">
      <c r="A367" s="17">
        <v>41541</v>
      </c>
      <c r="B367" s="18">
        <v>-85879</v>
      </c>
      <c r="C367" s="19">
        <v>41.51</v>
      </c>
      <c r="D367" s="18">
        <f t="shared" si="23"/>
        <v>284</v>
      </c>
      <c r="E367" s="20">
        <f t="shared" si="20"/>
        <v>9</v>
      </c>
      <c r="F367" s="20">
        <f t="shared" si="21"/>
        <v>2013</v>
      </c>
      <c r="H367" s="17">
        <v>41541</v>
      </c>
      <c r="I367" s="16" t="str">
        <f t="shared" si="22"/>
        <v>OK</v>
      </c>
    </row>
    <row r="368" spans="1:9">
      <c r="A368" s="17">
        <v>41548</v>
      </c>
      <c r="B368" s="18">
        <v>-82341</v>
      </c>
      <c r="C368" s="19">
        <v>39.99</v>
      </c>
      <c r="D368" s="18">
        <f t="shared" si="23"/>
        <v>3538</v>
      </c>
      <c r="E368" s="20">
        <f t="shared" si="20"/>
        <v>10</v>
      </c>
      <c r="F368" s="20">
        <f t="shared" si="21"/>
        <v>2013</v>
      </c>
      <c r="H368" s="17">
        <v>41548</v>
      </c>
      <c r="I368" s="16" t="str">
        <f t="shared" si="22"/>
        <v>OK</v>
      </c>
    </row>
    <row r="369" spans="1:9">
      <c r="A369" s="17">
        <v>41555</v>
      </c>
      <c r="B369" s="18">
        <v>-77138</v>
      </c>
      <c r="C369" s="19">
        <v>40.11</v>
      </c>
      <c r="D369" s="18">
        <f t="shared" si="23"/>
        <v>5203</v>
      </c>
      <c r="E369" s="20">
        <f t="shared" si="20"/>
        <v>10</v>
      </c>
      <c r="F369" s="20">
        <f t="shared" si="21"/>
        <v>2013</v>
      </c>
      <c r="H369" s="17">
        <v>41555</v>
      </c>
      <c r="I369" s="16" t="str">
        <f t="shared" si="22"/>
        <v>OK</v>
      </c>
    </row>
    <row r="370" spans="1:9">
      <c r="A370" s="17">
        <v>41562</v>
      </c>
      <c r="B370" s="18">
        <v>-76225</v>
      </c>
      <c r="C370" s="19">
        <v>41.68</v>
      </c>
      <c r="D370" s="18">
        <f t="shared" si="23"/>
        <v>913</v>
      </c>
      <c r="E370" s="20">
        <f t="shared" si="20"/>
        <v>10</v>
      </c>
      <c r="F370" s="20">
        <f t="shared" si="21"/>
        <v>2013</v>
      </c>
      <c r="H370" s="17">
        <v>41562</v>
      </c>
      <c r="I370" s="16" t="str">
        <f t="shared" si="22"/>
        <v>OK</v>
      </c>
    </row>
    <row r="371" spans="1:9">
      <c r="A371" s="17">
        <v>41569</v>
      </c>
      <c r="B371" s="18">
        <v>-73598</v>
      </c>
      <c r="C371" s="19">
        <v>40.729999999999997</v>
      </c>
      <c r="D371" s="18">
        <f t="shared" si="23"/>
        <v>2627</v>
      </c>
      <c r="E371" s="20">
        <f t="shared" si="20"/>
        <v>10</v>
      </c>
      <c r="F371" s="20">
        <f t="shared" si="21"/>
        <v>2013</v>
      </c>
      <c r="H371" s="17">
        <v>41569</v>
      </c>
      <c r="I371" s="16" t="str">
        <f t="shared" si="22"/>
        <v>OK</v>
      </c>
    </row>
    <row r="372" spans="1:9">
      <c r="A372" s="17">
        <v>41576</v>
      </c>
      <c r="B372" s="18">
        <v>-76034</v>
      </c>
      <c r="C372" s="19">
        <v>41.59</v>
      </c>
      <c r="D372" s="18">
        <f t="shared" si="23"/>
        <v>-2436</v>
      </c>
      <c r="E372" s="20">
        <f t="shared" si="20"/>
        <v>10</v>
      </c>
      <c r="F372" s="20">
        <f t="shared" si="21"/>
        <v>2013</v>
      </c>
      <c r="H372" s="17">
        <v>41576</v>
      </c>
      <c r="I372" s="16" t="str">
        <f t="shared" si="22"/>
        <v>OK</v>
      </c>
    </row>
    <row r="373" spans="1:9">
      <c r="A373" s="17">
        <v>41583</v>
      </c>
      <c r="B373" s="18">
        <v>-61442</v>
      </c>
      <c r="C373" s="19">
        <v>40.24</v>
      </c>
      <c r="D373" s="18">
        <f t="shared" si="23"/>
        <v>14592</v>
      </c>
      <c r="E373" s="20">
        <f t="shared" si="20"/>
        <v>11</v>
      </c>
      <c r="F373" s="20">
        <f t="shared" si="21"/>
        <v>2013</v>
      </c>
      <c r="H373" s="17">
        <v>41583</v>
      </c>
      <c r="I373" s="16" t="str">
        <f t="shared" si="22"/>
        <v>OK</v>
      </c>
    </row>
    <row r="374" spans="1:9">
      <c r="A374" s="17">
        <v>41590</v>
      </c>
      <c r="B374" s="18">
        <v>-74452</v>
      </c>
      <c r="C374" s="19">
        <v>40.47</v>
      </c>
      <c r="D374" s="18">
        <f t="shared" si="23"/>
        <v>-13010</v>
      </c>
      <c r="E374" s="20">
        <f t="shared" si="20"/>
        <v>11</v>
      </c>
      <c r="F374" s="20">
        <f t="shared" si="21"/>
        <v>2013</v>
      </c>
      <c r="H374" s="17">
        <v>41590</v>
      </c>
      <c r="I374" s="16" t="str">
        <f t="shared" si="22"/>
        <v>OK</v>
      </c>
    </row>
    <row r="375" spans="1:9">
      <c r="A375" s="17">
        <v>41597</v>
      </c>
      <c r="B375" s="18">
        <v>-81704</v>
      </c>
      <c r="C375" s="19">
        <v>41.16</v>
      </c>
      <c r="D375" s="18">
        <f t="shared" si="23"/>
        <v>-7252</v>
      </c>
      <c r="E375" s="20">
        <f t="shared" si="20"/>
        <v>11</v>
      </c>
      <c r="F375" s="20">
        <f t="shared" si="21"/>
        <v>2013</v>
      </c>
      <c r="H375" s="17">
        <v>41597</v>
      </c>
      <c r="I375" s="16" t="str">
        <f t="shared" si="22"/>
        <v>OK</v>
      </c>
    </row>
    <row r="376" spans="1:9">
      <c r="A376" s="17">
        <v>41604</v>
      </c>
      <c r="B376" s="18">
        <v>-80699</v>
      </c>
      <c r="C376" s="19">
        <v>40.22</v>
      </c>
      <c r="D376" s="18">
        <f t="shared" si="23"/>
        <v>1005</v>
      </c>
      <c r="E376" s="20">
        <f t="shared" si="20"/>
        <v>11</v>
      </c>
      <c r="F376" s="20">
        <f t="shared" si="21"/>
        <v>2013</v>
      </c>
      <c r="H376" s="17">
        <v>41604</v>
      </c>
      <c r="I376" s="16" t="str">
        <f t="shared" si="22"/>
        <v>OK</v>
      </c>
    </row>
    <row r="377" spans="1:9">
      <c r="A377" s="17">
        <v>41611</v>
      </c>
      <c r="B377" s="18">
        <v>-94485</v>
      </c>
      <c r="C377" s="19">
        <v>40.28</v>
      </c>
      <c r="D377" s="18">
        <f t="shared" si="23"/>
        <v>-13786</v>
      </c>
      <c r="E377" s="20">
        <f t="shared" si="20"/>
        <v>12</v>
      </c>
      <c r="F377" s="20">
        <f t="shared" si="21"/>
        <v>2013</v>
      </c>
      <c r="H377" s="17">
        <v>41611</v>
      </c>
      <c r="I377" s="16" t="str">
        <f t="shared" si="22"/>
        <v>OK</v>
      </c>
    </row>
    <row r="378" spans="1:9">
      <c r="A378" s="17">
        <v>41618</v>
      </c>
      <c r="B378" s="18">
        <v>-105174</v>
      </c>
      <c r="C378" s="19">
        <v>39.47</v>
      </c>
      <c r="D378" s="18">
        <f t="shared" si="23"/>
        <v>-10689</v>
      </c>
      <c r="E378" s="20">
        <f t="shared" si="20"/>
        <v>12</v>
      </c>
      <c r="F378" s="20">
        <f t="shared" si="21"/>
        <v>2013</v>
      </c>
      <c r="H378" s="17">
        <v>41618</v>
      </c>
      <c r="I378" s="16" t="str">
        <f t="shared" si="22"/>
        <v>OK</v>
      </c>
    </row>
    <row r="379" spans="1:9">
      <c r="A379" s="17">
        <v>41625</v>
      </c>
      <c r="B379" s="18">
        <v>-105312</v>
      </c>
      <c r="C379" s="19">
        <v>39.44</v>
      </c>
      <c r="D379" s="18">
        <f t="shared" si="23"/>
        <v>-138</v>
      </c>
      <c r="E379" s="20">
        <f t="shared" si="20"/>
        <v>12</v>
      </c>
      <c r="F379" s="20">
        <f t="shared" si="21"/>
        <v>2013</v>
      </c>
      <c r="H379" s="17">
        <v>41625</v>
      </c>
      <c r="I379" s="16" t="str">
        <f t="shared" si="22"/>
        <v>OK</v>
      </c>
    </row>
    <row r="380" spans="1:9">
      <c r="A380" s="17">
        <v>41632</v>
      </c>
      <c r="B380" s="18">
        <v>-104323</v>
      </c>
      <c r="C380" s="19">
        <v>39.020000000000003</v>
      </c>
      <c r="D380" s="18">
        <f t="shared" si="23"/>
        <v>989</v>
      </c>
      <c r="E380" s="20">
        <f t="shared" si="20"/>
        <v>12</v>
      </c>
      <c r="F380" s="20">
        <f t="shared" si="21"/>
        <v>2013</v>
      </c>
      <c r="H380" s="17">
        <v>41632</v>
      </c>
      <c r="I380" s="16" t="str">
        <f t="shared" si="22"/>
        <v>OK</v>
      </c>
    </row>
    <row r="381" spans="1:9">
      <c r="A381" s="17">
        <v>41639</v>
      </c>
      <c r="B381" s="18">
        <v>-104580</v>
      </c>
      <c r="C381" s="19">
        <v>38.340000000000003</v>
      </c>
      <c r="D381" s="18">
        <f t="shared" si="23"/>
        <v>-257</v>
      </c>
      <c r="E381" s="20">
        <f t="shared" si="20"/>
        <v>12</v>
      </c>
      <c r="F381" s="20">
        <f t="shared" si="21"/>
        <v>2013</v>
      </c>
      <c r="H381" s="17">
        <v>41639</v>
      </c>
      <c r="I381" s="16" t="str">
        <f t="shared" si="22"/>
        <v>OK</v>
      </c>
    </row>
    <row r="382" spans="1:9">
      <c r="A382" s="17">
        <v>41646</v>
      </c>
      <c r="B382" s="18">
        <v>-102653</v>
      </c>
      <c r="C382" s="19">
        <v>37.950000000000003</v>
      </c>
      <c r="D382" s="18">
        <f t="shared" si="23"/>
        <v>1927</v>
      </c>
      <c r="E382" s="20">
        <f t="shared" si="20"/>
        <v>1</v>
      </c>
      <c r="F382" s="20">
        <f t="shared" si="21"/>
        <v>2014</v>
      </c>
      <c r="H382" s="17">
        <v>41646</v>
      </c>
      <c r="I382" s="16" t="str">
        <f t="shared" si="22"/>
        <v>OK</v>
      </c>
    </row>
    <row r="383" spans="1:9">
      <c r="A383" s="17">
        <v>41653</v>
      </c>
      <c r="B383" s="18">
        <v>-119416</v>
      </c>
      <c r="C383" s="19">
        <v>37.74</v>
      </c>
      <c r="D383" s="18">
        <f t="shared" si="23"/>
        <v>-16763</v>
      </c>
      <c r="E383" s="20">
        <f t="shared" si="20"/>
        <v>1</v>
      </c>
      <c r="F383" s="20">
        <f t="shared" si="21"/>
        <v>2014</v>
      </c>
      <c r="H383" s="17">
        <v>41653</v>
      </c>
      <c r="I383" s="16" t="str">
        <f t="shared" si="22"/>
        <v>OK</v>
      </c>
    </row>
    <row r="384" spans="1:9">
      <c r="A384" s="17">
        <v>41660</v>
      </c>
      <c r="B384" s="18">
        <v>-124061</v>
      </c>
      <c r="C384" s="19">
        <v>37.54</v>
      </c>
      <c r="D384" s="18">
        <f t="shared" si="23"/>
        <v>-4645</v>
      </c>
      <c r="E384" s="20">
        <f t="shared" si="20"/>
        <v>1</v>
      </c>
      <c r="F384" s="20">
        <f t="shared" si="21"/>
        <v>2014</v>
      </c>
      <c r="H384" s="17">
        <v>41660</v>
      </c>
      <c r="I384" s="16" t="str">
        <f t="shared" si="22"/>
        <v>OK</v>
      </c>
    </row>
    <row r="385" spans="1:9">
      <c r="A385" s="17">
        <v>41667</v>
      </c>
      <c r="B385" s="18">
        <v>-121838</v>
      </c>
      <c r="C385" s="19">
        <v>37.64</v>
      </c>
      <c r="D385" s="18">
        <f t="shared" si="23"/>
        <v>2223</v>
      </c>
      <c r="E385" s="20">
        <f t="shared" si="20"/>
        <v>1</v>
      </c>
      <c r="F385" s="20">
        <f t="shared" si="21"/>
        <v>2014</v>
      </c>
      <c r="H385" s="17">
        <v>41667</v>
      </c>
      <c r="I385" s="16" t="str">
        <f t="shared" si="22"/>
        <v>OK</v>
      </c>
    </row>
    <row r="386" spans="1:9">
      <c r="A386" s="17">
        <v>41674</v>
      </c>
      <c r="B386" s="18">
        <v>-125415</v>
      </c>
      <c r="C386" s="19">
        <v>38.56</v>
      </c>
      <c r="D386" s="18">
        <f t="shared" si="23"/>
        <v>-3577</v>
      </c>
      <c r="E386" s="20">
        <f t="shared" ref="E386:E449" si="24">MONTH(A386)</f>
        <v>2</v>
      </c>
      <c r="F386" s="20">
        <f t="shared" ref="F386:F449" si="25">YEAR(A386)</f>
        <v>2014</v>
      </c>
      <c r="H386" s="17">
        <v>41674</v>
      </c>
      <c r="I386" s="16" t="str">
        <f t="shared" ref="I386:I449" si="26">IF(H386=A386,"OK","")</f>
        <v>OK</v>
      </c>
    </row>
    <row r="387" spans="1:9">
      <c r="A387" s="17">
        <v>41681</v>
      </c>
      <c r="B387" s="18">
        <v>-119010</v>
      </c>
      <c r="C387" s="19">
        <v>39.15</v>
      </c>
      <c r="D387" s="18">
        <f t="shared" ref="D387:D450" si="27">B387-B386</f>
        <v>6405</v>
      </c>
      <c r="E387" s="20">
        <f t="shared" si="24"/>
        <v>2</v>
      </c>
      <c r="F387" s="20">
        <f t="shared" si="25"/>
        <v>2014</v>
      </c>
      <c r="H387" s="17">
        <v>41681</v>
      </c>
      <c r="I387" s="16" t="str">
        <f t="shared" si="26"/>
        <v>OK</v>
      </c>
    </row>
    <row r="388" spans="1:9">
      <c r="A388" s="17">
        <v>41688</v>
      </c>
      <c r="B388" s="18">
        <v>-108549</v>
      </c>
      <c r="C388" s="19">
        <v>40.950000000000003</v>
      </c>
      <c r="D388" s="18">
        <f t="shared" si="27"/>
        <v>10461</v>
      </c>
      <c r="E388" s="20">
        <f t="shared" si="24"/>
        <v>2</v>
      </c>
      <c r="F388" s="20">
        <f t="shared" si="25"/>
        <v>2014</v>
      </c>
      <c r="H388" s="17">
        <v>41688</v>
      </c>
      <c r="I388" s="16" t="str">
        <f t="shared" si="26"/>
        <v>OK</v>
      </c>
    </row>
    <row r="389" spans="1:9">
      <c r="A389" s="17">
        <v>41695</v>
      </c>
      <c r="B389" s="18">
        <v>-91355</v>
      </c>
      <c r="C389" s="19">
        <v>41.52</v>
      </c>
      <c r="D389" s="18">
        <f t="shared" si="27"/>
        <v>17194</v>
      </c>
      <c r="E389" s="20">
        <f t="shared" si="24"/>
        <v>2</v>
      </c>
      <c r="F389" s="20">
        <f t="shared" si="25"/>
        <v>2014</v>
      </c>
      <c r="H389" s="17">
        <v>41695</v>
      </c>
      <c r="I389" s="16" t="str">
        <f t="shared" si="26"/>
        <v>OK</v>
      </c>
    </row>
    <row r="390" spans="1:9">
      <c r="A390" s="17">
        <v>41702</v>
      </c>
      <c r="B390" s="18">
        <v>-74115</v>
      </c>
      <c r="C390" s="19">
        <v>44.09</v>
      </c>
      <c r="D390" s="18">
        <f t="shared" si="27"/>
        <v>17240</v>
      </c>
      <c r="E390" s="20">
        <f t="shared" si="24"/>
        <v>3</v>
      </c>
      <c r="F390" s="20">
        <f t="shared" si="25"/>
        <v>2014</v>
      </c>
      <c r="H390" s="17">
        <v>41702</v>
      </c>
      <c r="I390" s="16" t="str">
        <f t="shared" si="26"/>
        <v>OK</v>
      </c>
    </row>
    <row r="391" spans="1:9">
      <c r="A391" s="17">
        <v>41709</v>
      </c>
      <c r="B391" s="18">
        <v>-44547</v>
      </c>
      <c r="C391" s="19">
        <v>42.02</v>
      </c>
      <c r="D391" s="18">
        <f t="shared" si="27"/>
        <v>29568</v>
      </c>
      <c r="E391" s="20">
        <f t="shared" si="24"/>
        <v>3</v>
      </c>
      <c r="F391" s="20">
        <f t="shared" si="25"/>
        <v>2014</v>
      </c>
      <c r="H391" s="17">
        <v>41709</v>
      </c>
      <c r="I391" s="16" t="str">
        <f t="shared" si="26"/>
        <v>OK</v>
      </c>
    </row>
    <row r="392" spans="1:9">
      <c r="A392" s="17">
        <v>41716</v>
      </c>
      <c r="B392" s="18">
        <v>-36560</v>
      </c>
      <c r="C392" s="19">
        <v>41.02</v>
      </c>
      <c r="D392" s="18">
        <f t="shared" si="27"/>
        <v>7987</v>
      </c>
      <c r="E392" s="20">
        <f t="shared" si="24"/>
        <v>3</v>
      </c>
      <c r="F392" s="20">
        <f t="shared" si="25"/>
        <v>2014</v>
      </c>
      <c r="H392" s="17">
        <v>41716</v>
      </c>
      <c r="I392" s="16" t="str">
        <f t="shared" si="26"/>
        <v>OK</v>
      </c>
    </row>
    <row r="393" spans="1:9">
      <c r="A393" s="17">
        <v>41723</v>
      </c>
      <c r="B393" s="18">
        <v>-48875</v>
      </c>
      <c r="C393" s="19">
        <v>40.479999999999997</v>
      </c>
      <c r="D393" s="18">
        <f t="shared" si="27"/>
        <v>-12315</v>
      </c>
      <c r="E393" s="20">
        <f t="shared" si="24"/>
        <v>3</v>
      </c>
      <c r="F393" s="20">
        <f t="shared" si="25"/>
        <v>2014</v>
      </c>
      <c r="H393" s="17">
        <v>41723</v>
      </c>
      <c r="I393" s="16" t="str">
        <f t="shared" si="26"/>
        <v>OK</v>
      </c>
    </row>
    <row r="394" spans="1:9">
      <c r="A394" s="17">
        <v>41730</v>
      </c>
      <c r="B394" s="18">
        <v>-60815</v>
      </c>
      <c r="C394" s="19">
        <v>41.57</v>
      </c>
      <c r="D394" s="18">
        <f t="shared" si="27"/>
        <v>-11940</v>
      </c>
      <c r="E394" s="20">
        <f t="shared" si="24"/>
        <v>4</v>
      </c>
      <c r="F394" s="20">
        <f t="shared" si="25"/>
        <v>2014</v>
      </c>
      <c r="H394" s="17">
        <v>41730</v>
      </c>
      <c r="I394" s="16" t="str">
        <f t="shared" si="26"/>
        <v>OK</v>
      </c>
    </row>
    <row r="395" spans="1:9">
      <c r="A395" s="17">
        <v>41737</v>
      </c>
      <c r="B395" s="18">
        <v>-61718</v>
      </c>
      <c r="C395" s="19">
        <v>42.1</v>
      </c>
      <c r="D395" s="18">
        <f t="shared" si="27"/>
        <v>-903</v>
      </c>
      <c r="E395" s="20">
        <f t="shared" si="24"/>
        <v>4</v>
      </c>
      <c r="F395" s="20">
        <f t="shared" si="25"/>
        <v>2014</v>
      </c>
      <c r="H395" s="17">
        <v>41737</v>
      </c>
      <c r="I395" s="16" t="str">
        <f t="shared" si="26"/>
        <v>OK</v>
      </c>
    </row>
    <row r="396" spans="1:9">
      <c r="A396" s="17">
        <v>41744</v>
      </c>
      <c r="B396" s="18">
        <v>-52004</v>
      </c>
      <c r="C396" s="19">
        <v>43.41</v>
      </c>
      <c r="D396" s="18">
        <f t="shared" si="27"/>
        <v>9714</v>
      </c>
      <c r="E396" s="20">
        <f t="shared" si="24"/>
        <v>4</v>
      </c>
      <c r="F396" s="20">
        <f t="shared" si="25"/>
        <v>2014</v>
      </c>
      <c r="H396" s="17">
        <v>41744</v>
      </c>
      <c r="I396" s="16" t="str">
        <f t="shared" si="26"/>
        <v>OK</v>
      </c>
    </row>
    <row r="397" spans="1:9">
      <c r="A397" s="17">
        <v>41751</v>
      </c>
      <c r="B397" s="18">
        <v>-43559</v>
      </c>
      <c r="C397" s="19">
        <v>42.92</v>
      </c>
      <c r="D397" s="18">
        <f t="shared" si="27"/>
        <v>8445</v>
      </c>
      <c r="E397" s="20">
        <f t="shared" si="24"/>
        <v>4</v>
      </c>
      <c r="F397" s="20">
        <f t="shared" si="25"/>
        <v>2014</v>
      </c>
      <c r="H397" s="17">
        <v>41751</v>
      </c>
      <c r="I397" s="16" t="str">
        <f t="shared" si="26"/>
        <v>OK</v>
      </c>
    </row>
    <row r="398" spans="1:9">
      <c r="A398" s="17">
        <v>41758</v>
      </c>
      <c r="B398" s="18">
        <v>-40480</v>
      </c>
      <c r="C398" s="19">
        <v>41.29</v>
      </c>
      <c r="D398" s="18">
        <f t="shared" si="27"/>
        <v>3079</v>
      </c>
      <c r="E398" s="20">
        <f t="shared" si="24"/>
        <v>4</v>
      </c>
      <c r="F398" s="20">
        <f t="shared" si="25"/>
        <v>2014</v>
      </c>
      <c r="H398" s="17">
        <v>41758</v>
      </c>
      <c r="I398" s="16" t="str">
        <f t="shared" si="26"/>
        <v>OK</v>
      </c>
    </row>
    <row r="399" spans="1:9">
      <c r="A399" s="17">
        <v>41765</v>
      </c>
      <c r="B399" s="18">
        <v>-42462</v>
      </c>
      <c r="C399" s="19">
        <v>40.98</v>
      </c>
      <c r="D399" s="18">
        <f t="shared" si="27"/>
        <v>-1982</v>
      </c>
      <c r="E399" s="20">
        <f t="shared" si="24"/>
        <v>5</v>
      </c>
      <c r="F399" s="20">
        <f t="shared" si="25"/>
        <v>2014</v>
      </c>
      <c r="H399" s="17">
        <v>41765</v>
      </c>
      <c r="I399" s="16" t="str">
        <f t="shared" si="26"/>
        <v>OK</v>
      </c>
    </row>
    <row r="400" spans="1:9">
      <c r="A400" s="17">
        <v>41772</v>
      </c>
      <c r="B400" s="18">
        <v>-53981</v>
      </c>
      <c r="C400" s="19">
        <v>40.75</v>
      </c>
      <c r="D400" s="18">
        <f t="shared" si="27"/>
        <v>-11519</v>
      </c>
      <c r="E400" s="20">
        <f t="shared" si="24"/>
        <v>5</v>
      </c>
      <c r="F400" s="20">
        <f t="shared" si="25"/>
        <v>2014</v>
      </c>
      <c r="H400" s="17">
        <v>41772</v>
      </c>
      <c r="I400" s="16" t="str">
        <f t="shared" si="26"/>
        <v>OK</v>
      </c>
    </row>
    <row r="401" spans="1:9">
      <c r="A401" s="17">
        <v>41779</v>
      </c>
      <c r="B401" s="18">
        <v>-69889</v>
      </c>
      <c r="C401" s="19">
        <v>40.380000000000003</v>
      </c>
      <c r="D401" s="18">
        <f t="shared" si="27"/>
        <v>-15908</v>
      </c>
      <c r="E401" s="20">
        <f t="shared" si="24"/>
        <v>5</v>
      </c>
      <c r="F401" s="20">
        <f t="shared" si="25"/>
        <v>2014</v>
      </c>
      <c r="H401" s="17">
        <v>41779</v>
      </c>
      <c r="I401" s="16" t="str">
        <f t="shared" si="26"/>
        <v>OK</v>
      </c>
    </row>
    <row r="402" spans="1:9">
      <c r="A402" s="17">
        <v>41786</v>
      </c>
      <c r="B402" s="18">
        <v>-70665</v>
      </c>
      <c r="C402" s="19">
        <v>38.5</v>
      </c>
      <c r="D402" s="18">
        <f t="shared" si="27"/>
        <v>-776</v>
      </c>
      <c r="E402" s="20">
        <f t="shared" si="24"/>
        <v>5</v>
      </c>
      <c r="F402" s="20">
        <f t="shared" si="25"/>
        <v>2014</v>
      </c>
      <c r="H402" s="17">
        <v>41786</v>
      </c>
      <c r="I402" s="16" t="str">
        <f t="shared" si="26"/>
        <v>OK</v>
      </c>
    </row>
    <row r="403" spans="1:9">
      <c r="A403" s="17">
        <v>41793</v>
      </c>
      <c r="B403" s="18">
        <v>-84747</v>
      </c>
      <c r="C403" s="19">
        <v>39.01</v>
      </c>
      <c r="D403" s="18">
        <f t="shared" si="27"/>
        <v>-14082</v>
      </c>
      <c r="E403" s="20">
        <f t="shared" si="24"/>
        <v>6</v>
      </c>
      <c r="F403" s="20">
        <f t="shared" si="25"/>
        <v>2014</v>
      </c>
      <c r="H403" s="17">
        <v>41793</v>
      </c>
      <c r="I403" s="16" t="str">
        <f t="shared" si="26"/>
        <v>OK</v>
      </c>
    </row>
    <row r="404" spans="1:9">
      <c r="A404" s="17">
        <v>41800</v>
      </c>
      <c r="B404" s="18">
        <v>-87821</v>
      </c>
      <c r="C404" s="19">
        <v>39.69</v>
      </c>
      <c r="D404" s="18">
        <f t="shared" si="27"/>
        <v>-3074</v>
      </c>
      <c r="E404" s="20">
        <f t="shared" si="24"/>
        <v>6</v>
      </c>
      <c r="F404" s="20">
        <f t="shared" si="25"/>
        <v>2014</v>
      </c>
      <c r="H404" s="17">
        <v>41800</v>
      </c>
      <c r="I404" s="16" t="str">
        <f t="shared" si="26"/>
        <v>OK</v>
      </c>
    </row>
    <row r="405" spans="1:9">
      <c r="A405" s="17">
        <v>41807</v>
      </c>
      <c r="B405" s="18">
        <v>-74737</v>
      </c>
      <c r="C405" s="19">
        <v>40.130000000000003</v>
      </c>
      <c r="D405" s="18">
        <f t="shared" si="27"/>
        <v>13084</v>
      </c>
      <c r="E405" s="20">
        <f t="shared" si="24"/>
        <v>6</v>
      </c>
      <c r="F405" s="20">
        <f t="shared" si="25"/>
        <v>2014</v>
      </c>
      <c r="H405" s="17">
        <v>41807</v>
      </c>
      <c r="I405" s="16" t="str">
        <f t="shared" si="26"/>
        <v>OK</v>
      </c>
    </row>
    <row r="406" spans="1:9">
      <c r="A406" s="17">
        <v>41814</v>
      </c>
      <c r="B406" s="18">
        <v>-43728</v>
      </c>
      <c r="C406" s="19">
        <v>39.979999999999997</v>
      </c>
      <c r="D406" s="18">
        <f t="shared" si="27"/>
        <v>31009</v>
      </c>
      <c r="E406" s="20">
        <f t="shared" si="24"/>
        <v>6</v>
      </c>
      <c r="F406" s="20">
        <f t="shared" si="25"/>
        <v>2014</v>
      </c>
      <c r="H406" s="17">
        <v>41814</v>
      </c>
      <c r="I406" s="16" t="str">
        <f t="shared" si="26"/>
        <v>OK</v>
      </c>
    </row>
    <row r="407" spans="1:9">
      <c r="A407" s="17">
        <v>41821</v>
      </c>
      <c r="B407" s="18">
        <v>-22566</v>
      </c>
      <c r="C407" s="19">
        <v>38.56</v>
      </c>
      <c r="D407" s="18">
        <f t="shared" si="27"/>
        <v>21162</v>
      </c>
      <c r="E407" s="20">
        <f t="shared" si="24"/>
        <v>7</v>
      </c>
      <c r="F407" s="20">
        <f t="shared" si="25"/>
        <v>2014</v>
      </c>
      <c r="H407" s="17">
        <v>41821</v>
      </c>
      <c r="I407" s="16" t="str">
        <f t="shared" si="26"/>
        <v>OK</v>
      </c>
    </row>
    <row r="408" spans="1:9">
      <c r="A408" s="17">
        <v>41828</v>
      </c>
      <c r="B408" s="18">
        <v>-22411</v>
      </c>
      <c r="C408" s="19">
        <v>36.71</v>
      </c>
      <c r="D408" s="18">
        <f t="shared" si="27"/>
        <v>155</v>
      </c>
      <c r="E408" s="20">
        <f t="shared" si="24"/>
        <v>7</v>
      </c>
      <c r="F408" s="20">
        <f t="shared" si="25"/>
        <v>2014</v>
      </c>
      <c r="H408" s="17">
        <v>41828</v>
      </c>
      <c r="I408" s="16" t="str">
        <f t="shared" si="26"/>
        <v>OK</v>
      </c>
    </row>
    <row r="409" spans="1:9">
      <c r="A409" s="17">
        <v>41835</v>
      </c>
      <c r="B409" s="18">
        <v>-27410</v>
      </c>
      <c r="C409" s="19">
        <v>36.57</v>
      </c>
      <c r="D409" s="18">
        <f t="shared" si="27"/>
        <v>-4999</v>
      </c>
      <c r="E409" s="20">
        <f t="shared" si="24"/>
        <v>7</v>
      </c>
      <c r="F409" s="20">
        <f t="shared" si="25"/>
        <v>2014</v>
      </c>
      <c r="H409" s="17">
        <v>41835</v>
      </c>
      <c r="I409" s="16" t="str">
        <f t="shared" si="26"/>
        <v>OK</v>
      </c>
    </row>
    <row r="410" spans="1:9">
      <c r="A410" s="17">
        <v>41842</v>
      </c>
      <c r="B410" s="18">
        <v>-35656</v>
      </c>
      <c r="C410" s="19">
        <v>36.090000000000003</v>
      </c>
      <c r="D410" s="18">
        <f t="shared" si="27"/>
        <v>-8246</v>
      </c>
      <c r="E410" s="20">
        <f t="shared" si="24"/>
        <v>7</v>
      </c>
      <c r="F410" s="20">
        <f t="shared" si="25"/>
        <v>2014</v>
      </c>
      <c r="H410" s="17">
        <v>41842</v>
      </c>
      <c r="I410" s="16" t="str">
        <f t="shared" si="26"/>
        <v>OK</v>
      </c>
    </row>
    <row r="411" spans="1:9">
      <c r="A411" s="17">
        <v>41849</v>
      </c>
      <c r="B411" s="18">
        <v>-38278</v>
      </c>
      <c r="C411" s="19">
        <v>35.450000000000003</v>
      </c>
      <c r="D411" s="18">
        <f t="shared" si="27"/>
        <v>-2622</v>
      </c>
      <c r="E411" s="20">
        <f t="shared" si="24"/>
        <v>7</v>
      </c>
      <c r="F411" s="20">
        <f t="shared" si="25"/>
        <v>2014</v>
      </c>
      <c r="H411" s="17">
        <v>41849</v>
      </c>
      <c r="I411" s="16" t="str">
        <f t="shared" si="26"/>
        <v>OK</v>
      </c>
    </row>
    <row r="412" spans="1:9">
      <c r="A412" s="17">
        <v>41856</v>
      </c>
      <c r="B412" s="18">
        <v>-32145</v>
      </c>
      <c r="C412" s="19">
        <v>35.44</v>
      </c>
      <c r="D412" s="18">
        <f t="shared" si="27"/>
        <v>6133</v>
      </c>
      <c r="E412" s="20">
        <f t="shared" si="24"/>
        <v>8</v>
      </c>
      <c r="F412" s="20">
        <f t="shared" si="25"/>
        <v>2014</v>
      </c>
      <c r="H412" s="17">
        <v>41856</v>
      </c>
      <c r="I412" s="16" t="str">
        <f t="shared" si="26"/>
        <v>OK</v>
      </c>
    </row>
    <row r="413" spans="1:9">
      <c r="A413" s="17">
        <v>41863</v>
      </c>
      <c r="B413" s="18">
        <v>-51810</v>
      </c>
      <c r="C413" s="19">
        <v>32.869999999999997</v>
      </c>
      <c r="D413" s="18">
        <f t="shared" si="27"/>
        <v>-19665</v>
      </c>
      <c r="E413" s="20">
        <f t="shared" si="24"/>
        <v>8</v>
      </c>
      <c r="F413" s="20">
        <f t="shared" si="25"/>
        <v>2014</v>
      </c>
      <c r="H413" s="17">
        <v>41863</v>
      </c>
      <c r="I413" s="16" t="str">
        <f t="shared" si="26"/>
        <v>OK</v>
      </c>
    </row>
    <row r="414" spans="1:9">
      <c r="A414" s="17">
        <v>41870</v>
      </c>
      <c r="B414" s="18">
        <v>-57798</v>
      </c>
      <c r="C414" s="19">
        <v>32.36</v>
      </c>
      <c r="D414" s="18">
        <f t="shared" si="27"/>
        <v>-5988</v>
      </c>
      <c r="E414" s="20">
        <f t="shared" si="24"/>
        <v>8</v>
      </c>
      <c r="F414" s="20">
        <f t="shared" si="25"/>
        <v>2014</v>
      </c>
      <c r="H414" s="17">
        <v>41870</v>
      </c>
      <c r="I414" s="16" t="str">
        <f t="shared" si="26"/>
        <v>OK</v>
      </c>
    </row>
    <row r="415" spans="1:9">
      <c r="A415" s="17">
        <v>41877</v>
      </c>
      <c r="B415" s="18">
        <v>-48984</v>
      </c>
      <c r="C415" s="19">
        <v>32.04</v>
      </c>
      <c r="D415" s="18">
        <f t="shared" si="27"/>
        <v>8814</v>
      </c>
      <c r="E415" s="20">
        <f t="shared" si="24"/>
        <v>8</v>
      </c>
      <c r="F415" s="20">
        <f t="shared" si="25"/>
        <v>2014</v>
      </c>
      <c r="H415" s="17">
        <v>41877</v>
      </c>
      <c r="I415" s="16" t="str">
        <f t="shared" si="26"/>
        <v>OK</v>
      </c>
    </row>
    <row r="416" spans="1:9">
      <c r="A416" s="17">
        <v>41884</v>
      </c>
      <c r="B416" s="18">
        <v>-65945</v>
      </c>
      <c r="C416" s="19">
        <v>32.35</v>
      </c>
      <c r="D416" s="18">
        <f t="shared" si="27"/>
        <v>-16961</v>
      </c>
      <c r="E416" s="20">
        <f t="shared" si="24"/>
        <v>9</v>
      </c>
      <c r="F416" s="20">
        <f t="shared" si="25"/>
        <v>2014</v>
      </c>
      <c r="H416" s="17">
        <v>41884</v>
      </c>
      <c r="I416" s="16" t="str">
        <f t="shared" si="26"/>
        <v>OK</v>
      </c>
    </row>
    <row r="417" spans="1:9">
      <c r="A417" s="17">
        <v>41891</v>
      </c>
      <c r="B417" s="18">
        <v>-55843</v>
      </c>
      <c r="C417" s="19">
        <v>32.159999999999997</v>
      </c>
      <c r="D417" s="18">
        <f t="shared" si="27"/>
        <v>10102</v>
      </c>
      <c r="E417" s="20">
        <f t="shared" si="24"/>
        <v>9</v>
      </c>
      <c r="F417" s="20">
        <f t="shared" si="25"/>
        <v>2014</v>
      </c>
      <c r="H417" s="17">
        <v>41891</v>
      </c>
      <c r="I417" s="16" t="str">
        <f t="shared" si="26"/>
        <v>OK</v>
      </c>
    </row>
    <row r="418" spans="1:9">
      <c r="A418" s="17">
        <v>41898</v>
      </c>
      <c r="B418" s="18">
        <v>-40321</v>
      </c>
      <c r="C418" s="19">
        <v>32.46</v>
      </c>
      <c r="D418" s="18">
        <f t="shared" si="27"/>
        <v>15522</v>
      </c>
      <c r="E418" s="20">
        <f t="shared" si="24"/>
        <v>9</v>
      </c>
      <c r="F418" s="20">
        <f t="shared" si="25"/>
        <v>2014</v>
      </c>
      <c r="H418" s="17">
        <v>41898</v>
      </c>
      <c r="I418" s="16" t="str">
        <f t="shared" si="26"/>
        <v>OK</v>
      </c>
    </row>
    <row r="419" spans="1:9">
      <c r="A419" s="17">
        <v>41905</v>
      </c>
      <c r="B419" s="18">
        <v>-30475</v>
      </c>
      <c r="C419" s="19">
        <v>31.92</v>
      </c>
      <c r="D419" s="18">
        <f t="shared" si="27"/>
        <v>9846</v>
      </c>
      <c r="E419" s="20">
        <f t="shared" si="24"/>
        <v>9</v>
      </c>
      <c r="F419" s="20">
        <f t="shared" si="25"/>
        <v>2014</v>
      </c>
      <c r="H419" s="17">
        <v>41905</v>
      </c>
      <c r="I419" s="16" t="str">
        <f t="shared" si="26"/>
        <v>OK</v>
      </c>
    </row>
    <row r="420" spans="1:9">
      <c r="A420" s="17">
        <v>41912</v>
      </c>
      <c r="B420" s="18">
        <v>-28536</v>
      </c>
      <c r="C420" s="19">
        <v>32.29</v>
      </c>
      <c r="D420" s="18">
        <f t="shared" si="27"/>
        <v>1939</v>
      </c>
      <c r="E420" s="20">
        <f t="shared" si="24"/>
        <v>9</v>
      </c>
      <c r="F420" s="20">
        <f t="shared" si="25"/>
        <v>2014</v>
      </c>
      <c r="H420" s="17">
        <v>41912</v>
      </c>
      <c r="I420" s="16" t="str">
        <f t="shared" si="26"/>
        <v>OK</v>
      </c>
    </row>
    <row r="421" spans="1:9">
      <c r="A421" s="17">
        <v>41919</v>
      </c>
      <c r="B421" s="18">
        <v>-15439</v>
      </c>
      <c r="C421" s="19">
        <v>32.28</v>
      </c>
      <c r="D421" s="18">
        <f t="shared" si="27"/>
        <v>13097</v>
      </c>
      <c r="E421" s="20">
        <f t="shared" si="24"/>
        <v>10</v>
      </c>
      <c r="F421" s="20">
        <f t="shared" si="25"/>
        <v>2014</v>
      </c>
      <c r="H421" s="17">
        <v>41919</v>
      </c>
      <c r="I421" s="16" t="str">
        <f t="shared" si="26"/>
        <v>OK</v>
      </c>
    </row>
    <row r="422" spans="1:9">
      <c r="A422" s="17">
        <v>41926</v>
      </c>
      <c r="B422" s="18">
        <v>-22515</v>
      </c>
      <c r="C422" s="19">
        <v>32.020000000000003</v>
      </c>
      <c r="D422" s="18">
        <f t="shared" si="27"/>
        <v>-7076</v>
      </c>
      <c r="E422" s="20">
        <f t="shared" si="24"/>
        <v>10</v>
      </c>
      <c r="F422" s="20">
        <f t="shared" si="25"/>
        <v>2014</v>
      </c>
      <c r="H422" s="17">
        <v>41926</v>
      </c>
      <c r="I422" s="16" t="str">
        <f t="shared" si="26"/>
        <v>OK</v>
      </c>
    </row>
    <row r="423" spans="1:9">
      <c r="A423" s="17">
        <v>41933</v>
      </c>
      <c r="B423" s="18">
        <v>-33732</v>
      </c>
      <c r="C423" s="19">
        <v>32.39</v>
      </c>
      <c r="D423" s="18">
        <f t="shared" si="27"/>
        <v>-11217</v>
      </c>
      <c r="E423" s="20">
        <f t="shared" si="24"/>
        <v>10</v>
      </c>
      <c r="F423" s="20">
        <f t="shared" si="25"/>
        <v>2014</v>
      </c>
      <c r="H423" s="17">
        <v>41933</v>
      </c>
      <c r="I423" s="16" t="str">
        <f t="shared" si="26"/>
        <v>OK</v>
      </c>
    </row>
    <row r="424" spans="1:9">
      <c r="A424" s="17">
        <v>41940</v>
      </c>
      <c r="B424" s="18">
        <v>-31972</v>
      </c>
      <c r="C424" s="19">
        <v>34.799999999999997</v>
      </c>
      <c r="D424" s="18">
        <f t="shared" si="27"/>
        <v>1760</v>
      </c>
      <c r="E424" s="20">
        <f t="shared" si="24"/>
        <v>10</v>
      </c>
      <c r="F424" s="20">
        <f t="shared" si="25"/>
        <v>2014</v>
      </c>
      <c r="H424" s="17">
        <v>41940</v>
      </c>
      <c r="I424" s="16" t="str">
        <f t="shared" si="26"/>
        <v>OK</v>
      </c>
    </row>
    <row r="425" spans="1:9">
      <c r="A425" s="17">
        <v>41947</v>
      </c>
      <c r="B425" s="18">
        <v>-35371</v>
      </c>
      <c r="C425" s="19">
        <v>32.4</v>
      </c>
      <c r="D425" s="18">
        <f t="shared" si="27"/>
        <v>-3399</v>
      </c>
      <c r="E425" s="20">
        <f t="shared" si="24"/>
        <v>11</v>
      </c>
      <c r="F425" s="20">
        <f t="shared" si="25"/>
        <v>2014</v>
      </c>
      <c r="H425" s="17">
        <v>41947</v>
      </c>
      <c r="I425" s="16" t="str">
        <f t="shared" si="26"/>
        <v>OK</v>
      </c>
    </row>
    <row r="426" spans="1:9">
      <c r="A426" s="17">
        <v>41954</v>
      </c>
      <c r="B426" s="18">
        <v>-56048</v>
      </c>
      <c r="C426" s="19">
        <v>32.200000000000003</v>
      </c>
      <c r="D426" s="18">
        <f t="shared" si="27"/>
        <v>-20677</v>
      </c>
      <c r="E426" s="20">
        <f t="shared" si="24"/>
        <v>11</v>
      </c>
      <c r="F426" s="20">
        <f t="shared" si="25"/>
        <v>2014</v>
      </c>
      <c r="H426" s="17">
        <v>41954</v>
      </c>
      <c r="I426" s="16" t="str">
        <f t="shared" si="26"/>
        <v>OK</v>
      </c>
    </row>
    <row r="427" spans="1:9">
      <c r="A427" s="17">
        <v>41961</v>
      </c>
      <c r="B427" s="18">
        <v>-50630</v>
      </c>
      <c r="C427" s="19">
        <v>32.69</v>
      </c>
      <c r="D427" s="18">
        <f t="shared" si="27"/>
        <v>5418</v>
      </c>
      <c r="E427" s="20">
        <f t="shared" si="24"/>
        <v>11</v>
      </c>
      <c r="F427" s="20">
        <f t="shared" si="25"/>
        <v>2014</v>
      </c>
      <c r="H427" s="17">
        <v>41961</v>
      </c>
      <c r="I427" s="16" t="str">
        <f t="shared" si="26"/>
        <v>OK</v>
      </c>
    </row>
    <row r="428" spans="1:9">
      <c r="A428" s="17">
        <v>41968</v>
      </c>
      <c r="B428" s="18">
        <v>-36986</v>
      </c>
      <c r="C428" s="19">
        <v>32.18</v>
      </c>
      <c r="D428" s="18">
        <f t="shared" si="27"/>
        <v>13644</v>
      </c>
      <c r="E428" s="20">
        <f t="shared" si="24"/>
        <v>11</v>
      </c>
      <c r="F428" s="20">
        <f t="shared" si="25"/>
        <v>2014</v>
      </c>
      <c r="H428" s="17">
        <v>41968</v>
      </c>
      <c r="I428" s="16" t="str">
        <f t="shared" si="26"/>
        <v>OK</v>
      </c>
    </row>
    <row r="429" spans="1:9">
      <c r="A429" s="17">
        <v>41975</v>
      </c>
      <c r="B429" s="18">
        <v>-39871</v>
      </c>
      <c r="C429" s="19">
        <v>32.01</v>
      </c>
      <c r="D429" s="18">
        <f t="shared" si="27"/>
        <v>-2885</v>
      </c>
      <c r="E429" s="20">
        <f t="shared" si="24"/>
        <v>12</v>
      </c>
      <c r="F429" s="20">
        <f t="shared" si="25"/>
        <v>2014</v>
      </c>
      <c r="H429" s="17">
        <v>41975</v>
      </c>
      <c r="I429" s="16" t="str">
        <f t="shared" si="26"/>
        <v>OK</v>
      </c>
    </row>
    <row r="430" spans="1:9">
      <c r="A430" s="17">
        <v>41982</v>
      </c>
      <c r="B430" s="18">
        <v>-36934</v>
      </c>
      <c r="C430" s="19">
        <v>31.97</v>
      </c>
      <c r="D430" s="18">
        <f t="shared" si="27"/>
        <v>2937</v>
      </c>
      <c r="E430" s="20">
        <f t="shared" si="24"/>
        <v>12</v>
      </c>
      <c r="F430" s="20">
        <f t="shared" si="25"/>
        <v>2014</v>
      </c>
      <c r="H430" s="17">
        <v>41982</v>
      </c>
      <c r="I430" s="16" t="str">
        <f t="shared" si="26"/>
        <v>OK</v>
      </c>
    </row>
    <row r="431" spans="1:9">
      <c r="A431" s="17">
        <v>41989</v>
      </c>
      <c r="B431" s="18">
        <v>-23798</v>
      </c>
      <c r="C431" s="19">
        <v>31.97</v>
      </c>
      <c r="D431" s="18">
        <f t="shared" si="27"/>
        <v>13136</v>
      </c>
      <c r="E431" s="20">
        <f t="shared" si="24"/>
        <v>12</v>
      </c>
      <c r="F431" s="20">
        <f t="shared" si="25"/>
        <v>2014</v>
      </c>
      <c r="H431" s="17">
        <v>41989</v>
      </c>
      <c r="I431" s="16" t="str">
        <f t="shared" si="26"/>
        <v>OK</v>
      </c>
    </row>
    <row r="432" spans="1:9">
      <c r="A432" s="17">
        <v>41996</v>
      </c>
      <c r="B432" s="18">
        <v>-29657</v>
      </c>
      <c r="C432" s="19">
        <v>32.46</v>
      </c>
      <c r="D432" s="18">
        <f t="shared" si="27"/>
        <v>-5859</v>
      </c>
      <c r="E432" s="20">
        <f t="shared" si="24"/>
        <v>12</v>
      </c>
      <c r="F432" s="20">
        <f t="shared" si="25"/>
        <v>2014</v>
      </c>
      <c r="H432" s="17">
        <v>41996</v>
      </c>
      <c r="I432" s="16" t="str">
        <f t="shared" si="26"/>
        <v>OK</v>
      </c>
    </row>
    <row r="433" spans="1:9">
      <c r="A433" s="17">
        <v>42003</v>
      </c>
      <c r="B433" s="18">
        <v>-19085</v>
      </c>
      <c r="C433" s="19">
        <v>31.95</v>
      </c>
      <c r="D433" s="18">
        <f t="shared" si="27"/>
        <v>10572</v>
      </c>
      <c r="E433" s="20">
        <f t="shared" si="24"/>
        <v>12</v>
      </c>
      <c r="F433" s="20">
        <f t="shared" si="25"/>
        <v>2014</v>
      </c>
      <c r="H433" s="17">
        <v>42003</v>
      </c>
      <c r="I433" s="16" t="str">
        <f t="shared" si="26"/>
        <v>OK</v>
      </c>
    </row>
    <row r="434" spans="1:9">
      <c r="A434" s="17">
        <v>42010</v>
      </c>
      <c r="B434" s="18">
        <v>-9150</v>
      </c>
      <c r="C434" s="19">
        <v>33.54</v>
      </c>
      <c r="D434" s="18">
        <f t="shared" si="27"/>
        <v>9935</v>
      </c>
      <c r="E434" s="20">
        <f t="shared" si="24"/>
        <v>1</v>
      </c>
      <c r="F434" s="20">
        <f t="shared" si="25"/>
        <v>2015</v>
      </c>
      <c r="H434" s="17">
        <v>42010</v>
      </c>
      <c r="I434" s="16" t="str">
        <f t="shared" si="26"/>
        <v>OK</v>
      </c>
    </row>
    <row r="435" spans="1:9">
      <c r="A435" s="17">
        <v>42017</v>
      </c>
      <c r="B435" s="18">
        <v>17720</v>
      </c>
      <c r="C435" s="19">
        <v>33.39</v>
      </c>
      <c r="D435" s="18">
        <f t="shared" si="27"/>
        <v>26870</v>
      </c>
      <c r="E435" s="20">
        <f t="shared" si="24"/>
        <v>1</v>
      </c>
      <c r="F435" s="20">
        <f t="shared" si="25"/>
        <v>2015</v>
      </c>
      <c r="H435" s="17">
        <v>42017</v>
      </c>
      <c r="I435" s="16" t="str">
        <f t="shared" si="26"/>
        <v>OK</v>
      </c>
    </row>
    <row r="436" spans="1:9">
      <c r="A436" s="17">
        <v>42024</v>
      </c>
      <c r="B436" s="18">
        <v>23385</v>
      </c>
      <c r="C436" s="19">
        <v>31.6</v>
      </c>
      <c r="D436" s="18">
        <f t="shared" si="27"/>
        <v>5665</v>
      </c>
      <c r="E436" s="20">
        <f t="shared" si="24"/>
        <v>1</v>
      </c>
      <c r="F436" s="20">
        <f t="shared" si="25"/>
        <v>2015</v>
      </c>
      <c r="H436" s="17">
        <v>42024</v>
      </c>
      <c r="I436" s="16" t="str">
        <f t="shared" si="26"/>
        <v>OK</v>
      </c>
    </row>
    <row r="437" spans="1:9">
      <c r="A437" s="17">
        <v>42031</v>
      </c>
      <c r="B437" s="18">
        <v>-11518</v>
      </c>
      <c r="C437" s="19">
        <v>30</v>
      </c>
      <c r="D437" s="18">
        <f t="shared" si="27"/>
        <v>-34903</v>
      </c>
      <c r="E437" s="20">
        <f t="shared" si="24"/>
        <v>1</v>
      </c>
      <c r="F437" s="20">
        <f t="shared" si="25"/>
        <v>2015</v>
      </c>
      <c r="H437" s="17">
        <v>42031</v>
      </c>
      <c r="I437" s="16" t="str">
        <f t="shared" si="26"/>
        <v>OK</v>
      </c>
    </row>
    <row r="438" spans="1:9">
      <c r="A438" s="17">
        <v>42038</v>
      </c>
      <c r="B438" s="18">
        <v>-30397</v>
      </c>
      <c r="C438" s="19">
        <v>31.82</v>
      </c>
      <c r="D438" s="18">
        <f t="shared" si="27"/>
        <v>-18879</v>
      </c>
      <c r="E438" s="20">
        <f t="shared" si="24"/>
        <v>2</v>
      </c>
      <c r="F438" s="20">
        <f t="shared" si="25"/>
        <v>2015</v>
      </c>
      <c r="H438" s="17">
        <v>42038</v>
      </c>
      <c r="I438" s="16" t="str">
        <f t="shared" si="26"/>
        <v>OK</v>
      </c>
    </row>
    <row r="439" spans="1:9">
      <c r="A439" s="17">
        <v>42045</v>
      </c>
      <c r="B439" s="18">
        <v>-6397</v>
      </c>
      <c r="C439" s="19">
        <v>32.4</v>
      </c>
      <c r="D439" s="18">
        <f t="shared" si="27"/>
        <v>24000</v>
      </c>
      <c r="E439" s="20">
        <f t="shared" si="24"/>
        <v>2</v>
      </c>
      <c r="F439" s="20">
        <f t="shared" si="25"/>
        <v>2015</v>
      </c>
      <c r="H439" s="17">
        <v>42045</v>
      </c>
      <c r="I439" s="16" t="str">
        <f t="shared" si="26"/>
        <v>OK</v>
      </c>
    </row>
    <row r="440" spans="1:9">
      <c r="A440" s="17">
        <v>42052</v>
      </c>
      <c r="B440" s="18">
        <v>4006</v>
      </c>
      <c r="C440" s="19">
        <v>31.48</v>
      </c>
      <c r="D440" s="18">
        <f t="shared" si="27"/>
        <v>10403</v>
      </c>
      <c r="E440" s="20">
        <f t="shared" si="24"/>
        <v>2</v>
      </c>
      <c r="F440" s="20">
        <f t="shared" si="25"/>
        <v>2015</v>
      </c>
      <c r="H440" s="17">
        <v>42052</v>
      </c>
      <c r="I440" s="16" t="str">
        <f t="shared" si="26"/>
        <v>OK</v>
      </c>
    </row>
    <row r="441" spans="1:9">
      <c r="A441" s="17">
        <v>42059</v>
      </c>
      <c r="B441" s="18">
        <v>-7785</v>
      </c>
      <c r="C441" s="19">
        <v>32.799999999999997</v>
      </c>
      <c r="D441" s="18">
        <f t="shared" si="27"/>
        <v>-11791</v>
      </c>
      <c r="E441" s="20">
        <f t="shared" si="24"/>
        <v>2</v>
      </c>
      <c r="F441" s="20">
        <f t="shared" si="25"/>
        <v>2015</v>
      </c>
      <c r="H441" s="17">
        <v>42059</v>
      </c>
      <c r="I441" s="16" t="str">
        <f t="shared" si="26"/>
        <v>OK</v>
      </c>
    </row>
    <row r="442" spans="1:9">
      <c r="A442" s="17">
        <v>42066</v>
      </c>
      <c r="B442" s="18">
        <v>19200</v>
      </c>
      <c r="C442" s="19">
        <v>31.14</v>
      </c>
      <c r="D442" s="18">
        <f t="shared" si="27"/>
        <v>26985</v>
      </c>
      <c r="E442" s="20">
        <f t="shared" si="24"/>
        <v>3</v>
      </c>
      <c r="F442" s="20">
        <f t="shared" si="25"/>
        <v>2015</v>
      </c>
      <c r="H442" s="17">
        <v>42066</v>
      </c>
      <c r="I442" s="16" t="str">
        <f t="shared" si="26"/>
        <v>OK</v>
      </c>
    </row>
    <row r="443" spans="1:9">
      <c r="A443" s="17">
        <v>42073</v>
      </c>
      <c r="B443" s="18">
        <v>-5444</v>
      </c>
      <c r="C443" s="19">
        <v>30.19</v>
      </c>
      <c r="D443" s="18">
        <f t="shared" si="27"/>
        <v>-24644</v>
      </c>
      <c r="E443" s="20">
        <f t="shared" si="24"/>
        <v>3</v>
      </c>
      <c r="F443" s="20">
        <f t="shared" si="25"/>
        <v>2015</v>
      </c>
      <c r="H443" s="17">
        <v>42073</v>
      </c>
      <c r="I443" s="16" t="str">
        <f t="shared" si="26"/>
        <v>OK</v>
      </c>
    </row>
    <row r="444" spans="1:9">
      <c r="A444" s="17">
        <v>42080</v>
      </c>
      <c r="B444" s="18">
        <v>-7433</v>
      </c>
      <c r="C444" s="19">
        <v>30.68</v>
      </c>
      <c r="D444" s="18">
        <f t="shared" si="27"/>
        <v>-1989</v>
      </c>
      <c r="E444" s="20">
        <f t="shared" si="24"/>
        <v>3</v>
      </c>
      <c r="F444" s="20">
        <f t="shared" si="25"/>
        <v>2015</v>
      </c>
      <c r="H444" s="17">
        <v>42080</v>
      </c>
      <c r="I444" s="16" t="str">
        <f t="shared" si="26"/>
        <v>OK</v>
      </c>
    </row>
    <row r="445" spans="1:9">
      <c r="A445" s="17">
        <v>42087</v>
      </c>
      <c r="B445" s="18">
        <v>-1949</v>
      </c>
      <c r="C445" s="19">
        <v>30.6</v>
      </c>
      <c r="D445" s="18">
        <f t="shared" si="27"/>
        <v>5484</v>
      </c>
      <c r="E445" s="20">
        <f t="shared" si="24"/>
        <v>3</v>
      </c>
      <c r="F445" s="20">
        <f t="shared" si="25"/>
        <v>2015</v>
      </c>
      <c r="H445" s="17">
        <v>42087</v>
      </c>
      <c r="I445" s="16" t="str">
        <f t="shared" si="26"/>
        <v>OK</v>
      </c>
    </row>
    <row r="446" spans="1:9">
      <c r="A446" s="17">
        <v>42094</v>
      </c>
      <c r="B446" s="18">
        <v>-16251</v>
      </c>
      <c r="C446" s="19">
        <v>31.04</v>
      </c>
      <c r="D446" s="18">
        <f t="shared" si="27"/>
        <v>-14302</v>
      </c>
      <c r="E446" s="20">
        <f t="shared" si="24"/>
        <v>3</v>
      </c>
      <c r="F446" s="20">
        <f t="shared" si="25"/>
        <v>2015</v>
      </c>
      <c r="H446" s="17">
        <v>42094</v>
      </c>
      <c r="I446" s="16" t="str">
        <f t="shared" si="26"/>
        <v>OK</v>
      </c>
    </row>
    <row r="447" spans="1:9">
      <c r="A447" s="17">
        <v>42101</v>
      </c>
      <c r="B447" s="18">
        <v>7663</v>
      </c>
      <c r="C447" s="19">
        <v>31.09</v>
      </c>
      <c r="D447" s="18">
        <f t="shared" si="27"/>
        <v>23914</v>
      </c>
      <c r="E447" s="20">
        <f t="shared" si="24"/>
        <v>4</v>
      </c>
      <c r="F447" s="20">
        <f t="shared" si="25"/>
        <v>2015</v>
      </c>
      <c r="H447" s="17">
        <v>42101</v>
      </c>
      <c r="I447" s="16" t="str">
        <f t="shared" si="26"/>
        <v>OK</v>
      </c>
    </row>
    <row r="448" spans="1:9">
      <c r="A448" s="17">
        <v>42108</v>
      </c>
      <c r="B448" s="18">
        <v>37377</v>
      </c>
      <c r="C448" s="19">
        <v>31.52</v>
      </c>
      <c r="D448" s="18">
        <f t="shared" si="27"/>
        <v>29714</v>
      </c>
      <c r="E448" s="20">
        <f t="shared" si="24"/>
        <v>4</v>
      </c>
      <c r="F448" s="20">
        <f t="shared" si="25"/>
        <v>2015</v>
      </c>
      <c r="H448" s="17">
        <v>42108</v>
      </c>
      <c r="I448" s="16" t="str">
        <f t="shared" si="26"/>
        <v>OK</v>
      </c>
    </row>
    <row r="449" spans="1:9">
      <c r="A449" s="17">
        <v>42115</v>
      </c>
      <c r="B449" s="18">
        <v>33639</v>
      </c>
      <c r="C449" s="19">
        <v>31.67</v>
      </c>
      <c r="D449" s="18">
        <f t="shared" si="27"/>
        <v>-3738</v>
      </c>
      <c r="E449" s="20">
        <f t="shared" si="24"/>
        <v>4</v>
      </c>
      <c r="F449" s="20">
        <f t="shared" si="25"/>
        <v>2015</v>
      </c>
      <c r="H449" s="17">
        <v>42115</v>
      </c>
      <c r="I449" s="16" t="str">
        <f t="shared" si="26"/>
        <v>OK</v>
      </c>
    </row>
    <row r="450" spans="1:9">
      <c r="A450" s="17">
        <v>42122</v>
      </c>
      <c r="B450" s="18">
        <v>15003</v>
      </c>
      <c r="C450" s="19">
        <v>31.44</v>
      </c>
      <c r="D450" s="18">
        <f t="shared" si="27"/>
        <v>-18636</v>
      </c>
      <c r="E450" s="20">
        <f t="shared" ref="E450:E513" si="28">MONTH(A450)</f>
        <v>4</v>
      </c>
      <c r="F450" s="20">
        <f t="shared" ref="F450:F513" si="29">YEAR(A450)</f>
        <v>2015</v>
      </c>
      <c r="H450" s="17">
        <v>42122</v>
      </c>
      <c r="I450" s="16" t="str">
        <f t="shared" ref="I450:I513" si="30">IF(H450=A450,"OK","")</f>
        <v>OK</v>
      </c>
    </row>
    <row r="451" spans="1:9">
      <c r="A451" s="17">
        <v>42129</v>
      </c>
      <c r="B451" s="18">
        <v>38387</v>
      </c>
      <c r="C451" s="19">
        <v>32.799999999999997</v>
      </c>
      <c r="D451" s="18">
        <f t="shared" ref="D451:D514" si="31">B451-B450</f>
        <v>23384</v>
      </c>
      <c r="E451" s="20">
        <f t="shared" si="28"/>
        <v>5</v>
      </c>
      <c r="F451" s="20">
        <f t="shared" si="29"/>
        <v>2015</v>
      </c>
      <c r="H451" s="17">
        <v>42129</v>
      </c>
      <c r="I451" s="16" t="str">
        <f t="shared" si="30"/>
        <v>OK</v>
      </c>
    </row>
    <row r="452" spans="1:9">
      <c r="A452" s="17">
        <v>42136</v>
      </c>
      <c r="B452" s="18">
        <v>52507</v>
      </c>
      <c r="C452" s="19">
        <v>33.07</v>
      </c>
      <c r="D452" s="18">
        <f t="shared" si="31"/>
        <v>14120</v>
      </c>
      <c r="E452" s="20">
        <f t="shared" si="28"/>
        <v>5</v>
      </c>
      <c r="F452" s="20">
        <f t="shared" si="29"/>
        <v>2015</v>
      </c>
      <c r="H452" s="17">
        <v>42136</v>
      </c>
      <c r="I452" s="16" t="str">
        <f t="shared" si="30"/>
        <v>OK</v>
      </c>
    </row>
    <row r="453" spans="1:9">
      <c r="A453" s="17">
        <v>42143</v>
      </c>
      <c r="B453" s="18">
        <v>37031</v>
      </c>
      <c r="C453" s="19">
        <v>31.64</v>
      </c>
      <c r="D453" s="18">
        <f t="shared" si="31"/>
        <v>-15476</v>
      </c>
      <c r="E453" s="20">
        <f t="shared" si="28"/>
        <v>5</v>
      </c>
      <c r="F453" s="20">
        <f t="shared" si="29"/>
        <v>2015</v>
      </c>
      <c r="H453" s="17">
        <v>42143</v>
      </c>
      <c r="I453" s="16" t="str">
        <f t="shared" si="30"/>
        <v>OK</v>
      </c>
    </row>
    <row r="454" spans="1:9">
      <c r="A454" s="17">
        <v>42150</v>
      </c>
      <c r="B454" s="18">
        <v>37890</v>
      </c>
      <c r="C454" s="19">
        <v>33.33</v>
      </c>
      <c r="D454" s="18">
        <f t="shared" si="31"/>
        <v>859</v>
      </c>
      <c r="E454" s="20">
        <f t="shared" si="28"/>
        <v>5</v>
      </c>
      <c r="F454" s="20">
        <f t="shared" si="29"/>
        <v>2015</v>
      </c>
      <c r="H454" s="17">
        <v>42150</v>
      </c>
      <c r="I454" s="16" t="str">
        <f t="shared" si="30"/>
        <v>OK</v>
      </c>
    </row>
    <row r="455" spans="1:9">
      <c r="A455" s="17">
        <v>42157</v>
      </c>
      <c r="B455" s="18">
        <v>67958</v>
      </c>
      <c r="C455" s="19">
        <v>34.78</v>
      </c>
      <c r="D455" s="18">
        <f t="shared" si="31"/>
        <v>30068</v>
      </c>
      <c r="E455" s="20">
        <f t="shared" si="28"/>
        <v>6</v>
      </c>
      <c r="F455" s="20">
        <f t="shared" si="29"/>
        <v>2015</v>
      </c>
      <c r="H455" s="17">
        <v>42157</v>
      </c>
      <c r="I455" s="16" t="str">
        <f t="shared" si="30"/>
        <v>OK</v>
      </c>
    </row>
    <row r="456" spans="1:9">
      <c r="A456" s="17">
        <v>42164</v>
      </c>
      <c r="B456" s="18">
        <v>65510</v>
      </c>
      <c r="C456" s="19">
        <v>33.14</v>
      </c>
      <c r="D456" s="18">
        <f t="shared" si="31"/>
        <v>-2448</v>
      </c>
      <c r="E456" s="20">
        <f t="shared" si="28"/>
        <v>6</v>
      </c>
      <c r="F456" s="20">
        <f t="shared" si="29"/>
        <v>2015</v>
      </c>
      <c r="H456" s="17">
        <v>42164</v>
      </c>
      <c r="I456" s="16" t="str">
        <f t="shared" si="30"/>
        <v>OK</v>
      </c>
    </row>
    <row r="457" spans="1:9">
      <c r="A457" s="17">
        <v>42171</v>
      </c>
      <c r="B457" s="18">
        <v>29580</v>
      </c>
      <c r="C457" s="19">
        <v>32.549999999999997</v>
      </c>
      <c r="D457" s="18">
        <f t="shared" si="31"/>
        <v>-35930</v>
      </c>
      <c r="E457" s="20">
        <f t="shared" si="28"/>
        <v>6</v>
      </c>
      <c r="F457" s="20">
        <f t="shared" si="29"/>
        <v>2015</v>
      </c>
      <c r="H457" s="17">
        <v>42171</v>
      </c>
      <c r="I457" s="16" t="str">
        <f t="shared" si="30"/>
        <v>OK</v>
      </c>
    </row>
    <row r="458" spans="1:9">
      <c r="A458" s="17">
        <v>42178</v>
      </c>
      <c r="B458" s="18">
        <v>-7814</v>
      </c>
      <c r="C458" s="19">
        <v>33.22</v>
      </c>
      <c r="D458" s="18">
        <f t="shared" si="31"/>
        <v>-37394</v>
      </c>
      <c r="E458" s="20">
        <f t="shared" si="28"/>
        <v>6</v>
      </c>
      <c r="F458" s="20">
        <f t="shared" si="29"/>
        <v>2015</v>
      </c>
      <c r="H458" s="17">
        <v>42178</v>
      </c>
      <c r="I458" s="16" t="str">
        <f t="shared" si="30"/>
        <v>OK</v>
      </c>
    </row>
    <row r="459" spans="1:9">
      <c r="A459" s="17">
        <v>42185</v>
      </c>
      <c r="B459" s="18">
        <v>-9838</v>
      </c>
      <c r="C459" s="19">
        <v>33.36</v>
      </c>
      <c r="D459" s="18">
        <f t="shared" si="31"/>
        <v>-2024</v>
      </c>
      <c r="E459" s="20">
        <f t="shared" si="28"/>
        <v>6</v>
      </c>
      <c r="F459" s="20">
        <f t="shared" si="29"/>
        <v>2015</v>
      </c>
      <c r="H459" s="17">
        <v>42185</v>
      </c>
      <c r="I459" s="16" t="str">
        <f t="shared" si="30"/>
        <v>OK</v>
      </c>
    </row>
    <row r="460" spans="1:9">
      <c r="A460" s="17">
        <v>42192</v>
      </c>
      <c r="B460" s="18">
        <v>-29994</v>
      </c>
      <c r="C460" s="19">
        <v>32.31</v>
      </c>
      <c r="D460" s="18">
        <f t="shared" si="31"/>
        <v>-20156</v>
      </c>
      <c r="E460" s="20">
        <f t="shared" si="28"/>
        <v>7</v>
      </c>
      <c r="F460" s="20">
        <f t="shared" si="29"/>
        <v>2015</v>
      </c>
      <c r="H460" s="17">
        <v>42192</v>
      </c>
      <c r="I460" s="16" t="str">
        <f t="shared" si="30"/>
        <v>OK</v>
      </c>
    </row>
    <row r="461" spans="1:9">
      <c r="A461" s="17">
        <v>42199</v>
      </c>
      <c r="B461" s="18">
        <v>-27112</v>
      </c>
      <c r="C461" s="19">
        <v>31.78</v>
      </c>
      <c r="D461" s="18">
        <f t="shared" si="31"/>
        <v>2882</v>
      </c>
      <c r="E461" s="20">
        <f t="shared" si="28"/>
        <v>7</v>
      </c>
      <c r="F461" s="20">
        <f t="shared" si="29"/>
        <v>2015</v>
      </c>
      <c r="H461" s="17">
        <v>42199</v>
      </c>
      <c r="I461" s="16" t="str">
        <f t="shared" si="30"/>
        <v>OK</v>
      </c>
    </row>
    <row r="462" spans="1:9">
      <c r="A462" s="17">
        <v>42206</v>
      </c>
      <c r="B462" s="18">
        <v>-44427</v>
      </c>
      <c r="C462" s="19">
        <v>30.48</v>
      </c>
      <c r="D462" s="18">
        <f t="shared" si="31"/>
        <v>-17315</v>
      </c>
      <c r="E462" s="20">
        <f t="shared" si="28"/>
        <v>7</v>
      </c>
      <c r="F462" s="20">
        <f t="shared" si="29"/>
        <v>2015</v>
      </c>
      <c r="H462" s="17">
        <v>42206</v>
      </c>
      <c r="I462" s="16" t="str">
        <f t="shared" si="30"/>
        <v>OK</v>
      </c>
    </row>
    <row r="463" spans="1:9">
      <c r="A463" s="17">
        <v>42213</v>
      </c>
      <c r="B463" s="18">
        <v>-59092</v>
      </c>
      <c r="C463" s="19">
        <v>29.98</v>
      </c>
      <c r="D463" s="18">
        <f t="shared" si="31"/>
        <v>-14665</v>
      </c>
      <c r="E463" s="20">
        <f t="shared" si="28"/>
        <v>7</v>
      </c>
      <c r="F463" s="20">
        <f t="shared" si="29"/>
        <v>2015</v>
      </c>
      <c r="H463" s="17">
        <v>42213</v>
      </c>
      <c r="I463" s="16" t="str">
        <f t="shared" si="30"/>
        <v>OK</v>
      </c>
    </row>
    <row r="464" spans="1:9">
      <c r="A464" s="17">
        <v>42220</v>
      </c>
      <c r="B464" s="18">
        <v>-70549</v>
      </c>
      <c r="C464" s="19">
        <v>30.03</v>
      </c>
      <c r="D464" s="18">
        <f t="shared" si="31"/>
        <v>-11457</v>
      </c>
      <c r="E464" s="20">
        <f t="shared" si="28"/>
        <v>8</v>
      </c>
      <c r="F464" s="20">
        <f t="shared" si="29"/>
        <v>2015</v>
      </c>
      <c r="H464" s="17">
        <v>42220</v>
      </c>
      <c r="I464" s="16" t="str">
        <f t="shared" si="30"/>
        <v>OK</v>
      </c>
    </row>
    <row r="465" spans="1:9">
      <c r="A465" s="17">
        <v>42227</v>
      </c>
      <c r="B465" s="18">
        <v>-63842</v>
      </c>
      <c r="C465" s="19">
        <v>28.78</v>
      </c>
      <c r="D465" s="18">
        <f t="shared" si="31"/>
        <v>6707</v>
      </c>
      <c r="E465" s="20">
        <f t="shared" si="28"/>
        <v>8</v>
      </c>
      <c r="F465" s="20">
        <f t="shared" si="29"/>
        <v>2015</v>
      </c>
      <c r="H465" s="17">
        <v>42227</v>
      </c>
      <c r="I465" s="16" t="str">
        <f t="shared" si="30"/>
        <v>OK</v>
      </c>
    </row>
    <row r="466" spans="1:9">
      <c r="A466" s="17">
        <v>42234</v>
      </c>
      <c r="B466" s="18">
        <v>-52342</v>
      </c>
      <c r="C466" s="19">
        <v>27.36</v>
      </c>
      <c r="D466" s="18">
        <f t="shared" si="31"/>
        <v>11500</v>
      </c>
      <c r="E466" s="20">
        <f t="shared" si="28"/>
        <v>8</v>
      </c>
      <c r="F466" s="20">
        <f t="shared" si="29"/>
        <v>2015</v>
      </c>
      <c r="H466" s="17">
        <v>42234</v>
      </c>
      <c r="I466" s="16" t="str">
        <f t="shared" si="30"/>
        <v>OK</v>
      </c>
    </row>
    <row r="467" spans="1:9">
      <c r="A467" s="17">
        <v>42241</v>
      </c>
      <c r="B467" s="18">
        <v>-54135</v>
      </c>
      <c r="C467" s="19">
        <v>27.79</v>
      </c>
      <c r="D467" s="18">
        <f t="shared" si="31"/>
        <v>-1793</v>
      </c>
      <c r="E467" s="20">
        <f t="shared" si="28"/>
        <v>8</v>
      </c>
      <c r="F467" s="20">
        <f t="shared" si="29"/>
        <v>2015</v>
      </c>
      <c r="H467" s="17">
        <v>42241</v>
      </c>
      <c r="I467" s="16" t="str">
        <f t="shared" si="30"/>
        <v>OK</v>
      </c>
    </row>
    <row r="468" spans="1:9">
      <c r="A468" s="17">
        <v>42248</v>
      </c>
      <c r="B468" s="18">
        <v>-41871</v>
      </c>
      <c r="C468" s="19">
        <v>26.44</v>
      </c>
      <c r="D468" s="18">
        <f t="shared" si="31"/>
        <v>12264</v>
      </c>
      <c r="E468" s="20">
        <f t="shared" si="28"/>
        <v>9</v>
      </c>
      <c r="F468" s="20">
        <f t="shared" si="29"/>
        <v>2015</v>
      </c>
      <c r="H468" s="17">
        <v>42248</v>
      </c>
      <c r="I468" s="16" t="str">
        <f t="shared" si="30"/>
        <v>OK</v>
      </c>
    </row>
    <row r="469" spans="1:9">
      <c r="A469" s="17">
        <v>42255</v>
      </c>
      <c r="B469" s="18">
        <v>-41072</v>
      </c>
      <c r="C469" s="19">
        <v>26.58</v>
      </c>
      <c r="D469" s="18">
        <f t="shared" si="31"/>
        <v>799</v>
      </c>
      <c r="E469" s="20">
        <f t="shared" si="28"/>
        <v>9</v>
      </c>
      <c r="F469" s="20">
        <f t="shared" si="29"/>
        <v>2015</v>
      </c>
      <c r="H469" s="17">
        <v>42255</v>
      </c>
      <c r="I469" s="16" t="str">
        <f t="shared" si="30"/>
        <v>OK</v>
      </c>
    </row>
    <row r="470" spans="1:9">
      <c r="A470" s="17">
        <v>42262</v>
      </c>
      <c r="B470" s="18">
        <v>-53855</v>
      </c>
      <c r="C470" s="19">
        <v>26.05</v>
      </c>
      <c r="D470" s="18">
        <f t="shared" si="31"/>
        <v>-12783</v>
      </c>
      <c r="E470" s="20">
        <f t="shared" si="28"/>
        <v>9</v>
      </c>
      <c r="F470" s="20">
        <f t="shared" si="29"/>
        <v>2015</v>
      </c>
      <c r="H470" s="17">
        <v>42262</v>
      </c>
      <c r="I470" s="16" t="str">
        <f t="shared" si="30"/>
        <v>OK</v>
      </c>
    </row>
    <row r="471" spans="1:9">
      <c r="A471" s="17">
        <v>42269</v>
      </c>
      <c r="B471" s="18">
        <v>-36996</v>
      </c>
      <c r="C471" s="19">
        <v>27.72</v>
      </c>
      <c r="D471" s="18">
        <f t="shared" si="31"/>
        <v>16859</v>
      </c>
      <c r="E471" s="20">
        <f t="shared" si="28"/>
        <v>9</v>
      </c>
      <c r="F471" s="20">
        <f t="shared" si="29"/>
        <v>2015</v>
      </c>
      <c r="H471" s="17">
        <v>42269</v>
      </c>
      <c r="I471" s="16" t="str">
        <f t="shared" si="30"/>
        <v>OK</v>
      </c>
    </row>
    <row r="472" spans="1:9">
      <c r="A472" s="17">
        <v>42276</v>
      </c>
      <c r="B472" s="18">
        <v>-23137</v>
      </c>
      <c r="C472" s="19">
        <v>27.84</v>
      </c>
      <c r="D472" s="18">
        <f t="shared" si="31"/>
        <v>13859</v>
      </c>
      <c r="E472" s="20">
        <f t="shared" si="28"/>
        <v>9</v>
      </c>
      <c r="F472" s="20">
        <f t="shared" si="29"/>
        <v>2015</v>
      </c>
      <c r="H472" s="17">
        <v>42276</v>
      </c>
      <c r="I472" s="16" t="str">
        <f t="shared" si="30"/>
        <v>OK</v>
      </c>
    </row>
    <row r="473" spans="1:9">
      <c r="A473" s="17">
        <v>42283</v>
      </c>
      <c r="B473" s="18">
        <v>-6357</v>
      </c>
      <c r="C473" s="19">
        <v>28.17</v>
      </c>
      <c r="D473" s="18">
        <f t="shared" si="31"/>
        <v>16780</v>
      </c>
      <c r="E473" s="20">
        <f t="shared" si="28"/>
        <v>10</v>
      </c>
      <c r="F473" s="20">
        <f t="shared" si="29"/>
        <v>2015</v>
      </c>
      <c r="H473" s="17">
        <v>42283</v>
      </c>
      <c r="I473" s="16" t="str">
        <f t="shared" si="30"/>
        <v>OK</v>
      </c>
    </row>
    <row r="474" spans="1:9">
      <c r="A474" s="17">
        <v>42290</v>
      </c>
      <c r="B474" s="18">
        <v>-12147</v>
      </c>
      <c r="C474" s="19">
        <v>28.6</v>
      </c>
      <c r="D474" s="18">
        <f t="shared" si="31"/>
        <v>-5790</v>
      </c>
      <c r="E474" s="20">
        <f t="shared" si="28"/>
        <v>10</v>
      </c>
      <c r="F474" s="20">
        <f t="shared" si="29"/>
        <v>2015</v>
      </c>
      <c r="H474" s="17">
        <v>42290</v>
      </c>
      <c r="I474" s="16" t="str">
        <f t="shared" si="30"/>
        <v>OK</v>
      </c>
    </row>
    <row r="475" spans="1:9">
      <c r="A475" s="17">
        <v>42297</v>
      </c>
      <c r="B475" s="18">
        <v>-2073</v>
      </c>
      <c r="C475" s="19">
        <v>28.57</v>
      </c>
      <c r="D475" s="18">
        <f t="shared" si="31"/>
        <v>10074</v>
      </c>
      <c r="E475" s="20">
        <f t="shared" si="28"/>
        <v>10</v>
      </c>
      <c r="F475" s="20">
        <f t="shared" si="29"/>
        <v>2015</v>
      </c>
      <c r="H475" s="17">
        <v>42297</v>
      </c>
      <c r="I475" s="16" t="str">
        <f t="shared" si="30"/>
        <v>OK</v>
      </c>
    </row>
    <row r="476" spans="1:9">
      <c r="A476" s="17">
        <v>42304</v>
      </c>
      <c r="B476" s="18">
        <v>12118</v>
      </c>
      <c r="C476" s="19">
        <v>28.2</v>
      </c>
      <c r="D476" s="18">
        <f t="shared" si="31"/>
        <v>14191</v>
      </c>
      <c r="E476" s="20">
        <f t="shared" si="28"/>
        <v>10</v>
      </c>
      <c r="F476" s="20">
        <f t="shared" si="29"/>
        <v>2015</v>
      </c>
      <c r="H476" s="17">
        <v>42304</v>
      </c>
      <c r="I476" s="16" t="str">
        <f t="shared" si="30"/>
        <v>OK</v>
      </c>
    </row>
    <row r="477" spans="1:9">
      <c r="A477" s="17">
        <v>42311</v>
      </c>
      <c r="B477" s="18">
        <v>12593</v>
      </c>
      <c r="C477" s="19">
        <v>28.04</v>
      </c>
      <c r="D477" s="18">
        <f t="shared" si="31"/>
        <v>475</v>
      </c>
      <c r="E477" s="20">
        <f t="shared" si="28"/>
        <v>11</v>
      </c>
      <c r="F477" s="20">
        <f t="shared" si="29"/>
        <v>2015</v>
      </c>
      <c r="H477" s="17">
        <v>42311</v>
      </c>
      <c r="I477" s="16" t="str">
        <f t="shared" si="30"/>
        <v>OK</v>
      </c>
    </row>
    <row r="478" spans="1:9">
      <c r="A478" s="17">
        <v>42318</v>
      </c>
      <c r="B478" s="18">
        <v>5974</v>
      </c>
      <c r="C478" s="19">
        <v>27.04</v>
      </c>
      <c r="D478" s="18">
        <f t="shared" si="31"/>
        <v>-6619</v>
      </c>
      <c r="E478" s="20">
        <f t="shared" si="28"/>
        <v>11</v>
      </c>
      <c r="F478" s="20">
        <f t="shared" si="29"/>
        <v>2015</v>
      </c>
      <c r="H478" s="17">
        <v>42318</v>
      </c>
      <c r="I478" s="16" t="str">
        <f t="shared" si="30"/>
        <v>OK</v>
      </c>
    </row>
    <row r="479" spans="1:9">
      <c r="A479" s="17">
        <v>42325</v>
      </c>
      <c r="B479" s="18">
        <v>17775</v>
      </c>
      <c r="C479" s="19">
        <v>27.9</v>
      </c>
      <c r="D479" s="18">
        <f t="shared" si="31"/>
        <v>11801</v>
      </c>
      <c r="E479" s="20">
        <f t="shared" si="28"/>
        <v>11</v>
      </c>
      <c r="F479" s="20">
        <f t="shared" si="29"/>
        <v>2015</v>
      </c>
      <c r="H479" s="17">
        <v>42325</v>
      </c>
      <c r="I479" s="16" t="str">
        <f t="shared" si="30"/>
        <v>OK</v>
      </c>
    </row>
    <row r="480" spans="1:9">
      <c r="A480" s="17">
        <v>42332</v>
      </c>
      <c r="B480" s="18">
        <v>45801</v>
      </c>
      <c r="C480" s="19">
        <v>28.75</v>
      </c>
      <c r="D480" s="18">
        <f t="shared" si="31"/>
        <v>28026</v>
      </c>
      <c r="E480" s="20">
        <f t="shared" si="28"/>
        <v>11</v>
      </c>
      <c r="F480" s="20">
        <f t="shared" si="29"/>
        <v>2015</v>
      </c>
      <c r="H480" s="17">
        <v>42332</v>
      </c>
      <c r="I480" s="16" t="str">
        <f t="shared" si="30"/>
        <v>OK</v>
      </c>
    </row>
    <row r="481" spans="1:9">
      <c r="A481" s="17">
        <v>42339</v>
      </c>
      <c r="B481" s="18">
        <v>62851</v>
      </c>
      <c r="C481" s="19">
        <v>31.8</v>
      </c>
      <c r="D481" s="18">
        <f t="shared" si="31"/>
        <v>17050</v>
      </c>
      <c r="E481" s="20">
        <f t="shared" si="28"/>
        <v>12</v>
      </c>
      <c r="F481" s="20">
        <f t="shared" si="29"/>
        <v>2015</v>
      </c>
      <c r="H481" s="17">
        <v>42339</v>
      </c>
      <c r="I481" s="16" t="str">
        <f t="shared" si="30"/>
        <v>OK</v>
      </c>
    </row>
    <row r="482" spans="1:9">
      <c r="A482" s="17">
        <v>42346</v>
      </c>
      <c r="B482" s="18">
        <v>84239</v>
      </c>
      <c r="C482" s="19">
        <v>31.08</v>
      </c>
      <c r="D482" s="18">
        <f t="shared" si="31"/>
        <v>21388</v>
      </c>
      <c r="E482" s="20">
        <f t="shared" si="28"/>
        <v>12</v>
      </c>
      <c r="F482" s="20">
        <f t="shared" si="29"/>
        <v>2015</v>
      </c>
      <c r="H482" s="17">
        <v>42346</v>
      </c>
      <c r="I482" s="16" t="str">
        <f t="shared" si="30"/>
        <v>OK</v>
      </c>
    </row>
    <row r="483" spans="1:9">
      <c r="A483" s="17">
        <v>42353</v>
      </c>
      <c r="B483" s="18">
        <v>103647</v>
      </c>
      <c r="C483" s="19">
        <v>30.53</v>
      </c>
      <c r="D483" s="18">
        <f t="shared" si="31"/>
        <v>19408</v>
      </c>
      <c r="E483" s="20">
        <f t="shared" si="28"/>
        <v>12</v>
      </c>
      <c r="F483" s="20">
        <f t="shared" si="29"/>
        <v>2015</v>
      </c>
      <c r="H483" s="17">
        <v>42353</v>
      </c>
      <c r="I483" s="16" t="str">
        <f t="shared" si="30"/>
        <v>OK</v>
      </c>
    </row>
    <row r="484" spans="1:9">
      <c r="A484" s="17">
        <v>42360</v>
      </c>
      <c r="B484" s="18">
        <v>99468</v>
      </c>
      <c r="C484" s="19">
        <v>30.87</v>
      </c>
      <c r="D484" s="18">
        <f t="shared" si="31"/>
        <v>-4179</v>
      </c>
      <c r="E484" s="20">
        <f t="shared" si="28"/>
        <v>12</v>
      </c>
      <c r="F484" s="20">
        <f t="shared" si="29"/>
        <v>2015</v>
      </c>
      <c r="H484" s="17">
        <v>42360</v>
      </c>
      <c r="I484" s="16" t="str">
        <f t="shared" si="30"/>
        <v>OK</v>
      </c>
    </row>
    <row r="485" spans="1:9">
      <c r="A485" s="17">
        <v>42367</v>
      </c>
      <c r="B485" s="18">
        <v>101738</v>
      </c>
      <c r="C485" s="19">
        <v>30.55</v>
      </c>
      <c r="D485" s="18">
        <f t="shared" si="31"/>
        <v>2270</v>
      </c>
      <c r="E485" s="20">
        <f t="shared" si="28"/>
        <v>12</v>
      </c>
      <c r="F485" s="20">
        <f t="shared" si="29"/>
        <v>2015</v>
      </c>
      <c r="H485" s="17">
        <v>42367</v>
      </c>
      <c r="I485" s="16" t="str">
        <f t="shared" si="30"/>
        <v>OK</v>
      </c>
    </row>
    <row r="486" spans="1:9">
      <c r="A486" s="17">
        <v>42374</v>
      </c>
      <c r="B486" s="18">
        <v>96768</v>
      </c>
      <c r="C486" s="19">
        <v>29.45</v>
      </c>
      <c r="D486" s="18">
        <f t="shared" si="31"/>
        <v>-4970</v>
      </c>
      <c r="E486" s="20">
        <f t="shared" si="28"/>
        <v>1</v>
      </c>
      <c r="F486" s="20">
        <f t="shared" si="29"/>
        <v>2016</v>
      </c>
      <c r="H486" s="17">
        <v>42374</v>
      </c>
      <c r="I486" s="16" t="str">
        <f t="shared" si="30"/>
        <v>OK</v>
      </c>
    </row>
    <row r="487" spans="1:9">
      <c r="A487" s="17">
        <v>42381</v>
      </c>
      <c r="B487" s="18">
        <v>78923</v>
      </c>
      <c r="C487" s="19">
        <v>29.65</v>
      </c>
      <c r="D487" s="18">
        <f t="shared" si="31"/>
        <v>-17845</v>
      </c>
      <c r="E487" s="20">
        <f t="shared" si="28"/>
        <v>1</v>
      </c>
      <c r="F487" s="20">
        <f t="shared" si="29"/>
        <v>2016</v>
      </c>
      <c r="H487" s="17">
        <v>42381</v>
      </c>
      <c r="I487" s="16" t="str">
        <f t="shared" si="30"/>
        <v>OK</v>
      </c>
    </row>
    <row r="488" spans="1:9">
      <c r="A488" s="17">
        <v>42388</v>
      </c>
      <c r="B488" s="18">
        <v>86813</v>
      </c>
      <c r="C488" s="19">
        <v>30.5</v>
      </c>
      <c r="D488" s="18">
        <f t="shared" si="31"/>
        <v>7890</v>
      </c>
      <c r="E488" s="20">
        <f t="shared" si="28"/>
        <v>1</v>
      </c>
      <c r="F488" s="20">
        <f t="shared" si="29"/>
        <v>2016</v>
      </c>
      <c r="H488" s="17">
        <v>42388</v>
      </c>
      <c r="I488" s="16" t="str">
        <f t="shared" si="30"/>
        <v>OK</v>
      </c>
    </row>
    <row r="489" spans="1:9">
      <c r="A489" s="17">
        <v>42395</v>
      </c>
      <c r="B489" s="18">
        <v>86871</v>
      </c>
      <c r="C489" s="19">
        <v>30.88</v>
      </c>
      <c r="D489" s="18">
        <f t="shared" si="31"/>
        <v>58</v>
      </c>
      <c r="E489" s="20">
        <f t="shared" si="28"/>
        <v>1</v>
      </c>
      <c r="F489" s="20">
        <f t="shared" si="29"/>
        <v>2016</v>
      </c>
      <c r="H489" s="17">
        <v>42395</v>
      </c>
      <c r="I489" s="16" t="str">
        <f t="shared" si="30"/>
        <v>OK</v>
      </c>
    </row>
    <row r="490" spans="1:9">
      <c r="A490" s="17">
        <v>42402</v>
      </c>
      <c r="B490" s="18">
        <v>83610</v>
      </c>
      <c r="C490" s="19">
        <v>31.23</v>
      </c>
      <c r="D490" s="18">
        <f t="shared" si="31"/>
        <v>-3261</v>
      </c>
      <c r="E490" s="20">
        <f t="shared" si="28"/>
        <v>2</v>
      </c>
      <c r="F490" s="20">
        <f t="shared" si="29"/>
        <v>2016</v>
      </c>
      <c r="H490" s="17">
        <v>42402</v>
      </c>
      <c r="I490" s="16" t="str">
        <f t="shared" si="30"/>
        <v>OK</v>
      </c>
    </row>
    <row r="491" spans="1:9">
      <c r="A491" s="17">
        <v>42409</v>
      </c>
      <c r="B491" s="18">
        <v>96119</v>
      </c>
      <c r="C491" s="19">
        <v>31.8</v>
      </c>
      <c r="D491" s="18">
        <f t="shared" si="31"/>
        <v>12509</v>
      </c>
      <c r="E491" s="20">
        <f t="shared" si="28"/>
        <v>2</v>
      </c>
      <c r="F491" s="20">
        <f t="shared" si="29"/>
        <v>2016</v>
      </c>
      <c r="H491" s="17">
        <v>42409</v>
      </c>
      <c r="I491" s="16" t="str">
        <f t="shared" si="30"/>
        <v>OK</v>
      </c>
    </row>
    <row r="492" spans="1:9">
      <c r="A492" s="17">
        <v>42416</v>
      </c>
      <c r="B492" s="18">
        <v>102723</v>
      </c>
      <c r="C492" s="19">
        <v>31.39</v>
      </c>
      <c r="D492" s="18">
        <f t="shared" si="31"/>
        <v>6604</v>
      </c>
      <c r="E492" s="20">
        <f t="shared" si="28"/>
        <v>2</v>
      </c>
      <c r="F492" s="20">
        <f t="shared" si="29"/>
        <v>2016</v>
      </c>
      <c r="H492" s="17">
        <v>42416</v>
      </c>
      <c r="I492" s="16" t="str">
        <f t="shared" si="30"/>
        <v>OK</v>
      </c>
    </row>
    <row r="493" spans="1:9">
      <c r="A493" s="17">
        <v>42423</v>
      </c>
      <c r="B493" s="18">
        <v>97230</v>
      </c>
      <c r="C493" s="19">
        <v>31.03</v>
      </c>
      <c r="D493" s="18">
        <f t="shared" si="31"/>
        <v>-5493</v>
      </c>
      <c r="E493" s="20">
        <f t="shared" si="28"/>
        <v>2</v>
      </c>
      <c r="F493" s="20">
        <f t="shared" si="29"/>
        <v>2016</v>
      </c>
      <c r="H493" s="17">
        <v>42423</v>
      </c>
      <c r="I493" s="16" t="str">
        <f t="shared" si="30"/>
        <v>OK</v>
      </c>
    </row>
    <row r="494" spans="1:9">
      <c r="A494" s="17">
        <v>42430</v>
      </c>
      <c r="B494" s="18">
        <v>90280</v>
      </c>
      <c r="C494" s="19">
        <v>30.73</v>
      </c>
      <c r="D494" s="18">
        <f t="shared" si="31"/>
        <v>-6950</v>
      </c>
      <c r="E494" s="20">
        <f t="shared" si="28"/>
        <v>3</v>
      </c>
      <c r="F494" s="20">
        <f t="shared" si="29"/>
        <v>2016</v>
      </c>
      <c r="H494" s="17">
        <v>42430</v>
      </c>
      <c r="I494" s="16" t="str">
        <f t="shared" si="30"/>
        <v>OK</v>
      </c>
    </row>
    <row r="495" spans="1:9">
      <c r="A495" s="17">
        <v>42437</v>
      </c>
      <c r="B495" s="18">
        <v>63331</v>
      </c>
      <c r="C495" s="19">
        <v>31.93</v>
      </c>
      <c r="D495" s="18">
        <f t="shared" si="31"/>
        <v>-26949</v>
      </c>
      <c r="E495" s="20">
        <f t="shared" si="28"/>
        <v>3</v>
      </c>
      <c r="F495" s="20">
        <f t="shared" si="29"/>
        <v>2016</v>
      </c>
      <c r="H495" s="17">
        <v>42437</v>
      </c>
      <c r="I495" s="16" t="str">
        <f t="shared" si="30"/>
        <v>OK</v>
      </c>
    </row>
    <row r="496" spans="1:9">
      <c r="A496" s="17">
        <v>42444</v>
      </c>
      <c r="B496" s="18">
        <v>97899</v>
      </c>
      <c r="C496" s="19">
        <v>33.42</v>
      </c>
      <c r="D496" s="18">
        <f t="shared" si="31"/>
        <v>34568</v>
      </c>
      <c r="E496" s="20">
        <f t="shared" si="28"/>
        <v>3</v>
      </c>
      <c r="F496" s="20">
        <f t="shared" si="29"/>
        <v>2016</v>
      </c>
      <c r="H496" s="17">
        <v>42444</v>
      </c>
      <c r="I496" s="16" t="str">
        <f t="shared" si="30"/>
        <v>OK</v>
      </c>
    </row>
    <row r="497" spans="1:9">
      <c r="A497" s="17">
        <v>42451</v>
      </c>
      <c r="B497" s="18">
        <v>121450</v>
      </c>
      <c r="C497" s="19">
        <v>33.18</v>
      </c>
      <c r="D497" s="18">
        <f t="shared" si="31"/>
        <v>23551</v>
      </c>
      <c r="E497" s="20">
        <f t="shared" si="28"/>
        <v>3</v>
      </c>
      <c r="F497" s="20">
        <f t="shared" si="29"/>
        <v>2016</v>
      </c>
      <c r="H497" s="17">
        <v>42451</v>
      </c>
      <c r="I497" s="16" t="str">
        <f t="shared" si="30"/>
        <v>OK</v>
      </c>
    </row>
    <row r="498" spans="1:9">
      <c r="A498" s="17">
        <v>42458</v>
      </c>
      <c r="B498" s="18">
        <v>118833</v>
      </c>
      <c r="C498" s="19">
        <v>34.450000000000003</v>
      </c>
      <c r="D498" s="18">
        <f t="shared" si="31"/>
        <v>-2617</v>
      </c>
      <c r="E498" s="20">
        <f t="shared" si="28"/>
        <v>3</v>
      </c>
      <c r="F498" s="20">
        <f t="shared" si="29"/>
        <v>2016</v>
      </c>
      <c r="H498" s="17">
        <v>42458</v>
      </c>
      <c r="I498" s="16" t="str">
        <f t="shared" si="30"/>
        <v>OK</v>
      </c>
    </row>
    <row r="499" spans="1:9">
      <c r="A499" s="17">
        <v>42465</v>
      </c>
      <c r="B499" s="18">
        <v>128936</v>
      </c>
      <c r="C499" s="19">
        <v>33.94</v>
      </c>
      <c r="D499" s="18">
        <f t="shared" si="31"/>
        <v>10103</v>
      </c>
      <c r="E499" s="20">
        <f t="shared" si="28"/>
        <v>4</v>
      </c>
      <c r="F499" s="20">
        <f t="shared" si="29"/>
        <v>2016</v>
      </c>
      <c r="H499" s="17">
        <v>42465</v>
      </c>
      <c r="I499" s="16" t="str">
        <f t="shared" si="30"/>
        <v>OK</v>
      </c>
    </row>
    <row r="500" spans="1:9">
      <c r="A500" s="17">
        <v>42472</v>
      </c>
      <c r="B500" s="18">
        <v>103132</v>
      </c>
      <c r="C500" s="19">
        <v>33.380000000000003</v>
      </c>
      <c r="D500" s="18">
        <f t="shared" si="31"/>
        <v>-25804</v>
      </c>
      <c r="E500" s="20">
        <f t="shared" si="28"/>
        <v>4</v>
      </c>
      <c r="F500" s="20">
        <f t="shared" si="29"/>
        <v>2016</v>
      </c>
      <c r="H500" s="17">
        <v>42472</v>
      </c>
      <c r="I500" s="16" t="str">
        <f t="shared" si="30"/>
        <v>OK</v>
      </c>
    </row>
    <row r="501" spans="1:9">
      <c r="A501" s="17">
        <v>42479</v>
      </c>
      <c r="B501" s="18">
        <v>79589</v>
      </c>
      <c r="C501" s="19">
        <v>33.99</v>
      </c>
      <c r="D501" s="18">
        <f t="shared" si="31"/>
        <v>-23543</v>
      </c>
      <c r="E501" s="20">
        <f t="shared" si="28"/>
        <v>4</v>
      </c>
      <c r="F501" s="20">
        <f t="shared" si="29"/>
        <v>2016</v>
      </c>
      <c r="H501" s="17">
        <v>42479</v>
      </c>
      <c r="I501" s="16" t="str">
        <f t="shared" si="30"/>
        <v>OK</v>
      </c>
    </row>
    <row r="502" spans="1:9">
      <c r="A502" s="17">
        <v>42486</v>
      </c>
      <c r="B502" s="18">
        <v>63227</v>
      </c>
      <c r="C502" s="19">
        <v>32.880000000000003</v>
      </c>
      <c r="D502" s="18">
        <f t="shared" si="31"/>
        <v>-16362</v>
      </c>
      <c r="E502" s="20">
        <f t="shared" si="28"/>
        <v>4</v>
      </c>
      <c r="F502" s="20">
        <f t="shared" si="29"/>
        <v>2016</v>
      </c>
      <c r="H502" s="17">
        <v>42486</v>
      </c>
      <c r="I502" s="16" t="str">
        <f t="shared" si="30"/>
        <v>OK</v>
      </c>
    </row>
    <row r="503" spans="1:9">
      <c r="A503" s="17">
        <v>42493</v>
      </c>
      <c r="B503" s="18">
        <v>28167</v>
      </c>
      <c r="C503" s="19">
        <v>32.81</v>
      </c>
      <c r="D503" s="18">
        <f t="shared" si="31"/>
        <v>-35060</v>
      </c>
      <c r="E503" s="20">
        <f t="shared" si="28"/>
        <v>5</v>
      </c>
      <c r="F503" s="20">
        <f t="shared" si="29"/>
        <v>2016</v>
      </c>
      <c r="H503" s="17">
        <v>42493</v>
      </c>
      <c r="I503" s="16" t="str">
        <f t="shared" si="30"/>
        <v>OK</v>
      </c>
    </row>
    <row r="504" spans="1:9">
      <c r="A504" s="17">
        <v>42500</v>
      </c>
      <c r="B504" s="18">
        <v>8142</v>
      </c>
      <c r="C504" s="19">
        <v>32.17</v>
      </c>
      <c r="D504" s="18">
        <f t="shared" si="31"/>
        <v>-20025</v>
      </c>
      <c r="E504" s="20">
        <f t="shared" si="28"/>
        <v>5</v>
      </c>
      <c r="F504" s="20">
        <f t="shared" si="29"/>
        <v>2016</v>
      </c>
      <c r="H504" s="17">
        <v>42500</v>
      </c>
      <c r="I504" s="16" t="str">
        <f t="shared" si="30"/>
        <v>OK</v>
      </c>
    </row>
    <row r="505" spans="1:9">
      <c r="A505" s="17">
        <v>42507</v>
      </c>
      <c r="B505" s="18">
        <v>4208</v>
      </c>
      <c r="C505" s="19">
        <v>31.27</v>
      </c>
      <c r="D505" s="18">
        <f t="shared" si="31"/>
        <v>-3934</v>
      </c>
      <c r="E505" s="20">
        <f t="shared" si="28"/>
        <v>5</v>
      </c>
      <c r="F505" s="20">
        <f t="shared" si="29"/>
        <v>2016</v>
      </c>
      <c r="H505" s="17">
        <v>42507</v>
      </c>
      <c r="I505" s="16" t="str">
        <f t="shared" si="30"/>
        <v>OK</v>
      </c>
    </row>
    <row r="506" spans="1:9">
      <c r="A506" s="17">
        <v>42514</v>
      </c>
      <c r="B506" s="18">
        <v>-24248</v>
      </c>
      <c r="C506" s="19">
        <v>31.48</v>
      </c>
      <c r="D506" s="18">
        <f t="shared" si="31"/>
        <v>-28456</v>
      </c>
      <c r="E506" s="20">
        <f t="shared" si="28"/>
        <v>5</v>
      </c>
      <c r="F506" s="20">
        <f t="shared" si="29"/>
        <v>2016</v>
      </c>
      <c r="H506" s="17">
        <v>42514</v>
      </c>
      <c r="I506" s="16" t="str">
        <f t="shared" si="30"/>
        <v>OK</v>
      </c>
    </row>
    <row r="507" spans="1:9">
      <c r="A507" s="17">
        <v>42521</v>
      </c>
      <c r="B507" s="18">
        <v>-38244</v>
      </c>
      <c r="C507" s="19">
        <v>32.26</v>
      </c>
      <c r="D507" s="18">
        <f t="shared" si="31"/>
        <v>-13996</v>
      </c>
      <c r="E507" s="20">
        <f t="shared" si="28"/>
        <v>5</v>
      </c>
      <c r="F507" s="20">
        <f t="shared" si="29"/>
        <v>2016</v>
      </c>
      <c r="H507" s="17">
        <v>42521</v>
      </c>
      <c r="I507" s="16" t="str">
        <f t="shared" si="30"/>
        <v>OK</v>
      </c>
    </row>
    <row r="508" spans="1:9">
      <c r="A508" s="17">
        <v>42528</v>
      </c>
      <c r="B508" s="18">
        <v>-33045</v>
      </c>
      <c r="C508" s="19">
        <v>32.76</v>
      </c>
      <c r="D508" s="18">
        <f t="shared" si="31"/>
        <v>5199</v>
      </c>
      <c r="E508" s="20">
        <f t="shared" si="28"/>
        <v>6</v>
      </c>
      <c r="F508" s="20">
        <f t="shared" si="29"/>
        <v>2016</v>
      </c>
      <c r="H508" s="17">
        <v>42528</v>
      </c>
      <c r="I508" s="16" t="str">
        <f t="shared" si="30"/>
        <v>OK</v>
      </c>
    </row>
    <row r="509" spans="1:9">
      <c r="A509" s="17">
        <v>42535</v>
      </c>
      <c r="B509" s="18">
        <v>-16652</v>
      </c>
      <c r="C509" s="19">
        <v>31.93</v>
      </c>
      <c r="D509" s="18">
        <f t="shared" si="31"/>
        <v>16393</v>
      </c>
      <c r="E509" s="20">
        <f t="shared" si="28"/>
        <v>6</v>
      </c>
      <c r="F509" s="20">
        <f t="shared" si="29"/>
        <v>2016</v>
      </c>
      <c r="H509" s="17">
        <v>42535</v>
      </c>
      <c r="I509" s="16" t="str">
        <f t="shared" si="30"/>
        <v>OK</v>
      </c>
    </row>
    <row r="510" spans="1:9">
      <c r="A510" s="17">
        <v>42542</v>
      </c>
      <c r="B510" s="18">
        <v>-31030</v>
      </c>
      <c r="C510" s="19">
        <v>30.99</v>
      </c>
      <c r="D510" s="18">
        <f t="shared" si="31"/>
        <v>-14378</v>
      </c>
      <c r="E510" s="20">
        <f t="shared" si="28"/>
        <v>6</v>
      </c>
      <c r="F510" s="20">
        <f t="shared" si="29"/>
        <v>2016</v>
      </c>
      <c r="H510" s="17">
        <v>42542</v>
      </c>
      <c r="I510" s="16" t="str">
        <f t="shared" si="30"/>
        <v>OK</v>
      </c>
    </row>
    <row r="511" spans="1:9">
      <c r="A511" s="17">
        <v>42549</v>
      </c>
      <c r="B511" s="18">
        <v>-42269</v>
      </c>
      <c r="C511" s="19">
        <v>31.03</v>
      </c>
      <c r="D511" s="18">
        <f t="shared" si="31"/>
        <v>-11239</v>
      </c>
      <c r="E511" s="20">
        <f t="shared" si="28"/>
        <v>6</v>
      </c>
      <c r="F511" s="20">
        <f t="shared" si="29"/>
        <v>2016</v>
      </c>
      <c r="H511" s="17">
        <v>42549</v>
      </c>
      <c r="I511" s="16" t="str">
        <f t="shared" si="30"/>
        <v>OK</v>
      </c>
    </row>
    <row r="512" spans="1:9">
      <c r="A512" s="17">
        <v>42556</v>
      </c>
      <c r="B512" s="18">
        <v>-59521</v>
      </c>
      <c r="C512" s="19">
        <v>30.27</v>
      </c>
      <c r="D512" s="18">
        <f t="shared" si="31"/>
        <v>-17252</v>
      </c>
      <c r="E512" s="20">
        <f t="shared" si="28"/>
        <v>7</v>
      </c>
      <c r="F512" s="20">
        <f t="shared" si="29"/>
        <v>2016</v>
      </c>
      <c r="H512" s="17">
        <v>42556</v>
      </c>
      <c r="I512" s="16" t="str">
        <f t="shared" si="30"/>
        <v>OK</v>
      </c>
    </row>
    <row r="513" spans="1:9">
      <c r="A513" s="17">
        <v>42563</v>
      </c>
      <c r="B513" s="18">
        <v>-61376</v>
      </c>
      <c r="C513" s="19">
        <v>30.89</v>
      </c>
      <c r="D513" s="18">
        <f t="shared" si="31"/>
        <v>-1855</v>
      </c>
      <c r="E513" s="20">
        <f t="shared" si="28"/>
        <v>7</v>
      </c>
      <c r="F513" s="20">
        <f t="shared" si="29"/>
        <v>2016</v>
      </c>
      <c r="H513" s="17">
        <v>42563</v>
      </c>
      <c r="I513" s="16" t="str">
        <f t="shared" si="30"/>
        <v>OK</v>
      </c>
    </row>
    <row r="514" spans="1:9">
      <c r="A514" s="17">
        <v>42570</v>
      </c>
      <c r="B514" s="18">
        <v>-60569</v>
      </c>
      <c r="C514" s="19">
        <v>30.21</v>
      </c>
      <c r="D514" s="18">
        <f t="shared" si="31"/>
        <v>807</v>
      </c>
      <c r="E514" s="20">
        <f t="shared" ref="E514:E577" si="32">MONTH(A514)</f>
        <v>7</v>
      </c>
      <c r="F514" s="20">
        <f t="shared" ref="F514:F577" si="33">YEAR(A514)</f>
        <v>2016</v>
      </c>
      <c r="H514" s="17">
        <v>42570</v>
      </c>
      <c r="I514" s="16" t="str">
        <f t="shared" ref="I514:I577" si="34">IF(H514=A514,"OK","")</f>
        <v>OK</v>
      </c>
    </row>
    <row r="515" spans="1:9">
      <c r="A515" s="17">
        <v>42577</v>
      </c>
      <c r="B515" s="18">
        <v>-73654</v>
      </c>
      <c r="C515" s="19">
        <v>30.35</v>
      </c>
      <c r="D515" s="18">
        <f t="shared" ref="D515:D578" si="35">B515-B514</f>
        <v>-13085</v>
      </c>
      <c r="E515" s="20">
        <f t="shared" si="32"/>
        <v>7</v>
      </c>
      <c r="F515" s="20">
        <f t="shared" si="33"/>
        <v>2016</v>
      </c>
      <c r="H515" s="17">
        <v>42577</v>
      </c>
      <c r="I515" s="16" t="str">
        <f t="shared" si="34"/>
        <v>OK</v>
      </c>
    </row>
    <row r="516" spans="1:9">
      <c r="A516" s="17">
        <v>42584</v>
      </c>
      <c r="B516" s="18">
        <v>-73591</v>
      </c>
      <c r="C516" s="19">
        <v>30.52</v>
      </c>
      <c r="D516" s="18">
        <f t="shared" si="35"/>
        <v>63</v>
      </c>
      <c r="E516" s="20">
        <f t="shared" si="32"/>
        <v>8</v>
      </c>
      <c r="F516" s="20">
        <f t="shared" si="33"/>
        <v>2016</v>
      </c>
      <c r="H516" s="17">
        <v>42584</v>
      </c>
      <c r="I516" s="16" t="str">
        <f t="shared" si="34"/>
        <v>OK</v>
      </c>
    </row>
    <row r="517" spans="1:9">
      <c r="A517" s="17">
        <v>42591</v>
      </c>
      <c r="B517" s="18">
        <v>-45046</v>
      </c>
      <c r="C517" s="19">
        <v>31.9</v>
      </c>
      <c r="D517" s="18">
        <f t="shared" si="35"/>
        <v>28545</v>
      </c>
      <c r="E517" s="20">
        <f t="shared" si="32"/>
        <v>8</v>
      </c>
      <c r="F517" s="20">
        <f t="shared" si="33"/>
        <v>2016</v>
      </c>
      <c r="H517" s="17">
        <v>42591</v>
      </c>
      <c r="I517" s="16" t="str">
        <f t="shared" si="34"/>
        <v>OK</v>
      </c>
    </row>
    <row r="518" spans="1:9">
      <c r="A518" s="17">
        <v>42598</v>
      </c>
      <c r="B518" s="18">
        <v>-8449</v>
      </c>
      <c r="C518" s="19">
        <v>34.14</v>
      </c>
      <c r="D518" s="18">
        <f t="shared" si="35"/>
        <v>36597</v>
      </c>
      <c r="E518" s="20">
        <f t="shared" si="32"/>
        <v>8</v>
      </c>
      <c r="F518" s="20">
        <f t="shared" si="33"/>
        <v>2016</v>
      </c>
      <c r="H518" s="17">
        <v>42598</v>
      </c>
      <c r="I518" s="16" t="str">
        <f t="shared" si="34"/>
        <v>OK</v>
      </c>
    </row>
    <row r="519" spans="1:9">
      <c r="A519" s="17">
        <v>42605</v>
      </c>
      <c r="B519" s="18">
        <v>26115</v>
      </c>
      <c r="C519" s="19">
        <v>32.950000000000003</v>
      </c>
      <c r="D519" s="18">
        <f t="shared" si="35"/>
        <v>34564</v>
      </c>
      <c r="E519" s="20">
        <f t="shared" si="32"/>
        <v>8</v>
      </c>
      <c r="F519" s="20">
        <f t="shared" si="33"/>
        <v>2016</v>
      </c>
      <c r="H519" s="17">
        <v>42605</v>
      </c>
      <c r="I519" s="16" t="str">
        <f t="shared" si="34"/>
        <v>OK</v>
      </c>
    </row>
    <row r="520" spans="1:9">
      <c r="A520" s="17">
        <v>42612</v>
      </c>
      <c r="B520" s="18">
        <v>39864</v>
      </c>
      <c r="C520" s="19">
        <v>32.659999999999997</v>
      </c>
      <c r="D520" s="18">
        <f t="shared" si="35"/>
        <v>13749</v>
      </c>
      <c r="E520" s="20">
        <f t="shared" si="32"/>
        <v>8</v>
      </c>
      <c r="F520" s="20">
        <f t="shared" si="33"/>
        <v>2016</v>
      </c>
      <c r="H520" s="17">
        <v>42612</v>
      </c>
      <c r="I520" s="16" t="str">
        <f t="shared" si="34"/>
        <v>OK</v>
      </c>
    </row>
    <row r="521" spans="1:9">
      <c r="A521" s="17">
        <v>42619</v>
      </c>
      <c r="B521" s="18">
        <v>48093</v>
      </c>
      <c r="C521" s="19">
        <v>33.03</v>
      </c>
      <c r="D521" s="18">
        <f t="shared" si="35"/>
        <v>8229</v>
      </c>
      <c r="E521" s="20">
        <f t="shared" si="32"/>
        <v>9</v>
      </c>
      <c r="F521" s="20">
        <f t="shared" si="33"/>
        <v>2016</v>
      </c>
      <c r="H521" s="17">
        <v>42619</v>
      </c>
      <c r="I521" s="16" t="str">
        <f t="shared" si="34"/>
        <v>OK</v>
      </c>
    </row>
    <row r="522" spans="1:9">
      <c r="A522" s="17">
        <v>42626</v>
      </c>
      <c r="B522" s="18">
        <v>36041</v>
      </c>
      <c r="C522" s="19">
        <v>31.98</v>
      </c>
      <c r="D522" s="18">
        <f t="shared" si="35"/>
        <v>-12052</v>
      </c>
      <c r="E522" s="20">
        <f t="shared" si="32"/>
        <v>9</v>
      </c>
      <c r="F522" s="20">
        <f t="shared" si="33"/>
        <v>2016</v>
      </c>
      <c r="H522" s="17">
        <v>42626</v>
      </c>
      <c r="I522" s="16" t="str">
        <f t="shared" si="34"/>
        <v>OK</v>
      </c>
    </row>
    <row r="523" spans="1:9">
      <c r="A523" s="17">
        <v>42633</v>
      </c>
      <c r="B523" s="18">
        <v>51093</v>
      </c>
      <c r="C523" s="19">
        <v>33.31</v>
      </c>
      <c r="D523" s="18">
        <f t="shared" si="35"/>
        <v>15052</v>
      </c>
      <c r="E523" s="20">
        <f t="shared" si="32"/>
        <v>9</v>
      </c>
      <c r="F523" s="20">
        <f t="shared" si="33"/>
        <v>2016</v>
      </c>
      <c r="H523" s="17">
        <v>42633</v>
      </c>
      <c r="I523" s="16" t="str">
        <f t="shared" si="34"/>
        <v>OK</v>
      </c>
    </row>
    <row r="524" spans="1:9">
      <c r="A524" s="17">
        <v>42640</v>
      </c>
      <c r="B524" s="18">
        <v>82492</v>
      </c>
      <c r="C524" s="19">
        <v>33.24</v>
      </c>
      <c r="D524" s="18">
        <f t="shared" si="35"/>
        <v>31399</v>
      </c>
      <c r="E524" s="20">
        <f t="shared" si="32"/>
        <v>9</v>
      </c>
      <c r="F524" s="20">
        <f t="shared" si="33"/>
        <v>2016</v>
      </c>
      <c r="H524" s="17">
        <v>42640</v>
      </c>
      <c r="I524" s="16" t="str">
        <f t="shared" si="34"/>
        <v>OK</v>
      </c>
    </row>
    <row r="525" spans="1:9">
      <c r="A525" s="17">
        <v>42647</v>
      </c>
      <c r="B525" s="18">
        <v>77912</v>
      </c>
      <c r="C525" s="19">
        <v>33.11</v>
      </c>
      <c r="D525" s="18">
        <f t="shared" si="35"/>
        <v>-4580</v>
      </c>
      <c r="E525" s="20">
        <f t="shared" si="32"/>
        <v>10</v>
      </c>
      <c r="F525" s="20">
        <f t="shared" si="33"/>
        <v>2016</v>
      </c>
      <c r="H525" s="17">
        <v>42647</v>
      </c>
      <c r="I525" s="16" t="str">
        <f t="shared" si="34"/>
        <v>OK</v>
      </c>
    </row>
    <row r="526" spans="1:9">
      <c r="A526" s="17">
        <v>42654</v>
      </c>
      <c r="B526" s="18">
        <v>69291</v>
      </c>
      <c r="C526" s="19">
        <v>34.15</v>
      </c>
      <c r="D526" s="18">
        <f t="shared" si="35"/>
        <v>-8621</v>
      </c>
      <c r="E526" s="20">
        <f t="shared" si="32"/>
        <v>10</v>
      </c>
      <c r="F526" s="20">
        <f t="shared" si="33"/>
        <v>2016</v>
      </c>
      <c r="H526" s="17">
        <v>42654</v>
      </c>
      <c r="I526" s="16" t="str">
        <f t="shared" si="34"/>
        <v>OK</v>
      </c>
    </row>
    <row r="527" spans="1:9">
      <c r="A527" s="17">
        <v>42661</v>
      </c>
      <c r="B527" s="18">
        <v>87549</v>
      </c>
      <c r="C527" s="19">
        <v>35.119999999999997</v>
      </c>
      <c r="D527" s="18">
        <f t="shared" si="35"/>
        <v>18258</v>
      </c>
      <c r="E527" s="20">
        <f t="shared" si="32"/>
        <v>10</v>
      </c>
      <c r="F527" s="20">
        <f t="shared" si="33"/>
        <v>2016</v>
      </c>
      <c r="H527" s="17">
        <v>42661</v>
      </c>
      <c r="I527" s="16" t="str">
        <f t="shared" si="34"/>
        <v>OK</v>
      </c>
    </row>
    <row r="528" spans="1:9">
      <c r="A528" s="17">
        <v>42668</v>
      </c>
      <c r="B528" s="18">
        <v>100666</v>
      </c>
      <c r="C528" s="19">
        <v>35.409999999999997</v>
      </c>
      <c r="D528" s="18">
        <f t="shared" si="35"/>
        <v>13117</v>
      </c>
      <c r="E528" s="20">
        <f t="shared" si="32"/>
        <v>10</v>
      </c>
      <c r="F528" s="20">
        <f t="shared" si="33"/>
        <v>2016</v>
      </c>
      <c r="H528" s="17">
        <v>42668</v>
      </c>
      <c r="I528" s="16" t="str">
        <f t="shared" si="34"/>
        <v>OK</v>
      </c>
    </row>
    <row r="529" spans="1:9">
      <c r="A529" s="17">
        <v>42675</v>
      </c>
      <c r="B529" s="18">
        <v>105522</v>
      </c>
      <c r="C529" s="19">
        <v>34.71</v>
      </c>
      <c r="D529" s="18">
        <f t="shared" si="35"/>
        <v>4856</v>
      </c>
      <c r="E529" s="20">
        <f t="shared" si="32"/>
        <v>11</v>
      </c>
      <c r="F529" s="20">
        <f t="shared" si="33"/>
        <v>2016</v>
      </c>
      <c r="H529" s="17">
        <v>42675</v>
      </c>
      <c r="I529" s="16" t="str">
        <f t="shared" si="34"/>
        <v>OK</v>
      </c>
    </row>
    <row r="530" spans="1:9">
      <c r="A530" s="17">
        <v>42682</v>
      </c>
      <c r="B530" s="18">
        <v>102522</v>
      </c>
      <c r="C530" s="19">
        <v>34.44</v>
      </c>
      <c r="D530" s="18">
        <f t="shared" si="35"/>
        <v>-3000</v>
      </c>
      <c r="E530" s="20">
        <f t="shared" si="32"/>
        <v>11</v>
      </c>
      <c r="F530" s="20">
        <f t="shared" si="33"/>
        <v>2016</v>
      </c>
      <c r="H530" s="17">
        <v>42682</v>
      </c>
      <c r="I530" s="16" t="str">
        <f t="shared" si="34"/>
        <v>OK</v>
      </c>
    </row>
    <row r="531" spans="1:9">
      <c r="A531" s="17">
        <v>42689</v>
      </c>
      <c r="B531" s="18">
        <v>83637</v>
      </c>
      <c r="C531" s="19">
        <v>34.049999999999997</v>
      </c>
      <c r="D531" s="18">
        <f t="shared" si="35"/>
        <v>-18885</v>
      </c>
      <c r="E531" s="20">
        <f t="shared" si="32"/>
        <v>11</v>
      </c>
      <c r="F531" s="20">
        <f t="shared" si="33"/>
        <v>2016</v>
      </c>
      <c r="H531" s="17">
        <v>42689</v>
      </c>
      <c r="I531" s="16" t="str">
        <f t="shared" si="34"/>
        <v>OK</v>
      </c>
    </row>
    <row r="532" spans="1:9">
      <c r="A532" s="17">
        <v>42696</v>
      </c>
      <c r="B532" s="18">
        <v>76156</v>
      </c>
      <c r="C532" s="19">
        <v>36.659999999999997</v>
      </c>
      <c r="D532" s="18">
        <f t="shared" si="35"/>
        <v>-7481</v>
      </c>
      <c r="E532" s="20">
        <f t="shared" si="32"/>
        <v>11</v>
      </c>
      <c r="F532" s="20">
        <f t="shared" si="33"/>
        <v>2016</v>
      </c>
      <c r="H532" s="17">
        <v>42696</v>
      </c>
      <c r="I532" s="16" t="str">
        <f t="shared" si="34"/>
        <v>OK</v>
      </c>
    </row>
    <row r="533" spans="1:9">
      <c r="A533" s="17">
        <v>42703</v>
      </c>
      <c r="B533" s="18">
        <v>92592</v>
      </c>
      <c r="C533" s="19">
        <v>37.51</v>
      </c>
      <c r="D533" s="18">
        <f t="shared" si="35"/>
        <v>16436</v>
      </c>
      <c r="E533" s="20">
        <f t="shared" si="32"/>
        <v>11</v>
      </c>
      <c r="F533" s="20">
        <f t="shared" si="33"/>
        <v>2016</v>
      </c>
      <c r="H533" s="17">
        <v>42703</v>
      </c>
      <c r="I533" s="16" t="str">
        <f t="shared" si="34"/>
        <v>OK</v>
      </c>
    </row>
    <row r="534" spans="1:9">
      <c r="A534" s="17">
        <v>42710</v>
      </c>
      <c r="B534" s="18">
        <v>86593</v>
      </c>
      <c r="C534" s="19">
        <v>36.74</v>
      </c>
      <c r="D534" s="18">
        <f t="shared" si="35"/>
        <v>-5999</v>
      </c>
      <c r="E534" s="20">
        <f t="shared" si="32"/>
        <v>12</v>
      </c>
      <c r="F534" s="20">
        <f t="shared" si="33"/>
        <v>2016</v>
      </c>
      <c r="H534" s="17">
        <v>42710</v>
      </c>
      <c r="I534" s="16" t="str">
        <f t="shared" si="34"/>
        <v>OK</v>
      </c>
    </row>
    <row r="535" spans="1:9">
      <c r="A535" s="17">
        <v>42717</v>
      </c>
      <c r="B535" s="18">
        <v>82802</v>
      </c>
      <c r="C535" s="19">
        <v>36.74</v>
      </c>
      <c r="D535" s="18">
        <f t="shared" si="35"/>
        <v>-3791</v>
      </c>
      <c r="E535" s="20">
        <f t="shared" si="32"/>
        <v>12</v>
      </c>
      <c r="F535" s="20">
        <f t="shared" si="33"/>
        <v>2016</v>
      </c>
      <c r="H535" s="17">
        <v>42717</v>
      </c>
      <c r="I535" s="16" t="str">
        <f t="shared" si="34"/>
        <v>OK</v>
      </c>
    </row>
    <row r="536" spans="1:9">
      <c r="A536" s="17">
        <v>42724</v>
      </c>
      <c r="B536" s="18">
        <v>81905</v>
      </c>
      <c r="C536" s="19">
        <v>34.6</v>
      </c>
      <c r="D536" s="18">
        <f t="shared" si="35"/>
        <v>-897</v>
      </c>
      <c r="E536" s="20">
        <f t="shared" si="32"/>
        <v>12</v>
      </c>
      <c r="F536" s="20">
        <f t="shared" si="33"/>
        <v>2016</v>
      </c>
      <c r="H536" s="17">
        <v>42724</v>
      </c>
      <c r="I536" s="16" t="str">
        <f t="shared" si="34"/>
        <v>OK</v>
      </c>
    </row>
    <row r="537" spans="1:9">
      <c r="A537" s="17">
        <v>42731</v>
      </c>
      <c r="B537" s="18">
        <v>65985</v>
      </c>
      <c r="C537" s="19">
        <v>34.42</v>
      </c>
      <c r="D537" s="18">
        <f t="shared" si="35"/>
        <v>-15920</v>
      </c>
      <c r="E537" s="20">
        <f t="shared" si="32"/>
        <v>12</v>
      </c>
      <c r="F537" s="20">
        <f t="shared" si="33"/>
        <v>2016</v>
      </c>
      <c r="H537" s="17">
        <v>42731</v>
      </c>
      <c r="I537" s="16" t="str">
        <f t="shared" si="34"/>
        <v>OK</v>
      </c>
    </row>
    <row r="538" spans="1:9">
      <c r="A538" s="17">
        <v>42738</v>
      </c>
      <c r="B538" s="18">
        <v>52277</v>
      </c>
      <c r="C538" s="19">
        <v>34.770000000000003</v>
      </c>
      <c r="D538" s="18">
        <f t="shared" si="35"/>
        <v>-13708</v>
      </c>
      <c r="E538" s="20">
        <f t="shared" si="32"/>
        <v>1</v>
      </c>
      <c r="F538" s="20">
        <f t="shared" si="33"/>
        <v>2017</v>
      </c>
      <c r="H538" s="17">
        <v>42738</v>
      </c>
      <c r="I538" s="16" t="str">
        <f t="shared" si="34"/>
        <v>OK</v>
      </c>
    </row>
    <row r="539" spans="1:9">
      <c r="A539" s="17">
        <v>42745</v>
      </c>
      <c r="B539" s="18">
        <v>55615</v>
      </c>
      <c r="C539" s="19">
        <v>35.369999999999997</v>
      </c>
      <c r="D539" s="18">
        <f t="shared" si="35"/>
        <v>3338</v>
      </c>
      <c r="E539" s="20">
        <f t="shared" si="32"/>
        <v>1</v>
      </c>
      <c r="F539" s="20">
        <f t="shared" si="33"/>
        <v>2017</v>
      </c>
      <c r="H539" s="17">
        <v>42745</v>
      </c>
      <c r="I539" s="16" t="str">
        <f t="shared" si="34"/>
        <v>OK</v>
      </c>
    </row>
    <row r="540" spans="1:9">
      <c r="A540" s="17">
        <v>42752</v>
      </c>
      <c r="B540" s="18">
        <v>35787</v>
      </c>
      <c r="C540" s="19">
        <v>35.15</v>
      </c>
      <c r="D540" s="18">
        <f t="shared" si="35"/>
        <v>-19828</v>
      </c>
      <c r="E540" s="20">
        <f t="shared" si="32"/>
        <v>1</v>
      </c>
      <c r="F540" s="20">
        <f t="shared" si="33"/>
        <v>2017</v>
      </c>
      <c r="H540" s="17">
        <v>42752</v>
      </c>
      <c r="I540" s="16" t="str">
        <f t="shared" si="34"/>
        <v>OK</v>
      </c>
    </row>
    <row r="541" spans="1:9">
      <c r="A541" s="17">
        <v>42759</v>
      </c>
      <c r="B541" s="18">
        <v>27520</v>
      </c>
      <c r="C541" s="19">
        <v>34.270000000000003</v>
      </c>
      <c r="D541" s="18">
        <f t="shared" si="35"/>
        <v>-8267</v>
      </c>
      <c r="E541" s="20">
        <f t="shared" si="32"/>
        <v>1</v>
      </c>
      <c r="F541" s="20">
        <f t="shared" si="33"/>
        <v>2017</v>
      </c>
      <c r="H541" s="17">
        <v>42759</v>
      </c>
      <c r="I541" s="16" t="str">
        <f t="shared" si="34"/>
        <v>OK</v>
      </c>
    </row>
    <row r="542" spans="1:9">
      <c r="A542" s="17">
        <v>42766</v>
      </c>
      <c r="B542" s="18">
        <v>961</v>
      </c>
      <c r="C542" s="19">
        <v>33.86</v>
      </c>
      <c r="D542" s="18">
        <f t="shared" si="35"/>
        <v>-26559</v>
      </c>
      <c r="E542" s="20">
        <f t="shared" si="32"/>
        <v>1</v>
      </c>
      <c r="F542" s="20">
        <f t="shared" si="33"/>
        <v>2017</v>
      </c>
      <c r="H542" s="17">
        <v>42766</v>
      </c>
      <c r="I542" s="16" t="str">
        <f t="shared" si="34"/>
        <v>OK</v>
      </c>
    </row>
    <row r="543" spans="1:9">
      <c r="A543" s="17">
        <v>42773</v>
      </c>
      <c r="B543" s="18">
        <v>2027</v>
      </c>
      <c r="C543" s="19">
        <v>34.61</v>
      </c>
      <c r="D543" s="18">
        <f t="shared" si="35"/>
        <v>1066</v>
      </c>
      <c r="E543" s="20">
        <f t="shared" si="32"/>
        <v>2</v>
      </c>
      <c r="F543" s="20">
        <f t="shared" si="33"/>
        <v>2017</v>
      </c>
      <c r="H543" s="17">
        <v>42773</v>
      </c>
      <c r="I543" s="16" t="str">
        <f t="shared" si="34"/>
        <v>OK</v>
      </c>
    </row>
    <row r="544" spans="1:9">
      <c r="A544" s="17">
        <v>42780</v>
      </c>
      <c r="B544" s="18">
        <v>2031</v>
      </c>
      <c r="C544" s="19">
        <v>32.89</v>
      </c>
      <c r="D544" s="18">
        <f t="shared" si="35"/>
        <v>4</v>
      </c>
      <c r="E544" s="20">
        <f t="shared" si="32"/>
        <v>2</v>
      </c>
      <c r="F544" s="20">
        <f t="shared" si="33"/>
        <v>2017</v>
      </c>
      <c r="H544" s="17">
        <v>42780</v>
      </c>
      <c r="I544" s="16" t="str">
        <f t="shared" si="34"/>
        <v>OK</v>
      </c>
    </row>
    <row r="545" spans="1:9">
      <c r="A545" s="17">
        <v>42787</v>
      </c>
      <c r="B545" s="18">
        <v>-28567</v>
      </c>
      <c r="C545" s="19">
        <v>32.39</v>
      </c>
      <c r="D545" s="18">
        <f t="shared" si="35"/>
        <v>-30598</v>
      </c>
      <c r="E545" s="20">
        <f t="shared" si="32"/>
        <v>2</v>
      </c>
      <c r="F545" s="20">
        <f t="shared" si="33"/>
        <v>2017</v>
      </c>
      <c r="H545" s="17">
        <v>42787</v>
      </c>
      <c r="I545" s="16" t="str">
        <f t="shared" si="34"/>
        <v>OK</v>
      </c>
    </row>
    <row r="546" spans="1:9">
      <c r="A546" s="17">
        <v>42794</v>
      </c>
      <c r="B546" s="18">
        <v>-43436</v>
      </c>
      <c r="C546" s="19">
        <v>34.130000000000003</v>
      </c>
      <c r="D546" s="18">
        <f t="shared" si="35"/>
        <v>-14869</v>
      </c>
      <c r="E546" s="20">
        <f t="shared" si="32"/>
        <v>2</v>
      </c>
      <c r="F546" s="20">
        <f t="shared" si="33"/>
        <v>2017</v>
      </c>
      <c r="H546" s="17">
        <v>42794</v>
      </c>
      <c r="I546" s="16" t="str">
        <f t="shared" si="34"/>
        <v>OK</v>
      </c>
    </row>
    <row r="547" spans="1:9">
      <c r="A547" s="17">
        <v>42801</v>
      </c>
      <c r="B547" s="18">
        <v>-35169</v>
      </c>
      <c r="C547" s="19">
        <v>32.44</v>
      </c>
      <c r="D547" s="18">
        <f t="shared" si="35"/>
        <v>8267</v>
      </c>
      <c r="E547" s="20">
        <f t="shared" si="32"/>
        <v>3</v>
      </c>
      <c r="F547" s="20">
        <f t="shared" si="33"/>
        <v>2017</v>
      </c>
      <c r="H547" s="17">
        <v>42801</v>
      </c>
      <c r="I547" s="16" t="str">
        <f t="shared" si="34"/>
        <v>OK</v>
      </c>
    </row>
    <row r="548" spans="1:9">
      <c r="A548" s="17">
        <v>42808</v>
      </c>
      <c r="B548" s="18">
        <v>-59160</v>
      </c>
      <c r="C548" s="19">
        <v>32.299999999999997</v>
      </c>
      <c r="D548" s="18">
        <f t="shared" si="35"/>
        <v>-23991</v>
      </c>
      <c r="E548" s="20">
        <f t="shared" si="32"/>
        <v>3</v>
      </c>
      <c r="F548" s="20">
        <f t="shared" si="33"/>
        <v>2017</v>
      </c>
      <c r="H548" s="17">
        <v>42808</v>
      </c>
      <c r="I548" s="16" t="str">
        <f t="shared" si="34"/>
        <v>OK</v>
      </c>
    </row>
    <row r="549" spans="1:9">
      <c r="A549" s="17">
        <v>42815</v>
      </c>
      <c r="B549" s="18">
        <v>-84499</v>
      </c>
      <c r="C549" s="19">
        <v>32.229999999999997</v>
      </c>
      <c r="D549" s="18">
        <f t="shared" si="35"/>
        <v>-25339</v>
      </c>
      <c r="E549" s="20">
        <f t="shared" si="32"/>
        <v>3</v>
      </c>
      <c r="F549" s="20">
        <f t="shared" si="33"/>
        <v>2017</v>
      </c>
      <c r="H549" s="17">
        <v>42815</v>
      </c>
      <c r="I549" s="16" t="str">
        <f t="shared" si="34"/>
        <v>OK</v>
      </c>
    </row>
    <row r="550" spans="1:9">
      <c r="A550" s="17">
        <v>42822</v>
      </c>
      <c r="B550" s="18">
        <v>-49281</v>
      </c>
      <c r="C550" s="19">
        <v>31.78</v>
      </c>
      <c r="D550" s="18">
        <f t="shared" si="35"/>
        <v>35218</v>
      </c>
      <c r="E550" s="20">
        <f t="shared" si="32"/>
        <v>3</v>
      </c>
      <c r="F550" s="20">
        <f t="shared" si="33"/>
        <v>2017</v>
      </c>
      <c r="H550" s="17">
        <v>42822</v>
      </c>
      <c r="I550" s="16" t="str">
        <f t="shared" si="34"/>
        <v>OK</v>
      </c>
    </row>
    <row r="551" spans="1:9">
      <c r="A551" s="17">
        <v>42829</v>
      </c>
      <c r="B551" s="18">
        <v>-52738</v>
      </c>
      <c r="C551" s="19">
        <v>31.62</v>
      </c>
      <c r="D551" s="18">
        <f t="shared" si="35"/>
        <v>-3457</v>
      </c>
      <c r="E551" s="20">
        <f t="shared" si="32"/>
        <v>4</v>
      </c>
      <c r="F551" s="20">
        <f t="shared" si="33"/>
        <v>2017</v>
      </c>
      <c r="H551" s="17">
        <v>42829</v>
      </c>
      <c r="I551" s="16" t="str">
        <f t="shared" si="34"/>
        <v>OK</v>
      </c>
    </row>
    <row r="552" spans="1:9">
      <c r="A552" s="17">
        <v>42836</v>
      </c>
      <c r="B552" s="18">
        <v>-58242</v>
      </c>
      <c r="C552" s="19">
        <v>31.19</v>
      </c>
      <c r="D552" s="18">
        <f t="shared" si="35"/>
        <v>-5504</v>
      </c>
      <c r="E552" s="20">
        <f t="shared" si="32"/>
        <v>4</v>
      </c>
      <c r="F552" s="20">
        <f t="shared" si="33"/>
        <v>2017</v>
      </c>
      <c r="H552" s="17">
        <v>42836</v>
      </c>
      <c r="I552" s="16" t="str">
        <f t="shared" si="34"/>
        <v>OK</v>
      </c>
    </row>
    <row r="553" spans="1:9">
      <c r="A553" s="17">
        <v>42843</v>
      </c>
      <c r="B553" s="18">
        <v>-49935</v>
      </c>
      <c r="C553" s="19">
        <v>31.94</v>
      </c>
      <c r="D553" s="18">
        <f t="shared" si="35"/>
        <v>8307</v>
      </c>
      <c r="E553" s="20">
        <f t="shared" si="32"/>
        <v>4</v>
      </c>
      <c r="F553" s="20">
        <f t="shared" si="33"/>
        <v>2017</v>
      </c>
      <c r="H553" s="17">
        <v>42843</v>
      </c>
      <c r="I553" s="16" t="str">
        <f t="shared" si="34"/>
        <v>OK</v>
      </c>
    </row>
    <row r="554" spans="1:9">
      <c r="A554" s="17">
        <v>42850</v>
      </c>
      <c r="B554" s="18">
        <v>-35208</v>
      </c>
      <c r="C554" s="19">
        <v>31.45</v>
      </c>
      <c r="D554" s="18">
        <f t="shared" si="35"/>
        <v>14727</v>
      </c>
      <c r="E554" s="20">
        <f t="shared" si="32"/>
        <v>4</v>
      </c>
      <c r="F554" s="20">
        <f t="shared" si="33"/>
        <v>2017</v>
      </c>
      <c r="H554" s="17">
        <v>42850</v>
      </c>
      <c r="I554" s="16" t="str">
        <f t="shared" si="34"/>
        <v>OK</v>
      </c>
    </row>
    <row r="555" spans="1:9">
      <c r="A555" s="17">
        <v>42857</v>
      </c>
      <c r="B555" s="18">
        <v>-24445</v>
      </c>
      <c r="C555" s="19">
        <v>32.71</v>
      </c>
      <c r="D555" s="18">
        <f t="shared" si="35"/>
        <v>10763</v>
      </c>
      <c r="E555" s="20">
        <f t="shared" si="32"/>
        <v>5</v>
      </c>
      <c r="F555" s="20">
        <f t="shared" si="33"/>
        <v>2017</v>
      </c>
      <c r="H555" s="17">
        <v>42857</v>
      </c>
      <c r="I555" s="16" t="str">
        <f t="shared" si="34"/>
        <v>OK</v>
      </c>
    </row>
    <row r="556" spans="1:9">
      <c r="A556" s="17">
        <v>42864</v>
      </c>
      <c r="B556" s="18">
        <v>-12814</v>
      </c>
      <c r="C556" s="19">
        <v>32.630000000000003</v>
      </c>
      <c r="D556" s="18">
        <f t="shared" si="35"/>
        <v>11631</v>
      </c>
      <c r="E556" s="20">
        <f t="shared" si="32"/>
        <v>5</v>
      </c>
      <c r="F556" s="20">
        <f t="shared" si="33"/>
        <v>2017</v>
      </c>
      <c r="H556" s="17">
        <v>42864</v>
      </c>
      <c r="I556" s="16" t="str">
        <f t="shared" si="34"/>
        <v>OK</v>
      </c>
    </row>
    <row r="557" spans="1:9">
      <c r="A557" s="17">
        <v>42871</v>
      </c>
      <c r="B557" s="18">
        <v>5680</v>
      </c>
      <c r="C557" s="19">
        <v>33.04</v>
      </c>
      <c r="D557" s="18">
        <f t="shared" si="35"/>
        <v>18494</v>
      </c>
      <c r="E557" s="20">
        <f t="shared" si="32"/>
        <v>5</v>
      </c>
      <c r="F557" s="20">
        <f t="shared" si="33"/>
        <v>2017</v>
      </c>
      <c r="H557" s="17">
        <v>42871</v>
      </c>
      <c r="I557" s="16" t="str">
        <f t="shared" si="34"/>
        <v>OK</v>
      </c>
    </row>
    <row r="558" spans="1:9">
      <c r="A558" s="17">
        <v>42878</v>
      </c>
      <c r="B558" s="18">
        <v>26840</v>
      </c>
      <c r="C558" s="19">
        <v>31.6</v>
      </c>
      <c r="D558" s="18">
        <f t="shared" si="35"/>
        <v>21160</v>
      </c>
      <c r="E558" s="20">
        <f t="shared" si="32"/>
        <v>5</v>
      </c>
      <c r="F558" s="20">
        <f t="shared" si="33"/>
        <v>2017</v>
      </c>
      <c r="H558" s="17">
        <v>42878</v>
      </c>
      <c r="I558" s="16" t="str">
        <f t="shared" si="34"/>
        <v>OK</v>
      </c>
    </row>
    <row r="559" spans="1:9">
      <c r="A559" s="17">
        <v>42885</v>
      </c>
      <c r="B559" s="18">
        <v>22187</v>
      </c>
      <c r="C559" s="19">
        <v>31.01</v>
      </c>
      <c r="D559" s="18">
        <f t="shared" si="35"/>
        <v>-4653</v>
      </c>
      <c r="E559" s="20">
        <f t="shared" si="32"/>
        <v>5</v>
      </c>
      <c r="F559" s="20">
        <f t="shared" si="33"/>
        <v>2017</v>
      </c>
      <c r="H559" s="17">
        <v>42885</v>
      </c>
      <c r="I559" s="16" t="str">
        <f t="shared" si="34"/>
        <v>OK</v>
      </c>
    </row>
    <row r="560" spans="1:9">
      <c r="A560" s="17">
        <v>42892</v>
      </c>
      <c r="B560" s="18">
        <v>16640</v>
      </c>
      <c r="C560" s="19">
        <v>32.29</v>
      </c>
      <c r="D560" s="18">
        <f t="shared" si="35"/>
        <v>-5547</v>
      </c>
      <c r="E560" s="20">
        <f t="shared" si="32"/>
        <v>6</v>
      </c>
      <c r="F560" s="20">
        <f t="shared" si="33"/>
        <v>2017</v>
      </c>
      <c r="H560" s="17">
        <v>42892</v>
      </c>
      <c r="I560" s="16" t="str">
        <f t="shared" si="34"/>
        <v>OK</v>
      </c>
    </row>
    <row r="561" spans="1:9">
      <c r="A561" s="17">
        <v>42899</v>
      </c>
      <c r="B561" s="18">
        <v>27906</v>
      </c>
      <c r="C561" s="19">
        <v>33.11</v>
      </c>
      <c r="D561" s="18">
        <f t="shared" si="35"/>
        <v>11266</v>
      </c>
      <c r="E561" s="20">
        <f t="shared" si="32"/>
        <v>6</v>
      </c>
      <c r="F561" s="20">
        <f t="shared" si="33"/>
        <v>2017</v>
      </c>
      <c r="H561" s="17">
        <v>42899</v>
      </c>
      <c r="I561" s="16" t="str">
        <f t="shared" si="34"/>
        <v>OK</v>
      </c>
    </row>
    <row r="562" spans="1:9">
      <c r="A562" s="17">
        <v>42906</v>
      </c>
      <c r="B562" s="18">
        <v>49879</v>
      </c>
      <c r="C562" s="19">
        <v>31.61</v>
      </c>
      <c r="D562" s="18">
        <f t="shared" si="35"/>
        <v>21973</v>
      </c>
      <c r="E562" s="20">
        <f t="shared" si="32"/>
        <v>6</v>
      </c>
      <c r="F562" s="20">
        <f t="shared" si="33"/>
        <v>2017</v>
      </c>
      <c r="H562" s="17">
        <v>42906</v>
      </c>
      <c r="I562" s="16" t="str">
        <f t="shared" si="34"/>
        <v>OK</v>
      </c>
    </row>
    <row r="563" spans="1:9">
      <c r="A563" s="17">
        <v>42913</v>
      </c>
      <c r="B563" s="18">
        <v>64941</v>
      </c>
      <c r="C563" s="19">
        <v>32.93</v>
      </c>
      <c r="D563" s="18">
        <f t="shared" si="35"/>
        <v>15062</v>
      </c>
      <c r="E563" s="20">
        <f t="shared" si="32"/>
        <v>6</v>
      </c>
      <c r="F563" s="20">
        <f t="shared" si="33"/>
        <v>2017</v>
      </c>
      <c r="H563" s="17">
        <v>42913</v>
      </c>
      <c r="I563" s="16" t="str">
        <f t="shared" si="34"/>
        <v>OK</v>
      </c>
    </row>
    <row r="564" spans="1:9">
      <c r="A564" s="17">
        <v>42920</v>
      </c>
      <c r="B564" s="18">
        <v>62685</v>
      </c>
      <c r="C564" s="19">
        <v>32.78</v>
      </c>
      <c r="D564" s="18">
        <f t="shared" si="35"/>
        <v>-2256</v>
      </c>
      <c r="E564" s="20">
        <f t="shared" si="32"/>
        <v>7</v>
      </c>
      <c r="F564" s="20">
        <f t="shared" si="33"/>
        <v>2017</v>
      </c>
      <c r="H564" s="17">
        <v>42920</v>
      </c>
      <c r="I564" s="16" t="str">
        <f t="shared" si="34"/>
        <v>OK</v>
      </c>
    </row>
    <row r="565" spans="1:9">
      <c r="A565" s="17">
        <v>42927</v>
      </c>
      <c r="B565" s="18">
        <v>50206</v>
      </c>
      <c r="C565" s="19">
        <v>33.06</v>
      </c>
      <c r="D565" s="18">
        <f t="shared" si="35"/>
        <v>-12479</v>
      </c>
      <c r="E565" s="20">
        <f t="shared" si="32"/>
        <v>7</v>
      </c>
      <c r="F565" s="20">
        <f t="shared" si="33"/>
        <v>2017</v>
      </c>
      <c r="H565" s="17">
        <v>42927</v>
      </c>
      <c r="I565" s="16" t="str">
        <f t="shared" si="34"/>
        <v>OK</v>
      </c>
    </row>
    <row r="566" spans="1:9">
      <c r="A566" s="17">
        <v>42934</v>
      </c>
      <c r="B566" s="18">
        <v>49584</v>
      </c>
      <c r="C566" s="19">
        <v>33.799999999999997</v>
      </c>
      <c r="D566" s="18">
        <f t="shared" si="35"/>
        <v>-622</v>
      </c>
      <c r="E566" s="20">
        <f t="shared" si="32"/>
        <v>7</v>
      </c>
      <c r="F566" s="20">
        <f t="shared" si="33"/>
        <v>2017</v>
      </c>
      <c r="H566" s="17">
        <v>42934</v>
      </c>
      <c r="I566" s="16" t="str">
        <f t="shared" si="34"/>
        <v>OK</v>
      </c>
    </row>
    <row r="567" spans="1:9">
      <c r="A567" s="17">
        <v>42941</v>
      </c>
      <c r="B567" s="18">
        <v>67009</v>
      </c>
      <c r="C567" s="19">
        <v>34.61</v>
      </c>
      <c r="D567" s="18">
        <f t="shared" si="35"/>
        <v>17425</v>
      </c>
      <c r="E567" s="20">
        <f t="shared" si="32"/>
        <v>7</v>
      </c>
      <c r="F567" s="20">
        <f t="shared" si="33"/>
        <v>2017</v>
      </c>
      <c r="H567" s="17">
        <v>42941</v>
      </c>
      <c r="I567" s="16" t="str">
        <f t="shared" si="34"/>
        <v>OK</v>
      </c>
    </row>
    <row r="568" spans="1:9">
      <c r="A568" s="17">
        <v>42948</v>
      </c>
      <c r="B568" s="18">
        <v>75327</v>
      </c>
      <c r="C568" s="19">
        <v>33.6</v>
      </c>
      <c r="D568" s="18">
        <f t="shared" si="35"/>
        <v>8318</v>
      </c>
      <c r="E568" s="20">
        <f t="shared" si="32"/>
        <v>8</v>
      </c>
      <c r="F568" s="20">
        <f t="shared" si="33"/>
        <v>2017</v>
      </c>
      <c r="H568" s="17">
        <v>42948</v>
      </c>
      <c r="I568" s="16" t="str">
        <f t="shared" si="34"/>
        <v>OK</v>
      </c>
    </row>
    <row r="569" spans="1:9">
      <c r="A569" s="17">
        <v>42955</v>
      </c>
      <c r="B569" s="18">
        <v>79372</v>
      </c>
      <c r="C569" s="19">
        <v>33.53</v>
      </c>
      <c r="D569" s="18">
        <f t="shared" si="35"/>
        <v>4045</v>
      </c>
      <c r="E569" s="20">
        <f t="shared" si="32"/>
        <v>8</v>
      </c>
      <c r="F569" s="20">
        <f t="shared" si="33"/>
        <v>2017</v>
      </c>
      <c r="H569" s="17">
        <v>42955</v>
      </c>
      <c r="I569" s="16" t="str">
        <f t="shared" si="34"/>
        <v>OK</v>
      </c>
    </row>
    <row r="570" spans="1:9">
      <c r="A570" s="17">
        <v>42962</v>
      </c>
      <c r="B570" s="18">
        <v>71605</v>
      </c>
      <c r="C570" s="19">
        <v>33.61</v>
      </c>
      <c r="D570" s="18">
        <f t="shared" si="35"/>
        <v>-7767</v>
      </c>
      <c r="E570" s="20">
        <f t="shared" si="32"/>
        <v>8</v>
      </c>
      <c r="F570" s="20">
        <f t="shared" si="33"/>
        <v>2017</v>
      </c>
      <c r="H570" s="17">
        <v>42962</v>
      </c>
      <c r="I570" s="16" t="str">
        <f t="shared" si="34"/>
        <v>OK</v>
      </c>
    </row>
    <row r="571" spans="1:9">
      <c r="A571" s="17">
        <v>42969</v>
      </c>
      <c r="B571" s="18">
        <v>79159</v>
      </c>
      <c r="C571" s="19">
        <v>34.61</v>
      </c>
      <c r="D571" s="18">
        <f t="shared" si="35"/>
        <v>7554</v>
      </c>
      <c r="E571" s="20">
        <f t="shared" si="32"/>
        <v>8</v>
      </c>
      <c r="F571" s="20">
        <f t="shared" si="33"/>
        <v>2017</v>
      </c>
      <c r="H571" s="17">
        <v>42969</v>
      </c>
      <c r="I571" s="16" t="str">
        <f t="shared" si="34"/>
        <v>OK</v>
      </c>
    </row>
    <row r="572" spans="1:9">
      <c r="A572" s="17">
        <v>42976</v>
      </c>
      <c r="B572" s="18">
        <v>103023</v>
      </c>
      <c r="C572" s="19">
        <v>35.31</v>
      </c>
      <c r="D572" s="18">
        <f t="shared" si="35"/>
        <v>23864</v>
      </c>
      <c r="E572" s="20">
        <f t="shared" si="32"/>
        <v>8</v>
      </c>
      <c r="F572" s="20">
        <f t="shared" si="33"/>
        <v>2017</v>
      </c>
      <c r="H572" s="17">
        <v>42976</v>
      </c>
      <c r="I572" s="16" t="str">
        <f t="shared" si="34"/>
        <v>OK</v>
      </c>
    </row>
    <row r="573" spans="1:9">
      <c r="A573" s="17">
        <v>42983</v>
      </c>
      <c r="B573" s="18">
        <v>124978</v>
      </c>
      <c r="C573" s="19">
        <v>34.590000000000003</v>
      </c>
      <c r="D573" s="18">
        <f t="shared" si="35"/>
        <v>21955</v>
      </c>
      <c r="E573" s="20">
        <f t="shared" si="32"/>
        <v>9</v>
      </c>
      <c r="F573" s="20">
        <f t="shared" si="33"/>
        <v>2017</v>
      </c>
      <c r="H573" s="17">
        <v>42983</v>
      </c>
      <c r="I573" s="16" t="str">
        <f t="shared" si="34"/>
        <v>OK</v>
      </c>
    </row>
    <row r="574" spans="1:9">
      <c r="A574" s="17">
        <v>42990</v>
      </c>
      <c r="B574" s="18">
        <v>132252</v>
      </c>
      <c r="C574" s="19">
        <v>34.56</v>
      </c>
      <c r="D574" s="18">
        <f t="shared" si="35"/>
        <v>7274</v>
      </c>
      <c r="E574" s="20">
        <f t="shared" si="32"/>
        <v>9</v>
      </c>
      <c r="F574" s="20">
        <f t="shared" si="33"/>
        <v>2017</v>
      </c>
      <c r="H574" s="17">
        <v>42990</v>
      </c>
      <c r="I574" s="16" t="str">
        <f t="shared" si="34"/>
        <v>OK</v>
      </c>
    </row>
    <row r="575" spans="1:9">
      <c r="A575" s="17">
        <v>42997</v>
      </c>
      <c r="B575" s="18">
        <v>109789</v>
      </c>
      <c r="C575" s="19">
        <v>33.99</v>
      </c>
      <c r="D575" s="18">
        <f t="shared" si="35"/>
        <v>-22463</v>
      </c>
      <c r="E575" s="20">
        <f t="shared" si="32"/>
        <v>9</v>
      </c>
      <c r="F575" s="20">
        <f t="shared" si="33"/>
        <v>2017</v>
      </c>
      <c r="H575" s="17">
        <v>42997</v>
      </c>
      <c r="I575" s="16" t="str">
        <f t="shared" si="34"/>
        <v>OK</v>
      </c>
    </row>
    <row r="576" spans="1:9">
      <c r="A576" s="17">
        <v>43004</v>
      </c>
      <c r="B576" s="18">
        <v>81121</v>
      </c>
      <c r="C576" s="19">
        <v>32.57</v>
      </c>
      <c r="D576" s="18">
        <f t="shared" si="35"/>
        <v>-28668</v>
      </c>
      <c r="E576" s="20">
        <f t="shared" si="32"/>
        <v>9</v>
      </c>
      <c r="F576" s="20">
        <f t="shared" si="33"/>
        <v>2017</v>
      </c>
      <c r="H576" s="17">
        <v>43004</v>
      </c>
      <c r="I576" s="16" t="str">
        <f t="shared" si="34"/>
        <v>OK</v>
      </c>
    </row>
    <row r="577" spans="1:9">
      <c r="A577" s="17">
        <v>43011</v>
      </c>
      <c r="B577" s="18">
        <v>29561</v>
      </c>
      <c r="C577" s="19">
        <v>32.71</v>
      </c>
      <c r="D577" s="18">
        <f t="shared" si="35"/>
        <v>-51560</v>
      </c>
      <c r="E577" s="20">
        <f t="shared" si="32"/>
        <v>10</v>
      </c>
      <c r="F577" s="20">
        <f t="shared" si="33"/>
        <v>2017</v>
      </c>
      <c r="H577" s="17">
        <v>43011</v>
      </c>
      <c r="I577" s="16" t="str">
        <f t="shared" si="34"/>
        <v>OK</v>
      </c>
    </row>
    <row r="578" spans="1:9">
      <c r="A578" s="17">
        <v>43018</v>
      </c>
      <c r="B578" s="18">
        <v>10077</v>
      </c>
      <c r="C578" s="19">
        <v>33.49</v>
      </c>
      <c r="D578" s="18">
        <f t="shared" si="35"/>
        <v>-19484</v>
      </c>
      <c r="E578" s="20">
        <f t="shared" ref="E578:E641" si="36">MONTH(A578)</f>
        <v>10</v>
      </c>
      <c r="F578" s="20">
        <f t="shared" ref="F578:F641" si="37">YEAR(A578)</f>
        <v>2017</v>
      </c>
      <c r="H578" s="17">
        <v>43018</v>
      </c>
      <c r="I578" s="16" t="str">
        <f t="shared" ref="I578:I641" si="38">IF(H578=A578,"OK","")</f>
        <v>OK</v>
      </c>
    </row>
    <row r="579" spans="1:9">
      <c r="A579" s="17">
        <v>43025</v>
      </c>
      <c r="B579" s="18">
        <v>3798</v>
      </c>
      <c r="C579" s="19">
        <v>34.159999999999997</v>
      </c>
      <c r="D579" s="18">
        <f t="shared" ref="D579:D642" si="39">B579-B578</f>
        <v>-6279</v>
      </c>
      <c r="E579" s="20">
        <f t="shared" si="36"/>
        <v>10</v>
      </c>
      <c r="F579" s="20">
        <f t="shared" si="37"/>
        <v>2017</v>
      </c>
      <c r="H579" s="17">
        <v>43025</v>
      </c>
      <c r="I579" s="16" t="str">
        <f t="shared" si="38"/>
        <v>OK</v>
      </c>
    </row>
    <row r="580" spans="1:9">
      <c r="A580" s="17">
        <v>43032</v>
      </c>
      <c r="B580" s="18">
        <v>17934</v>
      </c>
      <c r="C580" s="19">
        <v>34.840000000000003</v>
      </c>
      <c r="D580" s="18">
        <f t="shared" si="39"/>
        <v>14136</v>
      </c>
      <c r="E580" s="20">
        <f t="shared" si="36"/>
        <v>10</v>
      </c>
      <c r="F580" s="20">
        <f t="shared" si="37"/>
        <v>2017</v>
      </c>
      <c r="H580" s="17">
        <v>43032</v>
      </c>
      <c r="I580" s="16" t="str">
        <f t="shared" si="38"/>
        <v>OK</v>
      </c>
    </row>
    <row r="581" spans="1:9">
      <c r="A581" s="17">
        <v>43039</v>
      </c>
      <c r="B581" s="18">
        <v>35437</v>
      </c>
      <c r="C581" s="19">
        <v>34.42</v>
      </c>
      <c r="D581" s="18">
        <f t="shared" si="39"/>
        <v>17503</v>
      </c>
      <c r="E581" s="20">
        <f t="shared" si="36"/>
        <v>10</v>
      </c>
      <c r="F581" s="20">
        <f t="shared" si="37"/>
        <v>2017</v>
      </c>
      <c r="H581" s="17">
        <v>43039</v>
      </c>
      <c r="I581" s="16" t="str">
        <f t="shared" si="38"/>
        <v>OK</v>
      </c>
    </row>
    <row r="582" spans="1:9">
      <c r="A582" s="17">
        <v>43046</v>
      </c>
      <c r="B582" s="18">
        <v>45928</v>
      </c>
      <c r="C582" s="19">
        <v>34.81</v>
      </c>
      <c r="D582" s="18">
        <f t="shared" si="39"/>
        <v>10491</v>
      </c>
      <c r="E582" s="20">
        <f t="shared" si="36"/>
        <v>11</v>
      </c>
      <c r="F582" s="20">
        <f t="shared" si="37"/>
        <v>2017</v>
      </c>
      <c r="H582" s="17">
        <v>43046</v>
      </c>
      <c r="I582" s="16" t="str">
        <f t="shared" si="38"/>
        <v>OK</v>
      </c>
    </row>
    <row r="583" spans="1:9">
      <c r="A583" s="17">
        <v>43053</v>
      </c>
      <c r="B583" s="18">
        <v>50369</v>
      </c>
      <c r="C583" s="19">
        <v>34.44</v>
      </c>
      <c r="D583" s="18">
        <f t="shared" si="39"/>
        <v>4441</v>
      </c>
      <c r="E583" s="20">
        <f t="shared" si="36"/>
        <v>11</v>
      </c>
      <c r="F583" s="20">
        <f t="shared" si="37"/>
        <v>2017</v>
      </c>
      <c r="H583" s="17">
        <v>43053</v>
      </c>
      <c r="I583" s="16" t="str">
        <f t="shared" si="38"/>
        <v>OK</v>
      </c>
    </row>
    <row r="584" spans="1:9">
      <c r="A584" s="17">
        <v>43060</v>
      </c>
      <c r="B584" s="18">
        <v>31755</v>
      </c>
      <c r="C584" s="19">
        <v>33.94</v>
      </c>
      <c r="D584" s="18">
        <f t="shared" si="39"/>
        <v>-18614</v>
      </c>
      <c r="E584" s="20">
        <f t="shared" si="36"/>
        <v>11</v>
      </c>
      <c r="F584" s="20">
        <f t="shared" si="37"/>
        <v>2017</v>
      </c>
      <c r="H584" s="17">
        <v>43060</v>
      </c>
      <c r="I584" s="16" t="str">
        <f t="shared" si="38"/>
        <v>OK</v>
      </c>
    </row>
    <row r="585" spans="1:9">
      <c r="A585" s="17">
        <v>43067</v>
      </c>
      <c r="B585" s="18">
        <v>-12302</v>
      </c>
      <c r="C585" s="19">
        <v>33.6</v>
      </c>
      <c r="D585" s="18">
        <f t="shared" si="39"/>
        <v>-44057</v>
      </c>
      <c r="E585" s="20">
        <f t="shared" si="36"/>
        <v>11</v>
      </c>
      <c r="F585" s="20">
        <f t="shared" si="37"/>
        <v>2017</v>
      </c>
      <c r="H585" s="17">
        <v>43067</v>
      </c>
      <c r="I585" s="16" t="str">
        <f t="shared" si="38"/>
        <v>OK</v>
      </c>
    </row>
    <row r="586" spans="1:9">
      <c r="A586" s="17">
        <v>43074</v>
      </c>
      <c r="B586" s="18">
        <v>-50228</v>
      </c>
      <c r="C586" s="19">
        <v>33.54</v>
      </c>
      <c r="D586" s="18">
        <f t="shared" si="39"/>
        <v>-37926</v>
      </c>
      <c r="E586" s="20">
        <f t="shared" si="36"/>
        <v>12</v>
      </c>
      <c r="F586" s="20">
        <f t="shared" si="37"/>
        <v>2017</v>
      </c>
      <c r="H586" s="17">
        <v>43074</v>
      </c>
      <c r="I586" s="16" t="str">
        <f t="shared" si="38"/>
        <v>OK</v>
      </c>
    </row>
    <row r="587" spans="1:9">
      <c r="A587" s="17">
        <v>43081</v>
      </c>
      <c r="B587" s="18">
        <v>-55007</v>
      </c>
      <c r="C587" s="19">
        <v>33.159999999999997</v>
      </c>
      <c r="D587" s="18">
        <f t="shared" si="39"/>
        <v>-4779</v>
      </c>
      <c r="E587" s="20">
        <f t="shared" si="36"/>
        <v>12</v>
      </c>
      <c r="F587" s="20">
        <f t="shared" si="37"/>
        <v>2017</v>
      </c>
      <c r="H587" s="17">
        <v>43081</v>
      </c>
      <c r="I587" s="16" t="str">
        <f t="shared" si="38"/>
        <v>OK</v>
      </c>
    </row>
    <row r="588" spans="1:9">
      <c r="A588" s="17">
        <v>43088</v>
      </c>
      <c r="B588" s="18">
        <v>-39336</v>
      </c>
      <c r="C588" s="19">
        <v>32.74</v>
      </c>
      <c r="D588" s="18">
        <f t="shared" si="39"/>
        <v>15671</v>
      </c>
      <c r="E588" s="20">
        <f t="shared" si="36"/>
        <v>12</v>
      </c>
      <c r="F588" s="20">
        <f t="shared" si="37"/>
        <v>2017</v>
      </c>
      <c r="H588" s="17">
        <v>43088</v>
      </c>
      <c r="I588" s="16" t="str">
        <f t="shared" si="38"/>
        <v>OK</v>
      </c>
    </row>
    <row r="589" spans="1:9">
      <c r="A589" s="17">
        <v>43095</v>
      </c>
      <c r="B589" s="18">
        <v>-27851</v>
      </c>
      <c r="C589" s="19">
        <v>33.08</v>
      </c>
      <c r="D589" s="18">
        <f t="shared" si="39"/>
        <v>11485</v>
      </c>
      <c r="E589" s="20">
        <f t="shared" si="36"/>
        <v>12</v>
      </c>
      <c r="F589" s="20">
        <f t="shared" si="37"/>
        <v>2017</v>
      </c>
      <c r="H589" s="17">
        <v>43095</v>
      </c>
      <c r="I589" s="16" t="str">
        <f t="shared" si="38"/>
        <v>OK</v>
      </c>
    </row>
    <row r="590" spans="1:9">
      <c r="A590" s="17">
        <v>43102</v>
      </c>
      <c r="B590" s="18">
        <v>-15311</v>
      </c>
      <c r="C590" s="19">
        <v>33.65</v>
      </c>
      <c r="D590" s="18">
        <f t="shared" si="39"/>
        <v>12540</v>
      </c>
      <c r="E590" s="20">
        <f t="shared" si="36"/>
        <v>1</v>
      </c>
      <c r="F590" s="20">
        <f t="shared" si="37"/>
        <v>2018</v>
      </c>
      <c r="H590" s="17">
        <v>43102</v>
      </c>
      <c r="I590" s="16" t="str">
        <f t="shared" si="38"/>
        <v>OK</v>
      </c>
    </row>
    <row r="591" spans="1:9">
      <c r="A591" s="17">
        <v>43109</v>
      </c>
      <c r="B591" s="18">
        <v>-3822</v>
      </c>
      <c r="C591" s="19">
        <v>32.93</v>
      </c>
      <c r="D591" s="18">
        <f t="shared" si="39"/>
        <v>11489</v>
      </c>
      <c r="E591" s="20">
        <f t="shared" si="36"/>
        <v>1</v>
      </c>
      <c r="F591" s="20">
        <f t="shared" si="37"/>
        <v>2018</v>
      </c>
      <c r="H591" s="17">
        <v>43109</v>
      </c>
      <c r="I591" s="16" t="str">
        <f t="shared" si="38"/>
        <v>OK</v>
      </c>
    </row>
    <row r="592" spans="1:9">
      <c r="A592" s="17">
        <v>43116</v>
      </c>
      <c r="B592" s="18">
        <v>-13906</v>
      </c>
      <c r="C592" s="19">
        <v>32.28</v>
      </c>
      <c r="D592" s="18">
        <f t="shared" si="39"/>
        <v>-10084</v>
      </c>
      <c r="E592" s="20">
        <f t="shared" si="36"/>
        <v>1</v>
      </c>
      <c r="F592" s="20">
        <f t="shared" si="37"/>
        <v>2018</v>
      </c>
      <c r="H592" s="17">
        <v>43116</v>
      </c>
      <c r="I592" s="16" t="str">
        <f t="shared" si="38"/>
        <v>OK</v>
      </c>
    </row>
    <row r="593" spans="1:9">
      <c r="A593" s="17">
        <v>43123</v>
      </c>
      <c r="B593" s="18">
        <v>-54717</v>
      </c>
      <c r="C593" s="19">
        <v>32.79</v>
      </c>
      <c r="D593" s="18">
        <f t="shared" si="39"/>
        <v>-40811</v>
      </c>
      <c r="E593" s="20">
        <f t="shared" si="36"/>
        <v>1</v>
      </c>
      <c r="F593" s="20">
        <f t="shared" si="37"/>
        <v>2018</v>
      </c>
      <c r="H593" s="17">
        <v>43123</v>
      </c>
      <c r="I593" s="16" t="str">
        <f t="shared" si="38"/>
        <v>OK</v>
      </c>
    </row>
    <row r="594" spans="1:9">
      <c r="A594" s="17">
        <v>43130</v>
      </c>
      <c r="B594" s="18">
        <v>-71823</v>
      </c>
      <c r="C594" s="19">
        <v>32.51</v>
      </c>
      <c r="D594" s="18">
        <f t="shared" si="39"/>
        <v>-17106</v>
      </c>
      <c r="E594" s="20">
        <f t="shared" si="36"/>
        <v>1</v>
      </c>
      <c r="F594" s="20">
        <f t="shared" si="37"/>
        <v>2018</v>
      </c>
      <c r="H594" s="17">
        <v>43130</v>
      </c>
      <c r="I594" s="16" t="str">
        <f t="shared" si="38"/>
        <v>OK</v>
      </c>
    </row>
    <row r="595" spans="1:9">
      <c r="A595" s="17">
        <v>43137</v>
      </c>
      <c r="B595" s="18">
        <v>-54691</v>
      </c>
      <c r="C595" s="19">
        <v>31.96</v>
      </c>
      <c r="D595" s="18">
        <f t="shared" si="39"/>
        <v>17132</v>
      </c>
      <c r="E595" s="20">
        <f t="shared" si="36"/>
        <v>2</v>
      </c>
      <c r="F595" s="20">
        <f t="shared" si="37"/>
        <v>2018</v>
      </c>
      <c r="H595" s="17">
        <v>43137</v>
      </c>
      <c r="I595" s="16" t="str">
        <f t="shared" si="38"/>
        <v>OK</v>
      </c>
    </row>
    <row r="596" spans="1:9">
      <c r="A596" s="17">
        <v>43144</v>
      </c>
      <c r="B596" s="18">
        <v>-84621</v>
      </c>
      <c r="C596" s="19">
        <v>31.54</v>
      </c>
      <c r="D596" s="18">
        <f t="shared" si="39"/>
        <v>-29930</v>
      </c>
      <c r="E596" s="20">
        <f t="shared" si="36"/>
        <v>2</v>
      </c>
      <c r="F596" s="20">
        <f t="shared" si="37"/>
        <v>2018</v>
      </c>
      <c r="H596" s="17">
        <v>43144</v>
      </c>
      <c r="I596" s="16" t="str">
        <f t="shared" si="38"/>
        <v>OK</v>
      </c>
    </row>
    <row r="597" spans="1:9">
      <c r="A597" s="17">
        <v>43151</v>
      </c>
      <c r="B597" s="18">
        <v>-112224</v>
      </c>
      <c r="C597" s="19">
        <v>32.36</v>
      </c>
      <c r="D597" s="18">
        <f t="shared" si="39"/>
        <v>-27603</v>
      </c>
      <c r="E597" s="20">
        <f t="shared" si="36"/>
        <v>2</v>
      </c>
      <c r="F597" s="20">
        <f t="shared" si="37"/>
        <v>2018</v>
      </c>
      <c r="H597" s="17">
        <v>43151</v>
      </c>
      <c r="I597" s="16" t="str">
        <f t="shared" si="38"/>
        <v>OK</v>
      </c>
    </row>
    <row r="598" spans="1:9">
      <c r="A598" s="17">
        <v>43158</v>
      </c>
      <c r="B598" s="18">
        <v>-115627</v>
      </c>
      <c r="C598" s="19">
        <v>32.06</v>
      </c>
      <c r="D598" s="18">
        <f t="shared" si="39"/>
        <v>-3403</v>
      </c>
      <c r="E598" s="20">
        <f t="shared" si="36"/>
        <v>2</v>
      </c>
      <c r="F598" s="20">
        <f t="shared" si="37"/>
        <v>2018</v>
      </c>
      <c r="H598" s="17">
        <v>43158</v>
      </c>
      <c r="I598" s="16" t="str">
        <f t="shared" si="38"/>
        <v>OK</v>
      </c>
    </row>
    <row r="599" spans="1:9">
      <c r="A599" s="17">
        <v>43165</v>
      </c>
      <c r="B599" s="18">
        <v>-124546</v>
      </c>
      <c r="C599" s="19">
        <v>31.42</v>
      </c>
      <c r="D599" s="18">
        <f t="shared" si="39"/>
        <v>-8919</v>
      </c>
      <c r="E599" s="20">
        <f t="shared" si="36"/>
        <v>3</v>
      </c>
      <c r="F599" s="20">
        <f t="shared" si="37"/>
        <v>2018</v>
      </c>
      <c r="H599" s="17">
        <v>43165</v>
      </c>
      <c r="I599" s="16" t="str">
        <f t="shared" si="38"/>
        <v>OK</v>
      </c>
    </row>
    <row r="600" spans="1:9">
      <c r="A600" s="17">
        <v>43172</v>
      </c>
      <c r="B600" s="18">
        <v>-132670</v>
      </c>
      <c r="C600" s="19">
        <v>31.98</v>
      </c>
      <c r="D600" s="18">
        <f t="shared" si="39"/>
        <v>-8124</v>
      </c>
      <c r="E600" s="20">
        <f t="shared" si="36"/>
        <v>3</v>
      </c>
      <c r="F600" s="20">
        <f t="shared" si="37"/>
        <v>2018</v>
      </c>
      <c r="H600" s="17">
        <v>43172</v>
      </c>
      <c r="I600" s="16" t="str">
        <f t="shared" si="38"/>
        <v>OK</v>
      </c>
    </row>
    <row r="601" spans="1:9">
      <c r="A601" s="17">
        <v>43179</v>
      </c>
      <c r="B601" s="18">
        <v>-124398</v>
      </c>
      <c r="C601" s="19">
        <v>31.42</v>
      </c>
      <c r="D601" s="18">
        <f t="shared" si="39"/>
        <v>8272</v>
      </c>
      <c r="E601" s="20">
        <f t="shared" si="36"/>
        <v>3</v>
      </c>
      <c r="F601" s="20">
        <f t="shared" si="37"/>
        <v>2018</v>
      </c>
      <c r="H601" s="17">
        <v>43179</v>
      </c>
      <c r="I601" s="16" t="str">
        <f t="shared" si="38"/>
        <v>OK</v>
      </c>
    </row>
    <row r="602" spans="1:9">
      <c r="A602" s="17">
        <v>43186</v>
      </c>
      <c r="B602" s="18">
        <v>-138189</v>
      </c>
      <c r="C602" s="19">
        <v>31.87</v>
      </c>
      <c r="D602" s="18">
        <f t="shared" si="39"/>
        <v>-13791</v>
      </c>
      <c r="E602" s="20">
        <f t="shared" si="36"/>
        <v>3</v>
      </c>
      <c r="F602" s="20">
        <f t="shared" si="37"/>
        <v>2018</v>
      </c>
      <c r="H602" s="17">
        <v>43186</v>
      </c>
      <c r="I602" s="16" t="str">
        <f t="shared" si="38"/>
        <v>OK</v>
      </c>
    </row>
    <row r="603" spans="1:9">
      <c r="A603" s="17">
        <v>43193</v>
      </c>
      <c r="B603" s="18">
        <v>-120669</v>
      </c>
      <c r="C603" s="19">
        <v>31.53</v>
      </c>
      <c r="D603" s="18">
        <f t="shared" si="39"/>
        <v>17520</v>
      </c>
      <c r="E603" s="20">
        <f t="shared" si="36"/>
        <v>4</v>
      </c>
      <c r="F603" s="20">
        <f t="shared" si="37"/>
        <v>2018</v>
      </c>
      <c r="H603" s="17">
        <v>43193</v>
      </c>
      <c r="I603" s="16" t="str">
        <f t="shared" si="38"/>
        <v>OK</v>
      </c>
    </row>
    <row r="604" spans="1:9">
      <c r="A604" s="17">
        <v>43200</v>
      </c>
      <c r="B604" s="18">
        <v>-142169</v>
      </c>
      <c r="C604" s="19">
        <v>31.48</v>
      </c>
      <c r="D604" s="18">
        <f t="shared" si="39"/>
        <v>-21500</v>
      </c>
      <c r="E604" s="20">
        <f t="shared" si="36"/>
        <v>4</v>
      </c>
      <c r="F604" s="20">
        <f t="shared" si="37"/>
        <v>2018</v>
      </c>
      <c r="H604" s="17">
        <v>43200</v>
      </c>
      <c r="I604" s="16" t="str">
        <f t="shared" si="38"/>
        <v>OK</v>
      </c>
    </row>
    <row r="605" spans="1:9">
      <c r="A605" s="17">
        <v>43207</v>
      </c>
      <c r="B605" s="18">
        <v>-149979</v>
      </c>
      <c r="C605" s="19">
        <v>31.3</v>
      </c>
      <c r="D605" s="18">
        <f t="shared" si="39"/>
        <v>-7810</v>
      </c>
      <c r="E605" s="20">
        <f t="shared" si="36"/>
        <v>4</v>
      </c>
      <c r="F605" s="20">
        <f t="shared" si="37"/>
        <v>2018</v>
      </c>
      <c r="H605" s="17">
        <v>43207</v>
      </c>
      <c r="I605" s="16" t="str">
        <f t="shared" si="38"/>
        <v>OK</v>
      </c>
    </row>
    <row r="606" spans="1:9">
      <c r="A606" s="17">
        <v>43214</v>
      </c>
      <c r="B606" s="18">
        <v>-158147</v>
      </c>
      <c r="C606" s="19">
        <v>30.43</v>
      </c>
      <c r="D606" s="18">
        <f t="shared" si="39"/>
        <v>-8168</v>
      </c>
      <c r="E606" s="20">
        <f t="shared" si="36"/>
        <v>4</v>
      </c>
      <c r="F606" s="20">
        <f t="shared" si="37"/>
        <v>2018</v>
      </c>
      <c r="H606" s="17">
        <v>43214</v>
      </c>
      <c r="I606" s="16" t="str">
        <f t="shared" si="38"/>
        <v>OK</v>
      </c>
    </row>
    <row r="607" spans="1:9">
      <c r="A607" s="17">
        <v>43221</v>
      </c>
      <c r="B607" s="18">
        <v>-207089</v>
      </c>
      <c r="C607" s="19">
        <v>30.56</v>
      </c>
      <c r="D607" s="18">
        <f t="shared" si="39"/>
        <v>-48942</v>
      </c>
      <c r="E607" s="20">
        <f t="shared" si="36"/>
        <v>5</v>
      </c>
      <c r="F607" s="20">
        <f t="shared" si="37"/>
        <v>2018</v>
      </c>
      <c r="H607" s="17">
        <v>43221</v>
      </c>
      <c r="I607" s="16" t="str">
        <f t="shared" si="38"/>
        <v>OK</v>
      </c>
    </row>
    <row r="608" spans="1:9">
      <c r="A608" s="17">
        <v>43228</v>
      </c>
      <c r="B608" s="18">
        <v>-198334</v>
      </c>
      <c r="C608" s="19">
        <v>31.17</v>
      </c>
      <c r="D608" s="18">
        <f t="shared" si="39"/>
        <v>8755</v>
      </c>
      <c r="E608" s="20">
        <f t="shared" si="36"/>
        <v>5</v>
      </c>
      <c r="F608" s="20">
        <f t="shared" si="37"/>
        <v>2018</v>
      </c>
      <c r="H608" s="17">
        <v>43228</v>
      </c>
      <c r="I608" s="16" t="str">
        <f t="shared" si="38"/>
        <v>OK</v>
      </c>
    </row>
    <row r="609" spans="1:9">
      <c r="A609" s="17">
        <v>43235</v>
      </c>
      <c r="B609" s="18">
        <v>-176974</v>
      </c>
      <c r="C609" s="19">
        <v>30.98</v>
      </c>
      <c r="D609" s="18">
        <f t="shared" si="39"/>
        <v>21360</v>
      </c>
      <c r="E609" s="20">
        <f t="shared" si="36"/>
        <v>5</v>
      </c>
      <c r="F609" s="20">
        <f t="shared" si="37"/>
        <v>2018</v>
      </c>
      <c r="H609" s="17">
        <v>43235</v>
      </c>
      <c r="I609" s="16" t="str">
        <f t="shared" si="38"/>
        <v>OK</v>
      </c>
    </row>
    <row r="610" spans="1:9">
      <c r="A610" s="17">
        <v>43242</v>
      </c>
      <c r="B610" s="18">
        <v>-162545</v>
      </c>
      <c r="C610" s="19">
        <v>31.34</v>
      </c>
      <c r="D610" s="18">
        <f t="shared" si="39"/>
        <v>14429</v>
      </c>
      <c r="E610" s="20">
        <f t="shared" si="36"/>
        <v>5</v>
      </c>
      <c r="F610" s="20">
        <f t="shared" si="37"/>
        <v>2018</v>
      </c>
      <c r="H610" s="17">
        <v>43242</v>
      </c>
      <c r="I610" s="16" t="str">
        <f t="shared" si="38"/>
        <v>OK</v>
      </c>
    </row>
    <row r="611" spans="1:9">
      <c r="A611" s="17">
        <v>43249</v>
      </c>
      <c r="B611" s="18">
        <v>-161763</v>
      </c>
      <c r="C611" s="19">
        <v>31.19</v>
      </c>
      <c r="D611" s="18">
        <f t="shared" si="39"/>
        <v>782</v>
      </c>
      <c r="E611" s="20">
        <f t="shared" si="36"/>
        <v>5</v>
      </c>
      <c r="F611" s="20">
        <f t="shared" si="37"/>
        <v>2018</v>
      </c>
      <c r="H611" s="17">
        <v>43249</v>
      </c>
      <c r="I611" s="16" t="str">
        <f t="shared" si="38"/>
        <v>OK</v>
      </c>
    </row>
    <row r="612" spans="1:9">
      <c r="A612" s="17">
        <v>43256</v>
      </c>
      <c r="B612" s="18">
        <v>-158456</v>
      </c>
      <c r="C612" s="19">
        <v>30.52</v>
      </c>
      <c r="D612" s="18">
        <f t="shared" si="39"/>
        <v>3307</v>
      </c>
      <c r="E612" s="20">
        <f t="shared" si="36"/>
        <v>6</v>
      </c>
      <c r="F612" s="20">
        <f t="shared" si="37"/>
        <v>2018</v>
      </c>
      <c r="H612" s="17">
        <v>43256</v>
      </c>
      <c r="I612" s="16" t="str">
        <f t="shared" si="38"/>
        <v>OK</v>
      </c>
    </row>
    <row r="613" spans="1:9">
      <c r="A613" s="17">
        <v>43263</v>
      </c>
      <c r="B613" s="18">
        <v>-163262</v>
      </c>
      <c r="C613" s="19">
        <v>29.5</v>
      </c>
      <c r="D613" s="18">
        <f t="shared" si="39"/>
        <v>-4806</v>
      </c>
      <c r="E613" s="20">
        <f t="shared" si="36"/>
        <v>6</v>
      </c>
      <c r="F613" s="20">
        <f t="shared" si="37"/>
        <v>2018</v>
      </c>
      <c r="H613" s="17">
        <v>43263</v>
      </c>
      <c r="I613" s="16" t="str">
        <f t="shared" si="38"/>
        <v>OK</v>
      </c>
    </row>
    <row r="614" spans="1:9">
      <c r="A614" s="17">
        <v>43270</v>
      </c>
      <c r="B614" s="18">
        <v>-176713</v>
      </c>
      <c r="C614" s="19">
        <v>29.21</v>
      </c>
      <c r="D614" s="18">
        <f t="shared" si="39"/>
        <v>-13451</v>
      </c>
      <c r="E614" s="20">
        <f t="shared" si="36"/>
        <v>6</v>
      </c>
      <c r="F614" s="20">
        <f t="shared" si="37"/>
        <v>2018</v>
      </c>
      <c r="H614" s="17">
        <v>43270</v>
      </c>
      <c r="I614" s="16" t="str">
        <f t="shared" si="38"/>
        <v>OK</v>
      </c>
    </row>
    <row r="615" spans="1:9">
      <c r="A615" s="17">
        <v>43277</v>
      </c>
      <c r="B615" s="18">
        <v>-153316</v>
      </c>
      <c r="C615" s="19">
        <v>29.12</v>
      </c>
      <c r="D615" s="18">
        <f t="shared" si="39"/>
        <v>23397</v>
      </c>
      <c r="E615" s="20">
        <f t="shared" si="36"/>
        <v>6</v>
      </c>
      <c r="F615" s="20">
        <f t="shared" si="37"/>
        <v>2018</v>
      </c>
      <c r="H615" s="17">
        <v>43277</v>
      </c>
      <c r="I615" s="16" t="str">
        <f t="shared" si="38"/>
        <v>OK</v>
      </c>
    </row>
    <row r="616" spans="1:9">
      <c r="A616" s="17">
        <v>43284</v>
      </c>
      <c r="B616" s="18">
        <v>-145315</v>
      </c>
      <c r="C616" s="19">
        <v>28.9</v>
      </c>
      <c r="D616" s="18">
        <f t="shared" si="39"/>
        <v>8001</v>
      </c>
      <c r="E616" s="20">
        <f t="shared" si="36"/>
        <v>7</v>
      </c>
      <c r="F616" s="20">
        <f t="shared" si="37"/>
        <v>2018</v>
      </c>
      <c r="H616" s="17">
        <v>43284</v>
      </c>
      <c r="I616" s="16" t="str">
        <f t="shared" si="38"/>
        <v>OK</v>
      </c>
    </row>
    <row r="617" spans="1:9">
      <c r="A617" s="17">
        <v>43291</v>
      </c>
      <c r="B617" s="18">
        <v>-136691</v>
      </c>
      <c r="C617" s="19">
        <v>27.8</v>
      </c>
      <c r="D617" s="18">
        <f t="shared" si="39"/>
        <v>8624</v>
      </c>
      <c r="E617" s="20">
        <f t="shared" si="36"/>
        <v>7</v>
      </c>
      <c r="F617" s="20">
        <f t="shared" si="37"/>
        <v>2018</v>
      </c>
      <c r="H617" s="17">
        <v>43291</v>
      </c>
      <c r="I617" s="16" t="str">
        <f t="shared" si="38"/>
        <v>OK</v>
      </c>
    </row>
    <row r="618" spans="1:9">
      <c r="A618" s="17">
        <v>43298</v>
      </c>
      <c r="B618" s="18">
        <v>-143589</v>
      </c>
      <c r="C618" s="19">
        <v>28.22</v>
      </c>
      <c r="D618" s="18">
        <f t="shared" si="39"/>
        <v>-6898</v>
      </c>
      <c r="E618" s="20">
        <f t="shared" si="36"/>
        <v>7</v>
      </c>
      <c r="F618" s="20">
        <f t="shared" si="37"/>
        <v>2018</v>
      </c>
      <c r="H618" s="17">
        <v>43298</v>
      </c>
      <c r="I618" s="16" t="str">
        <f t="shared" si="38"/>
        <v>OK</v>
      </c>
    </row>
    <row r="619" spans="1:9">
      <c r="A619" s="17">
        <v>43305</v>
      </c>
      <c r="B619" s="18">
        <v>-139892</v>
      </c>
      <c r="C619" s="19">
        <v>28.56</v>
      </c>
      <c r="D619" s="18">
        <f t="shared" si="39"/>
        <v>3697</v>
      </c>
      <c r="E619" s="20">
        <f t="shared" si="36"/>
        <v>7</v>
      </c>
      <c r="F619" s="20">
        <f t="shared" si="37"/>
        <v>2018</v>
      </c>
      <c r="H619" s="17">
        <v>43305</v>
      </c>
      <c r="I619" s="16" t="str">
        <f t="shared" si="38"/>
        <v>OK</v>
      </c>
    </row>
    <row r="620" spans="1:9">
      <c r="A620" s="17">
        <v>43312</v>
      </c>
      <c r="B620" s="18">
        <v>-144378</v>
      </c>
      <c r="C620" s="19">
        <v>28.35</v>
      </c>
      <c r="D620" s="18">
        <f t="shared" si="39"/>
        <v>-4486</v>
      </c>
      <c r="E620" s="20">
        <f t="shared" si="36"/>
        <v>7</v>
      </c>
      <c r="F620" s="20">
        <f t="shared" si="37"/>
        <v>2018</v>
      </c>
      <c r="H620" s="17">
        <v>43312</v>
      </c>
      <c r="I620" s="16" t="str">
        <f t="shared" si="38"/>
        <v>OK</v>
      </c>
    </row>
    <row r="621" spans="1:9">
      <c r="A621" s="17">
        <v>43319</v>
      </c>
      <c r="B621" s="18">
        <v>-138181</v>
      </c>
      <c r="C621" s="19">
        <v>27.99</v>
      </c>
      <c r="D621" s="18">
        <f t="shared" si="39"/>
        <v>6197</v>
      </c>
      <c r="E621" s="20">
        <f t="shared" si="36"/>
        <v>8</v>
      </c>
      <c r="F621" s="20">
        <f t="shared" si="37"/>
        <v>2018</v>
      </c>
      <c r="H621" s="17">
        <v>43319</v>
      </c>
      <c r="I621" s="16" t="str">
        <f t="shared" si="38"/>
        <v>OK</v>
      </c>
    </row>
    <row r="622" spans="1:9">
      <c r="A622" s="17">
        <v>43326</v>
      </c>
      <c r="B622" s="18">
        <v>-154017</v>
      </c>
      <c r="C622" s="19">
        <v>28.23</v>
      </c>
      <c r="D622" s="18">
        <f t="shared" si="39"/>
        <v>-15836</v>
      </c>
      <c r="E622" s="20">
        <f t="shared" si="36"/>
        <v>8</v>
      </c>
      <c r="F622" s="20">
        <f t="shared" si="37"/>
        <v>2018</v>
      </c>
      <c r="H622" s="17">
        <v>43326</v>
      </c>
      <c r="I622" s="16" t="str">
        <f t="shared" si="38"/>
        <v>OK</v>
      </c>
    </row>
    <row r="623" spans="1:9">
      <c r="A623" s="17">
        <v>43333</v>
      </c>
      <c r="B623" s="18">
        <v>-147942</v>
      </c>
      <c r="C623" s="19">
        <v>28.15</v>
      </c>
      <c r="D623" s="18">
        <f t="shared" si="39"/>
        <v>6075</v>
      </c>
      <c r="E623" s="20">
        <f t="shared" si="36"/>
        <v>8</v>
      </c>
      <c r="F623" s="20">
        <f t="shared" si="37"/>
        <v>2018</v>
      </c>
      <c r="H623" s="17">
        <v>43333</v>
      </c>
      <c r="I623" s="16" t="str">
        <f t="shared" si="38"/>
        <v>OK</v>
      </c>
    </row>
    <row r="624" spans="1:9">
      <c r="A624" s="17">
        <v>43340</v>
      </c>
      <c r="B624" s="18">
        <v>-113934</v>
      </c>
      <c r="C624" s="19">
        <v>28.37</v>
      </c>
      <c r="D624" s="18">
        <f t="shared" si="39"/>
        <v>34008</v>
      </c>
      <c r="E624" s="20">
        <f t="shared" si="36"/>
        <v>8</v>
      </c>
      <c r="F624" s="20">
        <f t="shared" si="37"/>
        <v>2018</v>
      </c>
      <c r="H624" s="17">
        <v>43340</v>
      </c>
      <c r="I624" s="16" t="str">
        <f t="shared" si="38"/>
        <v>OK</v>
      </c>
    </row>
    <row r="625" spans="1:9">
      <c r="A625" s="17">
        <v>43347</v>
      </c>
      <c r="B625" s="18">
        <v>-109430</v>
      </c>
      <c r="C625" s="19">
        <v>27.94</v>
      </c>
      <c r="D625" s="18">
        <f t="shared" si="39"/>
        <v>4504</v>
      </c>
      <c r="E625" s="20">
        <f t="shared" si="36"/>
        <v>9</v>
      </c>
      <c r="F625" s="20">
        <f t="shared" si="37"/>
        <v>2018</v>
      </c>
      <c r="H625" s="17">
        <v>43347</v>
      </c>
      <c r="I625" s="16" t="str">
        <f t="shared" si="38"/>
        <v>OK</v>
      </c>
    </row>
    <row r="626" spans="1:9">
      <c r="A626" s="17">
        <v>43354</v>
      </c>
      <c r="B626" s="18">
        <v>-127490</v>
      </c>
      <c r="C626" s="19">
        <v>27.43</v>
      </c>
      <c r="D626" s="18">
        <f t="shared" si="39"/>
        <v>-18060</v>
      </c>
      <c r="E626" s="20">
        <f t="shared" si="36"/>
        <v>9</v>
      </c>
      <c r="F626" s="20">
        <f t="shared" si="37"/>
        <v>2018</v>
      </c>
      <c r="H626" s="17">
        <v>43354</v>
      </c>
      <c r="I626" s="16" t="str">
        <f t="shared" si="38"/>
        <v>OK</v>
      </c>
    </row>
    <row r="627" spans="1:9">
      <c r="A627" s="17">
        <v>43361</v>
      </c>
      <c r="B627" s="18">
        <v>-131839</v>
      </c>
      <c r="C627" s="19">
        <v>28.09</v>
      </c>
      <c r="D627" s="18">
        <f t="shared" si="39"/>
        <v>-4349</v>
      </c>
      <c r="E627" s="20">
        <f t="shared" si="36"/>
        <v>9</v>
      </c>
      <c r="F627" s="20">
        <f t="shared" si="37"/>
        <v>2018</v>
      </c>
      <c r="H627" s="17">
        <v>43361</v>
      </c>
      <c r="I627" s="16" t="str">
        <f t="shared" si="38"/>
        <v>OK</v>
      </c>
    </row>
    <row r="628" spans="1:9">
      <c r="A628" s="17">
        <v>43368</v>
      </c>
      <c r="B628" s="18">
        <v>-106987</v>
      </c>
      <c r="C628" s="19">
        <v>28.68</v>
      </c>
      <c r="D628" s="18">
        <f t="shared" si="39"/>
        <v>24852</v>
      </c>
      <c r="E628" s="20">
        <f t="shared" si="36"/>
        <v>9</v>
      </c>
      <c r="F628" s="20">
        <f t="shared" si="37"/>
        <v>2018</v>
      </c>
      <c r="H628" s="17">
        <v>43368</v>
      </c>
      <c r="I628" s="16" t="str">
        <f t="shared" si="38"/>
        <v>OK</v>
      </c>
    </row>
    <row r="629" spans="1:9">
      <c r="A629" s="17">
        <v>43375</v>
      </c>
      <c r="B629" s="18">
        <v>-77674</v>
      </c>
      <c r="C629" s="19">
        <v>29.08</v>
      </c>
      <c r="D629" s="18">
        <f t="shared" si="39"/>
        <v>29313</v>
      </c>
      <c r="E629" s="20">
        <f t="shared" si="36"/>
        <v>10</v>
      </c>
      <c r="F629" s="20">
        <f t="shared" si="37"/>
        <v>2018</v>
      </c>
      <c r="H629" s="17">
        <v>43375</v>
      </c>
      <c r="I629" s="16" t="str">
        <f t="shared" si="38"/>
        <v>OK</v>
      </c>
    </row>
    <row r="630" spans="1:9">
      <c r="A630" s="17">
        <v>43382</v>
      </c>
      <c r="B630" s="18">
        <v>-79881</v>
      </c>
      <c r="C630" s="19">
        <v>29.04</v>
      </c>
      <c r="D630" s="18">
        <f t="shared" si="39"/>
        <v>-2207</v>
      </c>
      <c r="E630" s="20">
        <f t="shared" si="36"/>
        <v>10</v>
      </c>
      <c r="F630" s="20">
        <f t="shared" si="37"/>
        <v>2018</v>
      </c>
      <c r="H630" s="17">
        <v>43382</v>
      </c>
      <c r="I630" s="16" t="str">
        <f t="shared" si="38"/>
        <v>OK</v>
      </c>
    </row>
    <row r="631" spans="1:9">
      <c r="A631" s="17">
        <v>43389</v>
      </c>
      <c r="B631" s="18">
        <v>-75096</v>
      </c>
      <c r="C631" s="19">
        <v>29.14</v>
      </c>
      <c r="D631" s="18">
        <f t="shared" si="39"/>
        <v>4785</v>
      </c>
      <c r="E631" s="20">
        <f t="shared" si="36"/>
        <v>10</v>
      </c>
      <c r="F631" s="20">
        <f t="shared" si="37"/>
        <v>2018</v>
      </c>
      <c r="H631" s="17">
        <v>43389</v>
      </c>
      <c r="I631" s="16" t="str">
        <f t="shared" si="38"/>
        <v>OK</v>
      </c>
    </row>
    <row r="632" spans="1:9">
      <c r="A632" s="17">
        <v>43396</v>
      </c>
      <c r="B632" s="18">
        <v>-68103</v>
      </c>
      <c r="C632" s="19">
        <v>28.16</v>
      </c>
      <c r="D632" s="18">
        <f t="shared" si="39"/>
        <v>6993</v>
      </c>
      <c r="E632" s="20">
        <f t="shared" si="36"/>
        <v>10</v>
      </c>
      <c r="F632" s="20">
        <f t="shared" si="37"/>
        <v>2018</v>
      </c>
      <c r="H632" s="17">
        <v>43396</v>
      </c>
      <c r="I632" s="16" t="str">
        <f t="shared" si="38"/>
        <v>OK</v>
      </c>
    </row>
    <row r="633" spans="1:9">
      <c r="A633" s="17">
        <v>43403</v>
      </c>
      <c r="B633" s="18">
        <v>-78898</v>
      </c>
      <c r="C633" s="19">
        <v>28.2</v>
      </c>
      <c r="D633" s="18">
        <f t="shared" si="39"/>
        <v>-10795</v>
      </c>
      <c r="E633" s="20">
        <f t="shared" si="36"/>
        <v>10</v>
      </c>
      <c r="F633" s="20">
        <f t="shared" si="37"/>
        <v>2018</v>
      </c>
      <c r="H633" s="17">
        <v>43403</v>
      </c>
      <c r="I633" s="16" t="str">
        <f t="shared" si="38"/>
        <v>OK</v>
      </c>
    </row>
    <row r="634" spans="1:9">
      <c r="A634" s="17">
        <v>43410</v>
      </c>
      <c r="B634" s="18">
        <v>-78687</v>
      </c>
      <c r="C634" s="19">
        <v>27.62</v>
      </c>
      <c r="D634" s="18">
        <f t="shared" si="39"/>
        <v>211</v>
      </c>
      <c r="E634" s="20">
        <f t="shared" si="36"/>
        <v>11</v>
      </c>
      <c r="F634" s="20">
        <f t="shared" si="37"/>
        <v>2018</v>
      </c>
      <c r="H634" s="17">
        <v>43410</v>
      </c>
      <c r="I634" s="16" t="str">
        <f t="shared" si="38"/>
        <v>OK</v>
      </c>
    </row>
    <row r="635" spans="1:9">
      <c r="A635" s="17">
        <v>43417</v>
      </c>
      <c r="B635" s="18">
        <v>-72191</v>
      </c>
      <c r="C635" s="19">
        <v>27.37</v>
      </c>
      <c r="D635" s="18">
        <f t="shared" si="39"/>
        <v>6496</v>
      </c>
      <c r="E635" s="20">
        <f t="shared" si="36"/>
        <v>11</v>
      </c>
      <c r="F635" s="20">
        <f t="shared" si="37"/>
        <v>2018</v>
      </c>
      <c r="H635" s="17">
        <v>43417</v>
      </c>
      <c r="I635" s="16" t="str">
        <f t="shared" si="38"/>
        <v>OK</v>
      </c>
    </row>
    <row r="636" spans="1:9">
      <c r="A636" s="17">
        <v>43424</v>
      </c>
      <c r="B636" s="18">
        <v>-80119</v>
      </c>
      <c r="C636" s="19">
        <v>27.65</v>
      </c>
      <c r="D636" s="18">
        <f t="shared" si="39"/>
        <v>-7928</v>
      </c>
      <c r="E636" s="20">
        <f t="shared" si="36"/>
        <v>11</v>
      </c>
      <c r="F636" s="20">
        <f t="shared" si="37"/>
        <v>2018</v>
      </c>
      <c r="H636" s="17">
        <v>43424</v>
      </c>
      <c r="I636" s="16" t="str">
        <f t="shared" si="38"/>
        <v>OK</v>
      </c>
    </row>
    <row r="637" spans="1:9">
      <c r="A637" s="17">
        <v>43431</v>
      </c>
      <c r="B637" s="18">
        <v>-72570</v>
      </c>
      <c r="C637" s="19">
        <v>27.82</v>
      </c>
      <c r="D637" s="18">
        <f t="shared" si="39"/>
        <v>7549</v>
      </c>
      <c r="E637" s="20">
        <f t="shared" si="36"/>
        <v>11</v>
      </c>
      <c r="F637" s="20">
        <f t="shared" si="37"/>
        <v>2018</v>
      </c>
      <c r="H637" s="17">
        <v>43431</v>
      </c>
      <c r="I637" s="16" t="str">
        <f t="shared" si="38"/>
        <v>OK</v>
      </c>
    </row>
    <row r="638" spans="1:9">
      <c r="A638" s="17">
        <v>43438</v>
      </c>
      <c r="B638" s="18">
        <v>-56989</v>
      </c>
      <c r="C638" s="19">
        <v>28.5</v>
      </c>
      <c r="D638" s="18">
        <f t="shared" si="39"/>
        <v>15581</v>
      </c>
      <c r="E638" s="20">
        <f t="shared" si="36"/>
        <v>12</v>
      </c>
      <c r="F638" s="20">
        <f t="shared" si="37"/>
        <v>2018</v>
      </c>
      <c r="H638" s="17">
        <v>43438</v>
      </c>
      <c r="I638" s="16" t="str">
        <f t="shared" si="38"/>
        <v>OK</v>
      </c>
    </row>
    <row r="639" spans="1:9">
      <c r="A639" s="17">
        <v>43445</v>
      </c>
      <c r="B639" s="18">
        <v>-38781</v>
      </c>
      <c r="C639" s="19">
        <v>28.39</v>
      </c>
      <c r="D639" s="18">
        <f t="shared" si="39"/>
        <v>18208</v>
      </c>
      <c r="E639" s="20">
        <f t="shared" si="36"/>
        <v>12</v>
      </c>
      <c r="F639" s="20">
        <f t="shared" si="37"/>
        <v>2018</v>
      </c>
      <c r="H639" s="17">
        <v>43445</v>
      </c>
      <c r="I639" s="16" t="str">
        <f t="shared" si="38"/>
        <v>OK</v>
      </c>
    </row>
    <row r="640" spans="1:9">
      <c r="A640" s="17">
        <v>43452</v>
      </c>
      <c r="B640" s="18">
        <v>-43382</v>
      </c>
      <c r="C640" s="19">
        <v>27.89</v>
      </c>
      <c r="D640" s="18">
        <f t="shared" si="39"/>
        <v>-4601</v>
      </c>
      <c r="E640" s="20">
        <f t="shared" si="36"/>
        <v>12</v>
      </c>
      <c r="F640" s="20">
        <f t="shared" si="37"/>
        <v>2018</v>
      </c>
      <c r="H640" s="17">
        <v>43452</v>
      </c>
      <c r="I640" s="16" t="str">
        <f t="shared" si="38"/>
        <v>OK</v>
      </c>
    </row>
    <row r="641" spans="1:9">
      <c r="A641" s="17">
        <v>43459</v>
      </c>
      <c r="B641" s="18">
        <v>-50888</v>
      </c>
      <c r="C641" s="19">
        <v>27.52</v>
      </c>
      <c r="D641" s="18">
        <f t="shared" si="39"/>
        <v>-7506</v>
      </c>
      <c r="E641" s="20">
        <f t="shared" si="36"/>
        <v>12</v>
      </c>
      <c r="F641" s="20">
        <f t="shared" si="37"/>
        <v>2018</v>
      </c>
      <c r="H641" s="17">
        <v>43459</v>
      </c>
      <c r="I641" s="16" t="str">
        <f t="shared" si="38"/>
        <v>OK</v>
      </c>
    </row>
    <row r="642" spans="1:9">
      <c r="A642" s="17">
        <v>43466</v>
      </c>
      <c r="B642" s="18">
        <v>-65575</v>
      </c>
      <c r="C642" s="19">
        <v>28.41</v>
      </c>
      <c r="D642" s="18">
        <f t="shared" si="39"/>
        <v>-14687</v>
      </c>
      <c r="E642" s="20">
        <f t="shared" ref="E642:E705" si="40">MONTH(A642)</f>
        <v>1</v>
      </c>
      <c r="F642" s="20">
        <f t="shared" ref="F642:F705" si="41">YEAR(A642)</f>
        <v>2019</v>
      </c>
      <c r="H642" s="17">
        <v>43466</v>
      </c>
      <c r="I642" s="16" t="str">
        <f t="shared" ref="I642:I705" si="42">IF(H642=A642,"OK","")</f>
        <v>OK</v>
      </c>
    </row>
    <row r="643" spans="1:9">
      <c r="A643" s="17">
        <v>43473</v>
      </c>
      <c r="B643" s="18">
        <v>-76191</v>
      </c>
      <c r="C643" s="19">
        <v>28.17</v>
      </c>
      <c r="D643" s="18">
        <f t="shared" ref="D643:D706" si="43">B643-B642</f>
        <v>-10616</v>
      </c>
      <c r="E643" s="20">
        <f t="shared" si="40"/>
        <v>1</v>
      </c>
      <c r="F643" s="20">
        <f t="shared" si="41"/>
        <v>2019</v>
      </c>
      <c r="H643" s="17">
        <v>43473</v>
      </c>
      <c r="I643" s="16" t="str">
        <f t="shared" si="42"/>
        <v>OK</v>
      </c>
    </row>
    <row r="644" spans="1:9">
      <c r="A644" s="17">
        <v>43480</v>
      </c>
      <c r="B644" s="18">
        <v>-58920</v>
      </c>
      <c r="C644" s="19">
        <v>29.01</v>
      </c>
      <c r="D644" s="18">
        <f t="shared" si="43"/>
        <v>17271</v>
      </c>
      <c r="E644" s="20">
        <f t="shared" si="40"/>
        <v>1</v>
      </c>
      <c r="F644" s="20">
        <f t="shared" si="41"/>
        <v>2019</v>
      </c>
      <c r="H644" s="17">
        <v>43480</v>
      </c>
      <c r="I644" s="16" t="str">
        <f t="shared" si="42"/>
        <v>OK</v>
      </c>
    </row>
    <row r="645" spans="1:9">
      <c r="A645" s="17">
        <v>43487</v>
      </c>
      <c r="B645" s="18">
        <v>-38258</v>
      </c>
      <c r="C645" s="19">
        <v>30.03</v>
      </c>
      <c r="D645" s="18">
        <f t="shared" si="43"/>
        <v>20662</v>
      </c>
      <c r="E645" s="20">
        <f t="shared" si="40"/>
        <v>1</v>
      </c>
      <c r="F645" s="20">
        <f t="shared" si="41"/>
        <v>2019</v>
      </c>
      <c r="H645" s="17">
        <v>43487</v>
      </c>
      <c r="I645" s="16" t="str">
        <f t="shared" si="42"/>
        <v>OK</v>
      </c>
    </row>
    <row r="646" spans="1:9">
      <c r="A646" s="17">
        <v>43494</v>
      </c>
      <c r="B646" s="18">
        <v>2087</v>
      </c>
      <c r="C646" s="19">
        <v>29.89</v>
      </c>
      <c r="D646" s="18">
        <f t="shared" si="43"/>
        <v>40345</v>
      </c>
      <c r="E646" s="20">
        <f t="shared" si="40"/>
        <v>1</v>
      </c>
      <c r="F646" s="20">
        <f t="shared" si="41"/>
        <v>2019</v>
      </c>
      <c r="H646" s="17">
        <v>43494</v>
      </c>
      <c r="I646" s="16" t="str">
        <f t="shared" si="42"/>
        <v>OK</v>
      </c>
    </row>
    <row r="647" spans="1:9">
      <c r="A647" s="17">
        <v>43501</v>
      </c>
      <c r="B647" s="18">
        <v>43310</v>
      </c>
      <c r="C647" s="19">
        <v>30.87</v>
      </c>
      <c r="D647" s="18">
        <f t="shared" si="43"/>
        <v>41223</v>
      </c>
      <c r="E647" s="20">
        <f t="shared" si="40"/>
        <v>2</v>
      </c>
      <c r="F647" s="20">
        <f t="shared" si="41"/>
        <v>2019</v>
      </c>
      <c r="H647" s="17">
        <v>43501</v>
      </c>
      <c r="I647" s="16" t="str">
        <f t="shared" si="42"/>
        <v>OK</v>
      </c>
    </row>
    <row r="648" spans="1:9">
      <c r="A648" s="17">
        <v>43508</v>
      </c>
      <c r="B648" s="18">
        <v>64088</v>
      </c>
      <c r="C648" s="19">
        <v>29.95</v>
      </c>
      <c r="D648" s="18">
        <f t="shared" si="43"/>
        <v>20778</v>
      </c>
      <c r="E648" s="20">
        <f t="shared" si="40"/>
        <v>2</v>
      </c>
      <c r="F648" s="20">
        <f t="shared" si="41"/>
        <v>2019</v>
      </c>
      <c r="H648" s="17">
        <v>43508</v>
      </c>
      <c r="I648" s="16" t="str">
        <f t="shared" si="42"/>
        <v>OK</v>
      </c>
    </row>
    <row r="649" spans="1:9">
      <c r="A649" s="17">
        <v>43515</v>
      </c>
      <c r="B649" s="18">
        <v>69826</v>
      </c>
      <c r="C649" s="19">
        <v>30.51</v>
      </c>
      <c r="D649" s="18">
        <f t="shared" si="43"/>
        <v>5738</v>
      </c>
      <c r="E649" s="20">
        <f t="shared" si="40"/>
        <v>2</v>
      </c>
      <c r="F649" s="20">
        <f t="shared" si="41"/>
        <v>2019</v>
      </c>
      <c r="H649" s="17">
        <v>43515</v>
      </c>
      <c r="I649" s="16" t="str">
        <f t="shared" si="42"/>
        <v>OK</v>
      </c>
    </row>
    <row r="650" spans="1:9">
      <c r="A650" s="17">
        <v>43522</v>
      </c>
      <c r="B650" s="18">
        <v>71897</v>
      </c>
      <c r="C650" s="19">
        <v>29.95</v>
      </c>
      <c r="D650" s="18">
        <f t="shared" si="43"/>
        <v>2071</v>
      </c>
      <c r="E650" s="20">
        <f t="shared" si="40"/>
        <v>2</v>
      </c>
      <c r="F650" s="20">
        <f t="shared" si="41"/>
        <v>2019</v>
      </c>
      <c r="H650" s="17">
        <v>43522</v>
      </c>
      <c r="I650" s="16" t="str">
        <f t="shared" si="42"/>
        <v>OK</v>
      </c>
    </row>
    <row r="651" spans="1:9">
      <c r="A651" s="17">
        <v>43529</v>
      </c>
      <c r="B651" s="18">
        <v>63238</v>
      </c>
      <c r="C651" s="19">
        <v>29.39</v>
      </c>
      <c r="D651" s="18">
        <f t="shared" si="43"/>
        <v>-8659</v>
      </c>
      <c r="E651" s="20">
        <f t="shared" si="40"/>
        <v>3</v>
      </c>
      <c r="F651" s="20">
        <f t="shared" si="41"/>
        <v>2019</v>
      </c>
      <c r="H651" s="17">
        <v>43529</v>
      </c>
      <c r="I651" s="16" t="str">
        <f t="shared" si="42"/>
        <v>OK</v>
      </c>
    </row>
    <row r="652" spans="1:9">
      <c r="A652" s="17">
        <v>43536</v>
      </c>
      <c r="B652" s="18">
        <v>63505</v>
      </c>
      <c r="C652" s="19">
        <v>29.43</v>
      </c>
      <c r="D652" s="18">
        <f t="shared" si="43"/>
        <v>267</v>
      </c>
      <c r="E652" s="20">
        <f t="shared" si="40"/>
        <v>3</v>
      </c>
      <c r="F652" s="20">
        <f t="shared" si="41"/>
        <v>2019</v>
      </c>
      <c r="H652" s="17">
        <v>43536</v>
      </c>
      <c r="I652" s="16" t="str">
        <f t="shared" si="42"/>
        <v>OK</v>
      </c>
    </row>
    <row r="653" spans="1:9">
      <c r="A653" s="17">
        <v>43543</v>
      </c>
      <c r="B653" s="18">
        <v>40221</v>
      </c>
      <c r="C653" s="19">
        <v>28.66</v>
      </c>
      <c r="D653" s="18">
        <f t="shared" si="43"/>
        <v>-23284</v>
      </c>
      <c r="E653" s="20">
        <f t="shared" si="40"/>
        <v>3</v>
      </c>
      <c r="F653" s="20">
        <f t="shared" si="41"/>
        <v>2019</v>
      </c>
      <c r="H653" s="17">
        <v>43543</v>
      </c>
      <c r="I653" s="16" t="str">
        <f t="shared" si="42"/>
        <v>OK</v>
      </c>
    </row>
    <row r="654" spans="1:9">
      <c r="A654" s="17">
        <v>43550</v>
      </c>
      <c r="B654" s="18">
        <v>3743</v>
      </c>
      <c r="C654" s="19">
        <v>28.36</v>
      </c>
      <c r="D654" s="18">
        <f t="shared" si="43"/>
        <v>-36478</v>
      </c>
      <c r="E654" s="20">
        <f t="shared" si="40"/>
        <v>3</v>
      </c>
      <c r="F654" s="20">
        <f t="shared" si="41"/>
        <v>2019</v>
      </c>
      <c r="H654" s="17">
        <v>43550</v>
      </c>
      <c r="I654" s="16" t="str">
        <f t="shared" si="42"/>
        <v>OK</v>
      </c>
    </row>
    <row r="655" spans="1:9">
      <c r="A655" s="17">
        <v>43557</v>
      </c>
      <c r="B655" s="18">
        <v>-14544</v>
      </c>
      <c r="C655" s="19">
        <v>29.15</v>
      </c>
      <c r="D655" s="18">
        <f t="shared" si="43"/>
        <v>-18287</v>
      </c>
      <c r="E655" s="20">
        <f t="shared" si="40"/>
        <v>4</v>
      </c>
      <c r="F655" s="20">
        <f t="shared" si="41"/>
        <v>2019</v>
      </c>
      <c r="H655" s="17">
        <v>43557</v>
      </c>
      <c r="I655" s="16" t="str">
        <f t="shared" si="42"/>
        <v>OK</v>
      </c>
    </row>
    <row r="656" spans="1:9">
      <c r="A656" s="17">
        <v>43564</v>
      </c>
      <c r="B656" s="18">
        <v>-22994</v>
      </c>
      <c r="C656" s="19">
        <v>28.95</v>
      </c>
      <c r="D656" s="18">
        <f t="shared" si="43"/>
        <v>-8450</v>
      </c>
      <c r="E656" s="20">
        <f t="shared" si="40"/>
        <v>4</v>
      </c>
      <c r="F656" s="20">
        <f t="shared" si="41"/>
        <v>2019</v>
      </c>
      <c r="H656" s="17">
        <v>43564</v>
      </c>
      <c r="I656" s="16" t="str">
        <f t="shared" si="42"/>
        <v>OK</v>
      </c>
    </row>
    <row r="657" spans="1:9">
      <c r="A657" s="17">
        <v>43571</v>
      </c>
      <c r="B657" s="18">
        <v>-22386</v>
      </c>
      <c r="C657" s="19">
        <v>28.8</v>
      </c>
      <c r="D657" s="18">
        <f t="shared" si="43"/>
        <v>608</v>
      </c>
      <c r="E657" s="20">
        <f t="shared" si="40"/>
        <v>4</v>
      </c>
      <c r="F657" s="20">
        <f t="shared" si="41"/>
        <v>2019</v>
      </c>
      <c r="H657" s="17">
        <v>43571</v>
      </c>
      <c r="I657" s="16" t="str">
        <f t="shared" si="42"/>
        <v>OK</v>
      </c>
    </row>
    <row r="658" spans="1:9">
      <c r="A658" s="17">
        <v>43578</v>
      </c>
      <c r="B658" s="18">
        <v>-31208</v>
      </c>
      <c r="C658" s="19">
        <v>27.52</v>
      </c>
      <c r="D658" s="18">
        <f t="shared" si="43"/>
        <v>-8822</v>
      </c>
      <c r="E658" s="20">
        <f t="shared" si="40"/>
        <v>4</v>
      </c>
      <c r="F658" s="20">
        <f t="shared" si="41"/>
        <v>2019</v>
      </c>
      <c r="H658" s="17">
        <v>43578</v>
      </c>
      <c r="I658" s="16" t="str">
        <f t="shared" si="42"/>
        <v>OK</v>
      </c>
    </row>
    <row r="659" spans="1:9">
      <c r="A659" s="17">
        <v>43585</v>
      </c>
      <c r="B659" s="18">
        <v>-42473</v>
      </c>
      <c r="C659" s="19">
        <v>27.07</v>
      </c>
      <c r="D659" s="18">
        <f t="shared" si="43"/>
        <v>-11265</v>
      </c>
      <c r="E659" s="20">
        <f t="shared" si="40"/>
        <v>4</v>
      </c>
      <c r="F659" s="20">
        <f t="shared" si="41"/>
        <v>2019</v>
      </c>
      <c r="H659" s="17">
        <v>43585</v>
      </c>
      <c r="I659" s="16" t="str">
        <f t="shared" si="42"/>
        <v>OK</v>
      </c>
    </row>
    <row r="660" spans="1:9">
      <c r="A660" s="17">
        <v>43592</v>
      </c>
      <c r="B660" s="18">
        <v>-37715</v>
      </c>
      <c r="C660" s="19">
        <v>26.5</v>
      </c>
      <c r="D660" s="18">
        <f t="shared" si="43"/>
        <v>4758</v>
      </c>
      <c r="E660" s="20">
        <f t="shared" si="40"/>
        <v>5</v>
      </c>
      <c r="F660" s="20">
        <f t="shared" si="41"/>
        <v>2019</v>
      </c>
      <c r="H660" s="17">
        <v>43592</v>
      </c>
      <c r="I660" s="16" t="str">
        <f t="shared" si="42"/>
        <v>OK</v>
      </c>
    </row>
    <row r="661" spans="1:9">
      <c r="A661" s="17">
        <v>43599</v>
      </c>
      <c r="B661" s="18">
        <v>-40773</v>
      </c>
      <c r="C661" s="19">
        <v>27.22</v>
      </c>
      <c r="D661" s="18">
        <f t="shared" si="43"/>
        <v>-3058</v>
      </c>
      <c r="E661" s="20">
        <f t="shared" si="40"/>
        <v>5</v>
      </c>
      <c r="F661" s="20">
        <f t="shared" si="41"/>
        <v>2019</v>
      </c>
      <c r="H661" s="17">
        <v>43599</v>
      </c>
      <c r="I661" s="16" t="str">
        <f t="shared" si="42"/>
        <v>OK</v>
      </c>
    </row>
    <row r="662" spans="1:9">
      <c r="A662" s="17">
        <v>43606</v>
      </c>
      <c r="B662" s="18">
        <v>-33926</v>
      </c>
      <c r="C662" s="19">
        <v>27.01</v>
      </c>
      <c r="D662" s="18">
        <f t="shared" si="43"/>
        <v>6847</v>
      </c>
      <c r="E662" s="20">
        <f t="shared" si="40"/>
        <v>5</v>
      </c>
      <c r="F662" s="20">
        <f t="shared" si="41"/>
        <v>2019</v>
      </c>
      <c r="H662" s="17">
        <v>43606</v>
      </c>
      <c r="I662" s="16" t="str">
        <f t="shared" si="42"/>
        <v>OK</v>
      </c>
    </row>
    <row r="663" spans="1:9">
      <c r="A663" s="17">
        <v>43613</v>
      </c>
      <c r="B663" s="18">
        <v>-41863</v>
      </c>
      <c r="C663" s="19">
        <v>27.59</v>
      </c>
      <c r="D663" s="18">
        <f t="shared" si="43"/>
        <v>-7937</v>
      </c>
      <c r="E663" s="20">
        <f t="shared" si="40"/>
        <v>5</v>
      </c>
      <c r="F663" s="20">
        <f t="shared" si="41"/>
        <v>2019</v>
      </c>
      <c r="H663" s="17">
        <v>43613</v>
      </c>
      <c r="I663" s="16" t="str">
        <f t="shared" si="42"/>
        <v>OK</v>
      </c>
    </row>
    <row r="664" spans="1:9">
      <c r="A664" s="17">
        <v>43620</v>
      </c>
      <c r="B664" s="18">
        <v>-57974</v>
      </c>
      <c r="C664" s="19">
        <v>27.38</v>
      </c>
      <c r="D664" s="18">
        <f t="shared" si="43"/>
        <v>-16111</v>
      </c>
      <c r="E664" s="20">
        <f t="shared" si="40"/>
        <v>6</v>
      </c>
      <c r="F664" s="20">
        <f t="shared" si="41"/>
        <v>2019</v>
      </c>
      <c r="H664" s="17">
        <v>43620</v>
      </c>
      <c r="I664" s="16" t="str">
        <f t="shared" si="42"/>
        <v>OK</v>
      </c>
    </row>
    <row r="665" spans="1:9">
      <c r="A665" s="17">
        <v>43627</v>
      </c>
      <c r="B665" s="18">
        <f>Data!H680-Data!AC680</f>
        <v>-58468</v>
      </c>
      <c r="C665" s="19">
        <v>27.61</v>
      </c>
      <c r="D665" s="18">
        <f t="shared" si="43"/>
        <v>-494</v>
      </c>
      <c r="E665" s="20">
        <f t="shared" si="40"/>
        <v>6</v>
      </c>
      <c r="F665" s="20">
        <f t="shared" si="41"/>
        <v>2019</v>
      </c>
      <c r="H665" s="17">
        <v>43627</v>
      </c>
      <c r="I665" s="16" t="str">
        <f t="shared" si="42"/>
        <v>OK</v>
      </c>
    </row>
    <row r="666" spans="1:9">
      <c r="A666" s="17">
        <v>43634</v>
      </c>
      <c r="B666" s="18">
        <f>Data!H681-Data!AC681</f>
        <v>-42764</v>
      </c>
      <c r="C666" s="19">
        <v>28.44</v>
      </c>
      <c r="D666" s="18">
        <f t="shared" si="43"/>
        <v>15704</v>
      </c>
      <c r="E666" s="20">
        <f t="shared" si="40"/>
        <v>6</v>
      </c>
      <c r="F666" s="20">
        <f t="shared" si="41"/>
        <v>2019</v>
      </c>
      <c r="H666" s="17">
        <v>43634</v>
      </c>
      <c r="I666" s="16" t="str">
        <f t="shared" si="42"/>
        <v>OK</v>
      </c>
    </row>
    <row r="667" spans="1:9">
      <c r="A667" s="17">
        <v>43641</v>
      </c>
      <c r="B667" s="18">
        <f>Data!H682-Data!AC682</f>
        <v>-35059</v>
      </c>
      <c r="C667" s="19">
        <v>28.24</v>
      </c>
      <c r="D667" s="18">
        <f t="shared" si="43"/>
        <v>7705</v>
      </c>
      <c r="E667" s="20">
        <f t="shared" si="40"/>
        <v>6</v>
      </c>
      <c r="F667" s="20">
        <f t="shared" si="41"/>
        <v>2019</v>
      </c>
      <c r="H667" s="17">
        <v>43641</v>
      </c>
      <c r="I667" s="16" t="str">
        <f t="shared" si="42"/>
        <v>OK</v>
      </c>
    </row>
    <row r="668" spans="1:9">
      <c r="A668" s="17">
        <v>43648</v>
      </c>
      <c r="B668" s="18">
        <f>Data!H683-Data!AC683</f>
        <v>-21633</v>
      </c>
      <c r="C668" s="19">
        <v>27.44</v>
      </c>
      <c r="D668" s="18">
        <f t="shared" si="43"/>
        <v>13426</v>
      </c>
      <c r="E668" s="20">
        <f t="shared" si="40"/>
        <v>7</v>
      </c>
      <c r="F668" s="20">
        <f t="shared" si="41"/>
        <v>2019</v>
      </c>
      <c r="H668" s="17">
        <v>43648</v>
      </c>
      <c r="I668" s="16" t="str">
        <f t="shared" si="42"/>
        <v>OK</v>
      </c>
    </row>
    <row r="669" spans="1:9">
      <c r="A669" s="17">
        <v>43655</v>
      </c>
      <c r="B669" s="18">
        <f>Data!H684-Data!AC684</f>
        <v>-10222</v>
      </c>
      <c r="C669" s="19">
        <v>28.11</v>
      </c>
      <c r="D669" s="18">
        <f t="shared" si="43"/>
        <v>11411</v>
      </c>
      <c r="E669" s="20">
        <f t="shared" si="40"/>
        <v>7</v>
      </c>
      <c r="F669" s="20">
        <f t="shared" si="41"/>
        <v>2019</v>
      </c>
      <c r="H669" s="17">
        <v>43655</v>
      </c>
      <c r="I669" s="16" t="str">
        <f t="shared" si="42"/>
        <v>OK</v>
      </c>
    </row>
    <row r="670" spans="1:9">
      <c r="A670" s="17">
        <v>43662</v>
      </c>
      <c r="B670" s="18">
        <f>Data!H685-Data!AC685</f>
        <v>-10180</v>
      </c>
      <c r="C670" s="19">
        <v>28.1</v>
      </c>
      <c r="D670" s="18">
        <f t="shared" si="43"/>
        <v>42</v>
      </c>
      <c r="E670" s="20">
        <f t="shared" si="40"/>
        <v>7</v>
      </c>
      <c r="F670" s="20">
        <f t="shared" si="41"/>
        <v>2019</v>
      </c>
      <c r="H670" s="17">
        <v>43662</v>
      </c>
      <c r="I670" s="16" t="str">
        <f t="shared" si="42"/>
        <v>OK</v>
      </c>
    </row>
    <row r="671" spans="1:9">
      <c r="A671" s="17">
        <v>43669</v>
      </c>
      <c r="B671" s="18">
        <f>Data!H686-Data!AC686</f>
        <v>-13496</v>
      </c>
      <c r="C671" s="19">
        <v>28.47</v>
      </c>
      <c r="D671" s="18">
        <f t="shared" si="43"/>
        <v>-3316</v>
      </c>
      <c r="E671" s="20">
        <f t="shared" si="40"/>
        <v>7</v>
      </c>
      <c r="F671" s="20">
        <f t="shared" si="41"/>
        <v>2019</v>
      </c>
      <c r="H671" s="17">
        <v>43669</v>
      </c>
      <c r="I671" s="16" t="str">
        <f t="shared" si="42"/>
        <v>OK</v>
      </c>
    </row>
    <row r="672" spans="1:9">
      <c r="A672" s="17">
        <v>43676</v>
      </c>
      <c r="B672" s="18">
        <f>Data!H687-Data!AC687</f>
        <v>7891</v>
      </c>
      <c r="C672" s="19">
        <v>28.19</v>
      </c>
      <c r="D672" s="18">
        <f t="shared" si="43"/>
        <v>21387</v>
      </c>
      <c r="E672" s="20">
        <f t="shared" si="40"/>
        <v>7</v>
      </c>
      <c r="F672" s="20">
        <f t="shared" si="41"/>
        <v>2019</v>
      </c>
      <c r="H672" s="17">
        <v>43676</v>
      </c>
      <c r="I672" s="16" t="str">
        <f t="shared" si="42"/>
        <v>OK</v>
      </c>
    </row>
    <row r="673" spans="1:9">
      <c r="A673" s="17">
        <v>43683</v>
      </c>
      <c r="B673" s="18">
        <f>Data!H688-Data!AC688</f>
        <v>1988</v>
      </c>
      <c r="C673" s="19">
        <v>29.51</v>
      </c>
      <c r="D673" s="18">
        <f t="shared" si="43"/>
        <v>-5903</v>
      </c>
      <c r="E673" s="20">
        <f t="shared" si="40"/>
        <v>8</v>
      </c>
      <c r="F673" s="20">
        <f t="shared" si="41"/>
        <v>2019</v>
      </c>
      <c r="H673" s="17">
        <v>43683</v>
      </c>
      <c r="I673" s="16" t="str">
        <f t="shared" si="42"/>
        <v>OK</v>
      </c>
    </row>
    <row r="674" spans="1:9">
      <c r="A674" s="17">
        <v>43690</v>
      </c>
      <c r="B674" s="18">
        <f>Data!H689-Data!AC689</f>
        <v>46753</v>
      </c>
      <c r="C674" s="19">
        <v>29.13</v>
      </c>
      <c r="D674" s="18">
        <f t="shared" si="43"/>
        <v>44765</v>
      </c>
      <c r="E674" s="20">
        <f t="shared" si="40"/>
        <v>8</v>
      </c>
      <c r="F674" s="20">
        <f t="shared" si="41"/>
        <v>2019</v>
      </c>
      <c r="H674" s="17">
        <v>43690</v>
      </c>
      <c r="I674" s="16" t="str">
        <f t="shared" si="42"/>
        <v>OK</v>
      </c>
    </row>
    <row r="675" spans="1:9">
      <c r="A675" s="17">
        <v>43697</v>
      </c>
      <c r="B675" s="18">
        <f>Data!H690-Data!AC690</f>
        <v>39144</v>
      </c>
      <c r="C675" s="19">
        <v>28.34</v>
      </c>
      <c r="D675" s="18">
        <f t="shared" si="43"/>
        <v>-7609</v>
      </c>
      <c r="E675" s="20">
        <f t="shared" si="40"/>
        <v>8</v>
      </c>
      <c r="F675" s="20">
        <f t="shared" si="41"/>
        <v>2019</v>
      </c>
      <c r="H675" s="17">
        <v>43697</v>
      </c>
      <c r="I675" s="16" t="str">
        <f t="shared" si="42"/>
        <v>OK</v>
      </c>
    </row>
    <row r="676" spans="1:9">
      <c r="A676" s="17">
        <v>43704</v>
      </c>
      <c r="B676" s="18">
        <f>Data!H691-Data!AC691</f>
        <v>20494</v>
      </c>
      <c r="C676" s="19">
        <v>28.64</v>
      </c>
      <c r="D676" s="18">
        <f t="shared" si="43"/>
        <v>-18650</v>
      </c>
      <c r="E676" s="20">
        <f t="shared" si="40"/>
        <v>8</v>
      </c>
      <c r="F676" s="20">
        <f t="shared" si="41"/>
        <v>2019</v>
      </c>
      <c r="H676" s="17">
        <v>43704</v>
      </c>
      <c r="I676" s="16" t="str">
        <f t="shared" si="42"/>
        <v>OK</v>
      </c>
    </row>
    <row r="677" spans="1:9">
      <c r="A677" s="17">
        <v>43711</v>
      </c>
      <c r="B677" s="18">
        <f>Data!H692-Data!AC692</f>
        <v>30797</v>
      </c>
      <c r="C677" s="19">
        <v>28.48</v>
      </c>
      <c r="D677" s="18">
        <f t="shared" si="43"/>
        <v>10303</v>
      </c>
      <c r="E677" s="20">
        <f t="shared" si="40"/>
        <v>9</v>
      </c>
      <c r="F677" s="20">
        <f t="shared" si="41"/>
        <v>2019</v>
      </c>
      <c r="H677" s="17">
        <v>43711</v>
      </c>
      <c r="I677" s="16" t="str">
        <f t="shared" si="42"/>
        <v>OK</v>
      </c>
    </row>
    <row r="678" spans="1:9">
      <c r="A678" s="17">
        <v>43718</v>
      </c>
      <c r="B678" s="18">
        <f>Data!H693-Data!AC693</f>
        <v>28500</v>
      </c>
      <c r="C678" s="19">
        <v>28.94</v>
      </c>
      <c r="D678" s="18">
        <f t="shared" si="43"/>
        <v>-2297</v>
      </c>
      <c r="E678" s="20">
        <f t="shared" si="40"/>
        <v>9</v>
      </c>
      <c r="F678" s="20">
        <f t="shared" si="41"/>
        <v>2019</v>
      </c>
      <c r="H678" s="17">
        <v>43718</v>
      </c>
      <c r="I678" s="16" t="str">
        <f t="shared" si="42"/>
        <v>OK</v>
      </c>
    </row>
    <row r="679" spans="1:9">
      <c r="A679" s="17">
        <v>43725</v>
      </c>
      <c r="B679" s="18">
        <f>Data!H694-Data!AC694</f>
        <v>74682</v>
      </c>
      <c r="C679" s="19">
        <v>29.28</v>
      </c>
      <c r="D679" s="18">
        <f t="shared" si="43"/>
        <v>46182</v>
      </c>
      <c r="E679" s="20">
        <f t="shared" si="40"/>
        <v>9</v>
      </c>
      <c r="F679" s="20">
        <f t="shared" si="41"/>
        <v>2019</v>
      </c>
      <c r="H679" s="17">
        <v>43725</v>
      </c>
      <c r="I679" s="16" t="str">
        <f t="shared" si="42"/>
        <v>OK</v>
      </c>
    </row>
    <row r="680" spans="1:9">
      <c r="A680" s="17">
        <v>43732</v>
      </c>
      <c r="B680" s="18">
        <f>Data!H695-Data!AC695</f>
        <v>70382</v>
      </c>
      <c r="C680" s="19">
        <v>28.62</v>
      </c>
      <c r="D680" s="18">
        <f t="shared" si="43"/>
        <v>-4300</v>
      </c>
      <c r="E680" s="20">
        <f t="shared" si="40"/>
        <v>9</v>
      </c>
      <c r="F680" s="20">
        <f t="shared" si="41"/>
        <v>2019</v>
      </c>
      <c r="H680" s="17">
        <v>43732</v>
      </c>
      <c r="I680" s="16" t="str">
        <f t="shared" si="42"/>
        <v>OK</v>
      </c>
    </row>
    <row r="681" spans="1:9">
      <c r="A681" s="17">
        <v>43739</v>
      </c>
      <c r="B681" s="18">
        <f>Data!H696-Data!AC696</f>
        <v>51030</v>
      </c>
      <c r="C681" s="19">
        <v>29.79</v>
      </c>
      <c r="D681" s="18">
        <f t="shared" si="43"/>
        <v>-19352</v>
      </c>
      <c r="E681" s="20">
        <f t="shared" si="40"/>
        <v>10</v>
      </c>
      <c r="F681" s="20">
        <f t="shared" si="41"/>
        <v>2019</v>
      </c>
      <c r="H681" s="17">
        <v>43739</v>
      </c>
      <c r="I681" s="16" t="str">
        <f t="shared" si="42"/>
        <v>OK</v>
      </c>
    </row>
    <row r="682" spans="1:9">
      <c r="A682" s="17">
        <v>43746</v>
      </c>
      <c r="B682" s="18">
        <f>Data!H697-Data!AC697</f>
        <v>62463</v>
      </c>
      <c r="C682" s="19">
        <v>29.83</v>
      </c>
      <c r="D682" s="18">
        <f t="shared" si="43"/>
        <v>11433</v>
      </c>
      <c r="E682" s="20">
        <f t="shared" si="40"/>
        <v>10</v>
      </c>
      <c r="F682" s="20">
        <f t="shared" si="41"/>
        <v>2019</v>
      </c>
      <c r="H682" s="17">
        <v>43746</v>
      </c>
      <c r="I682" s="16" t="str">
        <f t="shared" si="42"/>
        <v>OK</v>
      </c>
    </row>
    <row r="683" spans="1:9">
      <c r="A683" s="17">
        <v>43753</v>
      </c>
      <c r="B683" s="18">
        <f>Data!H698-Data!AC698</f>
        <v>68527</v>
      </c>
      <c r="C683" s="19">
        <v>30.36</v>
      </c>
      <c r="D683" s="18">
        <f t="shared" si="43"/>
        <v>6064</v>
      </c>
      <c r="E683" s="20">
        <f t="shared" si="40"/>
        <v>10</v>
      </c>
      <c r="F683" s="20">
        <f t="shared" si="41"/>
        <v>2019</v>
      </c>
      <c r="H683" s="17">
        <v>43753</v>
      </c>
      <c r="I683" s="16" t="str">
        <f t="shared" si="42"/>
        <v>OK</v>
      </c>
    </row>
    <row r="684" spans="1:9">
      <c r="A684" s="17">
        <v>43760</v>
      </c>
      <c r="B684" s="18">
        <f>Data!H699-Data!AC699</f>
        <v>88829</v>
      </c>
      <c r="C684" s="19">
        <v>30.96</v>
      </c>
      <c r="D684" s="18">
        <f t="shared" si="43"/>
        <v>20302</v>
      </c>
      <c r="E684" s="20">
        <f t="shared" si="40"/>
        <v>10</v>
      </c>
      <c r="F684" s="20">
        <f t="shared" si="41"/>
        <v>2019</v>
      </c>
      <c r="H684" s="17">
        <v>43760</v>
      </c>
      <c r="I684" s="16" t="str">
        <f t="shared" si="42"/>
        <v>OK</v>
      </c>
    </row>
    <row r="685" spans="1:9">
      <c r="A685" s="17">
        <v>43767</v>
      </c>
      <c r="B685" s="18">
        <f>Data!H700-Data!AC700</f>
        <v>104403</v>
      </c>
      <c r="C685" s="19">
        <v>31.03</v>
      </c>
      <c r="D685" s="18">
        <f t="shared" si="43"/>
        <v>15574</v>
      </c>
      <c r="E685" s="20">
        <f t="shared" si="40"/>
        <v>10</v>
      </c>
      <c r="F685" s="20">
        <f t="shared" si="41"/>
        <v>2019</v>
      </c>
      <c r="H685" s="17">
        <v>43767</v>
      </c>
      <c r="I685" s="16" t="str">
        <f t="shared" si="42"/>
        <v>OK</v>
      </c>
    </row>
    <row r="686" spans="1:9">
      <c r="A686" s="17">
        <v>43774</v>
      </c>
      <c r="B686" s="18">
        <f>Data!H701-Data!AC701</f>
        <v>122197</v>
      </c>
      <c r="C686" s="19">
        <v>31.5</v>
      </c>
      <c r="D686" s="18">
        <f t="shared" si="43"/>
        <v>17794</v>
      </c>
      <c r="E686" s="20">
        <f t="shared" si="40"/>
        <v>11</v>
      </c>
      <c r="F686" s="20">
        <f t="shared" si="41"/>
        <v>2019</v>
      </c>
      <c r="H686" s="17">
        <v>43774</v>
      </c>
      <c r="I686" s="16" t="str">
        <f t="shared" si="42"/>
        <v>OK</v>
      </c>
    </row>
    <row r="687" spans="1:9">
      <c r="A687" s="17">
        <v>43781</v>
      </c>
      <c r="B687" s="18">
        <f>Data!H702-Data!AC702</f>
        <v>111580</v>
      </c>
      <c r="C687" s="19">
        <v>30.43</v>
      </c>
      <c r="D687" s="18">
        <f t="shared" si="43"/>
        <v>-10617</v>
      </c>
      <c r="E687" s="20">
        <f t="shared" si="40"/>
        <v>11</v>
      </c>
      <c r="F687" s="20">
        <f t="shared" si="41"/>
        <v>2019</v>
      </c>
      <c r="H687" s="17">
        <v>43781</v>
      </c>
      <c r="I687" s="16" t="str">
        <f t="shared" si="42"/>
        <v>OK</v>
      </c>
    </row>
    <row r="688" spans="1:9">
      <c r="A688" s="17">
        <v>43788</v>
      </c>
      <c r="B688" s="18">
        <f>Data!H703-Data!AC703</f>
        <v>101916</v>
      </c>
      <c r="C688" s="19">
        <v>30.88</v>
      </c>
      <c r="D688" s="18">
        <f t="shared" si="43"/>
        <v>-9664</v>
      </c>
      <c r="E688" s="20">
        <f t="shared" si="40"/>
        <v>11</v>
      </c>
      <c r="F688" s="20">
        <f t="shared" si="41"/>
        <v>2019</v>
      </c>
      <c r="H688" s="17">
        <v>43788</v>
      </c>
      <c r="I688" s="16" t="str">
        <f t="shared" si="42"/>
        <v>OK</v>
      </c>
    </row>
    <row r="689" spans="1:9">
      <c r="A689" s="17">
        <v>43795</v>
      </c>
      <c r="B689" s="18">
        <f>Data!H704-Data!AC704</f>
        <v>99192</v>
      </c>
      <c r="C689" s="19">
        <v>30.42</v>
      </c>
      <c r="D689" s="18">
        <f t="shared" si="43"/>
        <v>-2724</v>
      </c>
      <c r="E689" s="20">
        <f t="shared" si="40"/>
        <v>11</v>
      </c>
      <c r="F689" s="20">
        <f t="shared" si="41"/>
        <v>2019</v>
      </c>
      <c r="H689" s="17">
        <v>43795</v>
      </c>
      <c r="I689" s="16" t="str">
        <f t="shared" si="42"/>
        <v>OK</v>
      </c>
    </row>
    <row r="690" spans="1:9">
      <c r="A690" s="17">
        <v>43802</v>
      </c>
      <c r="B690" s="18">
        <f>Data!H705-Data!AC705</f>
        <v>103088</v>
      </c>
      <c r="C690" s="19">
        <v>31.01</v>
      </c>
      <c r="D690" s="18">
        <f t="shared" si="43"/>
        <v>3896</v>
      </c>
      <c r="E690" s="20">
        <f t="shared" si="40"/>
        <v>12</v>
      </c>
      <c r="F690" s="20">
        <f t="shared" si="41"/>
        <v>2019</v>
      </c>
      <c r="H690" s="17">
        <v>43802</v>
      </c>
      <c r="I690" s="16" t="str">
        <f t="shared" si="42"/>
        <v>OK</v>
      </c>
    </row>
    <row r="691" spans="1:9">
      <c r="A691" s="17">
        <v>43809</v>
      </c>
      <c r="B691" s="18">
        <f>Data!H706-Data!AC706</f>
        <v>110371</v>
      </c>
      <c r="C691" s="19">
        <v>32.270000000000003</v>
      </c>
      <c r="D691" s="18">
        <f t="shared" si="43"/>
        <v>7283</v>
      </c>
      <c r="E691" s="20">
        <f t="shared" si="40"/>
        <v>12</v>
      </c>
      <c r="F691" s="20">
        <f t="shared" si="41"/>
        <v>2019</v>
      </c>
      <c r="H691" s="17">
        <v>43809</v>
      </c>
      <c r="I691" s="16" t="str">
        <f t="shared" si="42"/>
        <v>OK</v>
      </c>
    </row>
    <row r="692" spans="1:9">
      <c r="A692" s="17">
        <v>43816</v>
      </c>
      <c r="B692" s="18">
        <f>Data!H707-Data!AC707</f>
        <v>134685</v>
      </c>
      <c r="C692" s="19">
        <v>33.79</v>
      </c>
      <c r="D692" s="18">
        <f t="shared" si="43"/>
        <v>24314</v>
      </c>
      <c r="E692" s="20">
        <f t="shared" si="40"/>
        <v>12</v>
      </c>
      <c r="F692" s="20">
        <f t="shared" si="41"/>
        <v>2019</v>
      </c>
      <c r="H692" s="17">
        <v>43816</v>
      </c>
      <c r="I692" s="16" t="str">
        <f t="shared" si="42"/>
        <v>OK</v>
      </c>
    </row>
    <row r="693" spans="1:9">
      <c r="A693" s="17">
        <v>43823</v>
      </c>
      <c r="B693" s="18">
        <f>Data!H708-Data!AC708</f>
        <v>143766</v>
      </c>
      <c r="C693" s="19">
        <v>34.729999999999997</v>
      </c>
      <c r="D693" s="18">
        <f t="shared" si="43"/>
        <v>9081</v>
      </c>
      <c r="E693" s="20">
        <f t="shared" si="40"/>
        <v>12</v>
      </c>
      <c r="F693" s="20">
        <f t="shared" si="41"/>
        <v>2019</v>
      </c>
      <c r="H693" s="17">
        <v>43823</v>
      </c>
      <c r="I693" s="16" t="str">
        <f t="shared" si="42"/>
        <v>OK</v>
      </c>
    </row>
    <row r="694" spans="1:9">
      <c r="A694" s="17">
        <v>43830</v>
      </c>
      <c r="B694" s="18">
        <f>Data!H709-Data!AC709</f>
        <v>137593</v>
      </c>
      <c r="C694" s="19">
        <v>34.81</v>
      </c>
      <c r="D694" s="18">
        <f t="shared" si="43"/>
        <v>-6173</v>
      </c>
      <c r="E694" s="20">
        <f t="shared" si="40"/>
        <v>12</v>
      </c>
      <c r="F694" s="20">
        <f t="shared" si="41"/>
        <v>2019</v>
      </c>
      <c r="H694" s="17">
        <v>43830</v>
      </c>
      <c r="I694" s="16" t="str">
        <f t="shared" si="42"/>
        <v>OK</v>
      </c>
    </row>
    <row r="695" spans="1:9">
      <c r="A695" s="17">
        <v>43837</v>
      </c>
      <c r="B695" s="18">
        <f>Data!H710-Data!AC710</f>
        <v>138776</v>
      </c>
      <c r="C695" s="19">
        <v>34.07</v>
      </c>
      <c r="D695" s="18">
        <f t="shared" si="43"/>
        <v>1183</v>
      </c>
      <c r="E695" s="20">
        <f t="shared" si="40"/>
        <v>1</v>
      </c>
      <c r="F695" s="20">
        <f t="shared" si="41"/>
        <v>2020</v>
      </c>
      <c r="H695" s="17">
        <v>43837</v>
      </c>
      <c r="I695" s="16" t="str">
        <f t="shared" si="42"/>
        <v>OK</v>
      </c>
    </row>
    <row r="696" spans="1:9">
      <c r="A696" s="17">
        <v>43844</v>
      </c>
      <c r="B696" s="18">
        <f>Data!H711-Data!AC711</f>
        <v>144631</v>
      </c>
      <c r="C696" s="19">
        <v>33.35</v>
      </c>
      <c r="D696" s="18">
        <f t="shared" si="43"/>
        <v>5855</v>
      </c>
      <c r="E696" s="20">
        <f t="shared" si="40"/>
        <v>1</v>
      </c>
      <c r="F696" s="20">
        <f t="shared" si="41"/>
        <v>2020</v>
      </c>
      <c r="H696" s="17">
        <v>43844</v>
      </c>
      <c r="I696" s="16" t="str">
        <f t="shared" si="42"/>
        <v>OK</v>
      </c>
    </row>
    <row r="697" spans="1:9">
      <c r="A697" s="17">
        <v>43851</v>
      </c>
      <c r="B697" s="18">
        <f>Data!H712-Data!AC712</f>
        <v>137955</v>
      </c>
      <c r="C697" s="19">
        <v>32.020000000000003</v>
      </c>
      <c r="D697" s="18">
        <f t="shared" si="43"/>
        <v>-6676</v>
      </c>
      <c r="E697" s="20">
        <f t="shared" si="40"/>
        <v>1</v>
      </c>
      <c r="F697" s="20">
        <f t="shared" si="41"/>
        <v>2020</v>
      </c>
      <c r="H697" s="17">
        <v>43851</v>
      </c>
      <c r="I697" s="16" t="str">
        <f t="shared" si="42"/>
        <v>OK</v>
      </c>
    </row>
    <row r="698" spans="1:9">
      <c r="A698" s="17">
        <v>43858</v>
      </c>
      <c r="B698" s="18">
        <f>Data!H713-Data!AC713</f>
        <v>136457</v>
      </c>
      <c r="C698" s="19">
        <v>29.94</v>
      </c>
      <c r="D698" s="18">
        <f t="shared" si="43"/>
        <v>-1498</v>
      </c>
      <c r="E698" s="20">
        <f t="shared" si="40"/>
        <v>1</v>
      </c>
      <c r="F698" s="20">
        <f t="shared" si="41"/>
        <v>2020</v>
      </c>
      <c r="H698" s="17">
        <v>43858</v>
      </c>
      <c r="I698" s="16" t="str">
        <f t="shared" si="42"/>
        <v>OK</v>
      </c>
    </row>
    <row r="699" spans="1:9">
      <c r="A699" s="17">
        <v>43865</v>
      </c>
      <c r="B699" s="18">
        <f>Data!H714-Data!AC714</f>
        <v>132262</v>
      </c>
      <c r="C699" s="19">
        <v>30.97</v>
      </c>
      <c r="D699" s="18">
        <f t="shared" si="43"/>
        <v>-4195</v>
      </c>
      <c r="E699" s="20">
        <f t="shared" si="40"/>
        <v>2</v>
      </c>
      <c r="F699" s="20">
        <f t="shared" si="41"/>
        <v>2020</v>
      </c>
      <c r="H699" s="17">
        <v>43865</v>
      </c>
      <c r="I699" s="16" t="str">
        <f t="shared" si="42"/>
        <v>OK</v>
      </c>
    </row>
    <row r="700" spans="1:9">
      <c r="A700" s="17">
        <v>43872</v>
      </c>
      <c r="B700" s="18">
        <f>Data!H715-Data!AC715</f>
        <v>120819</v>
      </c>
      <c r="C700" s="19">
        <v>30.57</v>
      </c>
      <c r="D700" s="18">
        <f t="shared" si="43"/>
        <v>-11443</v>
      </c>
      <c r="E700" s="20">
        <f t="shared" si="40"/>
        <v>2</v>
      </c>
      <c r="F700" s="20">
        <f t="shared" si="41"/>
        <v>2020</v>
      </c>
      <c r="H700" s="17">
        <v>43872</v>
      </c>
      <c r="I700" s="16" t="str">
        <f t="shared" si="42"/>
        <v>OK</v>
      </c>
    </row>
    <row r="701" spans="1:9">
      <c r="A701" s="17">
        <v>43879</v>
      </c>
      <c r="B701" s="18">
        <f>Data!H716-Data!AC716</f>
        <v>112096</v>
      </c>
      <c r="C701" s="19">
        <v>30.64</v>
      </c>
      <c r="D701" s="18">
        <f t="shared" si="43"/>
        <v>-8723</v>
      </c>
      <c r="E701" s="20">
        <f t="shared" si="40"/>
        <v>2</v>
      </c>
      <c r="F701" s="20">
        <f t="shared" si="41"/>
        <v>2020</v>
      </c>
      <c r="H701" s="17">
        <v>43879</v>
      </c>
      <c r="I701" s="16" t="str">
        <f t="shared" si="42"/>
        <v>OK</v>
      </c>
    </row>
    <row r="702" spans="1:9">
      <c r="A702" s="17">
        <v>43886</v>
      </c>
      <c r="B702" s="18">
        <f>Data!H717-Data!AC717</f>
        <v>100160</v>
      </c>
      <c r="C702" s="19">
        <v>28.31</v>
      </c>
      <c r="D702" s="18">
        <f t="shared" si="43"/>
        <v>-11936</v>
      </c>
      <c r="E702" s="20">
        <f t="shared" si="40"/>
        <v>2</v>
      </c>
      <c r="F702" s="20">
        <f t="shared" si="41"/>
        <v>2020</v>
      </c>
      <c r="H702" s="17">
        <v>43886</v>
      </c>
      <c r="I702" s="16" t="str">
        <f t="shared" si="42"/>
        <v>OK</v>
      </c>
    </row>
    <row r="703" spans="1:9">
      <c r="A703" s="17">
        <v>43893</v>
      </c>
      <c r="B703" s="18">
        <f>Data!H718-Data!AC718</f>
        <v>33314</v>
      </c>
      <c r="C703" s="19">
        <v>28.48</v>
      </c>
      <c r="D703" s="18">
        <f t="shared" si="43"/>
        <v>-66846</v>
      </c>
      <c r="E703" s="20">
        <f t="shared" si="40"/>
        <v>3</v>
      </c>
      <c r="F703" s="20">
        <f t="shared" si="41"/>
        <v>2020</v>
      </c>
      <c r="H703" s="17">
        <v>43893</v>
      </c>
      <c r="I703" s="16" t="str">
        <f t="shared" si="42"/>
        <v>OK</v>
      </c>
    </row>
    <row r="704" spans="1:9">
      <c r="A704" s="17">
        <v>43900</v>
      </c>
      <c r="B704" s="18">
        <f>Data!H719-Data!AC719</f>
        <v>13595</v>
      </c>
      <c r="C704" s="19">
        <v>26.11</v>
      </c>
      <c r="D704" s="18">
        <f t="shared" si="43"/>
        <v>-19719</v>
      </c>
      <c r="E704" s="20">
        <f t="shared" si="40"/>
        <v>3</v>
      </c>
      <c r="F704" s="20">
        <f t="shared" si="41"/>
        <v>2020</v>
      </c>
      <c r="H704" s="17">
        <v>43900</v>
      </c>
      <c r="I704" s="16" t="str">
        <f t="shared" si="42"/>
        <v>OK</v>
      </c>
    </row>
    <row r="705" spans="1:9">
      <c r="A705" s="17">
        <v>43907</v>
      </c>
      <c r="B705" s="18">
        <f>Data!H720-Data!AC720</f>
        <v>-14388</v>
      </c>
      <c r="C705" s="19">
        <v>25.64</v>
      </c>
      <c r="D705" s="18">
        <f t="shared" si="43"/>
        <v>-27983</v>
      </c>
      <c r="E705" s="20">
        <f t="shared" si="40"/>
        <v>3</v>
      </c>
      <c r="F705" s="20">
        <f t="shared" si="41"/>
        <v>2020</v>
      </c>
      <c r="H705" s="17">
        <v>43907</v>
      </c>
      <c r="I705" s="16" t="str">
        <f t="shared" si="42"/>
        <v>OK</v>
      </c>
    </row>
    <row r="706" spans="1:9">
      <c r="A706" s="17">
        <v>43914</v>
      </c>
      <c r="B706" s="18">
        <f>Data!H721-Data!AC721</f>
        <v>-39845</v>
      </c>
      <c r="C706" s="19">
        <v>26.85</v>
      </c>
      <c r="D706" s="18">
        <f t="shared" si="43"/>
        <v>-25457</v>
      </c>
      <c r="E706" s="20">
        <f t="shared" ref="E706:E769" si="44">MONTH(A706)</f>
        <v>3</v>
      </c>
      <c r="F706" s="20">
        <f t="shared" ref="F706:F769" si="45">YEAR(A706)</f>
        <v>2020</v>
      </c>
      <c r="H706" s="17">
        <v>43914</v>
      </c>
      <c r="I706" s="16" t="str">
        <f t="shared" ref="I706:I769" si="46">IF(H706=A706,"OK","")</f>
        <v>OK</v>
      </c>
    </row>
    <row r="707" spans="1:9">
      <c r="A707" s="17">
        <v>43921</v>
      </c>
      <c r="B707" s="18">
        <f>Data!H722-Data!AC722</f>
        <v>-54972</v>
      </c>
      <c r="C707" s="19">
        <v>26.43</v>
      </c>
      <c r="D707" s="18">
        <f t="shared" ref="D707:D770" si="47">B707-B706</f>
        <v>-15127</v>
      </c>
      <c r="E707" s="20">
        <f t="shared" si="44"/>
        <v>3</v>
      </c>
      <c r="F707" s="20">
        <f t="shared" si="45"/>
        <v>2020</v>
      </c>
      <c r="H707" s="17">
        <v>43921</v>
      </c>
      <c r="I707" s="16" t="str">
        <f t="shared" si="46"/>
        <v>OK</v>
      </c>
    </row>
    <row r="708" spans="1:9">
      <c r="A708" s="17">
        <v>43928</v>
      </c>
      <c r="B708" s="18">
        <f>Data!H723-Data!AC723</f>
        <v>-28839</v>
      </c>
      <c r="C708" s="19">
        <v>27.41</v>
      </c>
      <c r="D708" s="18">
        <f t="shared" si="47"/>
        <v>26133</v>
      </c>
      <c r="E708" s="20">
        <f t="shared" si="44"/>
        <v>4</v>
      </c>
      <c r="F708" s="20">
        <f t="shared" si="45"/>
        <v>2020</v>
      </c>
      <c r="H708" s="17">
        <v>43928</v>
      </c>
      <c r="I708" s="16" t="str">
        <f t="shared" si="46"/>
        <v>OK</v>
      </c>
    </row>
    <row r="709" spans="1:9">
      <c r="A709" s="17">
        <v>43935</v>
      </c>
      <c r="B709" s="18">
        <f>Data!H724-Data!AC724</f>
        <v>-7848</v>
      </c>
      <c r="C709" s="19">
        <v>26.29</v>
      </c>
      <c r="D709" s="18">
        <f t="shared" si="47"/>
        <v>20991</v>
      </c>
      <c r="E709" s="20">
        <f t="shared" si="44"/>
        <v>4</v>
      </c>
      <c r="F709" s="20">
        <f t="shared" si="45"/>
        <v>2020</v>
      </c>
      <c r="H709" s="17">
        <v>43935</v>
      </c>
      <c r="I709" s="16" t="str">
        <f t="shared" si="46"/>
        <v>OK</v>
      </c>
    </row>
    <row r="710" spans="1:9">
      <c r="A710" s="17">
        <v>43942</v>
      </c>
      <c r="B710" s="18">
        <f>Data!H725-Data!AC725</f>
        <v>-11411</v>
      </c>
      <c r="C710" s="19">
        <v>25.05</v>
      </c>
      <c r="D710" s="18">
        <f t="shared" si="47"/>
        <v>-3563</v>
      </c>
      <c r="E710" s="20">
        <f t="shared" si="44"/>
        <v>4</v>
      </c>
      <c r="F710" s="20">
        <f t="shared" si="45"/>
        <v>2020</v>
      </c>
      <c r="H710" s="17">
        <v>43942</v>
      </c>
      <c r="I710" s="16" t="str">
        <f t="shared" si="46"/>
        <v>OK</v>
      </c>
    </row>
    <row r="711" spans="1:9">
      <c r="A711" s="17">
        <v>43949</v>
      </c>
      <c r="B711" s="18">
        <f>Data!H726-Data!AC726</f>
        <v>-3942</v>
      </c>
      <c r="C711" s="19">
        <v>26.14</v>
      </c>
      <c r="D711" s="18">
        <f t="shared" si="47"/>
        <v>7469</v>
      </c>
      <c r="E711" s="20">
        <f t="shared" si="44"/>
        <v>4</v>
      </c>
      <c r="F711" s="20">
        <f t="shared" si="45"/>
        <v>2020</v>
      </c>
      <c r="H711" s="17">
        <v>43949</v>
      </c>
      <c r="I711" s="16" t="str">
        <f t="shared" si="46"/>
        <v>OK</v>
      </c>
    </row>
    <row r="712" spans="1:9">
      <c r="A712" s="17">
        <v>43956</v>
      </c>
      <c r="B712" s="18">
        <f>Data!H727-Data!AC727</f>
        <v>4946</v>
      </c>
      <c r="C712" s="19">
        <v>26.23</v>
      </c>
      <c r="D712" s="18">
        <f t="shared" si="47"/>
        <v>8888</v>
      </c>
      <c r="E712" s="20">
        <f t="shared" si="44"/>
        <v>5</v>
      </c>
      <c r="F712" s="20">
        <f t="shared" si="45"/>
        <v>2020</v>
      </c>
      <c r="H712" s="17">
        <v>43956</v>
      </c>
      <c r="I712" s="16" t="str">
        <f t="shared" si="46"/>
        <v>OK</v>
      </c>
    </row>
    <row r="713" spans="1:9">
      <c r="A713" s="17">
        <v>43963</v>
      </c>
      <c r="B713" s="18">
        <f>Data!H728-Data!AC728</f>
        <v>3262</v>
      </c>
      <c r="C713" s="19">
        <v>26.58</v>
      </c>
      <c r="D713" s="18">
        <f t="shared" si="47"/>
        <v>-1684</v>
      </c>
      <c r="E713" s="20">
        <f t="shared" si="44"/>
        <v>5</v>
      </c>
      <c r="F713" s="20">
        <f t="shared" si="45"/>
        <v>2020</v>
      </c>
      <c r="H713" s="17">
        <v>43963</v>
      </c>
      <c r="I713" s="16" t="str">
        <f t="shared" si="46"/>
        <v>OK</v>
      </c>
    </row>
    <row r="714" spans="1:9">
      <c r="A714" s="17">
        <v>43970</v>
      </c>
      <c r="B714" s="18">
        <f>Data!H729-Data!AC729</f>
        <v>32085</v>
      </c>
      <c r="C714" s="19">
        <v>26.64</v>
      </c>
      <c r="D714" s="18">
        <f t="shared" si="47"/>
        <v>28823</v>
      </c>
      <c r="E714" s="20">
        <f t="shared" si="44"/>
        <v>5</v>
      </c>
      <c r="F714" s="20">
        <f t="shared" si="45"/>
        <v>2020</v>
      </c>
      <c r="H714" s="17">
        <v>43970</v>
      </c>
      <c r="I714" s="16" t="str">
        <f t="shared" si="46"/>
        <v>OK</v>
      </c>
    </row>
    <row r="715" spans="1:9">
      <c r="A715" s="17">
        <v>43977</v>
      </c>
      <c r="B715" s="18">
        <f>Data!H730-Data!AC730</f>
        <v>45759</v>
      </c>
      <c r="C715" s="19">
        <v>27.38</v>
      </c>
      <c r="D715" s="18">
        <f t="shared" si="47"/>
        <v>13674</v>
      </c>
      <c r="E715" s="20">
        <f t="shared" si="44"/>
        <v>5</v>
      </c>
      <c r="F715" s="20">
        <f t="shared" si="45"/>
        <v>2020</v>
      </c>
      <c r="H715" s="17">
        <v>43977</v>
      </c>
      <c r="I715" s="16" t="str">
        <f t="shared" si="46"/>
        <v>OK</v>
      </c>
    </row>
    <row r="716" spans="1:9">
      <c r="A716" s="17">
        <v>43984</v>
      </c>
      <c r="B716" s="18">
        <f>Data!H731-Data!AC731</f>
        <v>62357</v>
      </c>
      <c r="C716" s="19">
        <v>28.14</v>
      </c>
      <c r="D716" s="18">
        <f t="shared" si="47"/>
        <v>16598</v>
      </c>
      <c r="E716" s="20">
        <f t="shared" si="44"/>
        <v>6</v>
      </c>
      <c r="F716" s="20">
        <f t="shared" si="45"/>
        <v>2020</v>
      </c>
      <c r="H716" s="17">
        <v>43984</v>
      </c>
      <c r="I716" s="16" t="str">
        <f t="shared" si="46"/>
        <v>OK</v>
      </c>
    </row>
    <row r="717" spans="1:9">
      <c r="A717" s="17">
        <v>43991</v>
      </c>
      <c r="B717" s="18">
        <f>Data!H732-Data!AC732</f>
        <v>52930</v>
      </c>
      <c r="C717" s="19">
        <v>27.5</v>
      </c>
      <c r="D717" s="18">
        <f t="shared" si="47"/>
        <v>-9427</v>
      </c>
      <c r="E717" s="20">
        <f t="shared" si="44"/>
        <v>6</v>
      </c>
      <c r="F717" s="20">
        <f t="shared" si="45"/>
        <v>2020</v>
      </c>
      <c r="H717" s="17">
        <v>43991</v>
      </c>
      <c r="I717" s="16" t="str">
        <f t="shared" si="46"/>
        <v>OK</v>
      </c>
    </row>
    <row r="718" spans="1:9">
      <c r="A718" s="17">
        <v>43998</v>
      </c>
      <c r="B718" s="18">
        <f>Data!H733-Data!AC733</f>
        <v>43422</v>
      </c>
      <c r="C718" s="19">
        <v>28.52</v>
      </c>
      <c r="D718" s="18">
        <f t="shared" si="47"/>
        <v>-9508</v>
      </c>
      <c r="E718" s="20">
        <f t="shared" si="44"/>
        <v>6</v>
      </c>
      <c r="F718" s="20">
        <f t="shared" si="45"/>
        <v>2020</v>
      </c>
      <c r="H718" s="17">
        <v>43998</v>
      </c>
      <c r="I718" s="16" t="str">
        <f t="shared" si="46"/>
        <v>OK</v>
      </c>
    </row>
    <row r="719" spans="1:9">
      <c r="A719" s="17">
        <v>44005</v>
      </c>
      <c r="B719" s="18">
        <f>Data!H734-Data!AC734</f>
        <v>45291</v>
      </c>
      <c r="C719" s="19">
        <v>27.2</v>
      </c>
      <c r="D719" s="18">
        <f t="shared" si="47"/>
        <v>1869</v>
      </c>
      <c r="E719" s="20">
        <f t="shared" si="44"/>
        <v>6</v>
      </c>
      <c r="F719" s="20">
        <f t="shared" si="45"/>
        <v>2020</v>
      </c>
      <c r="H719" s="17">
        <v>44005</v>
      </c>
      <c r="I719" s="16" t="str">
        <f t="shared" si="46"/>
        <v>OK</v>
      </c>
    </row>
    <row r="720" spans="1:9">
      <c r="A720" s="17">
        <v>44012</v>
      </c>
      <c r="B720" s="18">
        <f>Data!H735-Data!AC735</f>
        <v>53344</v>
      </c>
      <c r="C720" s="19">
        <v>27.96</v>
      </c>
      <c r="D720" s="18">
        <f t="shared" si="47"/>
        <v>8053</v>
      </c>
      <c r="E720" s="20">
        <f t="shared" si="44"/>
        <v>6</v>
      </c>
      <c r="F720" s="20">
        <f t="shared" si="45"/>
        <v>2020</v>
      </c>
      <c r="H720" s="17">
        <v>44012</v>
      </c>
      <c r="I720" s="16" t="str">
        <f t="shared" si="46"/>
        <v>OK</v>
      </c>
    </row>
    <row r="721" spans="1:9">
      <c r="A721" s="17">
        <v>44019</v>
      </c>
      <c r="B721" s="18">
        <f>Data!H736-Data!AC736</f>
        <v>41328</v>
      </c>
      <c r="C721" s="19">
        <v>28.11</v>
      </c>
      <c r="D721" s="18">
        <f t="shared" si="47"/>
        <v>-12016</v>
      </c>
      <c r="E721" s="20">
        <f t="shared" si="44"/>
        <v>7</v>
      </c>
      <c r="F721" s="20">
        <f t="shared" si="45"/>
        <v>2020</v>
      </c>
      <c r="H721" s="17">
        <v>44019</v>
      </c>
      <c r="I721" s="16" t="str">
        <f t="shared" si="46"/>
        <v>OK</v>
      </c>
    </row>
    <row r="722" spans="1:9">
      <c r="A722" s="17">
        <v>44026</v>
      </c>
      <c r="B722" s="18">
        <f>Data!H737-Data!AC737</f>
        <v>40649</v>
      </c>
      <c r="C722" s="19">
        <v>29.92</v>
      </c>
      <c r="D722" s="18">
        <f t="shared" si="47"/>
        <v>-679</v>
      </c>
      <c r="E722" s="20">
        <f t="shared" si="44"/>
        <v>7</v>
      </c>
      <c r="F722" s="20">
        <f t="shared" si="45"/>
        <v>2020</v>
      </c>
      <c r="H722" s="17">
        <v>44026</v>
      </c>
      <c r="I722" s="16" t="str">
        <f t="shared" si="46"/>
        <v>OK</v>
      </c>
    </row>
    <row r="723" spans="1:9">
      <c r="A723" s="17">
        <v>44033</v>
      </c>
      <c r="B723" s="18">
        <f>Data!H738-Data!AC738</f>
        <v>66075</v>
      </c>
      <c r="C723" s="19">
        <v>29.8</v>
      </c>
      <c r="D723" s="18">
        <f t="shared" si="47"/>
        <v>25426</v>
      </c>
      <c r="E723" s="20">
        <f t="shared" si="44"/>
        <v>7</v>
      </c>
      <c r="F723" s="20">
        <f t="shared" si="45"/>
        <v>2020</v>
      </c>
      <c r="H723" s="17">
        <v>44033</v>
      </c>
      <c r="I723" s="16" t="str">
        <f t="shared" si="46"/>
        <v>OK</v>
      </c>
    </row>
    <row r="724" spans="1:9">
      <c r="A724" s="17">
        <v>44040</v>
      </c>
      <c r="B724" s="18">
        <f>Data!H739-Data!AC739</f>
        <v>57013</v>
      </c>
      <c r="C724" s="19">
        <v>30.91</v>
      </c>
      <c r="D724" s="18">
        <f t="shared" si="47"/>
        <v>-9062</v>
      </c>
      <c r="E724" s="20">
        <f t="shared" si="44"/>
        <v>7</v>
      </c>
      <c r="F724" s="20">
        <f t="shared" si="45"/>
        <v>2020</v>
      </c>
      <c r="H724" s="17">
        <v>44040</v>
      </c>
      <c r="I724" s="16" t="str">
        <f t="shared" si="46"/>
        <v>OK</v>
      </c>
    </row>
    <row r="725" spans="1:9">
      <c r="A725" s="17">
        <v>44047</v>
      </c>
      <c r="B725" s="18">
        <f>Data!H740-Data!AC740</f>
        <v>69318</v>
      </c>
      <c r="C725" s="19">
        <v>31.35</v>
      </c>
      <c r="D725" s="18">
        <f t="shared" si="47"/>
        <v>12305</v>
      </c>
      <c r="E725" s="20">
        <f t="shared" si="44"/>
        <v>8</v>
      </c>
      <c r="F725" s="20">
        <f t="shared" si="45"/>
        <v>2020</v>
      </c>
      <c r="H725" s="17">
        <v>44047</v>
      </c>
      <c r="I725" s="16" t="str">
        <f t="shared" si="46"/>
        <v>OK</v>
      </c>
    </row>
    <row r="726" spans="1:9">
      <c r="A726" s="17">
        <v>44054</v>
      </c>
      <c r="B726" s="18">
        <f>Data!H741-Data!AC741</f>
        <v>81434</v>
      </c>
      <c r="C726" s="19">
        <v>31.53</v>
      </c>
      <c r="D726" s="18">
        <f t="shared" si="47"/>
        <v>12116</v>
      </c>
      <c r="E726" s="20">
        <f t="shared" si="44"/>
        <v>8</v>
      </c>
      <c r="F726" s="20">
        <f t="shared" si="45"/>
        <v>2020</v>
      </c>
      <c r="H726" s="17">
        <v>44054</v>
      </c>
      <c r="I726" s="16" t="str">
        <f t="shared" si="46"/>
        <v>OK</v>
      </c>
    </row>
    <row r="727" spans="1:9">
      <c r="A727" s="17">
        <v>44061</v>
      </c>
      <c r="B727" s="18">
        <f>Data!H742-Data!AC742</f>
        <v>46545</v>
      </c>
      <c r="C727" s="19">
        <v>31.41</v>
      </c>
      <c r="D727" s="18">
        <f t="shared" si="47"/>
        <v>-34889</v>
      </c>
      <c r="E727" s="20">
        <f t="shared" si="44"/>
        <v>8</v>
      </c>
      <c r="F727" s="20">
        <f t="shared" si="45"/>
        <v>2020</v>
      </c>
      <c r="H727" s="17">
        <v>44061</v>
      </c>
      <c r="I727" s="16" t="str">
        <f t="shared" si="46"/>
        <v>OK</v>
      </c>
    </row>
    <row r="728" spans="1:9">
      <c r="A728" s="17">
        <v>44068</v>
      </c>
      <c r="B728" s="18">
        <f>Data!H743-Data!AC743</f>
        <v>64130</v>
      </c>
      <c r="C728" s="19">
        <v>33.39</v>
      </c>
      <c r="D728" s="18">
        <f t="shared" si="47"/>
        <v>17585</v>
      </c>
      <c r="E728" s="20">
        <f t="shared" si="44"/>
        <v>8</v>
      </c>
      <c r="F728" s="20">
        <f t="shared" si="45"/>
        <v>2020</v>
      </c>
      <c r="H728" s="17">
        <v>44068</v>
      </c>
      <c r="I728" s="16" t="str">
        <f t="shared" si="46"/>
        <v>OK</v>
      </c>
    </row>
    <row r="729" spans="1:9">
      <c r="A729" s="17">
        <v>44075</v>
      </c>
      <c r="B729" s="18">
        <f>Data!H744-Data!AC744</f>
        <v>65686</v>
      </c>
      <c r="C729" s="19">
        <v>33.08</v>
      </c>
      <c r="D729" s="18">
        <f t="shared" si="47"/>
        <v>1556</v>
      </c>
      <c r="E729" s="20">
        <f t="shared" si="44"/>
        <v>9</v>
      </c>
      <c r="F729" s="20">
        <f t="shared" si="45"/>
        <v>2020</v>
      </c>
      <c r="H729" s="17">
        <v>44075</v>
      </c>
      <c r="I729" s="16" t="str">
        <f t="shared" si="46"/>
        <v>OK</v>
      </c>
    </row>
    <row r="730" spans="1:9">
      <c r="A730" s="17">
        <v>44082</v>
      </c>
      <c r="B730" s="18">
        <f>Data!H745-Data!AC745</f>
        <v>53180</v>
      </c>
      <c r="C730" s="19">
        <v>33.74</v>
      </c>
      <c r="D730" s="18">
        <f t="shared" si="47"/>
        <v>-12506</v>
      </c>
      <c r="E730" s="20">
        <f t="shared" si="44"/>
        <v>9</v>
      </c>
      <c r="F730" s="20">
        <f t="shared" si="45"/>
        <v>2020</v>
      </c>
      <c r="H730" s="17">
        <v>44082</v>
      </c>
      <c r="I730" s="16" t="str">
        <f t="shared" si="46"/>
        <v>OK</v>
      </c>
    </row>
    <row r="731" spans="1:9">
      <c r="A731" s="17">
        <v>44089</v>
      </c>
      <c r="B731" s="18">
        <f>Data!H746-Data!AC746</f>
        <v>50867</v>
      </c>
      <c r="C731" s="19">
        <v>35.229999999999997</v>
      </c>
      <c r="D731" s="18">
        <f t="shared" si="47"/>
        <v>-2313</v>
      </c>
      <c r="E731" s="20">
        <f t="shared" si="44"/>
        <v>9</v>
      </c>
      <c r="F731" s="20">
        <f t="shared" si="45"/>
        <v>2020</v>
      </c>
      <c r="H731" s="17">
        <v>44089</v>
      </c>
      <c r="I731" s="16" t="str">
        <f t="shared" si="46"/>
        <v>OK</v>
      </c>
    </row>
    <row r="732" spans="1:9">
      <c r="A732" s="17">
        <v>44096</v>
      </c>
      <c r="B732" s="18">
        <f>Data!H747-Data!AC747</f>
        <v>36454</v>
      </c>
      <c r="C732" s="19">
        <v>32.840000000000003</v>
      </c>
      <c r="D732" s="18">
        <f t="shared" si="47"/>
        <v>-14413</v>
      </c>
      <c r="E732" s="20">
        <f t="shared" si="44"/>
        <v>9</v>
      </c>
      <c r="F732" s="20">
        <f t="shared" si="45"/>
        <v>2020</v>
      </c>
      <c r="H732" s="17">
        <v>44096</v>
      </c>
      <c r="I732" s="16" t="str">
        <f t="shared" si="46"/>
        <v>OK</v>
      </c>
    </row>
    <row r="733" spans="1:9">
      <c r="A733" s="17">
        <v>44103</v>
      </c>
      <c r="B733" s="18">
        <f>Data!H748-Data!AC748</f>
        <v>21099</v>
      </c>
      <c r="C733" s="19">
        <v>31.94</v>
      </c>
      <c r="D733" s="18">
        <f t="shared" si="47"/>
        <v>-15355</v>
      </c>
      <c r="E733" s="20">
        <f t="shared" si="44"/>
        <v>9</v>
      </c>
      <c r="F733" s="20">
        <f t="shared" si="45"/>
        <v>2020</v>
      </c>
      <c r="H733" s="17">
        <v>44103</v>
      </c>
      <c r="I733" s="16" t="str">
        <f t="shared" si="46"/>
        <v>OK</v>
      </c>
    </row>
    <row r="734" spans="1:9">
      <c r="A734" s="17">
        <v>44110</v>
      </c>
      <c r="B734" s="18">
        <f>Data!H749-Data!AC749</f>
        <v>3927</v>
      </c>
      <c r="C734" s="19">
        <v>34.15</v>
      </c>
      <c r="D734" s="18">
        <f t="shared" si="47"/>
        <v>-17172</v>
      </c>
      <c r="E734" s="20">
        <f t="shared" si="44"/>
        <v>10</v>
      </c>
      <c r="F734" s="20">
        <f t="shared" si="45"/>
        <v>2020</v>
      </c>
      <c r="H734" s="17">
        <v>44110</v>
      </c>
      <c r="I734" s="16" t="str">
        <f t="shared" si="46"/>
        <v>OK</v>
      </c>
    </row>
    <row r="735" spans="1:9">
      <c r="A735" s="17">
        <v>44117</v>
      </c>
      <c r="B735" s="18">
        <f>Data!H750-Data!AC750</f>
        <v>5120</v>
      </c>
      <c r="C735" s="19">
        <v>32.99</v>
      </c>
      <c r="D735" s="18">
        <f t="shared" si="47"/>
        <v>1193</v>
      </c>
      <c r="E735" s="20">
        <f t="shared" si="44"/>
        <v>10</v>
      </c>
      <c r="F735" s="20">
        <f t="shared" si="45"/>
        <v>2020</v>
      </c>
      <c r="H735" s="17">
        <v>44117</v>
      </c>
      <c r="I735" s="16" t="str">
        <f t="shared" si="46"/>
        <v>OK</v>
      </c>
    </row>
    <row r="736" spans="1:9">
      <c r="A736" s="17">
        <v>44124</v>
      </c>
      <c r="B736" s="18">
        <f>Data!H751-Data!AC751</f>
        <v>410</v>
      </c>
      <c r="C736" s="19">
        <v>34.11</v>
      </c>
      <c r="D736" s="18">
        <f t="shared" si="47"/>
        <v>-4710</v>
      </c>
      <c r="E736" s="20">
        <f t="shared" si="44"/>
        <v>10</v>
      </c>
      <c r="F736" s="20">
        <f t="shared" si="45"/>
        <v>2020</v>
      </c>
      <c r="H736" s="17">
        <v>44124</v>
      </c>
      <c r="I736" s="16" t="str">
        <f t="shared" si="46"/>
        <v>OK</v>
      </c>
    </row>
    <row r="737" spans="1:9">
      <c r="A737" s="17">
        <v>44131</v>
      </c>
      <c r="B737" s="18">
        <f>Data!H752-Data!AC752</f>
        <v>10147</v>
      </c>
      <c r="C737" s="19">
        <v>33.61</v>
      </c>
      <c r="D737" s="18">
        <f t="shared" si="47"/>
        <v>9737</v>
      </c>
      <c r="E737" s="20">
        <f t="shared" si="44"/>
        <v>10</v>
      </c>
      <c r="F737" s="20">
        <f t="shared" si="45"/>
        <v>2020</v>
      </c>
      <c r="H737" s="17">
        <v>44131</v>
      </c>
      <c r="I737" s="16" t="str">
        <f t="shared" si="46"/>
        <v>OK</v>
      </c>
    </row>
    <row r="738" spans="1:9">
      <c r="A738" s="17">
        <v>44138</v>
      </c>
      <c r="B738" s="18">
        <f>Data!H753-Data!AC753</f>
        <v>3921</v>
      </c>
      <c r="C738" s="19">
        <v>35.340000000000003</v>
      </c>
      <c r="D738" s="18">
        <f t="shared" si="47"/>
        <v>-6226</v>
      </c>
      <c r="E738" s="20">
        <f t="shared" si="44"/>
        <v>11</v>
      </c>
      <c r="F738" s="20">
        <f t="shared" si="45"/>
        <v>2020</v>
      </c>
      <c r="H738" s="17">
        <v>44138</v>
      </c>
      <c r="I738" s="16" t="str">
        <f t="shared" si="46"/>
        <v>OK</v>
      </c>
    </row>
    <row r="739" spans="1:9">
      <c r="A739" s="17">
        <v>44145</v>
      </c>
      <c r="B739" s="18">
        <f>Data!H754-Data!AC754</f>
        <v>13313</v>
      </c>
      <c r="C739" s="19">
        <v>37.130000000000003</v>
      </c>
      <c r="D739" s="18">
        <f t="shared" si="47"/>
        <v>9392</v>
      </c>
      <c r="E739" s="20">
        <f t="shared" si="44"/>
        <v>11</v>
      </c>
      <c r="F739" s="20">
        <f t="shared" si="45"/>
        <v>2020</v>
      </c>
      <c r="H739" s="17">
        <v>44145</v>
      </c>
      <c r="I739" s="16" t="str">
        <f t="shared" si="46"/>
        <v>OK</v>
      </c>
    </row>
    <row r="740" spans="1:9">
      <c r="A740" s="17">
        <v>44152</v>
      </c>
      <c r="B740" s="18">
        <f>Data!H755-Data!AC755</f>
        <v>25292</v>
      </c>
      <c r="C740" s="19">
        <v>38.659999999999997</v>
      </c>
      <c r="D740" s="18">
        <f t="shared" si="47"/>
        <v>11979</v>
      </c>
      <c r="E740" s="20">
        <f t="shared" si="44"/>
        <v>11</v>
      </c>
      <c r="F740" s="20">
        <f t="shared" si="45"/>
        <v>2020</v>
      </c>
      <c r="H740" s="17">
        <v>44152</v>
      </c>
      <c r="I740" s="16" t="str">
        <f t="shared" si="46"/>
        <v>OK</v>
      </c>
    </row>
    <row r="741" spans="1:9">
      <c r="A741" s="17">
        <v>44159</v>
      </c>
      <c r="B741" s="18">
        <f>Data!H756-Data!AC756</f>
        <v>34206</v>
      </c>
      <c r="C741" s="19">
        <v>38.700000000000003</v>
      </c>
      <c r="D741" s="18">
        <f t="shared" si="47"/>
        <v>8914</v>
      </c>
      <c r="E741" s="20">
        <f t="shared" si="44"/>
        <v>11</v>
      </c>
      <c r="F741" s="20">
        <f t="shared" si="45"/>
        <v>2020</v>
      </c>
      <c r="H741" s="17">
        <v>44159</v>
      </c>
      <c r="I741" s="16" t="str">
        <f t="shared" si="46"/>
        <v>OK</v>
      </c>
    </row>
    <row r="742" spans="1:9">
      <c r="A742" s="17">
        <v>44166</v>
      </c>
      <c r="B742" s="18">
        <f>Data!H757-Data!AC757</f>
        <v>34329</v>
      </c>
      <c r="C742" s="19">
        <v>39.19</v>
      </c>
      <c r="D742" s="18">
        <f t="shared" si="47"/>
        <v>123</v>
      </c>
      <c r="E742" s="20">
        <f t="shared" si="44"/>
        <v>12</v>
      </c>
      <c r="F742" s="20">
        <f t="shared" si="45"/>
        <v>2020</v>
      </c>
      <c r="H742" s="17">
        <v>44166</v>
      </c>
      <c r="I742" s="16" t="str">
        <f t="shared" si="46"/>
        <v>OK</v>
      </c>
    </row>
    <row r="743" spans="1:9">
      <c r="A743" s="17">
        <v>44173</v>
      </c>
      <c r="B743" s="18">
        <f>Data!H758-Data!AC758</f>
        <v>26421</v>
      </c>
      <c r="C743" s="19">
        <v>39.58</v>
      </c>
      <c r="D743" s="18">
        <f t="shared" si="47"/>
        <v>-7908</v>
      </c>
      <c r="E743" s="20">
        <f t="shared" si="44"/>
        <v>12</v>
      </c>
      <c r="F743" s="20">
        <f t="shared" si="45"/>
        <v>2020</v>
      </c>
      <c r="H743" s="17">
        <v>44173</v>
      </c>
      <c r="I743" s="16" t="str">
        <f t="shared" si="46"/>
        <v>OK</v>
      </c>
    </row>
    <row r="744" spans="1:9">
      <c r="A744" s="17">
        <v>44180</v>
      </c>
      <c r="B744" s="18">
        <f>Data!H759-Data!AC759</f>
        <v>20512</v>
      </c>
      <c r="C744" s="19">
        <v>40.07</v>
      </c>
      <c r="D744" s="18">
        <f t="shared" si="47"/>
        <v>-5909</v>
      </c>
      <c r="E744" s="20">
        <f t="shared" si="44"/>
        <v>12</v>
      </c>
      <c r="F744" s="20">
        <f t="shared" si="45"/>
        <v>2020</v>
      </c>
      <c r="H744" s="17">
        <v>44180</v>
      </c>
      <c r="I744" s="16" t="str">
        <f t="shared" si="46"/>
        <v>OK</v>
      </c>
    </row>
    <row r="745" spans="1:9">
      <c r="A745" s="17">
        <v>44187</v>
      </c>
      <c r="B745" s="18">
        <f>Data!H760-Data!AC760</f>
        <v>17868</v>
      </c>
      <c r="C745" s="19">
        <v>41.84</v>
      </c>
      <c r="D745" s="18">
        <f t="shared" si="47"/>
        <v>-2644</v>
      </c>
      <c r="E745" s="20">
        <f t="shared" si="44"/>
        <v>12</v>
      </c>
      <c r="F745" s="20">
        <f t="shared" si="45"/>
        <v>2020</v>
      </c>
      <c r="H745" s="17">
        <v>44187</v>
      </c>
      <c r="I745" s="16" t="str">
        <f t="shared" si="46"/>
        <v>OK</v>
      </c>
    </row>
    <row r="746" spans="1:9">
      <c r="A746" s="17">
        <v>44194</v>
      </c>
      <c r="B746" s="18">
        <f>Data!H761-Data!AC761</f>
        <v>23502</v>
      </c>
      <c r="C746" s="19">
        <v>43.33</v>
      </c>
      <c r="D746" s="18">
        <f t="shared" si="47"/>
        <v>5634</v>
      </c>
      <c r="E746" s="20">
        <f t="shared" si="44"/>
        <v>12</v>
      </c>
      <c r="F746" s="20">
        <f t="shared" si="45"/>
        <v>2020</v>
      </c>
      <c r="H746" s="17">
        <v>44194</v>
      </c>
      <c r="I746" s="16" t="str">
        <f t="shared" si="46"/>
        <v>OK</v>
      </c>
    </row>
    <row r="747" spans="1:9">
      <c r="A747" s="17">
        <v>44201</v>
      </c>
      <c r="B747" s="18">
        <f>Data!H762-Data!AC762</f>
        <v>28323</v>
      </c>
      <c r="C747" s="19">
        <v>43.76</v>
      </c>
      <c r="D747" s="18">
        <f t="shared" si="47"/>
        <v>4821</v>
      </c>
      <c r="E747" s="20">
        <f t="shared" si="44"/>
        <v>1</v>
      </c>
      <c r="F747" s="20">
        <f t="shared" si="45"/>
        <v>2021</v>
      </c>
      <c r="H747" s="17">
        <v>44201</v>
      </c>
      <c r="I747" s="16" t="str">
        <f t="shared" si="46"/>
        <v>OK</v>
      </c>
    </row>
    <row r="748" spans="1:9">
      <c r="A748" s="17">
        <v>44208</v>
      </c>
      <c r="B748" s="18">
        <f>Data!H763-Data!AC763</f>
        <v>9128</v>
      </c>
      <c r="C748" s="19">
        <v>41.85</v>
      </c>
      <c r="D748" s="18">
        <f t="shared" si="47"/>
        <v>-19195</v>
      </c>
      <c r="E748" s="20">
        <f t="shared" si="44"/>
        <v>1</v>
      </c>
      <c r="F748" s="20">
        <f t="shared" si="45"/>
        <v>2021</v>
      </c>
      <c r="H748" s="17">
        <v>44208</v>
      </c>
      <c r="I748" s="16" t="str">
        <f t="shared" si="46"/>
        <v>OK</v>
      </c>
    </row>
    <row r="749" spans="1:9">
      <c r="A749" s="17">
        <v>44215</v>
      </c>
      <c r="B749" s="18">
        <f>Data!H764-Data!AC764</f>
        <v>13068</v>
      </c>
      <c r="C749" s="19">
        <v>42.27</v>
      </c>
      <c r="D749" s="18">
        <f t="shared" si="47"/>
        <v>3940</v>
      </c>
      <c r="E749" s="20">
        <f t="shared" si="44"/>
        <v>1</v>
      </c>
      <c r="F749" s="20">
        <f t="shared" si="45"/>
        <v>2021</v>
      </c>
      <c r="H749" s="17">
        <v>44215</v>
      </c>
      <c r="I749" s="16" t="str">
        <f t="shared" si="46"/>
        <v>OK</v>
      </c>
    </row>
    <row r="750" spans="1:9">
      <c r="A750" s="17">
        <v>44222</v>
      </c>
      <c r="B750" s="18">
        <f>Data!H765-Data!AC765</f>
        <v>32744</v>
      </c>
      <c r="C750" s="19">
        <v>44.62</v>
      </c>
      <c r="D750" s="18">
        <f t="shared" si="47"/>
        <v>19676</v>
      </c>
      <c r="E750" s="20">
        <f t="shared" si="44"/>
        <v>1</v>
      </c>
      <c r="F750" s="20">
        <f t="shared" si="45"/>
        <v>2021</v>
      </c>
      <c r="H750" s="17">
        <v>44222</v>
      </c>
      <c r="I750" s="16" t="str">
        <f t="shared" si="46"/>
        <v>OK</v>
      </c>
    </row>
    <row r="751" spans="1:9">
      <c r="A751" s="17">
        <v>44229</v>
      </c>
      <c r="B751" s="18">
        <f>Data!H766-Data!AC766</f>
        <v>38419</v>
      </c>
      <c r="C751" s="19">
        <v>44.66</v>
      </c>
      <c r="D751" s="18">
        <f t="shared" si="47"/>
        <v>5675</v>
      </c>
      <c r="E751" s="20">
        <f t="shared" si="44"/>
        <v>2</v>
      </c>
      <c r="F751" s="20">
        <f t="shared" si="45"/>
        <v>2021</v>
      </c>
      <c r="H751" s="17">
        <v>44229</v>
      </c>
      <c r="I751" s="16" t="str">
        <f t="shared" si="46"/>
        <v>OK</v>
      </c>
    </row>
    <row r="752" spans="1:9">
      <c r="A752" s="17">
        <v>44236</v>
      </c>
      <c r="B752" s="18">
        <f>Data!H767-Data!AC767</f>
        <v>40767</v>
      </c>
      <c r="C752" s="19">
        <v>46.04</v>
      </c>
      <c r="D752" s="18">
        <f t="shared" si="47"/>
        <v>2348</v>
      </c>
      <c r="E752" s="20">
        <f t="shared" si="44"/>
        <v>2</v>
      </c>
      <c r="F752" s="20">
        <f t="shared" si="45"/>
        <v>2021</v>
      </c>
      <c r="H752" s="17">
        <v>44236</v>
      </c>
      <c r="I752" s="16" t="str">
        <f t="shared" si="46"/>
        <v>OK</v>
      </c>
    </row>
    <row r="753" spans="1:9">
      <c r="A753" s="17">
        <v>44243</v>
      </c>
      <c r="B753" s="18">
        <f>Data!H768-Data!AC768</f>
        <v>40974</v>
      </c>
      <c r="C753" s="19">
        <v>47.55</v>
      </c>
      <c r="D753" s="18">
        <f t="shared" si="47"/>
        <v>207</v>
      </c>
      <c r="E753" s="20">
        <f t="shared" si="44"/>
        <v>2</v>
      </c>
      <c r="F753" s="20">
        <f t="shared" si="45"/>
        <v>2021</v>
      </c>
      <c r="H753" s="17">
        <v>44243</v>
      </c>
      <c r="I753" s="16" t="str">
        <f t="shared" si="46"/>
        <v>OK</v>
      </c>
    </row>
    <row r="754" spans="1:9">
      <c r="A754" s="17">
        <v>44250</v>
      </c>
      <c r="B754" s="18">
        <f>Data!H769-Data!AC769</f>
        <v>43158</v>
      </c>
      <c r="C754" s="19">
        <v>51.34</v>
      </c>
      <c r="D754" s="18">
        <f t="shared" si="47"/>
        <v>2184</v>
      </c>
      <c r="E754" s="20">
        <f t="shared" si="44"/>
        <v>2</v>
      </c>
      <c r="F754" s="20">
        <f t="shared" si="45"/>
        <v>2021</v>
      </c>
      <c r="H754" s="17">
        <v>44250</v>
      </c>
      <c r="I754" s="16" t="str">
        <f t="shared" si="46"/>
        <v>OK</v>
      </c>
    </row>
    <row r="755" spans="1:9">
      <c r="A755" s="17">
        <v>44257</v>
      </c>
      <c r="B755" s="18">
        <f>Data!H770-Data!AC770</f>
        <v>42657</v>
      </c>
      <c r="C755" s="19">
        <v>53.38</v>
      </c>
      <c r="D755" s="18">
        <f t="shared" si="47"/>
        <v>-501</v>
      </c>
      <c r="E755" s="20">
        <f t="shared" si="44"/>
        <v>3</v>
      </c>
      <c r="F755" s="20">
        <f t="shared" si="45"/>
        <v>2021</v>
      </c>
      <c r="H755" s="17">
        <v>44257</v>
      </c>
      <c r="I755" s="16" t="str">
        <f t="shared" si="46"/>
        <v>OK</v>
      </c>
    </row>
    <row r="756" spans="1:9">
      <c r="A756" s="17">
        <v>44264</v>
      </c>
      <c r="B756" s="18">
        <f>Data!H771-Data!AC771</f>
        <v>35330</v>
      </c>
      <c r="C756" s="19">
        <v>56.89</v>
      </c>
      <c r="D756" s="18">
        <f t="shared" si="47"/>
        <v>-7327</v>
      </c>
      <c r="E756" s="20">
        <f t="shared" si="44"/>
        <v>3</v>
      </c>
      <c r="F756" s="20">
        <f t="shared" si="45"/>
        <v>2021</v>
      </c>
      <c r="H756" s="17">
        <v>44264</v>
      </c>
      <c r="I756" s="16" t="str">
        <f t="shared" si="46"/>
        <v>OK</v>
      </c>
    </row>
    <row r="757" spans="1:9">
      <c r="A757" s="17">
        <v>44271</v>
      </c>
      <c r="B757" s="18">
        <f>Data!H772-Data!AC772</f>
        <v>37450</v>
      </c>
      <c r="C757" s="19">
        <v>53.87</v>
      </c>
      <c r="D757" s="18">
        <f t="shared" si="47"/>
        <v>2120</v>
      </c>
      <c r="E757" s="20">
        <f t="shared" si="44"/>
        <v>3</v>
      </c>
      <c r="F757" s="20">
        <f t="shared" si="45"/>
        <v>2021</v>
      </c>
      <c r="H757" s="17">
        <v>44271</v>
      </c>
      <c r="I757" s="16" t="str">
        <f t="shared" si="46"/>
        <v>OK</v>
      </c>
    </row>
    <row r="758" spans="1:9">
      <c r="A758" s="17">
        <v>44278</v>
      </c>
      <c r="B758" s="18">
        <f>Data!H773-Data!AC773</f>
        <v>36357</v>
      </c>
      <c r="C758" s="19">
        <v>52.48</v>
      </c>
      <c r="D758" s="18">
        <f t="shared" si="47"/>
        <v>-1093</v>
      </c>
      <c r="E758" s="20">
        <f t="shared" si="44"/>
        <v>3</v>
      </c>
      <c r="F758" s="20">
        <f t="shared" si="45"/>
        <v>2021</v>
      </c>
      <c r="H758" s="17">
        <v>44278</v>
      </c>
      <c r="I758" s="16" t="str">
        <f t="shared" si="46"/>
        <v>OK</v>
      </c>
    </row>
    <row r="759" spans="1:9">
      <c r="A759" s="17">
        <v>44285</v>
      </c>
      <c r="B759" s="18">
        <f>Data!H774-Data!AC774</f>
        <v>22605</v>
      </c>
      <c r="C759" s="19">
        <v>52.13</v>
      </c>
      <c r="D759" s="18">
        <f t="shared" si="47"/>
        <v>-13752</v>
      </c>
      <c r="E759" s="20">
        <f t="shared" si="44"/>
        <v>3</v>
      </c>
      <c r="F759" s="20">
        <f t="shared" si="45"/>
        <v>2021</v>
      </c>
      <c r="H759" s="17">
        <v>44285</v>
      </c>
      <c r="I759" s="16" t="str">
        <f t="shared" si="46"/>
        <v>OK</v>
      </c>
    </row>
    <row r="760" spans="1:9">
      <c r="A760" s="17">
        <v>44292</v>
      </c>
      <c r="B760" s="18">
        <f>Data!H775-Data!AC775</f>
        <v>15692</v>
      </c>
      <c r="C760" s="19">
        <v>52.85</v>
      </c>
      <c r="D760" s="18">
        <f t="shared" si="47"/>
        <v>-6913</v>
      </c>
      <c r="E760" s="20">
        <f t="shared" si="44"/>
        <v>4</v>
      </c>
      <c r="F760" s="20">
        <f t="shared" si="45"/>
        <v>2021</v>
      </c>
      <c r="H760" s="17">
        <v>44292</v>
      </c>
      <c r="I760" s="16" t="str">
        <f t="shared" si="46"/>
        <v>OK</v>
      </c>
    </row>
    <row r="761" spans="1:9">
      <c r="A761" s="17">
        <v>44299</v>
      </c>
      <c r="B761" s="18">
        <f>Data!H776-Data!AC776</f>
        <v>37335</v>
      </c>
      <c r="C761" s="19">
        <v>56.33</v>
      </c>
      <c r="D761" s="18">
        <f t="shared" si="47"/>
        <v>21643</v>
      </c>
      <c r="E761" s="20">
        <f t="shared" si="44"/>
        <v>4</v>
      </c>
      <c r="F761" s="20">
        <f t="shared" si="45"/>
        <v>2021</v>
      </c>
      <c r="H761" s="17">
        <v>44299</v>
      </c>
      <c r="I761" s="16" t="str">
        <f t="shared" si="46"/>
        <v>OK</v>
      </c>
    </row>
    <row r="762" spans="1:9">
      <c r="A762" s="17">
        <v>44306</v>
      </c>
      <c r="B762" s="18">
        <f>Data!H777-Data!AC777</f>
        <v>41945</v>
      </c>
      <c r="C762" s="19">
        <v>62.71</v>
      </c>
      <c r="D762" s="18">
        <f t="shared" si="47"/>
        <v>4610</v>
      </c>
      <c r="E762" s="20">
        <f t="shared" si="44"/>
        <v>4</v>
      </c>
      <c r="F762" s="20">
        <f t="shared" si="45"/>
        <v>2021</v>
      </c>
      <c r="H762" s="17">
        <v>44306</v>
      </c>
      <c r="I762" s="16" t="str">
        <f t="shared" si="46"/>
        <v>OK</v>
      </c>
    </row>
    <row r="763" spans="1:9">
      <c r="A763" s="17">
        <v>44313</v>
      </c>
      <c r="B763" s="18">
        <f>Data!H778-Data!AC778</f>
        <v>38501</v>
      </c>
      <c r="C763" s="19">
        <v>68.459999999999994</v>
      </c>
      <c r="D763" s="18">
        <f t="shared" si="47"/>
        <v>-3444</v>
      </c>
      <c r="E763" s="20">
        <f t="shared" si="44"/>
        <v>4</v>
      </c>
      <c r="F763" s="20">
        <f t="shared" si="45"/>
        <v>2021</v>
      </c>
      <c r="H763" s="17">
        <v>44313</v>
      </c>
      <c r="I763" s="16" t="str">
        <f t="shared" si="46"/>
        <v>OK</v>
      </c>
    </row>
    <row r="764" spans="1:9">
      <c r="A764" s="17">
        <v>44320</v>
      </c>
      <c r="B764" s="18">
        <f>Data!H779-Data!AC779</f>
        <v>33355</v>
      </c>
      <c r="C764" s="19">
        <v>66.38</v>
      </c>
      <c r="D764" s="18">
        <f t="shared" si="47"/>
        <v>-5146</v>
      </c>
      <c r="E764" s="20">
        <f t="shared" si="44"/>
        <v>5</v>
      </c>
      <c r="F764" s="20">
        <f t="shared" si="45"/>
        <v>2021</v>
      </c>
      <c r="H764" s="17">
        <v>44320</v>
      </c>
      <c r="I764" s="16" t="str">
        <f t="shared" si="46"/>
        <v>OK</v>
      </c>
    </row>
    <row r="765" spans="1:9">
      <c r="A765" s="17">
        <v>44327</v>
      </c>
      <c r="B765" s="18">
        <f>Data!H780-Data!AC780</f>
        <v>16234</v>
      </c>
      <c r="C765" s="19">
        <v>68.41</v>
      </c>
      <c r="D765" s="18">
        <f t="shared" si="47"/>
        <v>-17121</v>
      </c>
      <c r="E765" s="20">
        <f t="shared" si="44"/>
        <v>5</v>
      </c>
      <c r="F765" s="20">
        <f t="shared" si="45"/>
        <v>2021</v>
      </c>
      <c r="H765" s="17">
        <v>44327</v>
      </c>
      <c r="I765" s="16" t="str">
        <f t="shared" si="46"/>
        <v>OK</v>
      </c>
    </row>
    <row r="766" spans="1:9">
      <c r="A766" s="17">
        <v>44334</v>
      </c>
      <c r="B766" s="18">
        <f>Data!H781-Data!AC781</f>
        <v>32375</v>
      </c>
      <c r="C766" s="19">
        <v>65.489999999999995</v>
      </c>
      <c r="D766" s="18">
        <f t="shared" si="47"/>
        <v>16141</v>
      </c>
      <c r="E766" s="20">
        <f t="shared" si="44"/>
        <v>5</v>
      </c>
      <c r="F766" s="20">
        <f t="shared" si="45"/>
        <v>2021</v>
      </c>
      <c r="H766" s="17">
        <v>44334</v>
      </c>
      <c r="I766" s="16" t="str">
        <f t="shared" si="46"/>
        <v>OK</v>
      </c>
    </row>
    <row r="767" spans="1:9">
      <c r="A767" s="17">
        <v>44341</v>
      </c>
      <c r="B767" s="18">
        <f>Data!H782-Data!AC782</f>
        <v>60095</v>
      </c>
      <c r="C767" s="19">
        <v>65.790000000000006</v>
      </c>
      <c r="D767" s="18">
        <f t="shared" si="47"/>
        <v>27720</v>
      </c>
      <c r="E767" s="20">
        <f t="shared" si="44"/>
        <v>5</v>
      </c>
      <c r="F767" s="20">
        <f t="shared" si="45"/>
        <v>2021</v>
      </c>
      <c r="H767" s="17">
        <v>44341</v>
      </c>
      <c r="I767" s="16" t="str">
        <f t="shared" si="46"/>
        <v>OK</v>
      </c>
    </row>
    <row r="768" spans="1:9">
      <c r="A768" s="17">
        <v>44348</v>
      </c>
      <c r="B768" s="18">
        <f>Data!H783-Data!AC783</f>
        <v>65199</v>
      </c>
      <c r="C768" s="19">
        <v>71.34</v>
      </c>
      <c r="D768" s="18">
        <f t="shared" si="47"/>
        <v>5104</v>
      </c>
      <c r="E768" s="20">
        <f t="shared" si="44"/>
        <v>6</v>
      </c>
      <c r="F768" s="20">
        <f t="shared" si="45"/>
        <v>2021</v>
      </c>
      <c r="H768" s="17">
        <v>44348</v>
      </c>
      <c r="I768" s="16" t="str">
        <f t="shared" si="46"/>
        <v>OK</v>
      </c>
    </row>
    <row r="769" spans="1:9">
      <c r="A769" s="17">
        <v>44355</v>
      </c>
      <c r="B769" s="18">
        <f>Data!H784-Data!AC784</f>
        <v>54600</v>
      </c>
      <c r="C769" s="19">
        <v>66.98</v>
      </c>
      <c r="D769" s="18">
        <f t="shared" si="47"/>
        <v>-10599</v>
      </c>
      <c r="E769" s="20">
        <f t="shared" si="44"/>
        <v>6</v>
      </c>
      <c r="F769" s="20">
        <f t="shared" si="45"/>
        <v>2021</v>
      </c>
      <c r="H769" s="17">
        <v>44355</v>
      </c>
      <c r="I769" s="16" t="str">
        <f t="shared" si="46"/>
        <v>OK</v>
      </c>
    </row>
    <row r="770" spans="1:9">
      <c r="A770" s="17">
        <v>44362</v>
      </c>
      <c r="B770" s="18">
        <f>Data!H785-Data!AC785</f>
        <v>48134</v>
      </c>
      <c r="C770" s="19">
        <v>58.12</v>
      </c>
      <c r="D770" s="18">
        <f t="shared" si="47"/>
        <v>-6466</v>
      </c>
      <c r="E770" s="20">
        <f t="shared" ref="E770:E833" si="48">MONTH(A770)</f>
        <v>6</v>
      </c>
      <c r="F770" s="20">
        <f t="shared" ref="F770:F833" si="49">YEAR(A770)</f>
        <v>2021</v>
      </c>
      <c r="H770" s="17">
        <v>44362</v>
      </c>
      <c r="I770" s="16" t="str">
        <f t="shared" ref="I770:I833" si="50">IF(H770=A770,"OK","")</f>
        <v>OK</v>
      </c>
    </row>
    <row r="771" spans="1:9">
      <c r="A771" s="17">
        <v>44369</v>
      </c>
      <c r="B771" s="18">
        <f>Data!H786-Data!AC786</f>
        <v>32020</v>
      </c>
      <c r="C771" s="19">
        <v>59.71</v>
      </c>
      <c r="D771" s="18">
        <f t="shared" ref="D771:D834" si="51">B771-B770</f>
        <v>-16114</v>
      </c>
      <c r="E771" s="20">
        <f t="shared" si="48"/>
        <v>6</v>
      </c>
      <c r="F771" s="20">
        <f t="shared" si="49"/>
        <v>2021</v>
      </c>
      <c r="H771" s="17">
        <v>44369</v>
      </c>
      <c r="I771" s="16" t="str">
        <f t="shared" si="50"/>
        <v>OK</v>
      </c>
    </row>
    <row r="772" spans="1:9">
      <c r="A772" s="17">
        <v>44376</v>
      </c>
      <c r="B772" s="18">
        <f>Data!H787-Data!AC787</f>
        <v>32361</v>
      </c>
      <c r="C772" s="19">
        <v>66.819999999999993</v>
      </c>
      <c r="D772" s="18">
        <f t="shared" si="51"/>
        <v>341</v>
      </c>
      <c r="E772" s="20">
        <f t="shared" si="48"/>
        <v>6</v>
      </c>
      <c r="F772" s="20">
        <f t="shared" si="49"/>
        <v>2021</v>
      </c>
      <c r="H772" s="17">
        <v>44376</v>
      </c>
      <c r="I772" s="16" t="str">
        <f t="shared" si="50"/>
        <v>OK</v>
      </c>
    </row>
    <row r="773" spans="1:9">
      <c r="A773" s="17">
        <v>44383</v>
      </c>
      <c r="B773" s="18">
        <f>Data!H788-Data!AC788</f>
        <v>27210</v>
      </c>
      <c r="C773" s="19">
        <v>62.41</v>
      </c>
      <c r="D773" s="18">
        <f t="shared" si="51"/>
        <v>-5151</v>
      </c>
      <c r="E773" s="20">
        <f t="shared" si="48"/>
        <v>7</v>
      </c>
      <c r="F773" s="20">
        <f t="shared" si="49"/>
        <v>2021</v>
      </c>
      <c r="H773" s="17">
        <v>44383</v>
      </c>
      <c r="I773" s="16" t="str">
        <f t="shared" si="50"/>
        <v>OK</v>
      </c>
    </row>
    <row r="774" spans="1:9">
      <c r="A774" s="17">
        <v>44390</v>
      </c>
      <c r="B774" s="18">
        <f>Data!H789-Data!AC789</f>
        <v>32223</v>
      </c>
      <c r="C774" s="19">
        <v>68.31</v>
      </c>
      <c r="D774" s="18">
        <f t="shared" si="51"/>
        <v>5013</v>
      </c>
      <c r="E774" s="20">
        <f t="shared" si="48"/>
        <v>7</v>
      </c>
      <c r="F774" s="20">
        <f t="shared" si="49"/>
        <v>2021</v>
      </c>
      <c r="H774" s="17">
        <v>44390</v>
      </c>
      <c r="I774" s="16" t="str">
        <f t="shared" si="50"/>
        <v>OK</v>
      </c>
    </row>
    <row r="775" spans="1:9">
      <c r="A775" s="17">
        <v>44397</v>
      </c>
      <c r="B775" s="18">
        <f>Data!H790-Data!AC790</f>
        <v>35650</v>
      </c>
      <c r="C775" s="19">
        <v>65.66</v>
      </c>
      <c r="D775" s="18">
        <f t="shared" si="51"/>
        <v>3427</v>
      </c>
      <c r="E775" s="20">
        <f t="shared" si="48"/>
        <v>7</v>
      </c>
      <c r="F775" s="20">
        <f t="shared" si="49"/>
        <v>2021</v>
      </c>
      <c r="H775" s="17">
        <v>44397</v>
      </c>
      <c r="I775" s="16" t="str">
        <f t="shared" si="50"/>
        <v>OK</v>
      </c>
    </row>
    <row r="776" spans="1:9">
      <c r="A776" s="17">
        <v>44404</v>
      </c>
      <c r="B776" s="18">
        <f>Data!H791-Data!AC791</f>
        <v>39069</v>
      </c>
      <c r="C776" s="19">
        <v>65.819999999999993</v>
      </c>
      <c r="D776" s="18">
        <f t="shared" si="51"/>
        <v>3419</v>
      </c>
      <c r="E776" s="20">
        <f t="shared" si="48"/>
        <v>7</v>
      </c>
      <c r="F776" s="20">
        <f t="shared" si="49"/>
        <v>2021</v>
      </c>
      <c r="H776" s="17">
        <v>44404</v>
      </c>
      <c r="I776" s="16" t="str">
        <f t="shared" si="50"/>
        <v>OK</v>
      </c>
    </row>
    <row r="777" spans="1:9">
      <c r="A777" s="17">
        <v>44411</v>
      </c>
      <c r="B777" s="18">
        <f>Data!H792-Data!AC792</f>
        <v>46758</v>
      </c>
      <c r="C777" s="19">
        <v>63.41</v>
      </c>
      <c r="D777" s="18">
        <f t="shared" si="51"/>
        <v>7689</v>
      </c>
      <c r="E777" s="20">
        <f t="shared" si="48"/>
        <v>8</v>
      </c>
      <c r="F777" s="20">
        <f t="shared" si="49"/>
        <v>2021</v>
      </c>
      <c r="H777" s="17">
        <v>44411</v>
      </c>
      <c r="I777" s="16" t="str">
        <f t="shared" si="50"/>
        <v>OK</v>
      </c>
    </row>
    <row r="778" spans="1:9">
      <c r="A778" s="17">
        <v>44418</v>
      </c>
      <c r="B778" s="18">
        <f>Data!H793-Data!AC793</f>
        <v>38316</v>
      </c>
      <c r="C778" s="19">
        <v>63.51</v>
      </c>
      <c r="D778" s="18">
        <f t="shared" si="51"/>
        <v>-8442</v>
      </c>
      <c r="E778" s="20">
        <f t="shared" si="48"/>
        <v>8</v>
      </c>
      <c r="F778" s="20">
        <f t="shared" si="49"/>
        <v>2021</v>
      </c>
      <c r="H778" s="17">
        <v>44418</v>
      </c>
      <c r="I778" s="16" t="str">
        <f t="shared" si="50"/>
        <v>OK</v>
      </c>
    </row>
    <row r="779" spans="1:9">
      <c r="A779" s="17">
        <v>44425</v>
      </c>
      <c r="B779" s="18">
        <f>Data!H794-Data!AC794</f>
        <v>41355</v>
      </c>
      <c r="C779" s="19">
        <v>57.49</v>
      </c>
      <c r="D779" s="18">
        <f t="shared" si="51"/>
        <v>3039</v>
      </c>
      <c r="E779" s="20">
        <f t="shared" si="48"/>
        <v>8</v>
      </c>
      <c r="F779" s="20">
        <f t="shared" si="49"/>
        <v>2021</v>
      </c>
      <c r="H779" s="17">
        <v>44425</v>
      </c>
      <c r="I779" s="16" t="str">
        <f t="shared" si="50"/>
        <v>OK</v>
      </c>
    </row>
    <row r="780" spans="1:9">
      <c r="A780" s="17">
        <v>44432</v>
      </c>
      <c r="B780" s="18">
        <f>Data!H795-Data!AC795</f>
        <v>46259</v>
      </c>
      <c r="C780" s="19">
        <v>61.3</v>
      </c>
      <c r="D780" s="18">
        <f t="shared" si="51"/>
        <v>4904</v>
      </c>
      <c r="E780" s="20">
        <f t="shared" si="48"/>
        <v>8</v>
      </c>
      <c r="F780" s="20">
        <f t="shared" si="49"/>
        <v>2021</v>
      </c>
      <c r="H780" s="17">
        <v>44432</v>
      </c>
      <c r="I780" s="16" t="str">
        <f t="shared" si="50"/>
        <v>OK</v>
      </c>
    </row>
    <row r="781" spans="1:9">
      <c r="A781" s="17">
        <v>44439</v>
      </c>
      <c r="B781" s="18">
        <f>Data!H796-Data!AC796</f>
        <v>43450</v>
      </c>
      <c r="C781" s="19">
        <v>59</v>
      </c>
      <c r="D781" s="18">
        <f t="shared" si="51"/>
        <v>-2809</v>
      </c>
      <c r="E781" s="20">
        <f t="shared" si="48"/>
        <v>8</v>
      </c>
      <c r="F781" s="20">
        <f t="shared" si="49"/>
        <v>2021</v>
      </c>
      <c r="H781" s="17">
        <v>44439</v>
      </c>
      <c r="I781" s="16" t="str">
        <f t="shared" si="50"/>
        <v>OK</v>
      </c>
    </row>
    <row r="782" spans="1:9">
      <c r="A782" s="17">
        <v>44446</v>
      </c>
      <c r="B782" s="18">
        <f>Data!H797-Data!AC797</f>
        <v>60842</v>
      </c>
      <c r="C782" s="19">
        <v>55.74</v>
      </c>
      <c r="D782" s="18">
        <f t="shared" si="51"/>
        <v>17392</v>
      </c>
      <c r="E782" s="20">
        <f t="shared" si="48"/>
        <v>9</v>
      </c>
      <c r="F782" s="20">
        <f t="shared" si="49"/>
        <v>2021</v>
      </c>
      <c r="H782" s="17">
        <v>44446</v>
      </c>
      <c r="I782" s="16" t="str">
        <f t="shared" si="50"/>
        <v>OK</v>
      </c>
    </row>
    <row r="783" spans="1:9">
      <c r="A783" s="17">
        <v>44453</v>
      </c>
      <c r="B783" s="18">
        <f>Data!H798-Data!AC798</f>
        <v>63426</v>
      </c>
      <c r="C783" s="19">
        <v>56.29</v>
      </c>
      <c r="D783" s="18">
        <f t="shared" si="51"/>
        <v>2584</v>
      </c>
      <c r="E783" s="20">
        <f t="shared" si="48"/>
        <v>9</v>
      </c>
      <c r="F783" s="20">
        <f t="shared" si="49"/>
        <v>2021</v>
      </c>
      <c r="H783" s="17">
        <v>44453</v>
      </c>
      <c r="I783" s="16" t="str">
        <f t="shared" si="50"/>
        <v>OK</v>
      </c>
    </row>
    <row r="784" spans="1:9">
      <c r="A784" s="17">
        <v>44460</v>
      </c>
      <c r="B784" s="18">
        <f>Data!H799-Data!AC799</f>
        <v>57533</v>
      </c>
      <c r="C784" s="19">
        <v>57.97</v>
      </c>
      <c r="D784" s="18">
        <f t="shared" si="51"/>
        <v>-5893</v>
      </c>
      <c r="E784" s="20">
        <f t="shared" si="48"/>
        <v>9</v>
      </c>
      <c r="F784" s="20">
        <f t="shared" si="49"/>
        <v>2021</v>
      </c>
      <c r="H784" s="17">
        <v>44460</v>
      </c>
      <c r="I784" s="16" t="str">
        <f t="shared" si="50"/>
        <v>OK</v>
      </c>
    </row>
    <row r="785" spans="1:9">
      <c r="A785" s="17">
        <v>44467</v>
      </c>
      <c r="B785" s="18">
        <f>Data!H800-Data!AC800</f>
        <v>62454</v>
      </c>
      <c r="C785" s="19">
        <v>58.61</v>
      </c>
      <c r="D785" s="18">
        <f t="shared" si="51"/>
        <v>4921</v>
      </c>
      <c r="E785" s="20">
        <f t="shared" si="48"/>
        <v>9</v>
      </c>
      <c r="F785" s="20">
        <f t="shared" si="49"/>
        <v>2021</v>
      </c>
      <c r="H785" s="17">
        <v>44467</v>
      </c>
      <c r="I785" s="16" t="str">
        <f t="shared" si="50"/>
        <v>OK</v>
      </c>
    </row>
    <row r="786" spans="1:9">
      <c r="A786" s="17">
        <v>44474</v>
      </c>
      <c r="B786" s="18">
        <f>Data!H801-Data!AC801</f>
        <v>107242</v>
      </c>
      <c r="C786" s="19">
        <v>61.33</v>
      </c>
      <c r="D786" s="18">
        <f t="shared" si="51"/>
        <v>44788</v>
      </c>
      <c r="E786" s="20">
        <f t="shared" si="48"/>
        <v>10</v>
      </c>
      <c r="F786" s="20">
        <f t="shared" si="49"/>
        <v>2021</v>
      </c>
      <c r="H786" s="17">
        <v>44474</v>
      </c>
      <c r="I786" s="16" t="str">
        <f t="shared" si="50"/>
        <v>OK</v>
      </c>
    </row>
    <row r="787" spans="1:9">
      <c r="A787" s="17">
        <v>44481</v>
      </c>
      <c r="B787" s="18">
        <f>Data!H802-Data!AC802</f>
        <v>113308</v>
      </c>
      <c r="C787" s="19">
        <v>61.29</v>
      </c>
      <c r="D787" s="18">
        <f t="shared" si="51"/>
        <v>6066</v>
      </c>
      <c r="E787" s="20">
        <f t="shared" si="48"/>
        <v>10</v>
      </c>
      <c r="F787" s="20">
        <f t="shared" si="49"/>
        <v>2021</v>
      </c>
      <c r="H787" s="17">
        <v>44481</v>
      </c>
      <c r="I787" s="16" t="str">
        <f t="shared" si="50"/>
        <v>OK</v>
      </c>
    </row>
    <row r="788" spans="1:9">
      <c r="A788" s="17">
        <v>44488</v>
      </c>
      <c r="B788" s="18">
        <f>Data!H803-Data!AC803</f>
        <v>114370</v>
      </c>
      <c r="C788" s="19">
        <v>62.09</v>
      </c>
      <c r="D788" s="18">
        <f t="shared" si="51"/>
        <v>1062</v>
      </c>
      <c r="E788" s="20">
        <f t="shared" si="48"/>
        <v>10</v>
      </c>
      <c r="F788" s="20">
        <f t="shared" si="49"/>
        <v>2021</v>
      </c>
      <c r="H788" s="17">
        <v>44488</v>
      </c>
      <c r="I788" s="16" t="str">
        <f t="shared" si="50"/>
        <v>OK</v>
      </c>
    </row>
    <row r="789" spans="1:9">
      <c r="A789" s="17">
        <v>44495</v>
      </c>
      <c r="B789" s="18">
        <f>Data!H804-Data!AC804</f>
        <v>100772</v>
      </c>
      <c r="C789" s="19">
        <v>61.27</v>
      </c>
      <c r="D789" s="18">
        <f t="shared" si="51"/>
        <v>-13598</v>
      </c>
      <c r="E789" s="20">
        <f t="shared" si="48"/>
        <v>10</v>
      </c>
      <c r="F789" s="20">
        <f t="shared" si="49"/>
        <v>2021</v>
      </c>
      <c r="H789" s="17">
        <v>44495</v>
      </c>
      <c r="I789" s="16" t="str">
        <f t="shared" si="50"/>
        <v>OK</v>
      </c>
    </row>
    <row r="790" spans="1:9">
      <c r="A790" s="17">
        <v>44502</v>
      </c>
      <c r="B790" s="18">
        <f>Data!H805-Data!AC805</f>
        <v>95082</v>
      </c>
      <c r="C790" s="19">
        <v>58.78</v>
      </c>
      <c r="D790" s="18">
        <f t="shared" si="51"/>
        <v>-5690</v>
      </c>
      <c r="E790" s="20">
        <f t="shared" si="48"/>
        <v>11</v>
      </c>
      <c r="F790" s="20">
        <f t="shared" si="49"/>
        <v>2021</v>
      </c>
      <c r="H790" s="17">
        <v>44502</v>
      </c>
      <c r="I790" s="16" t="str">
        <f t="shared" si="50"/>
        <v>OK</v>
      </c>
    </row>
    <row r="791" spans="1:9">
      <c r="A791" s="17">
        <v>44509</v>
      </c>
      <c r="B791" s="18">
        <f>Data!H806-Data!AC806</f>
        <v>63306</v>
      </c>
      <c r="C791" s="19">
        <v>58.97</v>
      </c>
      <c r="D791" s="18">
        <f t="shared" si="51"/>
        <v>-31776</v>
      </c>
      <c r="E791" s="20">
        <f t="shared" si="48"/>
        <v>11</v>
      </c>
      <c r="F791" s="20">
        <f t="shared" si="49"/>
        <v>2021</v>
      </c>
      <c r="H791" s="17">
        <v>44509</v>
      </c>
      <c r="I791" s="16" t="str">
        <f t="shared" si="50"/>
        <v>OK</v>
      </c>
    </row>
    <row r="792" spans="1:9">
      <c r="A792" s="17">
        <v>44516</v>
      </c>
      <c r="B792" s="18">
        <f>Data!H807-Data!AC807</f>
        <v>38724</v>
      </c>
      <c r="C792" s="19">
        <v>58.16</v>
      </c>
      <c r="D792" s="18">
        <f t="shared" si="51"/>
        <v>-24582</v>
      </c>
      <c r="E792" s="20">
        <f t="shared" si="48"/>
        <v>11</v>
      </c>
      <c r="F792" s="20">
        <f t="shared" si="49"/>
        <v>2021</v>
      </c>
      <c r="H792" s="17">
        <v>44516</v>
      </c>
      <c r="I792" s="16" t="str">
        <f t="shared" si="50"/>
        <v>OK</v>
      </c>
    </row>
    <row r="793" spans="1:9">
      <c r="A793" s="17">
        <v>44523</v>
      </c>
      <c r="B793" s="18">
        <f>Data!H808-Data!AC808</f>
        <v>28795</v>
      </c>
      <c r="C793" s="19">
        <v>59.02</v>
      </c>
      <c r="D793" s="18">
        <f t="shared" si="51"/>
        <v>-9929</v>
      </c>
      <c r="E793" s="20">
        <f t="shared" si="48"/>
        <v>11</v>
      </c>
      <c r="F793" s="20">
        <f t="shared" si="49"/>
        <v>2021</v>
      </c>
      <c r="H793" s="17">
        <v>44523</v>
      </c>
      <c r="I793" s="16" t="str">
        <f t="shared" si="50"/>
        <v>OK</v>
      </c>
    </row>
    <row r="794" spans="1:9">
      <c r="A794" s="17">
        <v>44530</v>
      </c>
      <c r="B794" s="18">
        <f>Data!H809-Data!AC809</f>
        <v>26679</v>
      </c>
      <c r="C794" s="19">
        <v>57.1</v>
      </c>
      <c r="D794" s="18">
        <f t="shared" si="51"/>
        <v>-2116</v>
      </c>
      <c r="E794" s="20">
        <f t="shared" si="48"/>
        <v>11</v>
      </c>
      <c r="F794" s="20">
        <f t="shared" si="49"/>
        <v>2021</v>
      </c>
      <c r="H794" s="17">
        <v>44530</v>
      </c>
      <c r="I794" s="16" t="str">
        <f t="shared" si="50"/>
        <v>OK</v>
      </c>
    </row>
    <row r="795" spans="1:9">
      <c r="A795" s="17">
        <v>44537</v>
      </c>
      <c r="B795" s="18">
        <f>Data!H810-Data!AC810</f>
        <v>30930</v>
      </c>
      <c r="C795" s="19">
        <v>53.59</v>
      </c>
      <c r="D795" s="18">
        <f t="shared" si="51"/>
        <v>4251</v>
      </c>
      <c r="E795" s="20">
        <f t="shared" si="48"/>
        <v>12</v>
      </c>
      <c r="F795" s="20">
        <f t="shared" si="49"/>
        <v>2021</v>
      </c>
      <c r="H795" s="17">
        <v>44537</v>
      </c>
      <c r="I795" s="16" t="str">
        <f t="shared" si="50"/>
        <v>OK</v>
      </c>
    </row>
    <row r="796" spans="1:9">
      <c r="A796" s="17">
        <v>44544</v>
      </c>
      <c r="B796" s="18">
        <f>Data!H811-Data!AC811</f>
        <v>4249</v>
      </c>
      <c r="C796" s="19">
        <v>53.88</v>
      </c>
      <c r="D796" s="18">
        <f t="shared" si="51"/>
        <v>-26681</v>
      </c>
      <c r="E796" s="20">
        <f t="shared" si="48"/>
        <v>12</v>
      </c>
      <c r="F796" s="20">
        <f t="shared" si="49"/>
        <v>2021</v>
      </c>
      <c r="H796" s="17">
        <v>44544</v>
      </c>
      <c r="I796" s="16" t="str">
        <f t="shared" si="50"/>
        <v>OK</v>
      </c>
    </row>
    <row r="797" spans="1:9">
      <c r="A797" s="17">
        <v>44551</v>
      </c>
      <c r="B797" s="18">
        <f>Data!H812-Data!AC812</f>
        <v>-11473</v>
      </c>
      <c r="C797" s="19">
        <v>55.44</v>
      </c>
      <c r="D797" s="18">
        <f t="shared" si="51"/>
        <v>-15722</v>
      </c>
      <c r="E797" s="20">
        <f t="shared" si="48"/>
        <v>12</v>
      </c>
      <c r="F797" s="20">
        <f t="shared" si="49"/>
        <v>2021</v>
      </c>
      <c r="H797" s="17">
        <v>44551</v>
      </c>
      <c r="I797" s="16" t="str">
        <f t="shared" si="50"/>
        <v>OK</v>
      </c>
    </row>
    <row r="798" spans="1:9">
      <c r="A798" s="17">
        <v>44558</v>
      </c>
      <c r="B798" s="18">
        <f>Data!H813-Data!AC813</f>
        <v>-15768</v>
      </c>
      <c r="C798" s="19">
        <v>56.3</v>
      </c>
      <c r="D798" s="18">
        <f t="shared" si="51"/>
        <v>-4295</v>
      </c>
      <c r="E798" s="20">
        <f t="shared" si="48"/>
        <v>12</v>
      </c>
      <c r="F798" s="20">
        <f t="shared" si="49"/>
        <v>2021</v>
      </c>
      <c r="H798" s="17">
        <v>44558</v>
      </c>
      <c r="I798" s="16" t="str">
        <f t="shared" si="50"/>
        <v>OK</v>
      </c>
    </row>
    <row r="799" spans="1:9">
      <c r="A799" s="17">
        <v>44565</v>
      </c>
      <c r="B799" s="18">
        <f>Data!H814-Data!AC814</f>
        <v>-17580</v>
      </c>
      <c r="C799" s="19">
        <v>58.63</v>
      </c>
      <c r="D799" s="18">
        <f t="shared" si="51"/>
        <v>-1812</v>
      </c>
      <c r="E799" s="20">
        <f t="shared" si="48"/>
        <v>1</v>
      </c>
      <c r="F799" s="20">
        <f t="shared" si="49"/>
        <v>2022</v>
      </c>
      <c r="H799" s="17">
        <v>44565</v>
      </c>
      <c r="I799" s="16" t="str">
        <f t="shared" si="50"/>
        <v>OK</v>
      </c>
    </row>
    <row r="800" spans="1:9">
      <c r="A800" s="17">
        <v>44572</v>
      </c>
      <c r="B800" s="18">
        <f>Data!H815-Data!AC815</f>
        <v>-17013</v>
      </c>
      <c r="C800" s="19">
        <v>58.15</v>
      </c>
      <c r="D800" s="18">
        <f t="shared" si="51"/>
        <v>567</v>
      </c>
      <c r="E800" s="20">
        <f t="shared" si="48"/>
        <v>1</v>
      </c>
      <c r="F800" s="20">
        <f t="shared" si="49"/>
        <v>2022</v>
      </c>
      <c r="H800" s="17">
        <v>44572</v>
      </c>
      <c r="I800" s="16" t="str">
        <f t="shared" si="50"/>
        <v>OK</v>
      </c>
    </row>
    <row r="801" spans="1:9">
      <c r="A801" s="17">
        <v>44579</v>
      </c>
      <c r="B801" s="18">
        <f>Data!H816-Data!AC816</f>
        <v>-6535</v>
      </c>
      <c r="C801" s="19">
        <v>63</v>
      </c>
      <c r="D801" s="18">
        <f t="shared" si="51"/>
        <v>10478</v>
      </c>
      <c r="E801" s="20">
        <f t="shared" si="48"/>
        <v>1</v>
      </c>
      <c r="F801" s="20">
        <f t="shared" si="49"/>
        <v>2022</v>
      </c>
      <c r="H801" s="17">
        <v>44579</v>
      </c>
      <c r="I801" s="16" t="str">
        <f t="shared" si="50"/>
        <v>OK</v>
      </c>
    </row>
    <row r="802" spans="1:9">
      <c r="A802" s="17">
        <v>44586</v>
      </c>
      <c r="B802" s="18">
        <f>Data!H817-Data!AC817</f>
        <v>4439</v>
      </c>
      <c r="C802" s="19">
        <v>65.27</v>
      </c>
      <c r="D802" s="18">
        <f t="shared" si="51"/>
        <v>10974</v>
      </c>
      <c r="E802" s="20">
        <f t="shared" si="48"/>
        <v>1</v>
      </c>
      <c r="F802" s="20">
        <f t="shared" si="49"/>
        <v>2022</v>
      </c>
      <c r="H802" s="17">
        <v>44586</v>
      </c>
      <c r="I802" s="16" t="str">
        <f t="shared" si="50"/>
        <v>OK</v>
      </c>
    </row>
    <row r="803" spans="1:9">
      <c r="A803" s="17">
        <v>44593</v>
      </c>
      <c r="B803" s="18">
        <f>Data!H818-Data!AC818</f>
        <v>3733</v>
      </c>
      <c r="C803" s="19">
        <v>65.36</v>
      </c>
      <c r="D803" s="18">
        <f t="shared" si="51"/>
        <v>-706</v>
      </c>
      <c r="E803" s="20">
        <f t="shared" si="48"/>
        <v>2</v>
      </c>
      <c r="F803" s="20">
        <f t="shared" si="49"/>
        <v>2022</v>
      </c>
      <c r="H803" s="17">
        <v>44593</v>
      </c>
      <c r="I803" s="16" t="str">
        <f t="shared" si="50"/>
        <v>OK</v>
      </c>
    </row>
    <row r="804" spans="1:9">
      <c r="A804" s="17">
        <v>44600</v>
      </c>
      <c r="B804" s="18">
        <f>Data!H819-Data!AC819</f>
        <v>-15356</v>
      </c>
      <c r="C804" s="19">
        <v>65.72</v>
      </c>
      <c r="D804" s="18">
        <f t="shared" si="51"/>
        <v>-19089</v>
      </c>
      <c r="E804" s="20">
        <f t="shared" si="48"/>
        <v>2</v>
      </c>
      <c r="F804" s="20">
        <f t="shared" si="49"/>
        <v>2022</v>
      </c>
      <c r="H804" s="17">
        <v>44600</v>
      </c>
      <c r="I804" s="16" t="str">
        <f t="shared" si="50"/>
        <v>OK</v>
      </c>
    </row>
    <row r="805" spans="1:9">
      <c r="A805" s="17">
        <v>44607</v>
      </c>
      <c r="B805" s="18">
        <f>Data!H820-Data!AC820</f>
        <v>-18789</v>
      </c>
      <c r="C805" s="19">
        <v>67.569999999999993</v>
      </c>
      <c r="D805" s="18">
        <f t="shared" si="51"/>
        <v>-3433</v>
      </c>
      <c r="E805" s="20">
        <f t="shared" si="48"/>
        <v>2</v>
      </c>
      <c r="F805" s="20">
        <f t="shared" si="49"/>
        <v>2022</v>
      </c>
      <c r="H805" s="17">
        <v>44607</v>
      </c>
      <c r="I805" s="16" t="str">
        <f t="shared" si="50"/>
        <v>OK</v>
      </c>
    </row>
    <row r="806" spans="1:9">
      <c r="A806" s="17">
        <v>44614</v>
      </c>
      <c r="B806" s="18">
        <f>Data!H821-Data!AC821</f>
        <v>-11217</v>
      </c>
      <c r="C806" s="19">
        <v>68.75</v>
      </c>
      <c r="D806" s="18">
        <f t="shared" si="51"/>
        <v>7572</v>
      </c>
      <c r="E806" s="20">
        <f t="shared" si="48"/>
        <v>2</v>
      </c>
      <c r="F806" s="20">
        <f t="shared" si="49"/>
        <v>2022</v>
      </c>
      <c r="H806" s="17">
        <v>44614</v>
      </c>
      <c r="I806" s="16" t="str">
        <f t="shared" si="50"/>
        <v>OK</v>
      </c>
    </row>
    <row r="807" spans="1:9">
      <c r="A807" s="17">
        <v>44621</v>
      </c>
      <c r="B807" s="18">
        <f>Data!H822-Data!AC822</f>
        <v>-13398</v>
      </c>
      <c r="C807" s="19">
        <v>76.8</v>
      </c>
      <c r="D807" s="18">
        <f t="shared" si="51"/>
        <v>-2181</v>
      </c>
      <c r="E807" s="20">
        <f t="shared" si="48"/>
        <v>3</v>
      </c>
      <c r="F807" s="20">
        <f t="shared" si="49"/>
        <v>2022</v>
      </c>
      <c r="H807" s="17">
        <v>44621</v>
      </c>
      <c r="I807" s="16" t="str">
        <f t="shared" si="50"/>
        <v>OK</v>
      </c>
    </row>
    <row r="808" spans="1:9">
      <c r="A808" s="17">
        <v>44628</v>
      </c>
      <c r="B808" s="18">
        <f>Data!H823-Data!AC823</f>
        <v>-10958</v>
      </c>
      <c r="C808" s="19">
        <v>82.18</v>
      </c>
      <c r="D808" s="18">
        <f t="shared" si="51"/>
        <v>2440</v>
      </c>
      <c r="E808" s="20">
        <f t="shared" si="48"/>
        <v>3</v>
      </c>
      <c r="F808" s="20">
        <f t="shared" si="49"/>
        <v>2022</v>
      </c>
      <c r="H808" s="17">
        <v>44628</v>
      </c>
      <c r="I808" s="16" t="str">
        <f t="shared" si="50"/>
        <v>OK</v>
      </c>
    </row>
    <row r="809" spans="1:9">
      <c r="A809" s="17">
        <v>44635</v>
      </c>
      <c r="B809" s="18">
        <f>Data!H824-Data!AC824</f>
        <v>-13988</v>
      </c>
      <c r="C809" s="19">
        <v>72.290000000000006</v>
      </c>
      <c r="D809" s="18">
        <f t="shared" si="51"/>
        <v>-3030</v>
      </c>
      <c r="E809" s="20">
        <f t="shared" si="48"/>
        <v>3</v>
      </c>
      <c r="F809" s="20">
        <f t="shared" si="49"/>
        <v>2022</v>
      </c>
      <c r="H809" s="17">
        <v>44635</v>
      </c>
      <c r="I809" s="16" t="str">
        <f t="shared" si="50"/>
        <v>OK</v>
      </c>
    </row>
    <row r="810" spans="1:9">
      <c r="A810" s="17">
        <v>44642</v>
      </c>
      <c r="B810" s="18">
        <f>Data!H825-Data!AC825</f>
        <v>-17086</v>
      </c>
      <c r="C810" s="19">
        <v>74.75</v>
      </c>
      <c r="D810" s="18">
        <f t="shared" si="51"/>
        <v>-3098</v>
      </c>
      <c r="E810" s="20">
        <f t="shared" si="48"/>
        <v>3</v>
      </c>
      <c r="F810" s="20">
        <f t="shared" si="49"/>
        <v>2022</v>
      </c>
      <c r="H810" s="17">
        <v>44642</v>
      </c>
      <c r="I810" s="16" t="str">
        <f t="shared" si="50"/>
        <v>OK</v>
      </c>
    </row>
    <row r="811" spans="1:9">
      <c r="A811" s="17">
        <v>44649</v>
      </c>
      <c r="B811" s="18">
        <f>Data!H826-Data!AC826</f>
        <v>-21347</v>
      </c>
      <c r="C811" s="19">
        <v>71.2</v>
      </c>
      <c r="D811" s="18">
        <f t="shared" si="51"/>
        <v>-4261</v>
      </c>
      <c r="E811" s="20">
        <f t="shared" si="48"/>
        <v>3</v>
      </c>
      <c r="F811" s="20">
        <f t="shared" si="49"/>
        <v>2022</v>
      </c>
      <c r="H811" s="17">
        <v>44649</v>
      </c>
      <c r="I811" s="16" t="str">
        <f t="shared" si="50"/>
        <v>OK</v>
      </c>
    </row>
    <row r="812" spans="1:9">
      <c r="A812" s="17">
        <v>44656</v>
      </c>
      <c r="B812" s="18">
        <f>Data!H827-Data!AC827</f>
        <v>-23794</v>
      </c>
      <c r="C812" s="19">
        <v>75.12</v>
      </c>
      <c r="D812" s="18">
        <f t="shared" si="51"/>
        <v>-2447</v>
      </c>
      <c r="E812" s="20">
        <f t="shared" si="48"/>
        <v>4</v>
      </c>
      <c r="F812" s="20">
        <f t="shared" si="49"/>
        <v>2022</v>
      </c>
      <c r="H812" s="17">
        <v>44656</v>
      </c>
      <c r="I812" s="16" t="str">
        <f t="shared" si="50"/>
        <v>OK</v>
      </c>
    </row>
    <row r="813" spans="1:9">
      <c r="A813" s="17">
        <v>44663</v>
      </c>
      <c r="B813" s="18">
        <f>Data!H828-Data!AC828</f>
        <v>-9348</v>
      </c>
      <c r="C813" s="19">
        <v>78.91</v>
      </c>
      <c r="D813" s="18">
        <f t="shared" si="51"/>
        <v>14446</v>
      </c>
      <c r="E813" s="20">
        <f t="shared" si="48"/>
        <v>4</v>
      </c>
      <c r="F813" s="20">
        <f t="shared" si="49"/>
        <v>2022</v>
      </c>
      <c r="H813" s="17">
        <v>44663</v>
      </c>
      <c r="I813" s="16" t="str">
        <f t="shared" si="50"/>
        <v>OK</v>
      </c>
    </row>
    <row r="814" spans="1:9">
      <c r="A814" s="17">
        <v>44670</v>
      </c>
      <c r="B814" s="18">
        <f>Data!H829-Data!AC829</f>
        <v>-3454</v>
      </c>
      <c r="C814" s="19">
        <v>83.26</v>
      </c>
      <c r="D814" s="18">
        <f t="shared" si="51"/>
        <v>5894</v>
      </c>
      <c r="E814" s="20">
        <f t="shared" si="48"/>
        <v>4</v>
      </c>
      <c r="F814" s="20">
        <f t="shared" si="49"/>
        <v>2022</v>
      </c>
      <c r="H814" s="17">
        <v>44670</v>
      </c>
      <c r="I814" s="16" t="str">
        <f t="shared" si="50"/>
        <v>OK</v>
      </c>
    </row>
    <row r="815" spans="1:9">
      <c r="A815" s="17">
        <v>44677</v>
      </c>
      <c r="B815" s="18">
        <f>Data!H830-Data!AC830</f>
        <v>6392</v>
      </c>
      <c r="C815" s="19">
        <v>89.17</v>
      </c>
      <c r="D815" s="18">
        <f t="shared" si="51"/>
        <v>9846</v>
      </c>
      <c r="E815" s="20">
        <f t="shared" si="48"/>
        <v>4</v>
      </c>
      <c r="F815" s="20">
        <f t="shared" si="49"/>
        <v>2022</v>
      </c>
      <c r="H815" s="17">
        <v>44677</v>
      </c>
      <c r="I815" s="16" t="str">
        <f t="shared" si="50"/>
        <v>OK</v>
      </c>
    </row>
    <row r="816" spans="1:9">
      <c r="A816" s="17">
        <v>44684</v>
      </c>
      <c r="B816" s="18">
        <f>Data!H831-Data!AC831</f>
        <v>11892</v>
      </c>
      <c r="C816" s="19">
        <v>88.4</v>
      </c>
      <c r="D816" s="18">
        <f t="shared" si="51"/>
        <v>5500</v>
      </c>
      <c r="E816" s="20">
        <f t="shared" si="48"/>
        <v>5</v>
      </c>
      <c r="F816" s="20">
        <f t="shared" si="49"/>
        <v>2022</v>
      </c>
      <c r="H816" s="17">
        <v>44684</v>
      </c>
      <c r="I816" s="16" t="str">
        <f t="shared" si="50"/>
        <v>OK</v>
      </c>
    </row>
    <row r="817" spans="1:9">
      <c r="A817" s="17">
        <v>44691</v>
      </c>
      <c r="B817" s="18">
        <f>Data!H832-Data!AC832</f>
        <v>36062</v>
      </c>
      <c r="C817" s="19">
        <v>88.34</v>
      </c>
      <c r="D817" s="18">
        <f t="shared" si="51"/>
        <v>24170</v>
      </c>
      <c r="E817" s="20">
        <f t="shared" si="48"/>
        <v>5</v>
      </c>
      <c r="F817" s="20">
        <f t="shared" si="49"/>
        <v>2022</v>
      </c>
      <c r="H817" s="17">
        <v>44691</v>
      </c>
      <c r="I817" s="16" t="str">
        <f t="shared" si="50"/>
        <v>OK</v>
      </c>
    </row>
    <row r="818" spans="1:9">
      <c r="A818" s="17">
        <v>44698</v>
      </c>
      <c r="B818" s="18">
        <f>Data!H833-Data!AC833</f>
        <v>50314</v>
      </c>
      <c r="C818" s="19">
        <v>80.930000000000007</v>
      </c>
      <c r="D818" s="18">
        <f t="shared" si="51"/>
        <v>14252</v>
      </c>
      <c r="E818" s="20">
        <f t="shared" si="48"/>
        <v>5</v>
      </c>
      <c r="F818" s="20">
        <f t="shared" si="49"/>
        <v>2022</v>
      </c>
      <c r="H818" s="17">
        <v>44698</v>
      </c>
      <c r="I818" s="16" t="str">
        <f t="shared" si="50"/>
        <v>OK</v>
      </c>
    </row>
    <row r="819" spans="1:9">
      <c r="A819" s="17">
        <v>44705</v>
      </c>
      <c r="B819" s="18">
        <f>Data!H834-Data!AC834</f>
        <v>19840</v>
      </c>
      <c r="C819" s="19">
        <v>79.569999999999993</v>
      </c>
      <c r="D819" s="18">
        <f t="shared" si="51"/>
        <v>-30474</v>
      </c>
      <c r="E819" s="20">
        <f t="shared" si="48"/>
        <v>5</v>
      </c>
      <c r="F819" s="20">
        <f t="shared" si="49"/>
        <v>2022</v>
      </c>
      <c r="H819" s="17">
        <v>44705</v>
      </c>
      <c r="I819" s="16" t="str">
        <f t="shared" si="50"/>
        <v>OK</v>
      </c>
    </row>
    <row r="820" spans="1:9">
      <c r="A820" s="17">
        <v>44712</v>
      </c>
      <c r="B820" s="18">
        <f>Data!H835-Data!AC835</f>
        <v>17099</v>
      </c>
      <c r="C820" s="19">
        <v>81.849999999999994</v>
      </c>
      <c r="D820" s="18">
        <f t="shared" si="51"/>
        <v>-2741</v>
      </c>
      <c r="E820" s="20">
        <f t="shared" si="48"/>
        <v>5</v>
      </c>
      <c r="F820" s="20">
        <f t="shared" si="49"/>
        <v>2022</v>
      </c>
      <c r="H820" s="17">
        <v>44712</v>
      </c>
      <c r="I820" s="16" t="str">
        <f t="shared" si="50"/>
        <v>OK</v>
      </c>
    </row>
    <row r="821" spans="1:9">
      <c r="A821" s="17">
        <v>44719</v>
      </c>
      <c r="B821" s="18">
        <f>Data!H836-Data!AC836</f>
        <v>15654</v>
      </c>
      <c r="C821" s="19">
        <v>80.81</v>
      </c>
      <c r="D821" s="18">
        <f t="shared" si="51"/>
        <v>-1445</v>
      </c>
      <c r="E821" s="20">
        <f t="shared" si="48"/>
        <v>6</v>
      </c>
      <c r="F821" s="20">
        <f t="shared" si="49"/>
        <v>2022</v>
      </c>
      <c r="H821" s="17">
        <v>44719</v>
      </c>
      <c r="I821" s="16" t="str">
        <f t="shared" si="50"/>
        <v>OK</v>
      </c>
    </row>
    <row r="822" spans="1:9">
      <c r="A822" s="17">
        <v>44726</v>
      </c>
      <c r="B822" s="18">
        <f>Data!H837-Data!AC837</f>
        <v>10539</v>
      </c>
      <c r="C822" s="19">
        <v>73.790000000000006</v>
      </c>
      <c r="D822" s="18">
        <f t="shared" si="51"/>
        <v>-5115</v>
      </c>
      <c r="E822" s="20">
        <f t="shared" si="48"/>
        <v>6</v>
      </c>
      <c r="F822" s="20">
        <f t="shared" si="49"/>
        <v>2022</v>
      </c>
      <c r="H822" s="17">
        <v>44726</v>
      </c>
      <c r="I822" s="16" t="str">
        <f t="shared" si="50"/>
        <v>OK</v>
      </c>
    </row>
    <row r="823" spans="1:9">
      <c r="A823" s="17">
        <v>44733</v>
      </c>
      <c r="B823" s="18">
        <f>Data!H838-Data!AC838</f>
        <v>-9495</v>
      </c>
      <c r="C823" s="19">
        <v>69.75</v>
      </c>
      <c r="D823" s="18">
        <f t="shared" si="51"/>
        <v>-20034</v>
      </c>
      <c r="E823" s="20">
        <f t="shared" si="48"/>
        <v>6</v>
      </c>
      <c r="F823" s="20">
        <f t="shared" si="49"/>
        <v>2022</v>
      </c>
      <c r="H823" s="17">
        <v>44733</v>
      </c>
      <c r="I823" s="16" t="str">
        <f t="shared" si="50"/>
        <v>OK</v>
      </c>
    </row>
    <row r="824" spans="1:9">
      <c r="A824" s="17">
        <v>44740</v>
      </c>
      <c r="B824" s="18">
        <f>Data!H839-Data!AC839</f>
        <v>-28852</v>
      </c>
      <c r="C824" s="19">
        <v>65.680000000000007</v>
      </c>
      <c r="D824" s="18">
        <f t="shared" si="51"/>
        <v>-19357</v>
      </c>
      <c r="E824" s="20">
        <f t="shared" si="48"/>
        <v>6</v>
      </c>
      <c r="F824" s="20">
        <f t="shared" si="49"/>
        <v>2022</v>
      </c>
      <c r="H824" s="17">
        <v>44740</v>
      </c>
      <c r="I824" s="16" t="str">
        <f t="shared" si="50"/>
        <v>OK</v>
      </c>
    </row>
    <row r="825" spans="1:9">
      <c r="A825" s="17">
        <v>44747</v>
      </c>
      <c r="B825" s="18">
        <f>Data!H840-Data!AC840</f>
        <v>-40848</v>
      </c>
      <c r="C825" s="19">
        <v>64.069999999999993</v>
      </c>
      <c r="D825" s="18">
        <f t="shared" si="51"/>
        <v>-11996</v>
      </c>
      <c r="E825" s="20">
        <f t="shared" si="48"/>
        <v>7</v>
      </c>
      <c r="F825" s="20">
        <f t="shared" si="49"/>
        <v>2022</v>
      </c>
      <c r="H825" s="17">
        <v>44747</v>
      </c>
      <c r="I825" s="16" t="str">
        <f t="shared" si="50"/>
        <v>OK</v>
      </c>
    </row>
    <row r="826" spans="1:9">
      <c r="A826" s="17">
        <v>44754</v>
      </c>
      <c r="B826" s="18">
        <f>Data!H841-Data!AC841</f>
        <v>-49413</v>
      </c>
      <c r="C826" s="19">
        <v>60.08</v>
      </c>
      <c r="D826" s="18">
        <f t="shared" si="51"/>
        <v>-8565</v>
      </c>
      <c r="E826" s="20">
        <f t="shared" si="48"/>
        <v>7</v>
      </c>
      <c r="F826" s="20">
        <f t="shared" si="49"/>
        <v>2022</v>
      </c>
      <c r="H826" s="17">
        <v>44754</v>
      </c>
      <c r="I826" s="16" t="str">
        <f t="shared" si="50"/>
        <v>OK</v>
      </c>
    </row>
    <row r="827" spans="1:9">
      <c r="A827" s="17">
        <v>44761</v>
      </c>
      <c r="B827" s="18">
        <f>Data!H842-Data!AC842</f>
        <v>-48744</v>
      </c>
      <c r="C827" s="19">
        <v>60.32</v>
      </c>
      <c r="D827" s="18">
        <f t="shared" si="51"/>
        <v>669</v>
      </c>
      <c r="E827" s="20">
        <f t="shared" si="48"/>
        <v>7</v>
      </c>
      <c r="F827" s="20">
        <f t="shared" si="49"/>
        <v>2022</v>
      </c>
      <c r="H827" s="17">
        <v>44761</v>
      </c>
      <c r="I827" s="16" t="str">
        <f t="shared" si="50"/>
        <v>OK</v>
      </c>
    </row>
    <row r="828" spans="1:9">
      <c r="A828" s="17">
        <v>44768</v>
      </c>
      <c r="B828" s="18">
        <f>Data!H843-Data!AC843</f>
        <v>-58472</v>
      </c>
      <c r="C828" s="19">
        <v>68.599999999999994</v>
      </c>
      <c r="D828" s="18">
        <f t="shared" si="51"/>
        <v>-9728</v>
      </c>
      <c r="E828" s="20">
        <f t="shared" si="48"/>
        <v>7</v>
      </c>
      <c r="F828" s="20">
        <f t="shared" si="49"/>
        <v>2022</v>
      </c>
      <c r="H828" s="17">
        <v>44768</v>
      </c>
      <c r="I828" s="16" t="str">
        <f t="shared" si="50"/>
        <v>OK</v>
      </c>
    </row>
    <row r="829" spans="1:9">
      <c r="A829" s="17">
        <v>44775</v>
      </c>
      <c r="B829" s="18">
        <f>Data!H844-Data!AC844</f>
        <v>-57877</v>
      </c>
      <c r="C829" s="19">
        <v>68.59</v>
      </c>
      <c r="D829" s="18">
        <f t="shared" si="51"/>
        <v>595</v>
      </c>
      <c r="E829" s="20">
        <f t="shared" si="48"/>
        <v>8</v>
      </c>
      <c r="F829" s="20">
        <f t="shared" si="49"/>
        <v>2022</v>
      </c>
      <c r="H829" s="17">
        <v>44775</v>
      </c>
      <c r="I829" s="16" t="str">
        <f t="shared" si="50"/>
        <v>OK</v>
      </c>
    </row>
    <row r="830" spans="1:9">
      <c r="A830" s="17">
        <v>44782</v>
      </c>
      <c r="B830" s="18">
        <f>Data!H845-Data!AC845</f>
        <v>-62172</v>
      </c>
      <c r="C830" s="19">
        <v>71.97</v>
      </c>
      <c r="D830" s="18">
        <f t="shared" si="51"/>
        <v>-4295</v>
      </c>
      <c r="E830" s="20">
        <f t="shared" si="48"/>
        <v>8</v>
      </c>
      <c r="F830" s="20">
        <f t="shared" si="49"/>
        <v>2022</v>
      </c>
      <c r="H830" s="17">
        <v>44782</v>
      </c>
      <c r="I830" s="16" t="str">
        <f t="shared" si="50"/>
        <v>OK</v>
      </c>
    </row>
    <row r="831" spans="1:9">
      <c r="A831" s="17">
        <v>44789</v>
      </c>
      <c r="B831" s="18">
        <f>Data!H846-Data!AC846</f>
        <v>-53029</v>
      </c>
      <c r="C831" s="19">
        <v>67.900000000000006</v>
      </c>
      <c r="D831" s="18">
        <f t="shared" si="51"/>
        <v>9143</v>
      </c>
      <c r="E831" s="20">
        <f t="shared" si="48"/>
        <v>8</v>
      </c>
      <c r="F831" s="20">
        <f t="shared" si="49"/>
        <v>2022</v>
      </c>
      <c r="H831" s="17">
        <v>44789</v>
      </c>
      <c r="I831" s="16" t="str">
        <f t="shared" si="50"/>
        <v>OK</v>
      </c>
    </row>
    <row r="832" spans="1:9">
      <c r="A832" s="17">
        <v>44796</v>
      </c>
      <c r="B832" s="18">
        <f>Data!H847-Data!AC847</f>
        <v>-53510</v>
      </c>
      <c r="C832" s="19">
        <v>70.819999999999993</v>
      </c>
      <c r="D832" s="18">
        <f t="shared" si="51"/>
        <v>-481</v>
      </c>
      <c r="E832" s="20">
        <f t="shared" si="48"/>
        <v>8</v>
      </c>
      <c r="F832" s="20">
        <f t="shared" si="49"/>
        <v>2022</v>
      </c>
      <c r="H832" s="17">
        <v>44796</v>
      </c>
      <c r="I832" s="16" t="str">
        <f t="shared" si="50"/>
        <v>OK</v>
      </c>
    </row>
    <row r="833" spans="1:9">
      <c r="A833" s="17">
        <v>44803</v>
      </c>
      <c r="B833" s="18">
        <f>Data!H848-Data!AC848</f>
        <v>-44440</v>
      </c>
      <c r="C833" s="19">
        <v>71.5</v>
      </c>
      <c r="D833" s="18">
        <f t="shared" si="51"/>
        <v>9070</v>
      </c>
      <c r="E833" s="20">
        <f t="shared" si="48"/>
        <v>8</v>
      </c>
      <c r="F833" s="20">
        <f t="shared" si="49"/>
        <v>2022</v>
      </c>
      <c r="H833" s="17">
        <v>44803</v>
      </c>
      <c r="I833" s="16" t="str">
        <f t="shared" si="50"/>
        <v>OK</v>
      </c>
    </row>
    <row r="834" spans="1:9">
      <c r="A834" s="17">
        <v>44810</v>
      </c>
      <c r="B834" s="18">
        <f>Data!H849-Data!AC849</f>
        <v>-37639</v>
      </c>
      <c r="C834" s="19">
        <v>70.25</v>
      </c>
      <c r="D834" s="18">
        <f t="shared" si="51"/>
        <v>6801</v>
      </c>
      <c r="E834" s="20">
        <f t="shared" ref="E834:E897" si="52">MONTH(A834)</f>
        <v>9</v>
      </c>
      <c r="F834" s="20">
        <f t="shared" ref="F834:F897" si="53">YEAR(A834)</f>
        <v>2022</v>
      </c>
      <c r="H834" s="17">
        <v>44810</v>
      </c>
      <c r="I834" s="16" t="str">
        <f t="shared" ref="I834:I897" si="54">IF(H834=A834,"OK","")</f>
        <v>OK</v>
      </c>
    </row>
    <row r="835" spans="1:9">
      <c r="A835" s="17">
        <v>44817</v>
      </c>
      <c r="B835" s="18">
        <f>Data!H850-Data!AC850</f>
        <v>-32444</v>
      </c>
      <c r="C835" s="19">
        <v>68.66</v>
      </c>
      <c r="D835" s="18">
        <f t="shared" ref="D835:D898" si="55">B835-B834</f>
        <v>5195</v>
      </c>
      <c r="E835" s="20">
        <f t="shared" si="52"/>
        <v>9</v>
      </c>
      <c r="F835" s="20">
        <f t="shared" si="53"/>
        <v>2022</v>
      </c>
      <c r="H835" s="17">
        <v>44817</v>
      </c>
      <c r="I835" s="16" t="str">
        <f t="shared" si="54"/>
        <v>OK</v>
      </c>
    </row>
    <row r="836" spans="1:9">
      <c r="A836" s="17">
        <v>44824</v>
      </c>
      <c r="B836" s="18">
        <f>Data!H851-Data!AC851</f>
        <v>-43858</v>
      </c>
      <c r="C836" s="19">
        <v>67</v>
      </c>
      <c r="D836" s="18">
        <f t="shared" si="55"/>
        <v>-11414</v>
      </c>
      <c r="E836" s="20">
        <f t="shared" si="52"/>
        <v>9</v>
      </c>
      <c r="F836" s="20">
        <f t="shared" si="53"/>
        <v>2022</v>
      </c>
      <c r="H836" s="17">
        <v>44824</v>
      </c>
      <c r="I836" s="16" t="str">
        <f t="shared" si="54"/>
        <v>OK</v>
      </c>
    </row>
    <row r="837" spans="1:9">
      <c r="A837" s="17">
        <v>44831</v>
      </c>
      <c r="B837" s="18">
        <f>Data!H852-Data!AC852</f>
        <v>-35128</v>
      </c>
      <c r="C837" s="19">
        <v>65.349999999999994</v>
      </c>
      <c r="D837" s="18">
        <f t="shared" si="55"/>
        <v>8730</v>
      </c>
      <c r="E837" s="20">
        <f t="shared" si="52"/>
        <v>9</v>
      </c>
      <c r="F837" s="20">
        <f t="shared" si="53"/>
        <v>2022</v>
      </c>
      <c r="H837" s="17">
        <v>44831</v>
      </c>
      <c r="I837" s="16" t="str">
        <f t="shared" si="54"/>
        <v>OK</v>
      </c>
    </row>
    <row r="838" spans="1:9">
      <c r="A838" s="17">
        <v>44838</v>
      </c>
      <c r="B838" s="18">
        <f>Data!H853-Data!AC853</f>
        <v>-16946</v>
      </c>
      <c r="C838" s="19">
        <v>70.08</v>
      </c>
      <c r="D838" s="18">
        <f t="shared" si="55"/>
        <v>18182</v>
      </c>
      <c r="E838" s="20">
        <f t="shared" si="52"/>
        <v>10</v>
      </c>
      <c r="F838" s="20">
        <f t="shared" si="53"/>
        <v>2022</v>
      </c>
      <c r="H838" s="17">
        <v>44838</v>
      </c>
      <c r="I838" s="16" t="str">
        <f t="shared" si="54"/>
        <v>OK</v>
      </c>
    </row>
    <row r="839" spans="1:9">
      <c r="A839" s="17">
        <v>44845</v>
      </c>
      <c r="B839" s="18">
        <f>Data!H854-Data!AC854</f>
        <v>-9405</v>
      </c>
      <c r="C839" s="19">
        <v>69.569999999999993</v>
      </c>
      <c r="D839" s="18">
        <f t="shared" si="55"/>
        <v>7541</v>
      </c>
      <c r="E839" s="20">
        <f t="shared" si="52"/>
        <v>10</v>
      </c>
      <c r="F839" s="20">
        <f t="shared" si="53"/>
        <v>2022</v>
      </c>
      <c r="H839" s="17">
        <v>44845</v>
      </c>
      <c r="I839" s="16" t="str">
        <f t="shared" si="54"/>
        <v>OK</v>
      </c>
    </row>
    <row r="840" spans="1:9">
      <c r="A840" s="17">
        <v>44852</v>
      </c>
      <c r="B840" s="18">
        <f>Data!H855-Data!AC855</f>
        <v>4177</v>
      </c>
      <c r="C840" s="19">
        <v>71.5</v>
      </c>
      <c r="D840" s="18">
        <f t="shared" si="55"/>
        <v>13582</v>
      </c>
      <c r="E840" s="20">
        <f t="shared" si="52"/>
        <v>10</v>
      </c>
      <c r="F840" s="20">
        <f t="shared" si="53"/>
        <v>2022</v>
      </c>
      <c r="H840" s="17">
        <v>44852</v>
      </c>
      <c r="I840" s="16" t="str">
        <f t="shared" si="54"/>
        <v>OK</v>
      </c>
    </row>
    <row r="841" spans="1:9">
      <c r="A841" s="17">
        <v>44859</v>
      </c>
      <c r="B841" s="18">
        <f>Data!H856-Data!AC856</f>
        <v>9131</v>
      </c>
      <c r="C841" s="19">
        <v>71.790000000000006</v>
      </c>
      <c r="D841" s="18">
        <f t="shared" si="55"/>
        <v>4954</v>
      </c>
      <c r="E841" s="20">
        <f t="shared" si="52"/>
        <v>10</v>
      </c>
      <c r="F841" s="20">
        <f t="shared" si="53"/>
        <v>2022</v>
      </c>
      <c r="H841" s="17">
        <v>44859</v>
      </c>
      <c r="I841" s="16" t="str">
        <f t="shared" si="54"/>
        <v>OK</v>
      </c>
    </row>
    <row r="842" spans="1:9">
      <c r="A842" s="17">
        <v>44866</v>
      </c>
      <c r="B842" s="18">
        <f>Data!H857-Data!AC857</f>
        <v>6701</v>
      </c>
      <c r="C842" s="19">
        <v>77.17</v>
      </c>
      <c r="D842" s="18">
        <f t="shared" si="55"/>
        <v>-2430</v>
      </c>
      <c r="E842" s="20">
        <f t="shared" si="52"/>
        <v>11</v>
      </c>
      <c r="F842" s="20">
        <f t="shared" si="53"/>
        <v>2022</v>
      </c>
      <c r="H842" s="17">
        <v>44866</v>
      </c>
      <c r="I842" s="16" t="str">
        <f t="shared" si="54"/>
        <v>OK</v>
      </c>
    </row>
    <row r="843" spans="1:9">
      <c r="A843" s="17">
        <v>44873</v>
      </c>
      <c r="B843" s="18">
        <f>Data!H858-Data!AC858</f>
        <v>9790</v>
      </c>
      <c r="C843" s="19">
        <v>76.97</v>
      </c>
      <c r="D843" s="18">
        <f t="shared" si="55"/>
        <v>3089</v>
      </c>
      <c r="E843" s="20">
        <f t="shared" si="52"/>
        <v>11</v>
      </c>
      <c r="F843" s="20">
        <f t="shared" si="53"/>
        <v>2022</v>
      </c>
      <c r="H843" s="17">
        <v>44873</v>
      </c>
      <c r="I843" s="16" t="str">
        <f t="shared" si="54"/>
        <v>OK</v>
      </c>
    </row>
    <row r="844" spans="1:9">
      <c r="A844" s="17">
        <v>44880</v>
      </c>
      <c r="B844" s="18">
        <f>Data!H859-Data!AC859</f>
        <v>34661</v>
      </c>
      <c r="C844" s="19">
        <v>72.739999999999995</v>
      </c>
      <c r="D844" s="18">
        <f t="shared" si="55"/>
        <v>24871</v>
      </c>
      <c r="E844" s="20">
        <f t="shared" si="52"/>
        <v>11</v>
      </c>
      <c r="F844" s="20">
        <f t="shared" si="53"/>
        <v>2022</v>
      </c>
      <c r="H844" s="17">
        <v>44880</v>
      </c>
      <c r="I844" s="16" t="str">
        <f t="shared" si="54"/>
        <v>OK</v>
      </c>
    </row>
    <row r="845" spans="1:9">
      <c r="A845" s="17">
        <v>44887</v>
      </c>
      <c r="B845" s="18">
        <f>Data!H860-Data!AC860</f>
        <v>28459</v>
      </c>
      <c r="C845" s="19">
        <v>74.52</v>
      </c>
      <c r="D845" s="18">
        <f t="shared" si="55"/>
        <v>-6202</v>
      </c>
      <c r="E845" s="20">
        <f t="shared" si="52"/>
        <v>11</v>
      </c>
      <c r="F845" s="20">
        <f t="shared" si="53"/>
        <v>2022</v>
      </c>
      <c r="H845" s="17">
        <v>44887</v>
      </c>
      <c r="I845" s="16" t="str">
        <f t="shared" si="54"/>
        <v>OK</v>
      </c>
    </row>
    <row r="846" spans="1:9">
      <c r="A846" s="17">
        <v>44894</v>
      </c>
      <c r="B846" s="18">
        <f>Data!H861-Data!AC861</f>
        <v>30642</v>
      </c>
      <c r="C846" s="19">
        <v>67.59</v>
      </c>
      <c r="D846" s="18">
        <f t="shared" si="55"/>
        <v>2183</v>
      </c>
      <c r="E846" s="20">
        <f t="shared" si="52"/>
        <v>11</v>
      </c>
      <c r="F846" s="20">
        <f t="shared" si="53"/>
        <v>2022</v>
      </c>
      <c r="H846" s="17">
        <v>44894</v>
      </c>
      <c r="I846" s="16" t="str">
        <f t="shared" si="54"/>
        <v>OK</v>
      </c>
    </row>
    <row r="847" spans="1:9">
      <c r="A847" s="17">
        <v>44901</v>
      </c>
      <c r="B847" s="18">
        <f>Data!H862-Data!AC862</f>
        <v>-35925</v>
      </c>
      <c r="C847" s="19">
        <v>62.2</v>
      </c>
      <c r="D847" s="18">
        <f t="shared" si="55"/>
        <v>-66567</v>
      </c>
      <c r="E847" s="20">
        <f t="shared" si="52"/>
        <v>12</v>
      </c>
      <c r="F847" s="20">
        <f t="shared" si="53"/>
        <v>2022</v>
      </c>
      <c r="H847" s="17">
        <v>44901</v>
      </c>
      <c r="I847" s="16" t="str">
        <f t="shared" si="54"/>
        <v>OK</v>
      </c>
    </row>
    <row r="848" spans="1:9">
      <c r="A848" s="17">
        <v>44908</v>
      </c>
      <c r="B848" s="18">
        <f>Data!H863-Data!AC863</f>
        <v>-61137</v>
      </c>
      <c r="C848" s="19">
        <v>63.36</v>
      </c>
      <c r="D848" s="18">
        <f t="shared" si="55"/>
        <v>-25212</v>
      </c>
      <c r="E848" s="20">
        <f t="shared" si="52"/>
        <v>12</v>
      </c>
      <c r="F848" s="20">
        <f t="shared" si="53"/>
        <v>2022</v>
      </c>
      <c r="H848" s="17">
        <v>44908</v>
      </c>
      <c r="I848" s="16" t="str">
        <f t="shared" si="54"/>
        <v>OK</v>
      </c>
    </row>
    <row r="849" spans="1:9">
      <c r="A849" s="17">
        <v>44915</v>
      </c>
      <c r="B849" s="18">
        <f>Data!H864-Data!AC864</f>
        <v>-63133</v>
      </c>
      <c r="C849" s="19">
        <v>65.930000000000007</v>
      </c>
      <c r="D849" s="18">
        <f t="shared" si="55"/>
        <v>-1996</v>
      </c>
      <c r="E849" s="20">
        <f t="shared" si="52"/>
        <v>12</v>
      </c>
      <c r="F849" s="20">
        <f t="shared" si="53"/>
        <v>2022</v>
      </c>
      <c r="H849" s="17">
        <v>44915</v>
      </c>
      <c r="I849" s="16" t="str">
        <f t="shared" si="54"/>
        <v>OK</v>
      </c>
    </row>
    <row r="850" spans="1:9">
      <c r="A850" s="17">
        <v>44922</v>
      </c>
      <c r="B850" s="18">
        <f>Data!H865-Data!AC865</f>
        <v>-64402</v>
      </c>
      <c r="C850" s="19">
        <v>63.81</v>
      </c>
      <c r="D850" s="18">
        <f t="shared" si="55"/>
        <v>-1269</v>
      </c>
      <c r="E850" s="20">
        <f t="shared" si="52"/>
        <v>12</v>
      </c>
      <c r="F850" s="20">
        <f t="shared" si="53"/>
        <v>2022</v>
      </c>
      <c r="H850" s="17">
        <v>44922</v>
      </c>
      <c r="I850" s="16" t="str">
        <f t="shared" si="54"/>
        <v>OK</v>
      </c>
    </row>
    <row r="851" spans="1:9">
      <c r="A851" s="17">
        <v>44929</v>
      </c>
      <c r="B851" s="18">
        <f>Data!H866-Data!AC866</f>
        <v>-78115</v>
      </c>
      <c r="C851" s="19">
        <v>63.73</v>
      </c>
      <c r="D851" s="18">
        <f t="shared" si="55"/>
        <v>-13713</v>
      </c>
      <c r="E851" s="20">
        <f t="shared" si="52"/>
        <v>1</v>
      </c>
      <c r="F851" s="20">
        <f t="shared" si="53"/>
        <v>2023</v>
      </c>
      <c r="H851" s="17">
        <v>44929</v>
      </c>
      <c r="I851" s="16" t="str">
        <f t="shared" si="54"/>
        <v>OK</v>
      </c>
    </row>
    <row r="852" spans="1:9">
      <c r="A852" s="17">
        <v>44936</v>
      </c>
      <c r="B852" s="18">
        <f>Data!H867-Data!AC867</f>
        <v>-88097</v>
      </c>
      <c r="C852" s="19">
        <v>63.25</v>
      </c>
      <c r="D852" s="18">
        <f t="shared" si="55"/>
        <v>-9982</v>
      </c>
      <c r="E852" s="20">
        <f t="shared" si="52"/>
        <v>1</v>
      </c>
      <c r="F852" s="20">
        <f t="shared" si="53"/>
        <v>2023</v>
      </c>
      <c r="H852" s="17">
        <v>44936</v>
      </c>
      <c r="I852" s="16" t="str">
        <f t="shared" si="54"/>
        <v>OK</v>
      </c>
    </row>
    <row r="853" spans="1:9">
      <c r="A853" s="17">
        <v>44943</v>
      </c>
      <c r="B853" s="18">
        <f>Data!H868-Data!AC868</f>
        <v>-96931</v>
      </c>
      <c r="C853" s="19">
        <v>61.97</v>
      </c>
      <c r="D853" s="18">
        <f t="shared" si="55"/>
        <v>-8834</v>
      </c>
      <c r="E853" s="20">
        <f t="shared" si="52"/>
        <v>1</v>
      </c>
      <c r="F853" s="20">
        <f t="shared" si="53"/>
        <v>2023</v>
      </c>
      <c r="H853" s="17">
        <v>44943</v>
      </c>
      <c r="I853" s="16" t="str">
        <f t="shared" si="54"/>
        <v>OK</v>
      </c>
    </row>
    <row r="854" spans="1:9">
      <c r="A854" s="17">
        <v>44950</v>
      </c>
      <c r="B854" s="18">
        <f>Data!H869-Data!AC869</f>
        <v>-99542</v>
      </c>
      <c r="C854" s="19">
        <v>60.62</v>
      </c>
      <c r="D854" s="18">
        <f t="shared" si="55"/>
        <v>-2611</v>
      </c>
      <c r="E854" s="20">
        <f t="shared" si="52"/>
        <v>1</v>
      </c>
      <c r="F854" s="20">
        <f t="shared" si="53"/>
        <v>2023</v>
      </c>
      <c r="H854" s="17">
        <v>44950</v>
      </c>
      <c r="I854" s="16" t="str">
        <f t="shared" si="54"/>
        <v>OK</v>
      </c>
    </row>
    <row r="855" spans="1:9">
      <c r="A855" s="17">
        <v>44957</v>
      </c>
      <c r="B855" s="18">
        <f>Data!H870-Data!AC870</f>
        <v>-109719</v>
      </c>
      <c r="C855" s="19">
        <v>59.06</v>
      </c>
      <c r="D855" s="18">
        <f t="shared" si="55"/>
        <v>-10177</v>
      </c>
      <c r="E855" s="20">
        <f t="shared" si="52"/>
        <v>1</v>
      </c>
      <c r="F855" s="20">
        <f t="shared" si="53"/>
        <v>2023</v>
      </c>
      <c r="H855" s="17">
        <v>44957</v>
      </c>
      <c r="I855" s="16" t="str">
        <f t="shared" si="54"/>
        <v>OK</v>
      </c>
    </row>
    <row r="856" spans="1:9">
      <c r="A856" s="17">
        <v>44964</v>
      </c>
      <c r="B856" s="18">
        <f>Data!H871-Data!AC871</f>
        <v>-120215</v>
      </c>
      <c r="C856" s="19">
        <v>60.54</v>
      </c>
      <c r="D856" s="18">
        <f t="shared" si="55"/>
        <v>-10496</v>
      </c>
      <c r="E856" s="20">
        <f t="shared" si="52"/>
        <v>2</v>
      </c>
      <c r="F856" s="20">
        <f t="shared" si="53"/>
        <v>2023</v>
      </c>
      <c r="H856" s="17">
        <v>44964</v>
      </c>
      <c r="I856" s="16" t="str">
        <f t="shared" si="54"/>
        <v>OK</v>
      </c>
    </row>
    <row r="857" spans="1:9">
      <c r="A857" s="17">
        <v>44971</v>
      </c>
      <c r="B857" s="18">
        <f>Data!H872-Data!AC872</f>
        <v>-130076</v>
      </c>
      <c r="C857" s="19">
        <v>61.51</v>
      </c>
      <c r="D857" s="18">
        <f t="shared" si="55"/>
        <v>-9861</v>
      </c>
      <c r="E857" s="20">
        <f t="shared" si="52"/>
        <v>2</v>
      </c>
      <c r="F857" s="20">
        <f t="shared" si="53"/>
        <v>2023</v>
      </c>
      <c r="H857" s="17">
        <v>44971</v>
      </c>
      <c r="I857" s="16" t="str">
        <f t="shared" si="54"/>
        <v>OK</v>
      </c>
    </row>
    <row r="858" spans="1:9">
      <c r="A858" s="17">
        <v>44978</v>
      </c>
      <c r="B858" s="18">
        <f>Data!H873-Data!AC873</f>
        <v>-119840</v>
      </c>
      <c r="C858" s="19">
        <v>61.11</v>
      </c>
      <c r="D858" s="18">
        <f t="shared" si="55"/>
        <v>10236</v>
      </c>
      <c r="E858" s="20">
        <f t="shared" si="52"/>
        <v>2</v>
      </c>
      <c r="F858" s="20">
        <f t="shared" si="53"/>
        <v>2023</v>
      </c>
      <c r="H858" s="17">
        <v>44978</v>
      </c>
      <c r="I858" s="16" t="str">
        <f t="shared" si="54"/>
        <v>OK</v>
      </c>
    </row>
    <row r="859" spans="1:9">
      <c r="A859" s="17">
        <v>44985</v>
      </c>
      <c r="B859" s="18">
        <f>Data!H874-Data!AC874</f>
        <v>-111878</v>
      </c>
      <c r="C859" s="19">
        <v>60.61</v>
      </c>
      <c r="D859" s="18">
        <f t="shared" si="55"/>
        <v>7962</v>
      </c>
      <c r="E859" s="20">
        <f t="shared" si="52"/>
        <v>2</v>
      </c>
      <c r="F859" s="20">
        <f t="shared" si="53"/>
        <v>2023</v>
      </c>
      <c r="H859" s="17">
        <v>44985</v>
      </c>
      <c r="I859" s="16" t="str">
        <f t="shared" si="54"/>
        <v>OK</v>
      </c>
    </row>
    <row r="860" spans="1:9">
      <c r="A860" s="17">
        <v>44992</v>
      </c>
      <c r="B860" s="18">
        <f>Data!H875-Data!AC875</f>
        <v>-134537</v>
      </c>
      <c r="C860" s="19">
        <v>56.1</v>
      </c>
      <c r="D860" s="18">
        <f t="shared" si="55"/>
        <v>-22659</v>
      </c>
      <c r="E860" s="20">
        <f t="shared" si="52"/>
        <v>3</v>
      </c>
      <c r="F860" s="20">
        <f t="shared" si="53"/>
        <v>2023</v>
      </c>
      <c r="H860" s="17">
        <v>44992</v>
      </c>
      <c r="I860" s="16" t="str">
        <f t="shared" si="54"/>
        <v>OK</v>
      </c>
    </row>
    <row r="861" spans="1:9">
      <c r="A861" s="17">
        <v>44999</v>
      </c>
      <c r="B861" s="18">
        <f>Data!H876-Data!AC876</f>
        <v>-135159</v>
      </c>
      <c r="C861" s="19">
        <v>57.46</v>
      </c>
      <c r="D861" s="18">
        <f t="shared" si="55"/>
        <v>-622</v>
      </c>
      <c r="E861" s="20">
        <f t="shared" si="52"/>
        <v>3</v>
      </c>
      <c r="F861" s="20">
        <f t="shared" si="53"/>
        <v>2023</v>
      </c>
      <c r="H861" s="17">
        <v>44999</v>
      </c>
      <c r="I861" s="16" t="str">
        <f t="shared" si="54"/>
        <v>OK</v>
      </c>
    </row>
    <row r="862" spans="1:9">
      <c r="A862" s="17">
        <v>45006</v>
      </c>
      <c r="B862" s="18">
        <f>Data!H877-Data!AC877</f>
        <v>-120932</v>
      </c>
      <c r="C862" s="19">
        <v>53.27</v>
      </c>
      <c r="D862" s="18">
        <f t="shared" si="55"/>
        <v>14227</v>
      </c>
      <c r="E862" s="20">
        <f t="shared" si="52"/>
        <v>3</v>
      </c>
      <c r="F862" s="20">
        <f t="shared" si="53"/>
        <v>2023</v>
      </c>
      <c r="H862" s="17">
        <v>45006</v>
      </c>
      <c r="I862" s="16" t="str">
        <f t="shared" si="54"/>
        <v>OK</v>
      </c>
    </row>
    <row r="863" spans="1:9">
      <c r="A863" s="17">
        <v>45013</v>
      </c>
      <c r="B863" s="18">
        <f>Data!H878-Data!AC878</f>
        <v>-108588</v>
      </c>
      <c r="C863" s="19">
        <v>55.49</v>
      </c>
      <c r="D863" s="18">
        <f t="shared" si="55"/>
        <v>12344</v>
      </c>
      <c r="E863" s="20">
        <f t="shared" si="52"/>
        <v>3</v>
      </c>
      <c r="F863" s="20">
        <f t="shared" si="53"/>
        <v>2023</v>
      </c>
      <c r="H863" s="17">
        <v>45013</v>
      </c>
      <c r="I863" s="16" t="str">
        <f t="shared" si="54"/>
        <v>OK</v>
      </c>
    </row>
    <row r="864" spans="1:9">
      <c r="A864" s="17">
        <v>45020</v>
      </c>
      <c r="B864" s="18">
        <f>Data!H879-Data!AC879</f>
        <v>-106320</v>
      </c>
      <c r="C864" s="19">
        <v>54.53</v>
      </c>
      <c r="D864" s="18">
        <f t="shared" si="55"/>
        <v>2268</v>
      </c>
      <c r="E864" s="20">
        <f t="shared" si="52"/>
        <v>4</v>
      </c>
      <c r="F864" s="20">
        <f t="shared" si="53"/>
        <v>2023</v>
      </c>
      <c r="H864" s="17">
        <v>45020</v>
      </c>
      <c r="I864" s="16" t="str">
        <f t="shared" si="54"/>
        <v>OK</v>
      </c>
    </row>
    <row r="865" spans="1:9">
      <c r="A865" s="17">
        <v>45027</v>
      </c>
      <c r="B865" s="18">
        <f>Data!H880-Data!AC880</f>
        <v>-108246</v>
      </c>
      <c r="C865" s="19">
        <v>53.66</v>
      </c>
      <c r="D865" s="18">
        <f t="shared" si="55"/>
        <v>-1926</v>
      </c>
      <c r="E865" s="20">
        <f t="shared" si="52"/>
        <v>4</v>
      </c>
      <c r="F865" s="20">
        <f t="shared" si="53"/>
        <v>2023</v>
      </c>
      <c r="H865" s="17">
        <v>45027</v>
      </c>
      <c r="I865" s="16" t="str">
        <f t="shared" si="54"/>
        <v>OK</v>
      </c>
    </row>
    <row r="866" spans="1:9">
      <c r="A866" s="17">
        <v>45034</v>
      </c>
      <c r="B866" s="18">
        <f>Data!H881-Data!AC881</f>
        <v>-121425</v>
      </c>
      <c r="C866" s="19">
        <v>53.4</v>
      </c>
      <c r="D866" s="18">
        <f t="shared" si="55"/>
        <v>-13179</v>
      </c>
      <c r="E866" s="20">
        <f t="shared" si="52"/>
        <v>4</v>
      </c>
      <c r="F866" s="20">
        <f t="shared" si="53"/>
        <v>2023</v>
      </c>
      <c r="H866" s="17">
        <v>45034</v>
      </c>
      <c r="I866" s="16" t="str">
        <f t="shared" si="54"/>
        <v>OK</v>
      </c>
    </row>
    <row r="867" spans="1:9">
      <c r="A867" s="17">
        <v>45041</v>
      </c>
      <c r="B867" s="18">
        <f>Data!H882-Data!AC882</f>
        <v>-105928</v>
      </c>
      <c r="C867" s="19">
        <v>51.61</v>
      </c>
      <c r="D867" s="18">
        <f t="shared" si="55"/>
        <v>15497</v>
      </c>
      <c r="E867" s="20">
        <f t="shared" si="52"/>
        <v>4</v>
      </c>
      <c r="F867" s="20">
        <f t="shared" si="53"/>
        <v>2023</v>
      </c>
      <c r="H867" s="17">
        <v>45041</v>
      </c>
      <c r="I867" s="16" t="str">
        <f t="shared" si="54"/>
        <v>OK</v>
      </c>
    </row>
    <row r="868" spans="1:9">
      <c r="A868" s="17">
        <v>45048</v>
      </c>
      <c r="B868" s="18">
        <f>Data!H883-Data!AC883</f>
        <v>-84291</v>
      </c>
      <c r="C868" s="19">
        <v>54.09</v>
      </c>
      <c r="D868" s="18">
        <f t="shared" si="55"/>
        <v>21637</v>
      </c>
      <c r="E868" s="20">
        <f t="shared" si="52"/>
        <v>5</v>
      </c>
      <c r="F868" s="20">
        <f t="shared" si="53"/>
        <v>2023</v>
      </c>
      <c r="H868" s="17">
        <v>45048</v>
      </c>
      <c r="I868" s="16" t="str">
        <f t="shared" si="54"/>
        <v>OK</v>
      </c>
    </row>
    <row r="869" spans="1:9">
      <c r="A869" s="17">
        <v>45055</v>
      </c>
      <c r="B869" s="18">
        <f>Data!H884-Data!AC884</f>
        <v>-75746</v>
      </c>
      <c r="C869" s="19">
        <v>49.89</v>
      </c>
      <c r="D869" s="18">
        <f t="shared" si="55"/>
        <v>8545</v>
      </c>
      <c r="E869" s="20">
        <f t="shared" si="52"/>
        <v>5</v>
      </c>
      <c r="F869" s="20">
        <f t="shared" si="53"/>
        <v>2023</v>
      </c>
      <c r="H869" s="17">
        <v>45055</v>
      </c>
      <c r="I869" s="16" t="str">
        <f t="shared" si="54"/>
        <v>OK</v>
      </c>
    </row>
    <row r="870" spans="1:9">
      <c r="A870" s="17">
        <v>45062</v>
      </c>
      <c r="B870" s="18">
        <f>Data!H885-Data!AC885</f>
        <v>-116668</v>
      </c>
      <c r="C870" s="19">
        <v>47.27</v>
      </c>
      <c r="D870" s="18">
        <f t="shared" si="55"/>
        <v>-40922</v>
      </c>
      <c r="E870" s="20">
        <f t="shared" si="52"/>
        <v>5</v>
      </c>
      <c r="F870" s="20">
        <f t="shared" si="53"/>
        <v>2023</v>
      </c>
      <c r="H870" s="17">
        <v>45062</v>
      </c>
      <c r="I870" s="16" t="str">
        <f t="shared" si="54"/>
        <v>OK</v>
      </c>
    </row>
    <row r="871" spans="1:9">
      <c r="A871" s="17">
        <v>45069</v>
      </c>
      <c r="B871" s="18">
        <f>Data!H886-Data!AC886</f>
        <v>-110666</v>
      </c>
      <c r="C871" s="19">
        <v>48.82</v>
      </c>
      <c r="D871" s="18">
        <f t="shared" si="55"/>
        <v>6002</v>
      </c>
      <c r="E871" s="20">
        <f t="shared" si="52"/>
        <v>5</v>
      </c>
      <c r="F871" s="20">
        <f t="shared" si="53"/>
        <v>2023</v>
      </c>
      <c r="H871" s="17">
        <v>45069</v>
      </c>
      <c r="I871" s="16" t="str">
        <f t="shared" si="54"/>
        <v>OK</v>
      </c>
    </row>
    <row r="872" spans="1:9">
      <c r="A872" s="17">
        <v>45076</v>
      </c>
      <c r="B872" s="18">
        <f>Data!H887-Data!AC887</f>
        <v>-97125</v>
      </c>
      <c r="C872" s="19">
        <v>49.5</v>
      </c>
      <c r="D872" s="18">
        <f t="shared" si="55"/>
        <v>13541</v>
      </c>
      <c r="E872" s="20">
        <f t="shared" si="52"/>
        <v>5</v>
      </c>
      <c r="F872" s="20">
        <f t="shared" si="53"/>
        <v>2023</v>
      </c>
      <c r="H872" s="17">
        <v>45076</v>
      </c>
      <c r="I872" s="16" t="str">
        <f t="shared" si="54"/>
        <v>OK</v>
      </c>
    </row>
    <row r="873" spans="1:9">
      <c r="A873" s="17">
        <v>45083</v>
      </c>
      <c r="B873" s="18">
        <f>Data!H888-Data!AC888</f>
        <v>-84122</v>
      </c>
      <c r="C873" s="19">
        <v>54.59</v>
      </c>
      <c r="D873" s="18">
        <f t="shared" si="55"/>
        <v>13003</v>
      </c>
      <c r="E873" s="20">
        <f t="shared" si="52"/>
        <v>6</v>
      </c>
      <c r="F873" s="20">
        <f t="shared" si="53"/>
        <v>2023</v>
      </c>
      <c r="H873" s="17">
        <v>45083</v>
      </c>
      <c r="I873" s="16" t="str">
        <f t="shared" si="54"/>
        <v>OK</v>
      </c>
    </row>
    <row r="874" spans="1:9">
      <c r="A874" s="17">
        <v>45090</v>
      </c>
      <c r="B874" s="18">
        <f>Data!H889-Data!AC889</f>
        <v>-51860</v>
      </c>
      <c r="C874" s="19">
        <v>59.69</v>
      </c>
      <c r="D874" s="18">
        <f t="shared" si="55"/>
        <v>32262</v>
      </c>
      <c r="E874" s="20">
        <f t="shared" si="52"/>
        <v>6</v>
      </c>
      <c r="F874" s="20">
        <f t="shared" si="53"/>
        <v>2023</v>
      </c>
      <c r="H874" s="17">
        <v>45090</v>
      </c>
      <c r="I874" s="16" t="str">
        <f t="shared" si="54"/>
        <v>OK</v>
      </c>
    </row>
    <row r="875" spans="1:9">
      <c r="A875" s="17">
        <v>45097</v>
      </c>
      <c r="B875" s="18">
        <f>Data!H890-Data!AC890</f>
        <v>-34107</v>
      </c>
      <c r="C875" s="19">
        <v>57.94</v>
      </c>
      <c r="D875" s="18">
        <f t="shared" si="55"/>
        <v>17753</v>
      </c>
      <c r="E875" s="20">
        <f t="shared" si="52"/>
        <v>6</v>
      </c>
      <c r="F875" s="20">
        <f t="shared" si="53"/>
        <v>2023</v>
      </c>
      <c r="H875" s="17">
        <v>45097</v>
      </c>
      <c r="I875" s="16" t="str">
        <f t="shared" si="54"/>
        <v>OK</v>
      </c>
    </row>
    <row r="876" spans="1:9">
      <c r="A876" s="17">
        <v>45104</v>
      </c>
      <c r="B876" s="18">
        <f>Data!H891-Data!AC891</f>
        <v>-20229</v>
      </c>
      <c r="C876" s="19">
        <v>65.010000000000005</v>
      </c>
      <c r="D876" s="18">
        <f t="shared" si="55"/>
        <v>13878</v>
      </c>
      <c r="E876" s="20">
        <f t="shared" si="52"/>
        <v>6</v>
      </c>
      <c r="F876" s="20">
        <f t="shared" si="53"/>
        <v>2023</v>
      </c>
      <c r="H876" s="17">
        <v>45104</v>
      </c>
      <c r="I876" s="16" t="str">
        <f t="shared" si="54"/>
        <v>OK</v>
      </c>
    </row>
    <row r="877" spans="1:9">
      <c r="A877" s="17">
        <v>45111</v>
      </c>
      <c r="B877" s="18">
        <f>Data!H892-Data!AC892</f>
        <v>-10902</v>
      </c>
      <c r="C877" s="19">
        <v>66.55</v>
      </c>
      <c r="D877" s="18">
        <f t="shared" si="55"/>
        <v>9327</v>
      </c>
      <c r="E877" s="20">
        <f t="shared" si="52"/>
        <v>7</v>
      </c>
      <c r="F877" s="20">
        <f t="shared" si="53"/>
        <v>2023</v>
      </c>
      <c r="H877" s="17">
        <v>45111</v>
      </c>
      <c r="I877" s="16" t="str">
        <f t="shared" si="54"/>
        <v>OK</v>
      </c>
    </row>
    <row r="878" spans="1:9">
      <c r="A878" s="17">
        <v>45118</v>
      </c>
      <c r="B878" s="18">
        <f>Data!H893-Data!AC893</f>
        <v>-4627</v>
      </c>
      <c r="C878" s="19">
        <v>67.89</v>
      </c>
      <c r="D878" s="18">
        <f t="shared" si="55"/>
        <v>6275</v>
      </c>
      <c r="E878" s="20">
        <f t="shared" si="52"/>
        <v>7</v>
      </c>
      <c r="F878" s="20">
        <f t="shared" si="53"/>
        <v>2023</v>
      </c>
      <c r="H878" s="17">
        <v>45118</v>
      </c>
      <c r="I878" s="16" t="str">
        <f t="shared" si="54"/>
        <v>OK</v>
      </c>
    </row>
    <row r="879" spans="1:9">
      <c r="A879" s="17">
        <v>45125</v>
      </c>
      <c r="B879" s="18">
        <f>Data!H894-Data!AC894</f>
        <v>-14035</v>
      </c>
      <c r="C879" s="19">
        <v>69.400000000000006</v>
      </c>
      <c r="D879" s="18">
        <f t="shared" si="55"/>
        <v>-9408</v>
      </c>
      <c r="E879" s="20">
        <f t="shared" si="52"/>
        <v>7</v>
      </c>
      <c r="F879" s="20">
        <f t="shared" si="53"/>
        <v>2023</v>
      </c>
      <c r="H879" s="17">
        <v>45125</v>
      </c>
      <c r="I879" s="16" t="str">
        <f t="shared" si="54"/>
        <v>OK</v>
      </c>
    </row>
    <row r="880" spans="1:9">
      <c r="A880" s="17">
        <v>45132</v>
      </c>
      <c r="B880" s="18">
        <f>Data!H895-Data!AC895</f>
        <v>-15984</v>
      </c>
      <c r="C880" s="19">
        <v>67.599999999999994</v>
      </c>
      <c r="D880" s="18">
        <f t="shared" si="55"/>
        <v>-1949</v>
      </c>
      <c r="E880" s="20">
        <f t="shared" si="52"/>
        <v>7</v>
      </c>
      <c r="F880" s="20">
        <f t="shared" si="53"/>
        <v>2023</v>
      </c>
      <c r="H880" s="17">
        <v>45132</v>
      </c>
      <c r="I880" s="16" t="str">
        <f t="shared" si="54"/>
        <v>OK</v>
      </c>
    </row>
    <row r="881" spans="1:9">
      <c r="A881" s="17">
        <v>45139</v>
      </c>
      <c r="B881" s="18">
        <f>Data!H896-Data!AC896</f>
        <v>-20874</v>
      </c>
      <c r="C881" s="19">
        <v>68</v>
      </c>
      <c r="D881" s="18">
        <f t="shared" si="55"/>
        <v>-4890</v>
      </c>
      <c r="E881" s="20">
        <f t="shared" si="52"/>
        <v>8</v>
      </c>
      <c r="F881" s="20">
        <f t="shared" si="53"/>
        <v>2023</v>
      </c>
      <c r="H881" s="17">
        <v>45139</v>
      </c>
      <c r="I881" s="16" t="str">
        <f t="shared" si="54"/>
        <v>OK</v>
      </c>
    </row>
    <row r="882" spans="1:9">
      <c r="A882" s="17">
        <v>45146</v>
      </c>
      <c r="B882" s="18">
        <f>Data!H897-Data!AC897</f>
        <v>-22620</v>
      </c>
      <c r="C882" s="19">
        <v>66.34</v>
      </c>
      <c r="D882" s="18">
        <f t="shared" si="55"/>
        <v>-1746</v>
      </c>
      <c r="E882" s="20">
        <f t="shared" si="52"/>
        <v>8</v>
      </c>
      <c r="F882" s="20">
        <f t="shared" si="53"/>
        <v>2023</v>
      </c>
      <c r="H882" s="17">
        <v>45146</v>
      </c>
      <c r="I882" s="16" t="str">
        <f t="shared" si="54"/>
        <v>OK</v>
      </c>
    </row>
    <row r="883" spans="1:9">
      <c r="A883" s="17">
        <v>45153</v>
      </c>
      <c r="B883" s="18">
        <f>Data!H898-Data!AC898</f>
        <v>-10192</v>
      </c>
      <c r="C883" s="19">
        <v>68.290000000000006</v>
      </c>
      <c r="D883" s="18">
        <f t="shared" si="55"/>
        <v>12428</v>
      </c>
      <c r="E883" s="20">
        <f t="shared" si="52"/>
        <v>8</v>
      </c>
      <c r="F883" s="20">
        <f t="shared" si="53"/>
        <v>2023</v>
      </c>
      <c r="H883" s="17">
        <v>45153</v>
      </c>
      <c r="I883" s="16" t="str">
        <f t="shared" si="54"/>
        <v>OK</v>
      </c>
    </row>
    <row r="884" spans="1:9">
      <c r="A884" s="17">
        <v>45160</v>
      </c>
      <c r="B884" s="18">
        <f>Data!H899-Data!AC899</f>
        <v>2257</v>
      </c>
      <c r="C884" s="19">
        <v>66.73</v>
      </c>
      <c r="D884" s="18">
        <f t="shared" si="55"/>
        <v>12449</v>
      </c>
      <c r="E884" s="20">
        <f t="shared" si="52"/>
        <v>8</v>
      </c>
      <c r="F884" s="20">
        <f t="shared" si="53"/>
        <v>2023</v>
      </c>
      <c r="H884" s="17">
        <v>45160</v>
      </c>
      <c r="I884" s="16" t="str">
        <f t="shared" si="54"/>
        <v>OK</v>
      </c>
    </row>
    <row r="885" spans="1:9">
      <c r="A885" s="17">
        <v>45167</v>
      </c>
      <c r="B885" s="18">
        <f>Data!H900-Data!AC900</f>
        <v>-15436</v>
      </c>
      <c r="C885" s="19">
        <v>66.55</v>
      </c>
      <c r="D885" s="18">
        <f t="shared" si="55"/>
        <v>-17693</v>
      </c>
      <c r="E885" s="20">
        <f t="shared" si="52"/>
        <v>8</v>
      </c>
      <c r="F885" s="20">
        <f t="shared" si="53"/>
        <v>2023</v>
      </c>
      <c r="H885" s="17">
        <v>45167</v>
      </c>
      <c r="I885" s="16" t="str">
        <f t="shared" si="54"/>
        <v>OK</v>
      </c>
    </row>
    <row r="886" spans="1:9">
      <c r="A886" s="17">
        <v>45174</v>
      </c>
      <c r="B886" s="18">
        <f>Data!H901-Data!AC901</f>
        <v>-9963</v>
      </c>
      <c r="C886" s="19">
        <v>63.15</v>
      </c>
      <c r="D886" s="18">
        <f t="shared" si="55"/>
        <v>5473</v>
      </c>
      <c r="E886" s="20">
        <f t="shared" si="52"/>
        <v>9</v>
      </c>
      <c r="F886" s="20">
        <f t="shared" si="53"/>
        <v>2023</v>
      </c>
      <c r="H886" s="17">
        <v>45174</v>
      </c>
      <c r="I886" s="16" t="str">
        <f t="shared" si="54"/>
        <v>OK</v>
      </c>
    </row>
    <row r="887" spans="1:9">
      <c r="A887" s="17">
        <v>45181</v>
      </c>
      <c r="B887" s="18">
        <f>Data!H902-Data!AC902</f>
        <v>-21337</v>
      </c>
      <c r="C887" s="19">
        <v>63.38</v>
      </c>
      <c r="D887" s="18">
        <f t="shared" si="55"/>
        <v>-11374</v>
      </c>
      <c r="E887" s="20">
        <f t="shared" si="52"/>
        <v>9</v>
      </c>
      <c r="F887" s="20">
        <f t="shared" si="53"/>
        <v>2023</v>
      </c>
      <c r="H887" s="17">
        <v>45181</v>
      </c>
      <c r="I887" s="16" t="str">
        <f t="shared" si="54"/>
        <v>OK</v>
      </c>
    </row>
    <row r="888" spans="1:9">
      <c r="A888" s="17">
        <v>45188</v>
      </c>
      <c r="B888" s="18">
        <f>Data!H903-Data!AC903</f>
        <v>-8809</v>
      </c>
      <c r="C888" s="19">
        <v>60.85</v>
      </c>
      <c r="D888" s="18">
        <f t="shared" si="55"/>
        <v>12528</v>
      </c>
      <c r="E888" s="20">
        <f t="shared" si="52"/>
        <v>9</v>
      </c>
      <c r="F888" s="20">
        <f t="shared" si="53"/>
        <v>2023</v>
      </c>
      <c r="H888" s="17">
        <v>45188</v>
      </c>
      <c r="I888" s="16" t="str">
        <f t="shared" si="54"/>
        <v>OK</v>
      </c>
    </row>
    <row r="889" spans="1:9">
      <c r="A889" s="17">
        <v>45195</v>
      </c>
      <c r="B889" s="18">
        <f>Data!H904-Data!AC904</f>
        <v>-24146</v>
      </c>
      <c r="C889" s="19">
        <v>57.44</v>
      </c>
      <c r="D889" s="18">
        <f t="shared" si="55"/>
        <v>-15337</v>
      </c>
      <c r="E889" s="20">
        <f t="shared" si="52"/>
        <v>9</v>
      </c>
      <c r="F889" s="20">
        <f t="shared" si="53"/>
        <v>2023</v>
      </c>
      <c r="H889" s="17">
        <v>45195</v>
      </c>
      <c r="I889" s="16" t="str">
        <f t="shared" si="54"/>
        <v>OK</v>
      </c>
    </row>
    <row r="890" spans="1:9">
      <c r="A890" s="17">
        <v>45202</v>
      </c>
      <c r="B890" s="18">
        <f>Data!H905-Data!AC905</f>
        <v>399</v>
      </c>
      <c r="C890" s="19">
        <v>57.29</v>
      </c>
      <c r="D890" s="18">
        <f t="shared" si="55"/>
        <v>24545</v>
      </c>
      <c r="E890" s="20">
        <f t="shared" si="52"/>
        <v>10</v>
      </c>
      <c r="F890" s="20">
        <f t="shared" si="53"/>
        <v>2023</v>
      </c>
      <c r="H890" s="17">
        <v>45202</v>
      </c>
      <c r="I890" s="16" t="str">
        <f t="shared" si="54"/>
        <v>OK</v>
      </c>
    </row>
    <row r="891" spans="1:9">
      <c r="A891" s="17">
        <v>45209</v>
      </c>
      <c r="B891" s="18">
        <f>Data!H906-Data!AC906</f>
        <v>-6092</v>
      </c>
      <c r="C891" s="19">
        <v>55.35</v>
      </c>
      <c r="D891" s="18">
        <f t="shared" si="55"/>
        <v>-6491</v>
      </c>
      <c r="E891" s="20">
        <f t="shared" si="52"/>
        <v>10</v>
      </c>
      <c r="F891" s="20">
        <f t="shared" si="53"/>
        <v>2023</v>
      </c>
      <c r="H891" s="17">
        <v>45209</v>
      </c>
      <c r="I891" s="16" t="str">
        <f t="shared" si="54"/>
        <v>OK</v>
      </c>
    </row>
    <row r="892" spans="1:9">
      <c r="A892" s="17">
        <v>45216</v>
      </c>
      <c r="B892" s="18">
        <f>Data!H907-Data!AC907</f>
        <v>-29969</v>
      </c>
      <c r="C892" s="19">
        <v>53.39</v>
      </c>
      <c r="D892" s="18">
        <f t="shared" si="55"/>
        <v>-23877</v>
      </c>
      <c r="E892" s="20">
        <f t="shared" si="52"/>
        <v>10</v>
      </c>
      <c r="F892" s="20">
        <f t="shared" si="53"/>
        <v>2023</v>
      </c>
      <c r="H892" s="17">
        <v>45216</v>
      </c>
      <c r="I892" s="16" t="str">
        <f t="shared" si="54"/>
        <v>OK</v>
      </c>
    </row>
    <row r="893" spans="1:9">
      <c r="A893" s="17">
        <v>45223</v>
      </c>
      <c r="B893" s="18">
        <f>Data!H908-Data!AC908</f>
        <v>-80504</v>
      </c>
      <c r="C893" s="19">
        <v>52.27</v>
      </c>
      <c r="D893" s="18">
        <f t="shared" si="55"/>
        <v>-50535</v>
      </c>
      <c r="E893" s="20">
        <f t="shared" si="52"/>
        <v>10</v>
      </c>
      <c r="F893" s="20">
        <f t="shared" si="53"/>
        <v>2023</v>
      </c>
      <c r="H893" s="17">
        <v>45223</v>
      </c>
      <c r="I893" s="16" t="str">
        <f t="shared" si="54"/>
        <v>OK</v>
      </c>
    </row>
    <row r="894" spans="1:9">
      <c r="A894" s="17">
        <v>45230</v>
      </c>
      <c r="B894" s="18">
        <f>Data!H909-Data!AC909</f>
        <v>-102088</v>
      </c>
      <c r="C894" s="19">
        <v>49.36</v>
      </c>
      <c r="D894" s="18">
        <f t="shared" si="55"/>
        <v>-21584</v>
      </c>
      <c r="E894" s="20">
        <f t="shared" si="52"/>
        <v>10</v>
      </c>
      <c r="F894" s="20">
        <f t="shared" si="53"/>
        <v>2023</v>
      </c>
      <c r="H894" s="17">
        <v>45230</v>
      </c>
      <c r="I894" s="16" t="str">
        <f t="shared" si="54"/>
        <v>OK</v>
      </c>
    </row>
    <row r="895" spans="1:9">
      <c r="A895" s="17">
        <v>45237</v>
      </c>
      <c r="B895" s="18">
        <f>Data!H910-Data!AC910</f>
        <v>-122339</v>
      </c>
      <c r="C895" s="19">
        <v>51.2</v>
      </c>
      <c r="D895" s="18">
        <f t="shared" si="55"/>
        <v>-20251</v>
      </c>
      <c r="E895" s="20">
        <f t="shared" si="52"/>
        <v>11</v>
      </c>
      <c r="F895" s="20">
        <f t="shared" si="53"/>
        <v>2023</v>
      </c>
      <c r="H895" s="17">
        <v>45237</v>
      </c>
      <c r="I895" s="16" t="str">
        <f t="shared" si="54"/>
        <v>OK</v>
      </c>
    </row>
    <row r="896" spans="1:9">
      <c r="A896" s="17">
        <v>45244</v>
      </c>
      <c r="B896" s="18">
        <f>Data!H911-Data!AC911</f>
        <v>-138001</v>
      </c>
      <c r="C896" s="19">
        <v>52.01</v>
      </c>
      <c r="D896" s="18">
        <f t="shared" si="55"/>
        <v>-15662</v>
      </c>
      <c r="E896" s="20">
        <f t="shared" si="52"/>
        <v>11</v>
      </c>
      <c r="F896" s="20">
        <f t="shared" si="53"/>
        <v>2023</v>
      </c>
      <c r="H896" s="17">
        <v>45244</v>
      </c>
      <c r="I896" s="16" t="str">
        <f t="shared" si="54"/>
        <v>OK</v>
      </c>
    </row>
    <row r="897" spans="1:9">
      <c r="A897" s="17">
        <v>45251</v>
      </c>
      <c r="B897" s="18">
        <f>Data!H912-Data!AC912</f>
        <v>-140634</v>
      </c>
      <c r="C897" s="16">
        <v>51.53</v>
      </c>
      <c r="D897" s="18">
        <f t="shared" si="55"/>
        <v>-2633</v>
      </c>
      <c r="E897" s="20">
        <f t="shared" si="52"/>
        <v>11</v>
      </c>
      <c r="F897" s="20">
        <f t="shared" si="53"/>
        <v>2023</v>
      </c>
      <c r="H897" s="17">
        <v>45251</v>
      </c>
      <c r="I897" s="16" t="str">
        <f t="shared" si="54"/>
        <v>OK</v>
      </c>
    </row>
    <row r="898" spans="1:9">
      <c r="A898" s="17">
        <v>45258</v>
      </c>
      <c r="B898" s="18">
        <f>Data!H913-Data!AC913</f>
        <v>-140518</v>
      </c>
      <c r="C898" s="16">
        <v>51.38</v>
      </c>
      <c r="D898" s="18">
        <f t="shared" si="55"/>
        <v>116</v>
      </c>
      <c r="E898" s="20">
        <f t="shared" ref="E898:E952" si="56">MONTH(A898)</f>
        <v>11</v>
      </c>
      <c r="F898" s="20">
        <f t="shared" ref="F898:F952" si="57">YEAR(A898)</f>
        <v>2023</v>
      </c>
      <c r="H898" s="17">
        <v>45258</v>
      </c>
      <c r="I898" s="16" t="str">
        <f t="shared" ref="I898:I952" si="58">IF(H898=A898,"OK","")</f>
        <v>OK</v>
      </c>
    </row>
    <row r="899" spans="1:9">
      <c r="A899" s="17">
        <v>45265</v>
      </c>
      <c r="B899" s="18">
        <f>Data!H914-Data!AC914</f>
        <v>-136084</v>
      </c>
      <c r="C899" s="16">
        <v>50.15</v>
      </c>
      <c r="D899" s="18">
        <f t="shared" ref="D899:D952" si="59">B899-B898</f>
        <v>4434</v>
      </c>
      <c r="E899" s="20">
        <f t="shared" si="56"/>
        <v>12</v>
      </c>
      <c r="F899" s="20">
        <f t="shared" si="57"/>
        <v>2023</v>
      </c>
      <c r="H899" s="17">
        <v>45265</v>
      </c>
      <c r="I899" s="16" t="str">
        <f t="shared" si="58"/>
        <v>OK</v>
      </c>
    </row>
    <row r="900" spans="1:9">
      <c r="A900" s="17">
        <v>45272</v>
      </c>
      <c r="B900" s="18">
        <f>Data!H915-Data!AC915</f>
        <v>-115304</v>
      </c>
      <c r="C900" s="16">
        <v>49.99</v>
      </c>
      <c r="D900" s="18">
        <f t="shared" si="59"/>
        <v>20780</v>
      </c>
      <c r="E900" s="20">
        <f t="shared" si="56"/>
        <v>12</v>
      </c>
      <c r="F900" s="20">
        <f t="shared" si="57"/>
        <v>2023</v>
      </c>
      <c r="H900" s="17">
        <v>45272</v>
      </c>
      <c r="I900" s="16" t="str">
        <f t="shared" si="58"/>
        <v>OK</v>
      </c>
    </row>
    <row r="901" spans="1:9">
      <c r="A901" s="17">
        <v>45279</v>
      </c>
      <c r="B901" s="18">
        <f>Data!H916-Data!AC916</f>
        <v>-106791</v>
      </c>
      <c r="C901" s="16">
        <v>48.53</v>
      </c>
      <c r="D901" s="18">
        <f t="shared" si="59"/>
        <v>8513</v>
      </c>
      <c r="E901" s="20">
        <f t="shared" si="56"/>
        <v>12</v>
      </c>
      <c r="F901" s="20">
        <f t="shared" si="57"/>
        <v>2023</v>
      </c>
      <c r="H901" s="17">
        <v>45279</v>
      </c>
      <c r="I901" s="16" t="str">
        <f t="shared" si="58"/>
        <v>OK</v>
      </c>
    </row>
    <row r="902" spans="1:9">
      <c r="A902" s="17">
        <v>45286</v>
      </c>
      <c r="B902" s="18">
        <f>Data!H917-Data!AC917</f>
        <v>-108886</v>
      </c>
      <c r="C902" s="16">
        <v>47.84</v>
      </c>
      <c r="D902" s="18">
        <f t="shared" si="59"/>
        <v>-2095</v>
      </c>
      <c r="E902" s="20">
        <f t="shared" si="56"/>
        <v>12</v>
      </c>
      <c r="F902" s="20">
        <f t="shared" si="57"/>
        <v>2023</v>
      </c>
      <c r="H902" s="17">
        <v>45286</v>
      </c>
      <c r="I902" s="16" t="str">
        <f t="shared" si="58"/>
        <v>OK</v>
      </c>
    </row>
    <row r="903" spans="1:9">
      <c r="A903" s="17">
        <v>45293</v>
      </c>
      <c r="B903" s="18">
        <f>Data!H918-Data!AC918</f>
        <v>-93593</v>
      </c>
      <c r="C903" s="16">
        <v>47.17</v>
      </c>
      <c r="D903" s="18">
        <f t="shared" si="59"/>
        <v>15293</v>
      </c>
      <c r="E903" s="20">
        <f t="shared" si="56"/>
        <v>1</v>
      </c>
      <c r="F903" s="20">
        <f t="shared" si="57"/>
        <v>2024</v>
      </c>
      <c r="H903" s="17">
        <v>45293</v>
      </c>
      <c r="I903" s="16" t="str">
        <f t="shared" si="58"/>
        <v>OK</v>
      </c>
    </row>
    <row r="904" spans="1:9">
      <c r="A904" s="17">
        <v>45300</v>
      </c>
      <c r="B904" s="18">
        <f>Data!H919-Data!AC919</f>
        <v>-57069</v>
      </c>
      <c r="C904" s="16">
        <v>47.75</v>
      </c>
      <c r="D904" s="18">
        <f t="shared" si="59"/>
        <v>36524</v>
      </c>
      <c r="E904" s="20">
        <f t="shared" si="56"/>
        <v>1</v>
      </c>
      <c r="F904" s="20">
        <f t="shared" si="57"/>
        <v>2024</v>
      </c>
      <c r="H904" s="17">
        <v>45300</v>
      </c>
      <c r="I904" s="16" t="str">
        <f t="shared" si="58"/>
        <v>OK</v>
      </c>
    </row>
    <row r="905" spans="1:9">
      <c r="A905" s="17">
        <v>45307</v>
      </c>
      <c r="B905" s="18">
        <f>Data!H920-Data!AC920</f>
        <v>-42932</v>
      </c>
      <c r="C905" s="16">
        <v>46.9</v>
      </c>
      <c r="D905" s="18">
        <f t="shared" si="59"/>
        <v>14137</v>
      </c>
      <c r="E905" s="20">
        <f t="shared" si="56"/>
        <v>1</v>
      </c>
      <c r="F905" s="20">
        <f t="shared" si="57"/>
        <v>2024</v>
      </c>
      <c r="H905" s="17">
        <v>45307</v>
      </c>
      <c r="I905" s="16" t="str">
        <f t="shared" si="58"/>
        <v>OK</v>
      </c>
    </row>
    <row r="906" spans="1:9">
      <c r="A906" s="17">
        <v>45314</v>
      </c>
      <c r="B906" s="18">
        <f>Data!H921-Data!AC921</f>
        <v>-25689</v>
      </c>
      <c r="C906" s="16">
        <v>46.93</v>
      </c>
      <c r="D906" s="18">
        <f t="shared" si="59"/>
        <v>17243</v>
      </c>
      <c r="E906" s="20">
        <f t="shared" si="56"/>
        <v>1</v>
      </c>
      <c r="F906" s="20">
        <f t="shared" si="57"/>
        <v>2024</v>
      </c>
      <c r="H906" s="17">
        <v>45314</v>
      </c>
      <c r="I906" s="16" t="str">
        <f t="shared" si="58"/>
        <v>OK</v>
      </c>
    </row>
    <row r="907" spans="1:9">
      <c r="A907" s="17">
        <v>45321</v>
      </c>
      <c r="B907" s="18">
        <f>Data!H922-Data!AC922</f>
        <v>-32350</v>
      </c>
      <c r="C907" s="16">
        <v>44.73</v>
      </c>
      <c r="D907" s="18">
        <f t="shared" si="59"/>
        <v>-6661</v>
      </c>
      <c r="E907" s="20">
        <f t="shared" si="56"/>
        <v>1</v>
      </c>
      <c r="F907" s="20">
        <f t="shared" si="57"/>
        <v>2024</v>
      </c>
      <c r="H907" s="17">
        <v>45321</v>
      </c>
      <c r="I907" s="16" t="str">
        <f t="shared" si="58"/>
        <v>OK</v>
      </c>
    </row>
    <row r="908" spans="1:9">
      <c r="A908" s="17">
        <v>45328</v>
      </c>
      <c r="B908" s="18">
        <f>Data!H923-Data!AC923</f>
        <v>-29635</v>
      </c>
      <c r="C908" s="16">
        <v>47.26</v>
      </c>
      <c r="D908" s="18">
        <f t="shared" si="59"/>
        <v>2715</v>
      </c>
      <c r="E908" s="20">
        <f t="shared" si="56"/>
        <v>2</v>
      </c>
      <c r="F908" s="20">
        <f t="shared" si="57"/>
        <v>2024</v>
      </c>
      <c r="H908" s="17">
        <v>45328</v>
      </c>
      <c r="I908" s="16" t="str">
        <f t="shared" si="58"/>
        <v>OK</v>
      </c>
    </row>
    <row r="909" spans="1:9">
      <c r="A909" s="17">
        <v>45335</v>
      </c>
      <c r="B909" s="18">
        <f>Data!H924-Data!AC924</f>
        <v>-7848</v>
      </c>
      <c r="C909" s="16">
        <v>45.59</v>
      </c>
      <c r="D909" s="18">
        <f t="shared" si="59"/>
        <v>21787</v>
      </c>
      <c r="E909" s="20">
        <f t="shared" si="56"/>
        <v>2</v>
      </c>
      <c r="F909" s="20">
        <f t="shared" si="57"/>
        <v>2024</v>
      </c>
      <c r="H909" s="17">
        <v>45335</v>
      </c>
      <c r="I909" s="16" t="str">
        <f t="shared" si="58"/>
        <v>OK</v>
      </c>
    </row>
    <row r="910" spans="1:9">
      <c r="A910" s="17">
        <v>45342</v>
      </c>
      <c r="B910" s="18">
        <f>Data!H925-Data!AC925</f>
        <v>-22157</v>
      </c>
      <c r="C910" s="16">
        <v>44.02</v>
      </c>
      <c r="D910" s="18">
        <f t="shared" si="59"/>
        <v>-14309</v>
      </c>
      <c r="E910" s="20">
        <f t="shared" si="56"/>
        <v>2</v>
      </c>
      <c r="F910" s="20">
        <f t="shared" si="57"/>
        <v>2024</v>
      </c>
      <c r="H910" s="17">
        <v>45342</v>
      </c>
      <c r="I910" s="16" t="str">
        <f t="shared" si="58"/>
        <v>OK</v>
      </c>
    </row>
    <row r="911" spans="1:9">
      <c r="A911" s="17">
        <v>45349</v>
      </c>
      <c r="B911" s="18">
        <f>Data!H926-Data!AC926</f>
        <v>-4679</v>
      </c>
      <c r="C911" s="16">
        <v>44.62</v>
      </c>
      <c r="D911" s="18">
        <f t="shared" si="59"/>
        <v>17478</v>
      </c>
      <c r="E911" s="20">
        <f t="shared" si="56"/>
        <v>2</v>
      </c>
      <c r="F911" s="20">
        <f t="shared" si="57"/>
        <v>2024</v>
      </c>
      <c r="H911" s="17">
        <v>45349</v>
      </c>
      <c r="I911" s="16" t="str">
        <f t="shared" si="58"/>
        <v>OK</v>
      </c>
    </row>
    <row r="912" spans="1:9">
      <c r="A912" s="17">
        <v>45356</v>
      </c>
      <c r="B912" s="18">
        <f>Data!H927-Data!AC927</f>
        <v>-12947</v>
      </c>
      <c r="C912" s="16">
        <v>45.6</v>
      </c>
      <c r="D912" s="18">
        <f t="shared" si="59"/>
        <v>-8268</v>
      </c>
      <c r="E912" s="20">
        <f t="shared" si="56"/>
        <v>3</v>
      </c>
      <c r="F912" s="20">
        <f t="shared" si="57"/>
        <v>2024</v>
      </c>
      <c r="H912" s="17">
        <v>45356</v>
      </c>
      <c r="I912" s="16" t="str">
        <f t="shared" si="58"/>
        <v>OK</v>
      </c>
    </row>
    <row r="913" spans="1:9">
      <c r="A913" s="17">
        <v>45363</v>
      </c>
      <c r="B913" s="18">
        <f>Data!H928-Data!AC928</f>
        <v>17525</v>
      </c>
      <c r="C913" s="16">
        <v>49.42</v>
      </c>
      <c r="D913" s="18">
        <f t="shared" si="59"/>
        <v>30472</v>
      </c>
      <c r="E913" s="20">
        <f t="shared" si="56"/>
        <v>3</v>
      </c>
      <c r="F913" s="20">
        <f t="shared" si="57"/>
        <v>2024</v>
      </c>
      <c r="H913" s="17">
        <v>45363</v>
      </c>
      <c r="I913" s="16" t="str">
        <f t="shared" si="58"/>
        <v>OK</v>
      </c>
    </row>
    <row r="914" spans="1:9">
      <c r="A914" s="17">
        <v>45370</v>
      </c>
      <c r="B914" s="18">
        <f>Data!H929-Data!AC929</f>
        <v>32126</v>
      </c>
      <c r="C914" s="16">
        <v>47.64</v>
      </c>
      <c r="D914" s="18">
        <f t="shared" si="59"/>
        <v>14601</v>
      </c>
      <c r="E914" s="20">
        <f t="shared" si="56"/>
        <v>3</v>
      </c>
      <c r="F914" s="20">
        <f t="shared" si="57"/>
        <v>2024</v>
      </c>
      <c r="H914" s="17">
        <v>45370</v>
      </c>
      <c r="I914" s="16" t="str">
        <f t="shared" si="58"/>
        <v>OK</v>
      </c>
    </row>
    <row r="915" spans="1:9">
      <c r="A915" s="17">
        <v>45377</v>
      </c>
      <c r="B915" s="18">
        <f>Data!H930-Data!AC930</f>
        <v>30740</v>
      </c>
      <c r="C915" s="16">
        <v>47.95</v>
      </c>
      <c r="D915" s="18">
        <f t="shared" si="59"/>
        <v>-1386</v>
      </c>
      <c r="E915" s="20">
        <f t="shared" si="56"/>
        <v>3</v>
      </c>
      <c r="F915" s="20">
        <f t="shared" si="57"/>
        <v>2024</v>
      </c>
      <c r="H915" s="17">
        <v>45377</v>
      </c>
      <c r="I915" s="16" t="str">
        <f t="shared" si="58"/>
        <v>OK</v>
      </c>
    </row>
    <row r="916" spans="1:9">
      <c r="A916" s="17">
        <v>45384</v>
      </c>
      <c r="B916" s="18">
        <f>Data!H931-Data!AC931</f>
        <v>51275</v>
      </c>
      <c r="C916" s="16">
        <v>48.89</v>
      </c>
      <c r="D916" s="18">
        <f t="shared" si="59"/>
        <v>20535</v>
      </c>
      <c r="E916" s="20">
        <f t="shared" si="56"/>
        <v>4</v>
      </c>
      <c r="F916" s="20">
        <f t="shared" si="57"/>
        <v>2024</v>
      </c>
      <c r="H916" s="17">
        <v>45384</v>
      </c>
      <c r="I916" s="16" t="str">
        <f t="shared" si="58"/>
        <v>OK</v>
      </c>
    </row>
    <row r="917" spans="1:9">
      <c r="A917" s="17">
        <v>45391</v>
      </c>
      <c r="B917" s="18">
        <f>Data!H932-Data!AC932</f>
        <v>19944</v>
      </c>
      <c r="C917" s="16">
        <v>45.89</v>
      </c>
      <c r="D917" s="18">
        <f t="shared" si="59"/>
        <v>-31331</v>
      </c>
      <c r="E917" s="20">
        <f t="shared" si="56"/>
        <v>4</v>
      </c>
      <c r="F917" s="20">
        <f t="shared" si="57"/>
        <v>2024</v>
      </c>
      <c r="H917" s="17">
        <v>45391</v>
      </c>
      <c r="I917" s="16" t="str">
        <f t="shared" si="58"/>
        <v>OK</v>
      </c>
    </row>
    <row r="918" spans="1:9">
      <c r="A918" s="17">
        <v>45398</v>
      </c>
      <c r="B918" s="18">
        <f>Data!H933-Data!AC933</f>
        <v>-42752</v>
      </c>
      <c r="C918" s="16">
        <v>44.38</v>
      </c>
      <c r="D918" s="18">
        <f t="shared" si="59"/>
        <v>-62696</v>
      </c>
      <c r="E918" s="20">
        <f t="shared" si="56"/>
        <v>4</v>
      </c>
      <c r="F918" s="20">
        <f t="shared" si="57"/>
        <v>2024</v>
      </c>
      <c r="H918" s="17">
        <v>45398</v>
      </c>
      <c r="I918" s="16" t="str">
        <f t="shared" si="58"/>
        <v>OK</v>
      </c>
    </row>
    <row r="919" spans="1:9">
      <c r="A919" s="17">
        <v>45405</v>
      </c>
      <c r="B919" s="18">
        <f>Data!H934-Data!AC934</f>
        <v>-69209</v>
      </c>
      <c r="C919" s="16">
        <v>44.93</v>
      </c>
      <c r="D919" s="18">
        <f t="shared" si="59"/>
        <v>-26457</v>
      </c>
      <c r="E919" s="20">
        <f t="shared" si="56"/>
        <v>4</v>
      </c>
      <c r="F919" s="20">
        <f t="shared" si="57"/>
        <v>2024</v>
      </c>
      <c r="H919" s="17">
        <v>45405</v>
      </c>
      <c r="I919" s="16" t="str">
        <f t="shared" si="58"/>
        <v>OK</v>
      </c>
    </row>
    <row r="920" spans="1:9">
      <c r="A920" s="17">
        <v>45412</v>
      </c>
      <c r="B920" s="18">
        <f>Data!H935-Data!AC935</f>
        <v>-110478</v>
      </c>
      <c r="C920" s="16">
        <v>42.42</v>
      </c>
      <c r="D920" s="18">
        <f t="shared" si="59"/>
        <v>-41269</v>
      </c>
      <c r="E920" s="20">
        <f t="shared" si="56"/>
        <v>4</v>
      </c>
      <c r="F920" s="20">
        <f t="shared" si="57"/>
        <v>2024</v>
      </c>
      <c r="H920" s="17">
        <v>45412</v>
      </c>
      <c r="I920" s="16" t="str">
        <f t="shared" si="58"/>
        <v>OK</v>
      </c>
    </row>
    <row r="921" spans="1:9">
      <c r="A921" s="17">
        <v>45419</v>
      </c>
      <c r="B921" s="18">
        <f>Data!H936-Data!AC936</f>
        <v>-153697</v>
      </c>
      <c r="C921" s="16">
        <v>43.81</v>
      </c>
      <c r="D921" s="18">
        <f t="shared" si="59"/>
        <v>-43219</v>
      </c>
      <c r="E921" s="20">
        <f t="shared" si="56"/>
        <v>5</v>
      </c>
      <c r="F921" s="20">
        <f t="shared" si="57"/>
        <v>2024</v>
      </c>
      <c r="H921" s="17">
        <v>45419</v>
      </c>
      <c r="I921" s="16" t="str">
        <f t="shared" si="58"/>
        <v>OK</v>
      </c>
    </row>
    <row r="922" spans="1:9">
      <c r="A922" s="17">
        <v>45426</v>
      </c>
      <c r="B922" s="18">
        <f>Data!H937-Data!AC937</f>
        <v>-161022</v>
      </c>
      <c r="C922" s="16">
        <v>45.27</v>
      </c>
      <c r="D922" s="18">
        <f t="shared" si="59"/>
        <v>-7325</v>
      </c>
      <c r="E922" s="20">
        <f t="shared" si="56"/>
        <v>5</v>
      </c>
      <c r="F922" s="20">
        <f t="shared" si="57"/>
        <v>2024</v>
      </c>
      <c r="H922" s="17">
        <v>45426</v>
      </c>
      <c r="I922" s="16" t="str">
        <f t="shared" si="58"/>
        <v>OK</v>
      </c>
    </row>
    <row r="923" spans="1:9">
      <c r="A923" s="17">
        <v>45433</v>
      </c>
      <c r="B923" s="18">
        <f>Data!H938-Data!AC938</f>
        <v>-147465</v>
      </c>
      <c r="C923" s="16">
        <v>44.95</v>
      </c>
      <c r="D923" s="18">
        <f t="shared" si="59"/>
        <v>13557</v>
      </c>
      <c r="E923" s="20">
        <f t="shared" si="56"/>
        <v>5</v>
      </c>
      <c r="F923" s="20">
        <f t="shared" si="57"/>
        <v>2024</v>
      </c>
      <c r="H923" s="17">
        <v>45433</v>
      </c>
      <c r="I923" s="16" t="str">
        <f t="shared" si="58"/>
        <v>OK</v>
      </c>
    </row>
    <row r="924" spans="1:9">
      <c r="A924" s="17">
        <v>45440</v>
      </c>
      <c r="B924" s="18">
        <f>Data!H939-Data!AC939</f>
        <v>-160126</v>
      </c>
      <c r="C924" s="16">
        <v>45.52</v>
      </c>
      <c r="D924" s="18">
        <f t="shared" si="59"/>
        <v>-12661</v>
      </c>
      <c r="E924" s="20">
        <f t="shared" si="56"/>
        <v>5</v>
      </c>
      <c r="F924" s="20">
        <f t="shared" si="57"/>
        <v>2024</v>
      </c>
      <c r="H924" s="17">
        <v>45440</v>
      </c>
      <c r="I924" s="16" t="str">
        <f t="shared" si="58"/>
        <v>OK</v>
      </c>
    </row>
    <row r="925" spans="1:9">
      <c r="A925" s="17">
        <v>45447</v>
      </c>
      <c r="B925" s="18">
        <f>Data!H940-Data!AC940</f>
        <v>-158389</v>
      </c>
      <c r="C925" s="16">
        <v>43.63</v>
      </c>
      <c r="D925" s="18">
        <f t="shared" si="59"/>
        <v>1737</v>
      </c>
      <c r="E925" s="20">
        <f t="shared" si="56"/>
        <v>6</v>
      </c>
      <c r="F925" s="20">
        <f t="shared" si="57"/>
        <v>2024</v>
      </c>
      <c r="H925" s="17">
        <v>45447</v>
      </c>
      <c r="I925" s="16" t="str">
        <f t="shared" si="58"/>
        <v>OK</v>
      </c>
    </row>
    <row r="926" spans="1:9">
      <c r="A926" s="17">
        <v>45454</v>
      </c>
      <c r="B926" s="18">
        <f>Data!H941-Data!AC941</f>
        <v>-168751</v>
      </c>
      <c r="C926" s="16">
        <v>43.68</v>
      </c>
      <c r="D926" s="18">
        <f t="shared" si="59"/>
        <v>-10362</v>
      </c>
      <c r="E926" s="20">
        <f t="shared" si="56"/>
        <v>6</v>
      </c>
      <c r="F926" s="20">
        <f t="shared" si="57"/>
        <v>2024</v>
      </c>
      <c r="H926" s="17">
        <v>45454</v>
      </c>
      <c r="I926" s="16" t="str">
        <f t="shared" si="58"/>
        <v>OK</v>
      </c>
    </row>
    <row r="927" spans="1:9">
      <c r="A927" s="17">
        <v>45461</v>
      </c>
      <c r="B927" s="18">
        <f>Data!H942-Data!AC942</f>
        <v>-184252</v>
      </c>
      <c r="C927" s="16">
        <v>43.94</v>
      </c>
      <c r="D927" s="18">
        <f t="shared" si="59"/>
        <v>-15501</v>
      </c>
      <c r="E927" s="20">
        <f t="shared" si="56"/>
        <v>6</v>
      </c>
      <c r="F927" s="20">
        <f t="shared" si="57"/>
        <v>2024</v>
      </c>
      <c r="H927" s="17">
        <v>45461</v>
      </c>
      <c r="I927" s="16" t="str">
        <f t="shared" si="58"/>
        <v>OK</v>
      </c>
    </row>
    <row r="928" spans="1:9">
      <c r="A928" s="17">
        <v>45468</v>
      </c>
      <c r="B928" s="18">
        <f>Data!H943-Data!AC943</f>
        <v>-195850</v>
      </c>
      <c r="C928" s="16">
        <v>43.77</v>
      </c>
      <c r="D928" s="18">
        <f t="shared" si="59"/>
        <v>-11598</v>
      </c>
      <c r="E928" s="20">
        <f t="shared" si="56"/>
        <v>6</v>
      </c>
      <c r="F928" s="20">
        <f t="shared" si="57"/>
        <v>2024</v>
      </c>
      <c r="H928" s="17">
        <v>45468</v>
      </c>
      <c r="I928" s="16" t="str">
        <f t="shared" si="58"/>
        <v>OK</v>
      </c>
    </row>
    <row r="929" spans="1:9">
      <c r="A929" s="17">
        <v>45475</v>
      </c>
      <c r="B929" s="18">
        <f>Data!H944-Data!AC944</f>
        <v>-135313</v>
      </c>
      <c r="C929" s="16">
        <v>49.62</v>
      </c>
      <c r="D929" s="18">
        <f t="shared" si="59"/>
        <v>60537</v>
      </c>
      <c r="E929" s="20">
        <f t="shared" si="56"/>
        <v>7</v>
      </c>
      <c r="F929" s="20">
        <f t="shared" si="57"/>
        <v>2024</v>
      </c>
      <c r="H929" s="17">
        <v>45475</v>
      </c>
      <c r="I929" s="16" t="str">
        <f t="shared" si="58"/>
        <v>OK</v>
      </c>
    </row>
    <row r="930" spans="1:9">
      <c r="A930" s="17">
        <v>45482</v>
      </c>
      <c r="B930" s="18">
        <f>Data!H945-Data!AC945</f>
        <v>-77711</v>
      </c>
      <c r="C930" s="16">
        <v>47.55</v>
      </c>
      <c r="D930" s="18">
        <f t="shared" si="59"/>
        <v>57602</v>
      </c>
      <c r="E930" s="20">
        <f t="shared" si="56"/>
        <v>7</v>
      </c>
      <c r="F930" s="20">
        <f t="shared" si="57"/>
        <v>2024</v>
      </c>
      <c r="H930" s="17">
        <v>45482</v>
      </c>
      <c r="I930" s="16" t="str">
        <f t="shared" si="58"/>
        <v>OK</v>
      </c>
    </row>
    <row r="931" spans="1:9">
      <c r="A931" s="17">
        <v>45489</v>
      </c>
      <c r="B931" s="18">
        <f>Data!H946-Data!AC946</f>
        <v>-43564</v>
      </c>
      <c r="C931" s="16">
        <v>46.56</v>
      </c>
      <c r="D931" s="18">
        <f t="shared" si="59"/>
        <v>34147</v>
      </c>
      <c r="E931" s="20">
        <f t="shared" si="56"/>
        <v>7</v>
      </c>
      <c r="F931" s="20">
        <f t="shared" si="57"/>
        <v>2024</v>
      </c>
      <c r="H931" s="17">
        <v>45489</v>
      </c>
      <c r="I931" s="16" t="str">
        <f t="shared" si="58"/>
        <v>OK</v>
      </c>
    </row>
    <row r="932" spans="1:9">
      <c r="A932" s="17">
        <v>45496</v>
      </c>
      <c r="B932" s="18">
        <f>Data!H947-Data!AC947</f>
        <v>-44961</v>
      </c>
      <c r="C932" s="16">
        <v>43.66</v>
      </c>
      <c r="D932" s="18">
        <f t="shared" si="59"/>
        <v>-1397</v>
      </c>
      <c r="E932" s="20">
        <f t="shared" si="56"/>
        <v>7</v>
      </c>
      <c r="F932" s="20">
        <f t="shared" si="57"/>
        <v>2024</v>
      </c>
      <c r="H932" s="17">
        <v>45496</v>
      </c>
      <c r="I932" s="16" t="str">
        <f t="shared" si="58"/>
        <v>OK</v>
      </c>
    </row>
    <row r="933" spans="1:9">
      <c r="A933" s="17">
        <v>45503</v>
      </c>
      <c r="B933" s="18">
        <f>Data!H948-Data!AC948</f>
        <v>-91317</v>
      </c>
      <c r="C933" s="16">
        <v>41.71</v>
      </c>
      <c r="D933" s="18">
        <f t="shared" si="59"/>
        <v>-46356</v>
      </c>
      <c r="E933" s="20">
        <f t="shared" si="56"/>
        <v>7</v>
      </c>
      <c r="F933" s="20">
        <f t="shared" si="57"/>
        <v>2024</v>
      </c>
      <c r="H933" s="17">
        <v>45503</v>
      </c>
      <c r="I933" s="16" t="str">
        <f t="shared" si="58"/>
        <v>OK</v>
      </c>
    </row>
    <row r="934" spans="1:9">
      <c r="A934" s="17">
        <v>45510</v>
      </c>
      <c r="B934" s="18">
        <f>Data!H949-Data!AC949</f>
        <v>-121278</v>
      </c>
      <c r="C934" s="16">
        <v>42.74</v>
      </c>
      <c r="D934" s="18">
        <f t="shared" si="59"/>
        <v>-29961</v>
      </c>
      <c r="E934" s="20">
        <f t="shared" si="56"/>
        <v>8</v>
      </c>
      <c r="F934" s="20">
        <f t="shared" si="57"/>
        <v>2024</v>
      </c>
      <c r="H934" s="17">
        <v>45510</v>
      </c>
      <c r="I934" s="16" t="str">
        <f t="shared" si="58"/>
        <v>OK</v>
      </c>
    </row>
    <row r="935" spans="1:9">
      <c r="A935" s="17">
        <v>45517</v>
      </c>
      <c r="B935" s="18">
        <f>Data!H950-Data!AC950</f>
        <v>-81052</v>
      </c>
      <c r="C935" s="16">
        <v>39.950000000000003</v>
      </c>
      <c r="D935" s="18">
        <f t="shared" si="59"/>
        <v>40226</v>
      </c>
      <c r="E935" s="20">
        <f t="shared" si="56"/>
        <v>8</v>
      </c>
      <c r="F935" s="20">
        <f t="shared" si="57"/>
        <v>2024</v>
      </c>
      <c r="H935" s="17">
        <v>45517</v>
      </c>
      <c r="I935" s="16" t="str">
        <f t="shared" si="58"/>
        <v>OK</v>
      </c>
    </row>
    <row r="936" spans="1:9">
      <c r="A936" s="17">
        <v>45524</v>
      </c>
      <c r="B936" s="18">
        <f>Data!H951-Data!AC951</f>
        <v>-87980</v>
      </c>
      <c r="C936" s="16">
        <v>41.47</v>
      </c>
      <c r="D936" s="18">
        <f t="shared" si="59"/>
        <v>-6928</v>
      </c>
      <c r="E936" s="20">
        <f t="shared" si="56"/>
        <v>8</v>
      </c>
      <c r="F936" s="20">
        <f t="shared" si="57"/>
        <v>2024</v>
      </c>
      <c r="H936" s="17">
        <v>45524</v>
      </c>
      <c r="I936" s="16" t="str">
        <f t="shared" si="58"/>
        <v>OK</v>
      </c>
    </row>
    <row r="937" spans="1:9">
      <c r="A937" s="17">
        <v>45531</v>
      </c>
      <c r="B937" s="18">
        <f>Data!H952-Data!AC952</f>
        <v>-73408</v>
      </c>
      <c r="C937" s="16">
        <v>43.14</v>
      </c>
      <c r="D937" s="18">
        <f t="shared" si="59"/>
        <v>14572</v>
      </c>
      <c r="E937" s="20">
        <f t="shared" si="56"/>
        <v>8</v>
      </c>
      <c r="F937" s="20">
        <f t="shared" si="57"/>
        <v>2024</v>
      </c>
      <c r="H937" s="17">
        <v>45531</v>
      </c>
      <c r="I937" s="16" t="str">
        <f t="shared" si="58"/>
        <v>OK</v>
      </c>
    </row>
    <row r="938" spans="1:9">
      <c r="A938" s="17">
        <v>45538</v>
      </c>
      <c r="B938" s="18">
        <f>Data!H953-Data!AC953</f>
        <v>-70698</v>
      </c>
      <c r="C938" s="16">
        <v>40.770000000000003</v>
      </c>
      <c r="D938" s="18">
        <f t="shared" si="59"/>
        <v>2710</v>
      </c>
      <c r="E938" s="20">
        <f t="shared" si="56"/>
        <v>9</v>
      </c>
      <c r="F938" s="20">
        <f t="shared" si="57"/>
        <v>2024</v>
      </c>
      <c r="H938" s="17">
        <v>45538</v>
      </c>
      <c r="I938" s="16" t="str">
        <f t="shared" si="58"/>
        <v>OK</v>
      </c>
    </row>
    <row r="939" spans="1:9">
      <c r="A939" s="17">
        <v>45545</v>
      </c>
      <c r="B939" s="18">
        <f>Data!H954-Data!AC954</f>
        <v>-84665</v>
      </c>
      <c r="C939" s="16">
        <v>40.69</v>
      </c>
      <c r="D939" s="18">
        <f t="shared" si="59"/>
        <v>-13967</v>
      </c>
      <c r="E939" s="20">
        <f t="shared" si="56"/>
        <v>9</v>
      </c>
      <c r="F939" s="20">
        <f t="shared" si="57"/>
        <v>2024</v>
      </c>
      <c r="H939" s="17">
        <v>45545</v>
      </c>
      <c r="I939" s="16" t="str">
        <f t="shared" si="58"/>
        <v>OK</v>
      </c>
    </row>
    <row r="940" spans="1:9">
      <c r="A940" s="17">
        <v>45552</v>
      </c>
      <c r="B940" s="18">
        <f>Data!H955-Data!AC955</f>
        <v>-90346</v>
      </c>
      <c r="C940" s="16">
        <v>42.16</v>
      </c>
      <c r="D940" s="18">
        <f t="shared" si="59"/>
        <v>-5681</v>
      </c>
      <c r="E940" s="20">
        <f t="shared" si="56"/>
        <v>9</v>
      </c>
      <c r="F940" s="20">
        <f t="shared" si="57"/>
        <v>2024</v>
      </c>
      <c r="H940" s="17">
        <v>45552</v>
      </c>
      <c r="I940" s="16" t="str">
        <f t="shared" si="58"/>
        <v>OK</v>
      </c>
    </row>
    <row r="941" spans="1:9">
      <c r="A941" s="17">
        <v>45559</v>
      </c>
      <c r="B941" s="18">
        <f>Data!H956-Data!AC956</f>
        <v>-77115</v>
      </c>
      <c r="C941" s="16">
        <v>42.18</v>
      </c>
      <c r="D941" s="18">
        <f t="shared" si="59"/>
        <v>13231</v>
      </c>
      <c r="E941" s="20">
        <f t="shared" si="56"/>
        <v>9</v>
      </c>
      <c r="F941" s="20">
        <f t="shared" si="57"/>
        <v>2024</v>
      </c>
      <c r="H941" s="17">
        <v>45559</v>
      </c>
      <c r="I941" s="16" t="str">
        <f t="shared" si="58"/>
        <v>OK</v>
      </c>
    </row>
    <row r="942" spans="1:9">
      <c r="A942" s="17">
        <v>45566</v>
      </c>
      <c r="B942" s="18">
        <f>Data!H957-Data!AC957</f>
        <v>-87406</v>
      </c>
      <c r="C942" s="16">
        <v>44.04</v>
      </c>
      <c r="D942" s="18">
        <f t="shared" si="59"/>
        <v>-10291</v>
      </c>
      <c r="E942" s="20">
        <f t="shared" si="56"/>
        <v>10</v>
      </c>
      <c r="F942" s="20">
        <f t="shared" si="57"/>
        <v>2024</v>
      </c>
      <c r="H942" s="17">
        <v>45566</v>
      </c>
      <c r="I942" s="16" t="str">
        <f t="shared" si="58"/>
        <v>OK</v>
      </c>
    </row>
    <row r="943" spans="1:9">
      <c r="A943" s="17">
        <v>45573</v>
      </c>
      <c r="B943" s="18">
        <f>Data!H958-Data!AC958</f>
        <v>-64085</v>
      </c>
      <c r="C943" s="16">
        <v>43.44</v>
      </c>
      <c r="D943" s="18">
        <f t="shared" si="59"/>
        <v>23321</v>
      </c>
      <c r="E943" s="20">
        <f t="shared" si="56"/>
        <v>10</v>
      </c>
      <c r="F943" s="20">
        <f t="shared" si="57"/>
        <v>2024</v>
      </c>
      <c r="H943" s="17">
        <v>45573</v>
      </c>
      <c r="I943" s="16" t="str">
        <f t="shared" si="58"/>
        <v>OK</v>
      </c>
    </row>
    <row r="944" spans="1:9">
      <c r="A944" s="17">
        <v>45580</v>
      </c>
      <c r="B944" s="18">
        <f>Data!H959-Data!AC959</f>
        <v>-28773</v>
      </c>
      <c r="C944" s="16">
        <v>41.82</v>
      </c>
      <c r="D944" s="18">
        <f t="shared" si="59"/>
        <v>35312</v>
      </c>
      <c r="E944" s="20">
        <f t="shared" si="56"/>
        <v>10</v>
      </c>
      <c r="F944" s="20">
        <f t="shared" si="57"/>
        <v>2024</v>
      </c>
      <c r="H944" s="17">
        <v>45580</v>
      </c>
      <c r="I944" s="16" t="str">
        <f t="shared" si="58"/>
        <v>OK</v>
      </c>
    </row>
    <row r="945" spans="1:9">
      <c r="A945" s="17">
        <v>45587</v>
      </c>
      <c r="B945" s="18">
        <f>Data!H960-Data!AC960</f>
        <v>-15799</v>
      </c>
      <c r="C945" s="16">
        <v>44.15</v>
      </c>
      <c r="D945" s="18">
        <f t="shared" si="59"/>
        <v>12974</v>
      </c>
      <c r="E945" s="20">
        <f t="shared" si="56"/>
        <v>10</v>
      </c>
      <c r="F945" s="20">
        <f t="shared" si="57"/>
        <v>2024</v>
      </c>
      <c r="H945" s="17">
        <v>45587</v>
      </c>
      <c r="I945" s="16" t="str">
        <f t="shared" si="58"/>
        <v>OK</v>
      </c>
    </row>
    <row r="946" spans="1:9">
      <c r="A946" s="17">
        <v>45594</v>
      </c>
      <c r="B946" s="18">
        <f>Data!H961-Data!AC961</f>
        <v>24629</v>
      </c>
      <c r="C946" s="16">
        <v>46.3</v>
      </c>
      <c r="D946" s="18">
        <f t="shared" si="59"/>
        <v>40428</v>
      </c>
      <c r="E946" s="20">
        <f t="shared" si="56"/>
        <v>10</v>
      </c>
      <c r="F946" s="20">
        <f t="shared" si="57"/>
        <v>2024</v>
      </c>
      <c r="H946" s="17">
        <v>45594</v>
      </c>
      <c r="I946" s="16" t="str">
        <f t="shared" si="58"/>
        <v>OK</v>
      </c>
    </row>
    <row r="947" spans="1:9">
      <c r="A947" s="17">
        <v>45601</v>
      </c>
      <c r="B947" s="18">
        <f>Data!H962-Data!AC962</f>
        <v>71837</v>
      </c>
      <c r="C947" s="16">
        <v>48.77</v>
      </c>
      <c r="D947" s="18">
        <f t="shared" si="59"/>
        <v>47208</v>
      </c>
      <c r="E947" s="20">
        <f t="shared" si="56"/>
        <v>11</v>
      </c>
      <c r="F947" s="20">
        <f t="shared" si="57"/>
        <v>2024</v>
      </c>
      <c r="H947" s="17">
        <v>45601</v>
      </c>
      <c r="I947" s="16" t="str">
        <f t="shared" si="58"/>
        <v>OK</v>
      </c>
    </row>
    <row r="948" spans="1:9">
      <c r="A948" s="17">
        <v>45608</v>
      </c>
      <c r="B948" s="18">
        <f>Data!H963-Data!AC963</f>
        <v>102775</v>
      </c>
      <c r="C948" s="16">
        <v>45.35</v>
      </c>
      <c r="D948" s="18">
        <f t="shared" si="59"/>
        <v>30938</v>
      </c>
      <c r="E948" s="20">
        <f t="shared" si="56"/>
        <v>11</v>
      </c>
      <c r="F948" s="20">
        <f t="shared" si="57"/>
        <v>2024</v>
      </c>
      <c r="H948" s="17">
        <v>45608</v>
      </c>
      <c r="I948" s="16" t="str">
        <f t="shared" si="58"/>
        <v>OK</v>
      </c>
    </row>
    <row r="949" spans="1:9">
      <c r="A949" s="17">
        <v>45615</v>
      </c>
      <c r="B949" s="18">
        <f>Data!H964-Data!AC964</f>
        <v>119760</v>
      </c>
      <c r="C949" s="16">
        <v>41.77</v>
      </c>
      <c r="D949" s="18">
        <f t="shared" si="59"/>
        <v>16985</v>
      </c>
      <c r="E949" s="20">
        <f t="shared" si="56"/>
        <v>11</v>
      </c>
      <c r="F949" s="20">
        <f t="shared" si="57"/>
        <v>2024</v>
      </c>
      <c r="H949" s="17">
        <v>45615</v>
      </c>
      <c r="I949" s="16" t="str">
        <f t="shared" si="58"/>
        <v>OK</v>
      </c>
    </row>
    <row r="950" spans="1:9">
      <c r="A950" s="17">
        <v>45622</v>
      </c>
      <c r="B950" s="18">
        <f>Data!H965-Data!AC965</f>
        <v>98609</v>
      </c>
      <c r="C950" s="16">
        <v>41.61</v>
      </c>
      <c r="D950" s="18">
        <f t="shared" si="59"/>
        <v>-21151</v>
      </c>
      <c r="E950" s="20">
        <f t="shared" si="56"/>
        <v>11</v>
      </c>
      <c r="F950" s="20">
        <f t="shared" si="57"/>
        <v>2024</v>
      </c>
      <c r="H950" s="17">
        <v>45622</v>
      </c>
      <c r="I950" s="16" t="str">
        <f t="shared" si="58"/>
        <v>OK</v>
      </c>
    </row>
    <row r="951" spans="1:9">
      <c r="A951" s="17">
        <v>45629</v>
      </c>
      <c r="B951" s="18">
        <f>Data!H966-Data!AC966</f>
        <v>82726</v>
      </c>
      <c r="C951" s="16">
        <v>42.78</v>
      </c>
      <c r="D951" s="18">
        <f t="shared" si="59"/>
        <v>-15883</v>
      </c>
      <c r="E951" s="20">
        <f t="shared" si="56"/>
        <v>12</v>
      </c>
      <c r="F951" s="20">
        <f t="shared" si="57"/>
        <v>2024</v>
      </c>
      <c r="H951" s="17">
        <v>45629</v>
      </c>
      <c r="I951" s="16" t="str">
        <f t="shared" si="58"/>
        <v>OK</v>
      </c>
    </row>
    <row r="952" spans="1:9">
      <c r="A952" s="17">
        <v>45636</v>
      </c>
      <c r="B952" s="18">
        <f>Data!H967-Data!AC967</f>
        <v>89946</v>
      </c>
      <c r="C952" s="16" t="e">
        <f>RTD("prophetx.rtdserver","","HISTORY","@BO@C","WEEKLY","1",A952,"0","Close","0")</f>
        <v>#N/A</v>
      </c>
      <c r="D952" s="18">
        <f t="shared" si="59"/>
        <v>7220</v>
      </c>
      <c r="E952" s="20">
        <f t="shared" si="56"/>
        <v>12</v>
      </c>
      <c r="F952" s="20">
        <f t="shared" si="57"/>
        <v>2024</v>
      </c>
      <c r="H952" s="17">
        <v>45636</v>
      </c>
      <c r="I952" s="16" t="str">
        <f t="shared" si="58"/>
        <v>OK</v>
      </c>
    </row>
    <row r="1000" spans="1:1" s="21" customFormat="1">
      <c r="A1000" s="2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4406-F0BC-4D6F-BF38-FB84BB441211}">
  <dimension ref="A1:E223"/>
  <sheetViews>
    <sheetView workbookViewId="0">
      <selection activeCell="A3" sqref="A3:BJ9"/>
    </sheetView>
  </sheetViews>
  <sheetFormatPr defaultColWidth="9.140625" defaultRowHeight="12"/>
  <cols>
    <col min="1" max="1" width="10.140625" style="16" bestFit="1" customWidth="1"/>
    <col min="2" max="2" width="9.85546875" style="18" bestFit="1" customWidth="1"/>
    <col min="3" max="3" width="9.140625" style="16"/>
    <col min="4" max="5" width="9.28515625" style="16" bestFit="1" customWidth="1"/>
    <col min="6" max="16384" width="9.140625" style="16"/>
  </cols>
  <sheetData>
    <row r="1" spans="1:5" ht="45">
      <c r="B1" s="22" t="s">
        <v>27</v>
      </c>
      <c r="C1" s="23" t="s">
        <v>28</v>
      </c>
      <c r="D1" s="23" t="s">
        <v>29</v>
      </c>
      <c r="E1" s="23" t="s">
        <v>30</v>
      </c>
    </row>
    <row r="2" spans="1:5">
      <c r="A2" s="24">
        <v>38961</v>
      </c>
      <c r="B2" s="18">
        <f>AVERAGEIFS('Oil Share Data'!$B$2:$B$2000,'Oil Share Data'!$E$2:$E$2000,'MM Avg Monthly Position'!$D2,'Oil Share Data'!$F$2:$F$2000,'MM Avg Monthly Position'!$E2)</f>
        <v>53200.25</v>
      </c>
      <c r="C2" s="25">
        <f>AVERAGEIFS('Oil Share Data'!$C$2:$C$2000,'Oil Share Data'!$E$2:$E$2000,'MM Avg Monthly Position'!$D2,'Oil Share Data'!$F$2:$F$2000,'MM Avg Monthly Position'!$E2)</f>
        <v>24.2075</v>
      </c>
      <c r="D2" s="26">
        <f t="shared" ref="D2:D65" si="0">MONTH(A2)</f>
        <v>9</v>
      </c>
      <c r="E2" s="26">
        <f t="shared" ref="E2:E65" si="1">YEAR(A2)</f>
        <v>2006</v>
      </c>
    </row>
    <row r="3" spans="1:5">
      <c r="A3" s="24">
        <v>38991</v>
      </c>
      <c r="B3" s="18">
        <f>AVERAGEIFS('Oil Share Data'!$B$2:$B$2000,'Oil Share Data'!$E$2:$E$2000,'MM Avg Monthly Position'!$D3,'Oil Share Data'!$F$2:$F$2000,'MM Avg Monthly Position'!$E3)</f>
        <v>20275.599999999999</v>
      </c>
      <c r="C3" s="25">
        <f>AVERAGEIFS('Oil Share Data'!$C$2:$C$2000,'Oil Share Data'!$E$2:$E$2000,'MM Avg Monthly Position'!$D3,'Oil Share Data'!$F$2:$F$2000,'MM Avg Monthly Position'!$E3)</f>
        <v>26.034000000000002</v>
      </c>
      <c r="D3" s="26">
        <f t="shared" si="0"/>
        <v>10</v>
      </c>
      <c r="E3" s="26">
        <f t="shared" si="1"/>
        <v>2006</v>
      </c>
    </row>
    <row r="4" spans="1:5">
      <c r="A4" s="24">
        <v>39022</v>
      </c>
      <c r="B4" s="18">
        <f>AVERAGEIFS('Oil Share Data'!$B$2:$B$2000,'Oil Share Data'!$E$2:$E$2000,'MM Avg Monthly Position'!$D4,'Oil Share Data'!$F$2:$F$2000,'MM Avg Monthly Position'!$E4)</f>
        <v>24785</v>
      </c>
      <c r="C4" s="25">
        <f>AVERAGEIFS('Oil Share Data'!$C$2:$C$2000,'Oil Share Data'!$E$2:$E$2000,'MM Avg Monthly Position'!$D4,'Oil Share Data'!$F$2:$F$2000,'MM Avg Monthly Position'!$E4)</f>
        <v>28.522500000000001</v>
      </c>
      <c r="D4" s="26">
        <f t="shared" si="0"/>
        <v>11</v>
      </c>
      <c r="E4" s="26">
        <f t="shared" si="1"/>
        <v>2006</v>
      </c>
    </row>
    <row r="5" spans="1:5">
      <c r="A5" s="24">
        <v>39052</v>
      </c>
      <c r="B5" s="18">
        <f>AVERAGEIFS('Oil Share Data'!$B$2:$B$2000,'Oil Share Data'!$E$2:$E$2000,'MM Avg Monthly Position'!$D5,'Oil Share Data'!$F$2:$F$2000,'MM Avg Monthly Position'!$E5)</f>
        <v>38670</v>
      </c>
      <c r="C5" s="25">
        <f>AVERAGEIFS('Oil Share Data'!$C$2:$C$2000,'Oil Share Data'!$E$2:$E$2000,'MM Avg Monthly Position'!$D5,'Oil Share Data'!$F$2:$F$2000,'MM Avg Monthly Position'!$E5)</f>
        <v>28.5275</v>
      </c>
      <c r="D5" s="26">
        <f t="shared" si="0"/>
        <v>12</v>
      </c>
      <c r="E5" s="26">
        <f t="shared" si="1"/>
        <v>2006</v>
      </c>
    </row>
    <row r="6" spans="1:5">
      <c r="A6" s="24">
        <v>39083</v>
      </c>
      <c r="B6" s="18">
        <f>AVERAGEIFS('Oil Share Data'!$B$2:$B$2000,'Oil Share Data'!$E$2:$E$2000,'MM Avg Monthly Position'!$D6,'Oil Share Data'!$F$2:$F$2000,'MM Avg Monthly Position'!$E6)</f>
        <v>29169.599999999999</v>
      </c>
      <c r="C6" s="25">
        <f>AVERAGEIFS('Oil Share Data'!$C$2:$C$2000,'Oil Share Data'!$E$2:$E$2000,'MM Avg Monthly Position'!$D6,'Oil Share Data'!$F$2:$F$2000,'MM Avg Monthly Position'!$E6)</f>
        <v>29.173999999999999</v>
      </c>
      <c r="D6" s="26">
        <f t="shared" si="0"/>
        <v>1</v>
      </c>
      <c r="E6" s="26">
        <f t="shared" si="1"/>
        <v>2007</v>
      </c>
    </row>
    <row r="7" spans="1:5">
      <c r="A7" s="24">
        <v>39114</v>
      </c>
      <c r="B7" s="18">
        <f>AVERAGEIFS('Oil Share Data'!$B$2:$B$2000,'Oil Share Data'!$E$2:$E$2000,'MM Avg Monthly Position'!$D7,'Oil Share Data'!$F$2:$F$2000,'MM Avg Monthly Position'!$E7)</f>
        <v>15775.25</v>
      </c>
      <c r="C7" s="25">
        <f>AVERAGEIFS('Oil Share Data'!$C$2:$C$2000,'Oil Share Data'!$E$2:$E$2000,'MM Avg Monthly Position'!$D7,'Oil Share Data'!$F$2:$F$2000,'MM Avg Monthly Position'!$E7)</f>
        <v>30.0825</v>
      </c>
      <c r="D7" s="26">
        <f t="shared" si="0"/>
        <v>2</v>
      </c>
      <c r="E7" s="26">
        <f t="shared" si="1"/>
        <v>2007</v>
      </c>
    </row>
    <row r="8" spans="1:5">
      <c r="A8" s="24">
        <v>39142</v>
      </c>
      <c r="B8" s="18">
        <f>AVERAGEIFS('Oil Share Data'!$B$2:$B$2000,'Oil Share Data'!$E$2:$E$2000,'MM Avg Monthly Position'!$D8,'Oil Share Data'!$F$2:$F$2000,'MM Avg Monthly Position'!$E8)</f>
        <v>30371.75</v>
      </c>
      <c r="C8" s="25">
        <f>AVERAGEIFS('Oil Share Data'!$C$2:$C$2000,'Oil Share Data'!$E$2:$E$2000,'MM Avg Monthly Position'!$D8,'Oil Share Data'!$F$2:$F$2000,'MM Avg Monthly Position'!$E8)</f>
        <v>31.357499999999995</v>
      </c>
      <c r="D8" s="26">
        <f t="shared" si="0"/>
        <v>3</v>
      </c>
      <c r="E8" s="26">
        <f t="shared" si="1"/>
        <v>2007</v>
      </c>
    </row>
    <row r="9" spans="1:5">
      <c r="A9" s="24">
        <v>39173</v>
      </c>
      <c r="B9" s="18">
        <f>AVERAGEIFS('Oil Share Data'!$B$2:$B$2000,'Oil Share Data'!$E$2:$E$2000,'MM Avg Monthly Position'!$D9,'Oil Share Data'!$F$2:$F$2000,'MM Avg Monthly Position'!$E9)</f>
        <v>60083.75</v>
      </c>
      <c r="C9" s="25">
        <f>AVERAGEIFS('Oil Share Data'!$C$2:$C$2000,'Oil Share Data'!$E$2:$E$2000,'MM Avg Monthly Position'!$D9,'Oil Share Data'!$F$2:$F$2000,'MM Avg Monthly Position'!$E9)</f>
        <v>32.667500000000004</v>
      </c>
      <c r="D9" s="26">
        <f t="shared" si="0"/>
        <v>4</v>
      </c>
      <c r="E9" s="26">
        <f t="shared" si="1"/>
        <v>2007</v>
      </c>
    </row>
    <row r="10" spans="1:5">
      <c r="A10" s="24">
        <v>39203</v>
      </c>
      <c r="B10" s="18">
        <f>AVERAGEIFS('Oil Share Data'!$B$2:$B$2000,'Oil Share Data'!$E$2:$E$2000,'MM Avg Monthly Position'!$D10,'Oil Share Data'!$F$2:$F$2000,'MM Avg Monthly Position'!$E10)</f>
        <v>60969.8</v>
      </c>
      <c r="C10" s="25">
        <f>AVERAGEIFS('Oil Share Data'!$C$2:$C$2000,'Oil Share Data'!$E$2:$E$2000,'MM Avg Monthly Position'!$D10,'Oil Share Data'!$F$2:$F$2000,'MM Avg Monthly Position'!$E10)</f>
        <v>34.724000000000004</v>
      </c>
      <c r="D10" s="26">
        <f t="shared" si="0"/>
        <v>5</v>
      </c>
      <c r="E10" s="26">
        <f t="shared" si="1"/>
        <v>2007</v>
      </c>
    </row>
    <row r="11" spans="1:5">
      <c r="A11" s="24">
        <v>39234</v>
      </c>
      <c r="B11" s="18">
        <f>AVERAGEIFS('Oil Share Data'!$B$2:$B$2000,'Oil Share Data'!$E$2:$E$2000,'MM Avg Monthly Position'!$D11,'Oil Share Data'!$F$2:$F$2000,'MM Avg Monthly Position'!$E11)</f>
        <v>36824.5</v>
      </c>
      <c r="C11" s="25">
        <f>AVERAGEIFS('Oil Share Data'!$C$2:$C$2000,'Oil Share Data'!$E$2:$E$2000,'MM Avg Monthly Position'!$D11,'Oil Share Data'!$F$2:$F$2000,'MM Avg Monthly Position'!$E11)</f>
        <v>35.652499999999996</v>
      </c>
      <c r="D11" s="26">
        <f t="shared" si="0"/>
        <v>6</v>
      </c>
      <c r="E11" s="26">
        <f t="shared" si="1"/>
        <v>2007</v>
      </c>
    </row>
    <row r="12" spans="1:5">
      <c r="A12" s="24">
        <v>39264</v>
      </c>
      <c r="B12" s="18">
        <f>AVERAGEIFS('Oil Share Data'!$B$2:$B$2000,'Oil Share Data'!$E$2:$E$2000,'MM Avg Monthly Position'!$D12,'Oil Share Data'!$F$2:$F$2000,'MM Avg Monthly Position'!$E12)</f>
        <v>23949</v>
      </c>
      <c r="C12" s="25">
        <f>AVERAGEIFS('Oil Share Data'!$C$2:$C$2000,'Oil Share Data'!$E$2:$E$2000,'MM Avg Monthly Position'!$D12,'Oil Share Data'!$F$2:$F$2000,'MM Avg Monthly Position'!$E12)</f>
        <v>37.29</v>
      </c>
      <c r="D12" s="26">
        <f t="shared" si="0"/>
        <v>7</v>
      </c>
      <c r="E12" s="26">
        <f t="shared" si="1"/>
        <v>2007</v>
      </c>
    </row>
    <row r="13" spans="1:5">
      <c r="A13" s="24">
        <v>39295</v>
      </c>
      <c r="B13" s="18">
        <f>AVERAGEIFS('Oil Share Data'!$B$2:$B$2000,'Oil Share Data'!$E$2:$E$2000,'MM Avg Monthly Position'!$D13,'Oil Share Data'!$F$2:$F$2000,'MM Avg Monthly Position'!$E13)</f>
        <v>-781.5</v>
      </c>
      <c r="C13" s="25">
        <f>AVERAGEIFS('Oil Share Data'!$C$2:$C$2000,'Oil Share Data'!$E$2:$E$2000,'MM Avg Monthly Position'!$D13,'Oil Share Data'!$F$2:$F$2000,'MM Avg Monthly Position'!$E13)</f>
        <v>36.032499999999999</v>
      </c>
      <c r="D13" s="26">
        <f t="shared" si="0"/>
        <v>8</v>
      </c>
      <c r="E13" s="26">
        <f t="shared" si="1"/>
        <v>2007</v>
      </c>
    </row>
    <row r="14" spans="1:5">
      <c r="A14" s="24">
        <v>39326</v>
      </c>
      <c r="B14" s="18">
        <f>AVERAGEIFS('Oil Share Data'!$B$2:$B$2000,'Oil Share Data'!$E$2:$E$2000,'MM Avg Monthly Position'!$D14,'Oil Share Data'!$F$2:$F$2000,'MM Avg Monthly Position'!$E14)</f>
        <v>-5390</v>
      </c>
      <c r="C14" s="25">
        <f>AVERAGEIFS('Oil Share Data'!$C$2:$C$2000,'Oil Share Data'!$E$2:$E$2000,'MM Avg Monthly Position'!$D14,'Oil Share Data'!$F$2:$F$2000,'MM Avg Monthly Position'!$E14)</f>
        <v>38.782500000000006</v>
      </c>
      <c r="D14" s="26">
        <f t="shared" si="0"/>
        <v>9</v>
      </c>
      <c r="E14" s="26">
        <f t="shared" si="1"/>
        <v>2007</v>
      </c>
    </row>
    <row r="15" spans="1:5">
      <c r="A15" s="24">
        <v>39356</v>
      </c>
      <c r="B15" s="18">
        <f>AVERAGEIFS('Oil Share Data'!$B$2:$B$2000,'Oil Share Data'!$E$2:$E$2000,'MM Avg Monthly Position'!$D15,'Oil Share Data'!$F$2:$F$2000,'MM Avg Monthly Position'!$E15)</f>
        <v>-3880.8</v>
      </c>
      <c r="C15" s="25">
        <f>AVERAGEIFS('Oil Share Data'!$C$2:$C$2000,'Oil Share Data'!$E$2:$E$2000,'MM Avg Monthly Position'!$D15,'Oil Share Data'!$F$2:$F$2000,'MM Avg Monthly Position'!$E15)</f>
        <v>40.491999999999997</v>
      </c>
      <c r="D15" s="26">
        <f t="shared" si="0"/>
        <v>10</v>
      </c>
      <c r="E15" s="26">
        <f t="shared" si="1"/>
        <v>2007</v>
      </c>
    </row>
    <row r="16" spans="1:5">
      <c r="A16" s="24">
        <v>39387</v>
      </c>
      <c r="B16" s="18">
        <f>AVERAGEIFS('Oil Share Data'!$B$2:$B$2000,'Oil Share Data'!$E$2:$E$2000,'MM Avg Monthly Position'!$D16,'Oil Share Data'!$F$2:$F$2000,'MM Avg Monthly Position'!$E16)</f>
        <v>-7682</v>
      </c>
      <c r="C16" s="25">
        <f>AVERAGEIFS('Oil Share Data'!$C$2:$C$2000,'Oil Share Data'!$E$2:$E$2000,'MM Avg Monthly Position'!$D16,'Oil Share Data'!$F$2:$F$2000,'MM Avg Monthly Position'!$E16)</f>
        <v>45.552499999999995</v>
      </c>
      <c r="D16" s="26">
        <f t="shared" si="0"/>
        <v>11</v>
      </c>
      <c r="E16" s="26">
        <f t="shared" si="1"/>
        <v>2007</v>
      </c>
    </row>
    <row r="17" spans="1:5">
      <c r="A17" s="24">
        <v>39417</v>
      </c>
      <c r="B17" s="18">
        <f>AVERAGEIFS('Oil Share Data'!$B$2:$B$2000,'Oil Share Data'!$E$2:$E$2000,'MM Avg Monthly Position'!$D17,'Oil Share Data'!$F$2:$F$2000,'MM Avg Monthly Position'!$E17)</f>
        <v>-21456.333333333332</v>
      </c>
      <c r="C17" s="25">
        <f>AVERAGEIFS('Oil Share Data'!$C$2:$C$2000,'Oil Share Data'!$E$2:$E$2000,'MM Avg Monthly Position'!$D17,'Oil Share Data'!$F$2:$F$2000,'MM Avg Monthly Position'!$E17)</f>
        <v>46.1</v>
      </c>
      <c r="D17" s="26">
        <f t="shared" si="0"/>
        <v>12</v>
      </c>
      <c r="E17" s="26">
        <f t="shared" si="1"/>
        <v>2007</v>
      </c>
    </row>
    <row r="18" spans="1:5">
      <c r="A18" s="24">
        <v>39448</v>
      </c>
      <c r="B18" s="18">
        <f>AVERAGEIFS('Oil Share Data'!$B$2:$B$2000,'Oil Share Data'!$E$2:$E$2000,'MM Avg Monthly Position'!$D18,'Oil Share Data'!$F$2:$F$2000,'MM Avg Monthly Position'!$E18)</f>
        <v>-5105.75</v>
      </c>
      <c r="C18" s="25">
        <f>AVERAGEIFS('Oil Share Data'!$C$2:$C$2000,'Oil Share Data'!$E$2:$E$2000,'MM Avg Monthly Position'!$D18,'Oil Share Data'!$F$2:$F$2000,'MM Avg Monthly Position'!$E18)</f>
        <v>52.842500000000001</v>
      </c>
      <c r="D18" s="26">
        <f t="shared" si="0"/>
        <v>1</v>
      </c>
      <c r="E18" s="26">
        <f t="shared" si="1"/>
        <v>2008</v>
      </c>
    </row>
    <row r="19" spans="1:5">
      <c r="A19" s="24">
        <v>39479</v>
      </c>
      <c r="B19" s="18">
        <f>AVERAGEIFS('Oil Share Data'!$B$2:$B$2000,'Oil Share Data'!$E$2:$E$2000,'MM Avg Monthly Position'!$D19,'Oil Share Data'!$F$2:$F$2000,'MM Avg Monthly Position'!$E19)</f>
        <v>-3071</v>
      </c>
      <c r="C19" s="25">
        <f>AVERAGEIFS('Oil Share Data'!$C$2:$C$2000,'Oil Share Data'!$E$2:$E$2000,'MM Avg Monthly Position'!$D19,'Oil Share Data'!$F$2:$F$2000,'MM Avg Monthly Position'!$E19)</f>
        <v>61.110000000000007</v>
      </c>
      <c r="D19" s="26">
        <f t="shared" si="0"/>
        <v>2</v>
      </c>
      <c r="E19" s="26">
        <f t="shared" si="1"/>
        <v>2008</v>
      </c>
    </row>
    <row r="20" spans="1:5">
      <c r="A20" s="24">
        <v>39508</v>
      </c>
      <c r="B20" s="18">
        <f>AVERAGEIFS('Oil Share Data'!$B$2:$B$2000,'Oil Share Data'!$E$2:$E$2000,'MM Avg Monthly Position'!$D20,'Oil Share Data'!$F$2:$F$2000,'MM Avg Monthly Position'!$E20)</f>
        <v>-7458.25</v>
      </c>
      <c r="C20" s="25">
        <f>AVERAGEIFS('Oil Share Data'!$C$2:$C$2000,'Oil Share Data'!$E$2:$E$2000,'MM Avg Monthly Position'!$D20,'Oil Share Data'!$F$2:$F$2000,'MM Avg Monthly Position'!$E20)</f>
        <v>57.407499999999999</v>
      </c>
      <c r="D20" s="26">
        <f t="shared" si="0"/>
        <v>3</v>
      </c>
      <c r="E20" s="26">
        <f t="shared" si="1"/>
        <v>2008</v>
      </c>
    </row>
    <row r="21" spans="1:5">
      <c r="A21" s="24">
        <v>39539</v>
      </c>
      <c r="B21" s="18">
        <f>AVERAGEIFS('Oil Share Data'!$B$2:$B$2000,'Oil Share Data'!$E$2:$E$2000,'MM Avg Monthly Position'!$D21,'Oil Share Data'!$F$2:$F$2000,'MM Avg Monthly Position'!$E21)</f>
        <v>-9815.4</v>
      </c>
      <c r="C21" s="25">
        <f>AVERAGEIFS('Oil Share Data'!$C$2:$C$2000,'Oil Share Data'!$E$2:$E$2000,'MM Avg Monthly Position'!$D21,'Oil Share Data'!$F$2:$F$2000,'MM Avg Monthly Position'!$E21)</f>
        <v>58.634</v>
      </c>
      <c r="D21" s="26">
        <f t="shared" si="0"/>
        <v>4</v>
      </c>
      <c r="E21" s="26">
        <f t="shared" si="1"/>
        <v>2008</v>
      </c>
    </row>
    <row r="22" spans="1:5">
      <c r="A22" s="24">
        <v>39569</v>
      </c>
      <c r="B22" s="18">
        <f>AVERAGEIFS('Oil Share Data'!$B$2:$B$2000,'Oil Share Data'!$E$2:$E$2000,'MM Avg Monthly Position'!$D22,'Oil Share Data'!$F$2:$F$2000,'MM Avg Monthly Position'!$E22)</f>
        <v>-7678.5</v>
      </c>
      <c r="C22" s="25">
        <f>AVERAGEIFS('Oil Share Data'!$C$2:$C$2000,'Oil Share Data'!$E$2:$E$2000,'MM Avg Monthly Position'!$D22,'Oil Share Data'!$F$2:$F$2000,'MM Avg Monthly Position'!$E22)</f>
        <v>62.0625</v>
      </c>
      <c r="D22" s="26">
        <f t="shared" si="0"/>
        <v>5</v>
      </c>
      <c r="E22" s="26">
        <f t="shared" si="1"/>
        <v>2008</v>
      </c>
    </row>
    <row r="23" spans="1:5">
      <c r="A23" s="24">
        <v>39600</v>
      </c>
      <c r="B23" s="18">
        <f>AVERAGEIFS('Oil Share Data'!$B$2:$B$2000,'Oil Share Data'!$E$2:$E$2000,'MM Avg Monthly Position'!$D23,'Oil Share Data'!$F$2:$F$2000,'MM Avg Monthly Position'!$E23)</f>
        <v>-23674.5</v>
      </c>
      <c r="C23" s="25">
        <f>AVERAGEIFS('Oil Share Data'!$C$2:$C$2000,'Oil Share Data'!$E$2:$E$2000,'MM Avg Monthly Position'!$D23,'Oil Share Data'!$F$2:$F$2000,'MM Avg Monthly Position'!$E23)</f>
        <v>64.995000000000005</v>
      </c>
      <c r="D23" s="26">
        <f t="shared" si="0"/>
        <v>6</v>
      </c>
      <c r="E23" s="26">
        <f t="shared" si="1"/>
        <v>2008</v>
      </c>
    </row>
    <row r="24" spans="1:5">
      <c r="A24" s="24">
        <v>39630</v>
      </c>
      <c r="B24" s="18">
        <f>AVERAGEIFS('Oil Share Data'!$B$2:$B$2000,'Oil Share Data'!$E$2:$E$2000,'MM Avg Monthly Position'!$D24,'Oil Share Data'!$F$2:$F$2000,'MM Avg Monthly Position'!$E24)</f>
        <v>-25999.599999999999</v>
      </c>
      <c r="C24" s="25">
        <f>AVERAGEIFS('Oil Share Data'!$C$2:$C$2000,'Oil Share Data'!$E$2:$E$2000,'MM Avg Monthly Position'!$D24,'Oil Share Data'!$F$2:$F$2000,'MM Avg Monthly Position'!$E24)</f>
        <v>61.936</v>
      </c>
      <c r="D24" s="26">
        <f t="shared" si="0"/>
        <v>7</v>
      </c>
      <c r="E24" s="26">
        <f t="shared" si="1"/>
        <v>2008</v>
      </c>
    </row>
    <row r="25" spans="1:5">
      <c r="A25" s="24">
        <v>39661</v>
      </c>
      <c r="B25" s="18">
        <f>AVERAGEIFS('Oil Share Data'!$B$2:$B$2000,'Oil Share Data'!$E$2:$E$2000,'MM Avg Monthly Position'!$D25,'Oil Share Data'!$F$2:$F$2000,'MM Avg Monthly Position'!$E25)</f>
        <v>-26060.5</v>
      </c>
      <c r="C25" s="25">
        <f>AVERAGEIFS('Oil Share Data'!$C$2:$C$2000,'Oil Share Data'!$E$2:$E$2000,'MM Avg Monthly Position'!$D25,'Oil Share Data'!$F$2:$F$2000,'MM Avg Monthly Position'!$E25)</f>
        <v>51.995000000000005</v>
      </c>
      <c r="D25" s="26">
        <f t="shared" si="0"/>
        <v>8</v>
      </c>
      <c r="E25" s="26">
        <f t="shared" si="1"/>
        <v>2008</v>
      </c>
    </row>
    <row r="26" spans="1:5">
      <c r="A26" s="24">
        <v>39692</v>
      </c>
      <c r="B26" s="18">
        <f>AVERAGEIFS('Oil Share Data'!$B$2:$B$2000,'Oil Share Data'!$E$2:$E$2000,'MM Avg Monthly Position'!$D26,'Oil Share Data'!$F$2:$F$2000,'MM Avg Monthly Position'!$E26)</f>
        <v>-22582</v>
      </c>
      <c r="C26" s="25">
        <f>AVERAGEIFS('Oil Share Data'!$C$2:$C$2000,'Oil Share Data'!$E$2:$E$2000,'MM Avg Monthly Position'!$D26,'Oil Share Data'!$F$2:$F$2000,'MM Avg Monthly Position'!$E26)</f>
        <v>46.33</v>
      </c>
      <c r="D26" s="26">
        <f t="shared" si="0"/>
        <v>9</v>
      </c>
      <c r="E26" s="26">
        <f t="shared" si="1"/>
        <v>2008</v>
      </c>
    </row>
    <row r="27" spans="1:5">
      <c r="A27" s="24">
        <v>39722</v>
      </c>
      <c r="B27" s="18">
        <f>AVERAGEIFS('Oil Share Data'!$B$2:$B$2000,'Oil Share Data'!$E$2:$E$2000,'MM Avg Monthly Position'!$D27,'Oil Share Data'!$F$2:$F$2000,'MM Avg Monthly Position'!$E27)</f>
        <v>-8948.5</v>
      </c>
      <c r="C27" s="25">
        <f>AVERAGEIFS('Oil Share Data'!$C$2:$C$2000,'Oil Share Data'!$E$2:$E$2000,'MM Avg Monthly Position'!$D27,'Oil Share Data'!$F$2:$F$2000,'MM Avg Monthly Position'!$E27)</f>
        <v>34.267499999999998</v>
      </c>
      <c r="D27" s="26">
        <f t="shared" si="0"/>
        <v>10</v>
      </c>
      <c r="E27" s="26">
        <f t="shared" si="1"/>
        <v>2008</v>
      </c>
    </row>
    <row r="28" spans="1:5">
      <c r="A28" s="24">
        <v>39753</v>
      </c>
      <c r="B28" s="18">
        <f>AVERAGEIFS('Oil Share Data'!$B$2:$B$2000,'Oil Share Data'!$E$2:$E$2000,'MM Avg Monthly Position'!$D28,'Oil Share Data'!$F$2:$F$2000,'MM Avg Monthly Position'!$E28)</f>
        <v>-10883.75</v>
      </c>
      <c r="C28" s="25">
        <f>AVERAGEIFS('Oil Share Data'!$C$2:$C$2000,'Oil Share Data'!$E$2:$E$2000,'MM Avg Monthly Position'!$D28,'Oil Share Data'!$F$2:$F$2000,'MM Avg Monthly Position'!$E28)</f>
        <v>32.445</v>
      </c>
      <c r="D28" s="26">
        <f t="shared" si="0"/>
        <v>11</v>
      </c>
      <c r="E28" s="26">
        <f t="shared" si="1"/>
        <v>2008</v>
      </c>
    </row>
    <row r="29" spans="1:5">
      <c r="A29" s="24">
        <v>39783</v>
      </c>
      <c r="B29" s="18">
        <f>AVERAGEIFS('Oil Share Data'!$B$2:$B$2000,'Oil Share Data'!$E$2:$E$2000,'MM Avg Monthly Position'!$D29,'Oil Share Data'!$F$2:$F$2000,'MM Avg Monthly Position'!$E29)</f>
        <v>-12300.75</v>
      </c>
      <c r="C29" s="25">
        <f>AVERAGEIFS('Oil Share Data'!$C$2:$C$2000,'Oil Share Data'!$E$2:$E$2000,'MM Avg Monthly Position'!$D29,'Oil Share Data'!$F$2:$F$2000,'MM Avg Monthly Position'!$E29)</f>
        <v>30.8825</v>
      </c>
      <c r="D29" s="26">
        <f t="shared" si="0"/>
        <v>12</v>
      </c>
      <c r="E29" s="26">
        <f t="shared" si="1"/>
        <v>2008</v>
      </c>
    </row>
    <row r="30" spans="1:5">
      <c r="A30" s="24">
        <v>39814</v>
      </c>
      <c r="B30" s="18">
        <f>AVERAGEIFS('Oil Share Data'!$B$2:$B$2000,'Oil Share Data'!$E$2:$E$2000,'MM Avg Monthly Position'!$D30,'Oil Share Data'!$F$2:$F$2000,'MM Avg Monthly Position'!$E30)</f>
        <v>-15095.25</v>
      </c>
      <c r="C30" s="25">
        <f>AVERAGEIFS('Oil Share Data'!$C$2:$C$2000,'Oil Share Data'!$E$2:$E$2000,'MM Avg Monthly Position'!$D30,'Oil Share Data'!$F$2:$F$2000,'MM Avg Monthly Position'!$E30)</f>
        <v>34.354999999999997</v>
      </c>
      <c r="D30" s="26">
        <f t="shared" si="0"/>
        <v>1</v>
      </c>
      <c r="E30" s="26">
        <f t="shared" si="1"/>
        <v>2009</v>
      </c>
    </row>
    <row r="31" spans="1:5">
      <c r="A31" s="24">
        <v>39845</v>
      </c>
      <c r="B31" s="18">
        <f>AVERAGEIFS('Oil Share Data'!$B$2:$B$2000,'Oil Share Data'!$E$2:$E$2000,'MM Avg Monthly Position'!$D31,'Oil Share Data'!$F$2:$F$2000,'MM Avg Monthly Position'!$E31)</f>
        <v>-25427.5</v>
      </c>
      <c r="C31" s="25">
        <f>AVERAGEIFS('Oil Share Data'!$C$2:$C$2000,'Oil Share Data'!$E$2:$E$2000,'MM Avg Monthly Position'!$D31,'Oil Share Data'!$F$2:$F$2000,'MM Avg Monthly Position'!$E31)</f>
        <v>31.8675</v>
      </c>
      <c r="D31" s="26">
        <f t="shared" si="0"/>
        <v>2</v>
      </c>
      <c r="E31" s="26">
        <f t="shared" si="1"/>
        <v>2009</v>
      </c>
    </row>
    <row r="32" spans="1:5">
      <c r="A32" s="24">
        <v>39873</v>
      </c>
      <c r="B32" s="18">
        <f>AVERAGEIFS('Oil Share Data'!$B$2:$B$2000,'Oil Share Data'!$E$2:$E$2000,'MM Avg Monthly Position'!$D32,'Oil Share Data'!$F$2:$F$2000,'MM Avg Monthly Position'!$E32)</f>
        <v>-27329.200000000001</v>
      </c>
      <c r="C32" s="25">
        <f>AVERAGEIFS('Oil Share Data'!$C$2:$C$2000,'Oil Share Data'!$E$2:$E$2000,'MM Avg Monthly Position'!$D32,'Oil Share Data'!$F$2:$F$2000,'MM Avg Monthly Position'!$E32)</f>
        <v>32.11</v>
      </c>
      <c r="D32" s="26">
        <f t="shared" si="0"/>
        <v>3</v>
      </c>
      <c r="E32" s="26">
        <f t="shared" si="1"/>
        <v>2009</v>
      </c>
    </row>
    <row r="33" spans="1:5">
      <c r="A33" s="24">
        <v>39904</v>
      </c>
      <c r="B33" s="18">
        <f>AVERAGEIFS('Oil Share Data'!$B$2:$B$2000,'Oil Share Data'!$E$2:$E$2000,'MM Avg Monthly Position'!$D33,'Oil Share Data'!$F$2:$F$2000,'MM Avg Monthly Position'!$E33)</f>
        <v>-21112.75</v>
      </c>
      <c r="C33" s="25">
        <f>AVERAGEIFS('Oil Share Data'!$C$2:$C$2000,'Oil Share Data'!$E$2:$E$2000,'MM Avg Monthly Position'!$D33,'Oil Share Data'!$F$2:$F$2000,'MM Avg Monthly Position'!$E33)</f>
        <v>36.49</v>
      </c>
      <c r="D33" s="26">
        <f t="shared" si="0"/>
        <v>4</v>
      </c>
      <c r="E33" s="26">
        <f t="shared" si="1"/>
        <v>2009</v>
      </c>
    </row>
    <row r="34" spans="1:5">
      <c r="A34" s="24">
        <v>39934</v>
      </c>
      <c r="B34" s="18">
        <f>AVERAGEIFS('Oil Share Data'!$B$2:$B$2000,'Oil Share Data'!$E$2:$E$2000,'MM Avg Monthly Position'!$D34,'Oil Share Data'!$F$2:$F$2000,'MM Avg Monthly Position'!$E34)</f>
        <v>-29760.25</v>
      </c>
      <c r="C34" s="25">
        <f>AVERAGEIFS('Oil Share Data'!$C$2:$C$2000,'Oil Share Data'!$E$2:$E$2000,'MM Avg Monthly Position'!$D34,'Oil Share Data'!$F$2:$F$2000,'MM Avg Monthly Position'!$E34)</f>
        <v>38.587499999999991</v>
      </c>
      <c r="D34" s="26">
        <f t="shared" si="0"/>
        <v>5</v>
      </c>
      <c r="E34" s="26">
        <f t="shared" si="1"/>
        <v>2009</v>
      </c>
    </row>
    <row r="35" spans="1:5">
      <c r="A35" s="24">
        <v>39965</v>
      </c>
      <c r="B35" s="18">
        <f>AVERAGEIFS('Oil Share Data'!$B$2:$B$2000,'Oil Share Data'!$E$2:$E$2000,'MM Avg Monthly Position'!$D35,'Oil Share Data'!$F$2:$F$2000,'MM Avg Monthly Position'!$E35)</f>
        <v>-46607.4</v>
      </c>
      <c r="C35" s="25">
        <f>AVERAGEIFS('Oil Share Data'!$C$2:$C$2000,'Oil Share Data'!$E$2:$E$2000,'MM Avg Monthly Position'!$D35,'Oil Share Data'!$F$2:$F$2000,'MM Avg Monthly Position'!$E35)</f>
        <v>36.936</v>
      </c>
      <c r="D35" s="26">
        <f t="shared" si="0"/>
        <v>6</v>
      </c>
      <c r="E35" s="26">
        <f t="shared" si="1"/>
        <v>2009</v>
      </c>
    </row>
    <row r="36" spans="1:5">
      <c r="A36" s="24">
        <v>39995</v>
      </c>
      <c r="B36" s="18">
        <f>AVERAGEIFS('Oil Share Data'!$B$2:$B$2000,'Oil Share Data'!$E$2:$E$2000,'MM Avg Monthly Position'!$D36,'Oil Share Data'!$F$2:$F$2000,'MM Avg Monthly Position'!$E36)</f>
        <v>-52475.5</v>
      </c>
      <c r="C36" s="25">
        <f>AVERAGEIFS('Oil Share Data'!$C$2:$C$2000,'Oil Share Data'!$E$2:$E$2000,'MM Avg Monthly Position'!$D36,'Oil Share Data'!$F$2:$F$2000,'MM Avg Monthly Position'!$E36)</f>
        <v>34.117500000000007</v>
      </c>
      <c r="D36" s="26">
        <f t="shared" si="0"/>
        <v>7</v>
      </c>
      <c r="E36" s="26">
        <f t="shared" si="1"/>
        <v>2009</v>
      </c>
    </row>
    <row r="37" spans="1:5">
      <c r="A37" s="24">
        <v>40026</v>
      </c>
      <c r="B37" s="18">
        <f>AVERAGEIFS('Oil Share Data'!$B$2:$B$2000,'Oil Share Data'!$E$2:$E$2000,'MM Avg Monthly Position'!$D37,'Oil Share Data'!$F$2:$F$2000,'MM Avg Monthly Position'!$E37)</f>
        <v>-36625.25</v>
      </c>
      <c r="C37" s="25">
        <f>AVERAGEIFS('Oil Share Data'!$C$2:$C$2000,'Oil Share Data'!$E$2:$E$2000,'MM Avg Monthly Position'!$D37,'Oil Share Data'!$F$2:$F$2000,'MM Avg Monthly Position'!$E37)</f>
        <v>36.590000000000003</v>
      </c>
      <c r="D37" s="26">
        <f t="shared" si="0"/>
        <v>8</v>
      </c>
      <c r="E37" s="26">
        <f t="shared" si="1"/>
        <v>2009</v>
      </c>
    </row>
    <row r="38" spans="1:5">
      <c r="A38" s="24">
        <v>40057</v>
      </c>
      <c r="B38" s="18">
        <f>AVERAGEIFS('Oil Share Data'!$B$2:$B$2000,'Oil Share Data'!$E$2:$E$2000,'MM Avg Monthly Position'!$D38,'Oil Share Data'!$F$2:$F$2000,'MM Avg Monthly Position'!$E38)</f>
        <v>-50352.4</v>
      </c>
      <c r="C38" s="25">
        <f>AVERAGEIFS('Oil Share Data'!$C$2:$C$2000,'Oil Share Data'!$E$2:$E$2000,'MM Avg Monthly Position'!$D38,'Oil Share Data'!$F$2:$F$2000,'MM Avg Monthly Position'!$E38)</f>
        <v>33.891999999999996</v>
      </c>
      <c r="D38" s="26">
        <f t="shared" si="0"/>
        <v>9</v>
      </c>
      <c r="E38" s="26">
        <f t="shared" si="1"/>
        <v>2009</v>
      </c>
    </row>
    <row r="39" spans="1:5">
      <c r="A39" s="24">
        <v>40087</v>
      </c>
      <c r="B39" s="18">
        <f>AVERAGEIFS('Oil Share Data'!$B$2:$B$2000,'Oil Share Data'!$E$2:$E$2000,'MM Avg Monthly Position'!$D39,'Oil Share Data'!$F$2:$F$2000,'MM Avg Monthly Position'!$E39)</f>
        <v>-27181</v>
      </c>
      <c r="C39" s="25">
        <f>AVERAGEIFS('Oil Share Data'!$C$2:$C$2000,'Oil Share Data'!$E$2:$E$2000,'MM Avg Monthly Position'!$D39,'Oil Share Data'!$F$2:$F$2000,'MM Avg Monthly Position'!$E39)</f>
        <v>36.547499999999999</v>
      </c>
      <c r="D39" s="26">
        <f t="shared" si="0"/>
        <v>10</v>
      </c>
      <c r="E39" s="26">
        <f t="shared" si="1"/>
        <v>2009</v>
      </c>
    </row>
    <row r="40" spans="1:5">
      <c r="A40" s="24">
        <v>40118</v>
      </c>
      <c r="B40" s="18">
        <f>AVERAGEIFS('Oil Share Data'!$B$2:$B$2000,'Oil Share Data'!$E$2:$E$2000,'MM Avg Monthly Position'!$D40,'Oil Share Data'!$F$2:$F$2000,'MM Avg Monthly Position'!$E40)</f>
        <v>-2863.25</v>
      </c>
      <c r="C40" s="25">
        <f>AVERAGEIFS('Oil Share Data'!$C$2:$C$2000,'Oil Share Data'!$E$2:$E$2000,'MM Avg Monthly Position'!$D40,'Oil Share Data'!$F$2:$F$2000,'MM Avg Monthly Position'!$E40)</f>
        <v>38.797499999999999</v>
      </c>
      <c r="D40" s="26">
        <f t="shared" si="0"/>
        <v>11</v>
      </c>
      <c r="E40" s="26">
        <f t="shared" si="1"/>
        <v>2009</v>
      </c>
    </row>
    <row r="41" spans="1:5">
      <c r="A41" s="24">
        <v>40148</v>
      </c>
      <c r="B41" s="18">
        <f>AVERAGEIFS('Oil Share Data'!$B$2:$B$2000,'Oil Share Data'!$E$2:$E$2000,'MM Avg Monthly Position'!$D41,'Oil Share Data'!$F$2:$F$2000,'MM Avg Monthly Position'!$E41)</f>
        <v>4082</v>
      </c>
      <c r="C41" s="25">
        <f>AVERAGEIFS('Oil Share Data'!$C$2:$C$2000,'Oil Share Data'!$E$2:$E$2000,'MM Avg Monthly Position'!$D41,'Oil Share Data'!$F$2:$F$2000,'MM Avg Monthly Position'!$E41)</f>
        <v>39.223999999999997</v>
      </c>
      <c r="D41" s="26">
        <f t="shared" si="0"/>
        <v>12</v>
      </c>
      <c r="E41" s="26">
        <f t="shared" si="1"/>
        <v>2009</v>
      </c>
    </row>
    <row r="42" spans="1:5">
      <c r="A42" s="24">
        <v>40179</v>
      </c>
      <c r="B42" s="18">
        <f>AVERAGEIFS('Oil Share Data'!$B$2:$B$2000,'Oil Share Data'!$E$2:$E$2000,'MM Avg Monthly Position'!$D42,'Oil Share Data'!$F$2:$F$2000,'MM Avg Monthly Position'!$E42)</f>
        <v>-14223.25</v>
      </c>
      <c r="C42" s="25">
        <f>AVERAGEIFS('Oil Share Data'!$C$2:$C$2000,'Oil Share Data'!$E$2:$E$2000,'MM Avg Monthly Position'!$D42,'Oil Share Data'!$F$2:$F$2000,'MM Avg Monthly Position'!$E42)</f>
        <v>37.480000000000004</v>
      </c>
      <c r="D42" s="26">
        <f t="shared" si="0"/>
        <v>1</v>
      </c>
      <c r="E42" s="26">
        <f t="shared" si="1"/>
        <v>2010</v>
      </c>
    </row>
    <row r="43" spans="1:5">
      <c r="A43" s="24">
        <v>40210</v>
      </c>
      <c r="B43" s="18">
        <f>AVERAGEIFS('Oil Share Data'!$B$2:$B$2000,'Oil Share Data'!$E$2:$E$2000,'MM Avg Monthly Position'!$D43,'Oil Share Data'!$F$2:$F$2000,'MM Avg Monthly Position'!$E43)</f>
        <v>-9632</v>
      </c>
      <c r="C43" s="25">
        <f>AVERAGEIFS('Oil Share Data'!$C$2:$C$2000,'Oil Share Data'!$E$2:$E$2000,'MM Avg Monthly Position'!$D43,'Oil Share Data'!$F$2:$F$2000,'MM Avg Monthly Position'!$E43)</f>
        <v>38.162500000000001</v>
      </c>
      <c r="D43" s="26">
        <f t="shared" si="0"/>
        <v>2</v>
      </c>
      <c r="E43" s="26">
        <f t="shared" si="1"/>
        <v>2010</v>
      </c>
    </row>
    <row r="44" spans="1:5">
      <c r="A44" s="24">
        <v>40238</v>
      </c>
      <c r="B44" s="18">
        <f>AVERAGEIFS('Oil Share Data'!$B$2:$B$2000,'Oil Share Data'!$E$2:$E$2000,'MM Avg Monthly Position'!$D44,'Oil Share Data'!$F$2:$F$2000,'MM Avg Monthly Position'!$E44)</f>
        <v>8496.2000000000007</v>
      </c>
      <c r="C44" s="25">
        <f>AVERAGEIFS('Oil Share Data'!$C$2:$C$2000,'Oil Share Data'!$E$2:$E$2000,'MM Avg Monthly Position'!$D44,'Oil Share Data'!$F$2:$F$2000,'MM Avg Monthly Position'!$E44)</f>
        <v>39.199999999999996</v>
      </c>
      <c r="D44" s="26">
        <f t="shared" si="0"/>
        <v>3</v>
      </c>
      <c r="E44" s="26">
        <f t="shared" si="1"/>
        <v>2010</v>
      </c>
    </row>
    <row r="45" spans="1:5">
      <c r="A45" s="24">
        <v>40269</v>
      </c>
      <c r="B45" s="18">
        <f>AVERAGEIFS('Oil Share Data'!$B$2:$B$2000,'Oil Share Data'!$E$2:$E$2000,'MM Avg Monthly Position'!$D45,'Oil Share Data'!$F$2:$F$2000,'MM Avg Monthly Position'!$E45)</f>
        <v>-9091.75</v>
      </c>
      <c r="C45" s="25">
        <f>AVERAGEIFS('Oil Share Data'!$C$2:$C$2000,'Oil Share Data'!$E$2:$E$2000,'MM Avg Monthly Position'!$D45,'Oil Share Data'!$F$2:$F$2000,'MM Avg Monthly Position'!$E45)</f>
        <v>39.442499999999995</v>
      </c>
      <c r="D45" s="26">
        <f t="shared" si="0"/>
        <v>4</v>
      </c>
      <c r="E45" s="26">
        <f t="shared" si="1"/>
        <v>2010</v>
      </c>
    </row>
    <row r="46" spans="1:5">
      <c r="A46" s="24">
        <v>40299</v>
      </c>
      <c r="B46" s="18">
        <f>AVERAGEIFS('Oil Share Data'!$B$2:$B$2000,'Oil Share Data'!$E$2:$E$2000,'MM Avg Monthly Position'!$D46,'Oil Share Data'!$F$2:$F$2000,'MM Avg Monthly Position'!$E46)</f>
        <v>-56349.75</v>
      </c>
      <c r="C46" s="25">
        <f>AVERAGEIFS('Oil Share Data'!$C$2:$C$2000,'Oil Share Data'!$E$2:$E$2000,'MM Avg Monthly Position'!$D46,'Oil Share Data'!$F$2:$F$2000,'MM Avg Monthly Position'!$E46)</f>
        <v>37.467500000000001</v>
      </c>
      <c r="D46" s="26">
        <f t="shared" si="0"/>
        <v>5</v>
      </c>
      <c r="E46" s="26">
        <f t="shared" si="1"/>
        <v>2010</v>
      </c>
    </row>
    <row r="47" spans="1:5">
      <c r="A47" s="24">
        <v>40330</v>
      </c>
      <c r="B47" s="18">
        <f>AVERAGEIFS('Oil Share Data'!$B$2:$B$2000,'Oil Share Data'!$E$2:$E$2000,'MM Avg Monthly Position'!$D47,'Oil Share Data'!$F$2:$F$2000,'MM Avg Monthly Position'!$E47)</f>
        <v>-66120</v>
      </c>
      <c r="C47" s="25">
        <f>AVERAGEIFS('Oil Share Data'!$C$2:$C$2000,'Oil Share Data'!$E$2:$E$2000,'MM Avg Monthly Position'!$D47,'Oil Share Data'!$F$2:$F$2000,'MM Avg Monthly Position'!$E47)</f>
        <v>36.953999999999994</v>
      </c>
      <c r="D47" s="26">
        <f t="shared" si="0"/>
        <v>6</v>
      </c>
      <c r="E47" s="26">
        <f t="shared" si="1"/>
        <v>2010</v>
      </c>
    </row>
    <row r="48" spans="1:5">
      <c r="A48" s="24">
        <v>40360</v>
      </c>
      <c r="B48" s="18">
        <f>AVERAGEIFS('Oil Share Data'!$B$2:$B$2000,'Oil Share Data'!$E$2:$E$2000,'MM Avg Monthly Position'!$D48,'Oil Share Data'!$F$2:$F$2000,'MM Avg Monthly Position'!$E48)</f>
        <v>-72132.5</v>
      </c>
      <c r="C48" s="25">
        <f>AVERAGEIFS('Oil Share Data'!$C$2:$C$2000,'Oil Share Data'!$E$2:$E$2000,'MM Avg Monthly Position'!$D48,'Oil Share Data'!$F$2:$F$2000,'MM Avg Monthly Position'!$E48)</f>
        <v>38.647499999999994</v>
      </c>
      <c r="D48" s="26">
        <f t="shared" si="0"/>
        <v>7</v>
      </c>
      <c r="E48" s="26">
        <f t="shared" si="1"/>
        <v>2010</v>
      </c>
    </row>
    <row r="49" spans="1:5">
      <c r="A49" s="24">
        <v>40391</v>
      </c>
      <c r="B49" s="18">
        <f>AVERAGEIFS('Oil Share Data'!$B$2:$B$2000,'Oil Share Data'!$E$2:$E$2000,'MM Avg Monthly Position'!$D49,'Oil Share Data'!$F$2:$F$2000,'MM Avg Monthly Position'!$E49)</f>
        <v>-29873.4</v>
      </c>
      <c r="C49" s="25">
        <f>AVERAGEIFS('Oil Share Data'!$C$2:$C$2000,'Oil Share Data'!$E$2:$E$2000,'MM Avg Monthly Position'!$D49,'Oil Share Data'!$F$2:$F$2000,'MM Avg Monthly Position'!$E49)</f>
        <v>40.646000000000001</v>
      </c>
      <c r="D49" s="26">
        <f t="shared" si="0"/>
        <v>8</v>
      </c>
      <c r="E49" s="26">
        <f t="shared" si="1"/>
        <v>2010</v>
      </c>
    </row>
    <row r="50" spans="1:5">
      <c r="A50" s="24">
        <v>40422</v>
      </c>
      <c r="B50" s="18">
        <f>AVERAGEIFS('Oil Share Data'!$B$2:$B$2000,'Oil Share Data'!$E$2:$E$2000,'MM Avg Monthly Position'!$D50,'Oil Share Data'!$F$2:$F$2000,'MM Avg Monthly Position'!$E50)</f>
        <v>-24579.5</v>
      </c>
      <c r="C50" s="25">
        <f>AVERAGEIFS('Oil Share Data'!$C$2:$C$2000,'Oil Share Data'!$E$2:$E$2000,'MM Avg Monthly Position'!$D50,'Oil Share Data'!$F$2:$F$2000,'MM Avg Monthly Position'!$E50)</f>
        <v>42.782499999999999</v>
      </c>
      <c r="D50" s="26">
        <f t="shared" si="0"/>
        <v>9</v>
      </c>
      <c r="E50" s="26">
        <f t="shared" si="1"/>
        <v>2010</v>
      </c>
    </row>
    <row r="51" spans="1:5">
      <c r="A51" s="24">
        <v>40452</v>
      </c>
      <c r="B51" s="18">
        <f>AVERAGEIFS('Oil Share Data'!$B$2:$B$2000,'Oil Share Data'!$E$2:$E$2000,'MM Avg Monthly Position'!$D51,'Oil Share Data'!$F$2:$F$2000,'MM Avg Monthly Position'!$E51)</f>
        <v>28870</v>
      </c>
      <c r="C51" s="25">
        <f>AVERAGEIFS('Oil Share Data'!$C$2:$C$2000,'Oil Share Data'!$E$2:$E$2000,'MM Avg Monthly Position'!$D51,'Oil Share Data'!$F$2:$F$2000,'MM Avg Monthly Position'!$E51)</f>
        <v>47.897500000000008</v>
      </c>
      <c r="D51" s="26">
        <f t="shared" si="0"/>
        <v>10</v>
      </c>
      <c r="E51" s="26">
        <f t="shared" si="1"/>
        <v>2010</v>
      </c>
    </row>
    <row r="52" spans="1:5">
      <c r="A52" s="24">
        <v>40483</v>
      </c>
      <c r="B52" s="18">
        <f>AVERAGEIFS('Oil Share Data'!$B$2:$B$2000,'Oil Share Data'!$E$2:$E$2000,'MM Avg Monthly Position'!$D52,'Oil Share Data'!$F$2:$F$2000,'MM Avg Monthly Position'!$E52)</f>
        <v>16076.6</v>
      </c>
      <c r="C52" s="25">
        <f>AVERAGEIFS('Oil Share Data'!$C$2:$C$2000,'Oil Share Data'!$E$2:$E$2000,'MM Avg Monthly Position'!$D52,'Oil Share Data'!$F$2:$F$2000,'MM Avg Monthly Position'!$E52)</f>
        <v>51.338000000000001</v>
      </c>
      <c r="D52" s="26">
        <f t="shared" si="0"/>
        <v>11</v>
      </c>
      <c r="E52" s="26">
        <f t="shared" si="1"/>
        <v>2010</v>
      </c>
    </row>
    <row r="53" spans="1:5">
      <c r="A53" s="24">
        <v>40513</v>
      </c>
      <c r="B53" s="18">
        <f>AVERAGEIFS('Oil Share Data'!$B$2:$B$2000,'Oil Share Data'!$E$2:$E$2000,'MM Avg Monthly Position'!$D53,'Oil Share Data'!$F$2:$F$2000,'MM Avg Monthly Position'!$E53)</f>
        <v>18382.75</v>
      </c>
      <c r="C53" s="25">
        <f>AVERAGEIFS('Oil Share Data'!$C$2:$C$2000,'Oil Share Data'!$E$2:$E$2000,'MM Avg Monthly Position'!$D53,'Oil Share Data'!$F$2:$F$2000,'MM Avg Monthly Position'!$E53)</f>
        <v>55.5625</v>
      </c>
      <c r="D53" s="26">
        <f t="shared" si="0"/>
        <v>12</v>
      </c>
      <c r="E53" s="26">
        <f t="shared" si="1"/>
        <v>2010</v>
      </c>
    </row>
    <row r="54" spans="1:5">
      <c r="A54" s="24">
        <v>40544</v>
      </c>
      <c r="B54" s="18">
        <f>AVERAGEIFS('Oil Share Data'!$B$2:$B$2000,'Oil Share Data'!$E$2:$E$2000,'MM Avg Monthly Position'!$D54,'Oil Share Data'!$F$2:$F$2000,'MM Avg Monthly Position'!$E54)</f>
        <v>14612.25</v>
      </c>
      <c r="C54" s="25">
        <f>AVERAGEIFS('Oil Share Data'!$C$2:$C$2000,'Oil Share Data'!$E$2:$E$2000,'MM Avg Monthly Position'!$D54,'Oil Share Data'!$F$2:$F$2000,'MM Avg Monthly Position'!$E54)</f>
        <v>56.970000000000006</v>
      </c>
      <c r="D54" s="26">
        <f t="shared" si="0"/>
        <v>1</v>
      </c>
      <c r="E54" s="26">
        <f t="shared" si="1"/>
        <v>2011</v>
      </c>
    </row>
    <row r="55" spans="1:5">
      <c r="A55" s="24">
        <v>40575</v>
      </c>
      <c r="B55" s="18">
        <f>AVERAGEIFS('Oil Share Data'!$B$2:$B$2000,'Oil Share Data'!$E$2:$E$2000,'MM Avg Monthly Position'!$D55,'Oil Share Data'!$F$2:$F$2000,'MM Avg Monthly Position'!$E55)</f>
        <v>27647</v>
      </c>
      <c r="C55" s="25">
        <f>AVERAGEIFS('Oil Share Data'!$C$2:$C$2000,'Oil Share Data'!$E$2:$E$2000,'MM Avg Monthly Position'!$D55,'Oil Share Data'!$F$2:$F$2000,'MM Avg Monthly Position'!$E55)</f>
        <v>57.727500000000006</v>
      </c>
      <c r="D55" s="26">
        <f t="shared" si="0"/>
        <v>2</v>
      </c>
      <c r="E55" s="26">
        <f t="shared" si="1"/>
        <v>2011</v>
      </c>
    </row>
    <row r="56" spans="1:5">
      <c r="A56" s="24">
        <v>40603</v>
      </c>
      <c r="B56" s="18">
        <f>AVERAGEIFS('Oil Share Data'!$B$2:$B$2000,'Oil Share Data'!$E$2:$E$2000,'MM Avg Monthly Position'!$D56,'Oil Share Data'!$F$2:$F$2000,'MM Avg Monthly Position'!$E56)</f>
        <v>30394.6</v>
      </c>
      <c r="C56" s="25">
        <f>AVERAGEIFS('Oil Share Data'!$C$2:$C$2000,'Oil Share Data'!$E$2:$E$2000,'MM Avg Monthly Position'!$D56,'Oil Share Data'!$F$2:$F$2000,'MM Avg Monthly Position'!$E56)</f>
        <v>57.148000000000003</v>
      </c>
      <c r="D56" s="26">
        <f t="shared" si="0"/>
        <v>3</v>
      </c>
      <c r="E56" s="26">
        <f t="shared" si="1"/>
        <v>2011</v>
      </c>
    </row>
    <row r="57" spans="1:5">
      <c r="A57" s="24">
        <v>40634</v>
      </c>
      <c r="B57" s="18">
        <f>AVERAGEIFS('Oil Share Data'!$B$2:$B$2000,'Oil Share Data'!$E$2:$E$2000,'MM Avg Monthly Position'!$D57,'Oil Share Data'!$F$2:$F$2000,'MM Avg Monthly Position'!$E57)</f>
        <v>42793.25</v>
      </c>
      <c r="C57" s="25">
        <f>AVERAGEIFS('Oil Share Data'!$C$2:$C$2000,'Oil Share Data'!$E$2:$E$2000,'MM Avg Monthly Position'!$D57,'Oil Share Data'!$F$2:$F$2000,'MM Avg Monthly Position'!$E57)</f>
        <v>58.252500000000005</v>
      </c>
      <c r="D57" s="26">
        <f t="shared" si="0"/>
        <v>4</v>
      </c>
      <c r="E57" s="26">
        <f t="shared" si="1"/>
        <v>2011</v>
      </c>
    </row>
    <row r="58" spans="1:5">
      <c r="A58" s="24">
        <v>40664</v>
      </c>
      <c r="B58" s="18">
        <f>AVERAGEIFS('Oil Share Data'!$B$2:$B$2000,'Oil Share Data'!$E$2:$E$2000,'MM Avg Monthly Position'!$D58,'Oil Share Data'!$F$2:$F$2000,'MM Avg Monthly Position'!$E58)</f>
        <v>19976.599999999999</v>
      </c>
      <c r="C58" s="25">
        <f>AVERAGEIFS('Oil Share Data'!$C$2:$C$2000,'Oil Share Data'!$E$2:$E$2000,'MM Avg Monthly Position'!$D58,'Oil Share Data'!$F$2:$F$2000,'MM Avg Monthly Position'!$E58)</f>
        <v>57.184000000000005</v>
      </c>
      <c r="D58" s="26">
        <f t="shared" si="0"/>
        <v>5</v>
      </c>
      <c r="E58" s="26">
        <f t="shared" si="1"/>
        <v>2011</v>
      </c>
    </row>
    <row r="59" spans="1:5">
      <c r="A59" s="24">
        <v>40695</v>
      </c>
      <c r="B59" s="18">
        <f>AVERAGEIFS('Oil Share Data'!$B$2:$B$2000,'Oil Share Data'!$E$2:$E$2000,'MM Avg Monthly Position'!$D59,'Oil Share Data'!$F$2:$F$2000,'MM Avg Monthly Position'!$E59)</f>
        <v>16987.5</v>
      </c>
      <c r="C59" s="25">
        <f>AVERAGEIFS('Oil Share Data'!$C$2:$C$2000,'Oil Share Data'!$E$2:$E$2000,'MM Avg Monthly Position'!$D59,'Oil Share Data'!$F$2:$F$2000,'MM Avg Monthly Position'!$E59)</f>
        <v>55.787500000000001</v>
      </c>
      <c r="D59" s="26">
        <f t="shared" si="0"/>
        <v>6</v>
      </c>
      <c r="E59" s="26">
        <f t="shared" si="1"/>
        <v>2011</v>
      </c>
    </row>
    <row r="60" spans="1:5">
      <c r="A60" s="24">
        <v>40725</v>
      </c>
      <c r="B60" s="18">
        <f>AVERAGEIFS('Oil Share Data'!$B$2:$B$2000,'Oil Share Data'!$E$2:$E$2000,'MM Avg Monthly Position'!$D60,'Oil Share Data'!$F$2:$F$2000,'MM Avg Monthly Position'!$E60)</f>
        <v>5012</v>
      </c>
      <c r="C60" s="25">
        <f>AVERAGEIFS('Oil Share Data'!$C$2:$C$2000,'Oil Share Data'!$E$2:$E$2000,'MM Avg Monthly Position'!$D60,'Oil Share Data'!$F$2:$F$2000,'MM Avg Monthly Position'!$E60)</f>
        <v>56.427500000000002</v>
      </c>
      <c r="D60" s="26">
        <f t="shared" si="0"/>
        <v>7</v>
      </c>
      <c r="E60" s="26">
        <f t="shared" si="1"/>
        <v>2011</v>
      </c>
    </row>
    <row r="61" spans="1:5">
      <c r="A61" s="24">
        <v>40756</v>
      </c>
      <c r="B61" s="18">
        <f>AVERAGEIFS('Oil Share Data'!$B$2:$B$2000,'Oil Share Data'!$E$2:$E$2000,'MM Avg Monthly Position'!$D61,'Oil Share Data'!$F$2:$F$2000,'MM Avg Monthly Position'!$E61)</f>
        <v>-19291.8</v>
      </c>
      <c r="C61" s="25">
        <f>AVERAGEIFS('Oil Share Data'!$C$2:$C$2000,'Oil Share Data'!$E$2:$E$2000,'MM Avg Monthly Position'!$D61,'Oil Share Data'!$F$2:$F$2000,'MM Avg Monthly Position'!$E61)</f>
        <v>55.845999999999989</v>
      </c>
      <c r="D61" s="26">
        <f t="shared" si="0"/>
        <v>8</v>
      </c>
      <c r="E61" s="26">
        <f t="shared" si="1"/>
        <v>2011</v>
      </c>
    </row>
    <row r="62" spans="1:5">
      <c r="A62" s="24">
        <v>40787</v>
      </c>
      <c r="B62" s="18">
        <f>AVERAGEIFS('Oil Share Data'!$B$2:$B$2000,'Oil Share Data'!$E$2:$E$2000,'MM Avg Monthly Position'!$D62,'Oil Share Data'!$F$2:$F$2000,'MM Avg Monthly Position'!$E62)</f>
        <v>-686</v>
      </c>
      <c r="C62" s="25">
        <f>AVERAGEIFS('Oil Share Data'!$C$2:$C$2000,'Oil Share Data'!$E$2:$E$2000,'MM Avg Monthly Position'!$D62,'Oil Share Data'!$F$2:$F$2000,'MM Avg Monthly Position'!$E62)</f>
        <v>54.275000000000006</v>
      </c>
      <c r="D62" s="26">
        <f t="shared" si="0"/>
        <v>9</v>
      </c>
      <c r="E62" s="26">
        <f t="shared" si="1"/>
        <v>2011</v>
      </c>
    </row>
    <row r="63" spans="1:5">
      <c r="A63" s="24">
        <v>40817</v>
      </c>
      <c r="B63" s="18">
        <f>AVERAGEIFS('Oil Share Data'!$B$2:$B$2000,'Oil Share Data'!$E$2:$E$2000,'MM Avg Monthly Position'!$D63,'Oil Share Data'!$F$2:$F$2000,'MM Avg Monthly Position'!$E63)</f>
        <v>2843</v>
      </c>
      <c r="C63" s="25">
        <f>AVERAGEIFS('Oil Share Data'!$C$2:$C$2000,'Oil Share Data'!$E$2:$E$2000,'MM Avg Monthly Position'!$D63,'Oil Share Data'!$F$2:$F$2000,'MM Avg Monthly Position'!$E63)</f>
        <v>51.322500000000005</v>
      </c>
      <c r="D63" s="26">
        <f t="shared" si="0"/>
        <v>10</v>
      </c>
      <c r="E63" s="26">
        <f t="shared" si="1"/>
        <v>2011</v>
      </c>
    </row>
    <row r="64" spans="1:5">
      <c r="A64" s="24">
        <v>40848</v>
      </c>
      <c r="B64" s="18">
        <f>AVERAGEIFS('Oil Share Data'!$B$2:$B$2000,'Oil Share Data'!$E$2:$E$2000,'MM Avg Monthly Position'!$D64,'Oil Share Data'!$F$2:$F$2000,'MM Avg Monthly Position'!$E64)</f>
        <v>8529.6</v>
      </c>
      <c r="C64" s="25">
        <f>AVERAGEIFS('Oil Share Data'!$C$2:$C$2000,'Oil Share Data'!$E$2:$E$2000,'MM Avg Monthly Position'!$D64,'Oil Share Data'!$F$2:$F$2000,'MM Avg Monthly Position'!$E64)</f>
        <v>50.402000000000001</v>
      </c>
      <c r="D64" s="26">
        <f t="shared" si="0"/>
        <v>11</v>
      </c>
      <c r="E64" s="26">
        <f t="shared" si="1"/>
        <v>2011</v>
      </c>
    </row>
    <row r="65" spans="1:5">
      <c r="A65" s="24">
        <v>40878</v>
      </c>
      <c r="B65" s="18">
        <f>AVERAGEIFS('Oil Share Data'!$B$2:$B$2000,'Oil Share Data'!$E$2:$E$2000,'MM Avg Monthly Position'!$D65,'Oil Share Data'!$F$2:$F$2000,'MM Avg Monthly Position'!$E65)</f>
        <v>15013.25</v>
      </c>
      <c r="C65" s="25">
        <f>AVERAGEIFS('Oil Share Data'!$C$2:$C$2000,'Oil Share Data'!$E$2:$E$2000,'MM Avg Monthly Position'!$D65,'Oil Share Data'!$F$2:$F$2000,'MM Avg Monthly Position'!$E65)</f>
        <v>50.484999999999999</v>
      </c>
      <c r="D65" s="26">
        <f t="shared" si="0"/>
        <v>12</v>
      </c>
      <c r="E65" s="26">
        <f t="shared" si="1"/>
        <v>2011</v>
      </c>
    </row>
    <row r="66" spans="1:5">
      <c r="A66" s="24">
        <v>40909</v>
      </c>
      <c r="B66" s="18">
        <f>AVERAGEIFS('Oil Share Data'!$B$2:$B$2000,'Oil Share Data'!$E$2:$E$2000,'MM Avg Monthly Position'!$D66,'Oil Share Data'!$F$2:$F$2000,'MM Avg Monthly Position'!$E66)</f>
        <v>7465.8</v>
      </c>
      <c r="C66" s="25">
        <f>AVERAGEIFS('Oil Share Data'!$C$2:$C$2000,'Oil Share Data'!$E$2:$E$2000,'MM Avg Monthly Position'!$D66,'Oil Share Data'!$F$2:$F$2000,'MM Avg Monthly Position'!$E66)</f>
        <v>50.934000000000005</v>
      </c>
      <c r="D66" s="26">
        <f t="shared" ref="D66:D129" si="2">MONTH(A66)</f>
        <v>1</v>
      </c>
      <c r="E66" s="26">
        <f t="shared" ref="E66:E129" si="3">YEAR(A66)</f>
        <v>2012</v>
      </c>
    </row>
    <row r="67" spans="1:5">
      <c r="A67" s="24">
        <v>40940</v>
      </c>
      <c r="B67" s="18">
        <f>AVERAGEIFS('Oil Share Data'!$B$2:$B$2000,'Oil Share Data'!$E$2:$E$2000,'MM Avg Monthly Position'!$D67,'Oil Share Data'!$F$2:$F$2000,'MM Avg Monthly Position'!$E67)</f>
        <v>6745.5</v>
      </c>
      <c r="C67" s="25">
        <f>AVERAGEIFS('Oil Share Data'!$C$2:$C$2000,'Oil Share Data'!$E$2:$E$2000,'MM Avg Monthly Position'!$D67,'Oil Share Data'!$F$2:$F$2000,'MM Avg Monthly Position'!$E67)</f>
        <v>53.494999999999997</v>
      </c>
      <c r="D67" s="26">
        <f t="shared" si="2"/>
        <v>2</v>
      </c>
      <c r="E67" s="26">
        <f t="shared" si="3"/>
        <v>2012</v>
      </c>
    </row>
    <row r="68" spans="1:5">
      <c r="A68" s="24">
        <v>40969</v>
      </c>
      <c r="B68" s="18">
        <f>AVERAGEIFS('Oil Share Data'!$B$2:$B$2000,'Oil Share Data'!$E$2:$E$2000,'MM Avg Monthly Position'!$D68,'Oil Share Data'!$F$2:$F$2000,'MM Avg Monthly Position'!$E68)</f>
        <v>-38888.25</v>
      </c>
      <c r="C68" s="25">
        <f>AVERAGEIFS('Oil Share Data'!$C$2:$C$2000,'Oil Share Data'!$E$2:$E$2000,'MM Avg Monthly Position'!$D68,'Oil Share Data'!$F$2:$F$2000,'MM Avg Monthly Position'!$E68)</f>
        <v>54.857500000000002</v>
      </c>
      <c r="D68" s="26">
        <f t="shared" si="2"/>
        <v>3</v>
      </c>
      <c r="E68" s="26">
        <f t="shared" si="3"/>
        <v>2012</v>
      </c>
    </row>
    <row r="69" spans="1:5">
      <c r="A69" s="24">
        <v>41000</v>
      </c>
      <c r="B69" s="18">
        <f>AVERAGEIFS('Oil Share Data'!$B$2:$B$2000,'Oil Share Data'!$E$2:$E$2000,'MM Avg Monthly Position'!$D69,'Oil Share Data'!$F$2:$F$2000,'MM Avg Monthly Position'!$E69)</f>
        <v>-46001.5</v>
      </c>
      <c r="C69" s="25">
        <f>AVERAGEIFS('Oil Share Data'!$C$2:$C$2000,'Oil Share Data'!$E$2:$E$2000,'MM Avg Monthly Position'!$D69,'Oil Share Data'!$F$2:$F$2000,'MM Avg Monthly Position'!$E69)</f>
        <v>56.042500000000004</v>
      </c>
      <c r="D69" s="26">
        <f t="shared" si="2"/>
        <v>4</v>
      </c>
      <c r="E69" s="26">
        <f t="shared" si="3"/>
        <v>2012</v>
      </c>
    </row>
    <row r="70" spans="1:5">
      <c r="A70" s="24">
        <v>41030</v>
      </c>
      <c r="B70" s="18">
        <f>AVERAGEIFS('Oil Share Data'!$B$2:$B$2000,'Oil Share Data'!$E$2:$E$2000,'MM Avg Monthly Position'!$D70,'Oil Share Data'!$F$2:$F$2000,'MM Avg Monthly Position'!$E70)</f>
        <v>-94583.4</v>
      </c>
      <c r="C70" s="25">
        <f>AVERAGEIFS('Oil Share Data'!$C$2:$C$2000,'Oil Share Data'!$E$2:$E$2000,'MM Avg Monthly Position'!$D70,'Oil Share Data'!$F$2:$F$2000,'MM Avg Monthly Position'!$E70)</f>
        <v>50.845999999999997</v>
      </c>
      <c r="D70" s="26">
        <f t="shared" si="2"/>
        <v>5</v>
      </c>
      <c r="E70" s="26">
        <f t="shared" si="3"/>
        <v>2012</v>
      </c>
    </row>
    <row r="71" spans="1:5">
      <c r="A71" s="24">
        <v>41061</v>
      </c>
      <c r="B71" s="18">
        <f>AVERAGEIFS('Oil Share Data'!$B$2:$B$2000,'Oil Share Data'!$E$2:$E$2000,'MM Avg Monthly Position'!$D71,'Oil Share Data'!$F$2:$F$2000,'MM Avg Monthly Position'!$E71)</f>
        <v>-106010.25</v>
      </c>
      <c r="C71" s="25">
        <f>AVERAGEIFS('Oil Share Data'!$C$2:$C$2000,'Oil Share Data'!$E$2:$E$2000,'MM Avg Monthly Position'!$D71,'Oil Share Data'!$F$2:$F$2000,'MM Avg Monthly Position'!$E71)</f>
        <v>49.962500000000006</v>
      </c>
      <c r="D71" s="26">
        <f t="shared" si="2"/>
        <v>6</v>
      </c>
      <c r="E71" s="26">
        <f t="shared" si="3"/>
        <v>2012</v>
      </c>
    </row>
    <row r="72" spans="1:5">
      <c r="A72" s="24">
        <v>41091</v>
      </c>
      <c r="B72" s="18">
        <f>AVERAGEIFS('Oil Share Data'!$B$2:$B$2000,'Oil Share Data'!$E$2:$E$2000,'MM Avg Monthly Position'!$D72,'Oil Share Data'!$F$2:$F$2000,'MM Avg Monthly Position'!$E72)</f>
        <v>-74386.2</v>
      </c>
      <c r="C72" s="25">
        <f>AVERAGEIFS('Oil Share Data'!$C$2:$C$2000,'Oil Share Data'!$E$2:$E$2000,'MM Avg Monthly Position'!$D72,'Oil Share Data'!$F$2:$F$2000,'MM Avg Monthly Position'!$E72)</f>
        <v>53.055999999999997</v>
      </c>
      <c r="D72" s="26">
        <f t="shared" si="2"/>
        <v>7</v>
      </c>
      <c r="E72" s="26">
        <f t="shared" si="3"/>
        <v>2012</v>
      </c>
    </row>
    <row r="73" spans="1:5">
      <c r="A73" s="24">
        <v>41122</v>
      </c>
      <c r="B73" s="18">
        <f>AVERAGEIFS('Oil Share Data'!$B$2:$B$2000,'Oil Share Data'!$E$2:$E$2000,'MM Avg Monthly Position'!$D73,'Oil Share Data'!$F$2:$F$2000,'MM Avg Monthly Position'!$E73)</f>
        <v>-47972.25</v>
      </c>
      <c r="C73" s="25">
        <f>AVERAGEIFS('Oil Share Data'!$C$2:$C$2000,'Oil Share Data'!$E$2:$E$2000,'MM Avg Monthly Position'!$D73,'Oil Share Data'!$F$2:$F$2000,'MM Avg Monthly Position'!$E73)</f>
        <v>54.842500000000001</v>
      </c>
      <c r="D73" s="26">
        <f t="shared" si="2"/>
        <v>8</v>
      </c>
      <c r="E73" s="26">
        <f t="shared" si="3"/>
        <v>2012</v>
      </c>
    </row>
    <row r="74" spans="1:5">
      <c r="A74" s="24">
        <v>41153</v>
      </c>
      <c r="B74" s="18">
        <f>AVERAGEIFS('Oil Share Data'!$B$2:$B$2000,'Oil Share Data'!$E$2:$E$2000,'MM Avg Monthly Position'!$D74,'Oil Share Data'!$F$2:$F$2000,'MM Avg Monthly Position'!$E74)</f>
        <v>-15103</v>
      </c>
      <c r="C74" s="25">
        <f>AVERAGEIFS('Oil Share Data'!$C$2:$C$2000,'Oil Share Data'!$E$2:$E$2000,'MM Avg Monthly Position'!$D74,'Oil Share Data'!$F$2:$F$2000,'MM Avg Monthly Position'!$E74)</f>
        <v>54.835000000000008</v>
      </c>
      <c r="D74" s="26">
        <f t="shared" si="2"/>
        <v>9</v>
      </c>
      <c r="E74" s="26">
        <f t="shared" si="3"/>
        <v>2012</v>
      </c>
    </row>
    <row r="75" spans="1:5">
      <c r="A75" s="24">
        <v>41183</v>
      </c>
      <c r="B75" s="18">
        <f>AVERAGEIFS('Oil Share Data'!$B$2:$B$2000,'Oil Share Data'!$E$2:$E$2000,'MM Avg Monthly Position'!$D75,'Oil Share Data'!$F$2:$F$2000,'MM Avg Monthly Position'!$E75)</f>
        <v>-50298.2</v>
      </c>
      <c r="C75" s="25">
        <f>AVERAGEIFS('Oil Share Data'!$C$2:$C$2000,'Oil Share Data'!$E$2:$E$2000,'MM Avg Monthly Position'!$D75,'Oil Share Data'!$F$2:$F$2000,'MM Avg Monthly Position'!$E75)</f>
        <v>50.49</v>
      </c>
      <c r="D75" s="26">
        <f t="shared" si="2"/>
        <v>10</v>
      </c>
      <c r="E75" s="26">
        <f t="shared" si="3"/>
        <v>2012</v>
      </c>
    </row>
    <row r="76" spans="1:5">
      <c r="A76" s="24">
        <v>41214</v>
      </c>
      <c r="B76" s="18">
        <f>AVERAGEIFS('Oil Share Data'!$B$2:$B$2000,'Oil Share Data'!$E$2:$E$2000,'MM Avg Monthly Position'!$D76,'Oil Share Data'!$F$2:$F$2000,'MM Avg Monthly Position'!$E76)</f>
        <v>-77383.75</v>
      </c>
      <c r="C76" s="25">
        <f>AVERAGEIFS('Oil Share Data'!$C$2:$C$2000,'Oil Share Data'!$E$2:$E$2000,'MM Avg Monthly Position'!$D76,'Oil Share Data'!$F$2:$F$2000,'MM Avg Monthly Position'!$E76)</f>
        <v>48.317499999999995</v>
      </c>
      <c r="D76" s="26">
        <f t="shared" si="2"/>
        <v>11</v>
      </c>
      <c r="E76" s="26">
        <f t="shared" si="3"/>
        <v>2012</v>
      </c>
    </row>
    <row r="77" spans="1:5">
      <c r="A77" s="24">
        <v>41244</v>
      </c>
      <c r="B77" s="18">
        <f>AVERAGEIFS('Oil Share Data'!$B$2:$B$2000,'Oil Share Data'!$E$2:$E$2000,'MM Avg Monthly Position'!$D77,'Oil Share Data'!$F$2:$F$2000,'MM Avg Monthly Position'!$E77)</f>
        <v>-74822.25</v>
      </c>
      <c r="C77" s="25">
        <f>AVERAGEIFS('Oil Share Data'!$C$2:$C$2000,'Oil Share Data'!$E$2:$E$2000,'MM Avg Monthly Position'!$D77,'Oil Share Data'!$F$2:$F$2000,'MM Avg Monthly Position'!$E77)</f>
        <v>49.524999999999999</v>
      </c>
      <c r="D77" s="26">
        <f t="shared" si="2"/>
        <v>12</v>
      </c>
      <c r="E77" s="26">
        <f t="shared" si="3"/>
        <v>2012</v>
      </c>
    </row>
    <row r="78" spans="1:5">
      <c r="A78" s="24">
        <v>41275</v>
      </c>
      <c r="B78" s="18">
        <f>AVERAGEIFS('Oil Share Data'!$B$2:$B$2000,'Oil Share Data'!$E$2:$E$2000,'MM Avg Monthly Position'!$D78,'Oil Share Data'!$F$2:$F$2000,'MM Avg Monthly Position'!$E78)</f>
        <v>-59445.599999999999</v>
      </c>
      <c r="C78" s="25">
        <f>AVERAGEIFS('Oil Share Data'!$C$2:$C$2000,'Oil Share Data'!$E$2:$E$2000,'MM Avg Monthly Position'!$D78,'Oil Share Data'!$F$2:$F$2000,'MM Avg Monthly Position'!$E78)</f>
        <v>51.014000000000003</v>
      </c>
      <c r="D78" s="26">
        <f t="shared" si="2"/>
        <v>1</v>
      </c>
      <c r="E78" s="26">
        <f t="shared" si="3"/>
        <v>2013</v>
      </c>
    </row>
    <row r="79" spans="1:5">
      <c r="A79" s="24">
        <v>41306</v>
      </c>
      <c r="B79" s="18">
        <f>AVERAGEIFS('Oil Share Data'!$B$2:$B$2000,'Oil Share Data'!$E$2:$E$2000,'MM Avg Monthly Position'!$D79,'Oil Share Data'!$F$2:$F$2000,'MM Avg Monthly Position'!$E79)</f>
        <v>-60319</v>
      </c>
      <c r="C79" s="25">
        <f>AVERAGEIFS('Oil Share Data'!$C$2:$C$2000,'Oil Share Data'!$E$2:$E$2000,'MM Avg Monthly Position'!$D79,'Oil Share Data'!$F$2:$F$2000,'MM Avg Monthly Position'!$E79)</f>
        <v>50.717500000000001</v>
      </c>
      <c r="D79" s="26">
        <f t="shared" si="2"/>
        <v>2</v>
      </c>
      <c r="E79" s="26">
        <f t="shared" si="3"/>
        <v>2013</v>
      </c>
    </row>
    <row r="80" spans="1:5">
      <c r="A80" s="24">
        <v>41334</v>
      </c>
      <c r="B80" s="18">
        <f>AVERAGEIFS('Oil Share Data'!$B$2:$B$2000,'Oil Share Data'!$E$2:$E$2000,'MM Avg Monthly Position'!$D80,'Oil Share Data'!$F$2:$F$2000,'MM Avg Monthly Position'!$E80)</f>
        <v>-99636.5</v>
      </c>
      <c r="C80" s="25">
        <f>AVERAGEIFS('Oil Share Data'!$C$2:$C$2000,'Oil Share Data'!$E$2:$E$2000,'MM Avg Monthly Position'!$D80,'Oil Share Data'!$F$2:$F$2000,'MM Avg Monthly Position'!$E80)</f>
        <v>50.152500000000003</v>
      </c>
      <c r="D80" s="26">
        <f t="shared" si="2"/>
        <v>3</v>
      </c>
      <c r="E80" s="26">
        <f t="shared" si="3"/>
        <v>2013</v>
      </c>
    </row>
    <row r="81" spans="1:5">
      <c r="A81" s="24">
        <v>41365</v>
      </c>
      <c r="B81" s="18">
        <f>AVERAGEIFS('Oil Share Data'!$B$2:$B$2000,'Oil Share Data'!$E$2:$E$2000,'MM Avg Monthly Position'!$D81,'Oil Share Data'!$F$2:$F$2000,'MM Avg Monthly Position'!$E81)</f>
        <v>-60182.400000000001</v>
      </c>
      <c r="C81" s="25">
        <f>AVERAGEIFS('Oil Share Data'!$C$2:$C$2000,'Oil Share Data'!$E$2:$E$2000,'MM Avg Monthly Position'!$D81,'Oil Share Data'!$F$2:$F$2000,'MM Avg Monthly Position'!$E81)</f>
        <v>49.207999999999998</v>
      </c>
      <c r="D81" s="26">
        <f t="shared" si="2"/>
        <v>4</v>
      </c>
      <c r="E81" s="26">
        <f t="shared" si="3"/>
        <v>2013</v>
      </c>
    </row>
    <row r="82" spans="1:5">
      <c r="A82" s="24">
        <v>41395</v>
      </c>
      <c r="B82" s="18">
        <f>AVERAGEIFS('Oil Share Data'!$B$2:$B$2000,'Oil Share Data'!$E$2:$E$2000,'MM Avg Monthly Position'!$D82,'Oil Share Data'!$F$2:$F$2000,'MM Avg Monthly Position'!$E82)</f>
        <v>-54350.5</v>
      </c>
      <c r="C82" s="25">
        <f>AVERAGEIFS('Oil Share Data'!$C$2:$C$2000,'Oil Share Data'!$E$2:$E$2000,'MM Avg Monthly Position'!$D82,'Oil Share Data'!$F$2:$F$2000,'MM Avg Monthly Position'!$E82)</f>
        <v>49.077500000000001</v>
      </c>
      <c r="D82" s="26">
        <f t="shared" si="2"/>
        <v>5</v>
      </c>
      <c r="E82" s="26">
        <f t="shared" si="3"/>
        <v>2013</v>
      </c>
    </row>
    <row r="83" spans="1:5">
      <c r="A83" s="24">
        <v>41426</v>
      </c>
      <c r="B83" s="18">
        <f>AVERAGEIFS('Oil Share Data'!$B$2:$B$2000,'Oil Share Data'!$E$2:$E$2000,'MM Avg Monthly Position'!$D83,'Oil Share Data'!$F$2:$F$2000,'MM Avg Monthly Position'!$E83)</f>
        <v>-86769.25</v>
      </c>
      <c r="C83" s="25">
        <f>AVERAGEIFS('Oil Share Data'!$C$2:$C$2000,'Oil Share Data'!$E$2:$E$2000,'MM Avg Monthly Position'!$D83,'Oil Share Data'!$F$2:$F$2000,'MM Avg Monthly Position'!$E83)</f>
        <v>47.862499999999997</v>
      </c>
      <c r="D83" s="26">
        <f t="shared" si="2"/>
        <v>6</v>
      </c>
      <c r="E83" s="26">
        <f t="shared" si="3"/>
        <v>2013</v>
      </c>
    </row>
    <row r="84" spans="1:5">
      <c r="A84" s="24">
        <v>41456</v>
      </c>
      <c r="B84" s="18">
        <f>AVERAGEIFS('Oil Share Data'!$B$2:$B$2000,'Oil Share Data'!$E$2:$E$2000,'MM Avg Monthly Position'!$D84,'Oil Share Data'!$F$2:$F$2000,'MM Avg Monthly Position'!$E84)</f>
        <v>-86698.2</v>
      </c>
      <c r="C84" s="25">
        <f>AVERAGEIFS('Oil Share Data'!$C$2:$C$2000,'Oil Share Data'!$E$2:$E$2000,'MM Avg Monthly Position'!$D84,'Oil Share Data'!$F$2:$F$2000,'MM Avg Monthly Position'!$E84)</f>
        <v>44.955999999999996</v>
      </c>
      <c r="D84" s="26">
        <f t="shared" si="2"/>
        <v>7</v>
      </c>
      <c r="E84" s="26">
        <f t="shared" si="3"/>
        <v>2013</v>
      </c>
    </row>
    <row r="85" spans="1:5">
      <c r="A85" s="24">
        <v>41487</v>
      </c>
      <c r="B85" s="18">
        <f>AVERAGEIFS('Oil Share Data'!$B$2:$B$2000,'Oil Share Data'!$E$2:$E$2000,'MM Avg Monthly Position'!$D85,'Oil Share Data'!$F$2:$F$2000,'MM Avg Monthly Position'!$E85)</f>
        <v>-76534.75</v>
      </c>
      <c r="C85" s="25">
        <f>AVERAGEIFS('Oil Share Data'!$C$2:$C$2000,'Oil Share Data'!$E$2:$E$2000,'MM Avg Monthly Position'!$D85,'Oil Share Data'!$F$2:$F$2000,'MM Avg Monthly Position'!$E85)</f>
        <v>42.685000000000002</v>
      </c>
      <c r="D85" s="26">
        <f t="shared" si="2"/>
        <v>8</v>
      </c>
      <c r="E85" s="26">
        <f t="shared" si="3"/>
        <v>2013</v>
      </c>
    </row>
    <row r="86" spans="1:5">
      <c r="A86" s="24">
        <v>41518</v>
      </c>
      <c r="B86" s="18">
        <f>AVERAGEIFS('Oil Share Data'!$B$2:$B$2000,'Oil Share Data'!$E$2:$E$2000,'MM Avg Monthly Position'!$D86,'Oil Share Data'!$F$2:$F$2000,'MM Avg Monthly Position'!$E86)</f>
        <v>-84695.75</v>
      </c>
      <c r="C86" s="25">
        <f>AVERAGEIFS('Oil Share Data'!$C$2:$C$2000,'Oil Share Data'!$E$2:$E$2000,'MM Avg Monthly Position'!$D86,'Oil Share Data'!$F$2:$F$2000,'MM Avg Monthly Position'!$E86)</f>
        <v>42.295000000000002</v>
      </c>
      <c r="D86" s="26">
        <f t="shared" si="2"/>
        <v>9</v>
      </c>
      <c r="E86" s="26">
        <f t="shared" si="3"/>
        <v>2013</v>
      </c>
    </row>
    <row r="87" spans="1:5">
      <c r="A87" s="24">
        <v>41548</v>
      </c>
      <c r="B87" s="18">
        <f>AVERAGEIFS('Oil Share Data'!$B$2:$B$2000,'Oil Share Data'!$E$2:$E$2000,'MM Avg Monthly Position'!$D87,'Oil Share Data'!$F$2:$F$2000,'MM Avg Monthly Position'!$E87)</f>
        <v>-77067.199999999997</v>
      </c>
      <c r="C87" s="25">
        <f>AVERAGEIFS('Oil Share Data'!$C$2:$C$2000,'Oil Share Data'!$E$2:$E$2000,'MM Avg Monthly Position'!$D87,'Oil Share Data'!$F$2:$F$2000,'MM Avg Monthly Position'!$E87)</f>
        <v>40.82</v>
      </c>
      <c r="D87" s="26">
        <f t="shared" si="2"/>
        <v>10</v>
      </c>
      <c r="E87" s="26">
        <f t="shared" si="3"/>
        <v>2013</v>
      </c>
    </row>
    <row r="88" spans="1:5">
      <c r="A88" s="24">
        <v>41579</v>
      </c>
      <c r="B88" s="18">
        <f>AVERAGEIFS('Oil Share Data'!$B$2:$B$2000,'Oil Share Data'!$E$2:$E$2000,'MM Avg Monthly Position'!$D88,'Oil Share Data'!$F$2:$F$2000,'MM Avg Monthly Position'!$E88)</f>
        <v>-74574.25</v>
      </c>
      <c r="C88" s="25">
        <f>AVERAGEIFS('Oil Share Data'!$C$2:$C$2000,'Oil Share Data'!$E$2:$E$2000,'MM Avg Monthly Position'!$D88,'Oil Share Data'!$F$2:$F$2000,'MM Avg Monthly Position'!$E88)</f>
        <v>40.522500000000001</v>
      </c>
      <c r="D88" s="26">
        <f t="shared" si="2"/>
        <v>11</v>
      </c>
      <c r="E88" s="26">
        <f t="shared" si="3"/>
        <v>2013</v>
      </c>
    </row>
    <row r="89" spans="1:5">
      <c r="A89" s="24">
        <v>41609</v>
      </c>
      <c r="B89" s="18">
        <f>AVERAGEIFS('Oil Share Data'!$B$2:$B$2000,'Oil Share Data'!$E$2:$E$2000,'MM Avg Monthly Position'!$D89,'Oil Share Data'!$F$2:$F$2000,'MM Avg Monthly Position'!$E89)</f>
        <v>-102774.8</v>
      </c>
      <c r="C89" s="25">
        <f>AVERAGEIFS('Oil Share Data'!$C$2:$C$2000,'Oil Share Data'!$E$2:$E$2000,'MM Avg Monthly Position'!$D89,'Oil Share Data'!$F$2:$F$2000,'MM Avg Monthly Position'!$E89)</f>
        <v>39.31</v>
      </c>
      <c r="D89" s="26">
        <f t="shared" si="2"/>
        <v>12</v>
      </c>
      <c r="E89" s="26">
        <f t="shared" si="3"/>
        <v>2013</v>
      </c>
    </row>
    <row r="90" spans="1:5">
      <c r="A90" s="24">
        <v>41640</v>
      </c>
      <c r="B90" s="18">
        <f>AVERAGEIFS('Oil Share Data'!$B$2:$B$2000,'Oil Share Data'!$E$2:$E$2000,'MM Avg Monthly Position'!$D90,'Oil Share Data'!$F$2:$F$2000,'MM Avg Monthly Position'!$E90)</f>
        <v>-116992</v>
      </c>
      <c r="C90" s="25">
        <f>AVERAGEIFS('Oil Share Data'!$C$2:$C$2000,'Oil Share Data'!$E$2:$E$2000,'MM Avg Monthly Position'!$D90,'Oil Share Data'!$F$2:$F$2000,'MM Avg Monthly Position'!$E90)</f>
        <v>37.717500000000001</v>
      </c>
      <c r="D90" s="26">
        <f t="shared" si="2"/>
        <v>1</v>
      </c>
      <c r="E90" s="26">
        <f t="shared" si="3"/>
        <v>2014</v>
      </c>
    </row>
    <row r="91" spans="1:5">
      <c r="A91" s="24">
        <v>41671</v>
      </c>
      <c r="B91" s="18">
        <f>AVERAGEIFS('Oil Share Data'!$B$2:$B$2000,'Oil Share Data'!$E$2:$E$2000,'MM Avg Monthly Position'!$D91,'Oil Share Data'!$F$2:$F$2000,'MM Avg Monthly Position'!$E91)</f>
        <v>-111082.25</v>
      </c>
      <c r="C91" s="25">
        <f>AVERAGEIFS('Oil Share Data'!$C$2:$C$2000,'Oil Share Data'!$E$2:$E$2000,'MM Avg Monthly Position'!$D91,'Oil Share Data'!$F$2:$F$2000,'MM Avg Monthly Position'!$E91)</f>
        <v>40.045000000000002</v>
      </c>
      <c r="D91" s="26">
        <f t="shared" si="2"/>
        <v>2</v>
      </c>
      <c r="E91" s="26">
        <f t="shared" si="3"/>
        <v>2014</v>
      </c>
    </row>
    <row r="92" spans="1:5">
      <c r="A92" s="24">
        <v>41699</v>
      </c>
      <c r="B92" s="18">
        <f>AVERAGEIFS('Oil Share Data'!$B$2:$B$2000,'Oil Share Data'!$E$2:$E$2000,'MM Avg Monthly Position'!$D92,'Oil Share Data'!$F$2:$F$2000,'MM Avg Monthly Position'!$E92)</f>
        <v>-51024.25</v>
      </c>
      <c r="C92" s="25">
        <f>AVERAGEIFS('Oil Share Data'!$C$2:$C$2000,'Oil Share Data'!$E$2:$E$2000,'MM Avg Monthly Position'!$D92,'Oil Share Data'!$F$2:$F$2000,'MM Avg Monthly Position'!$E92)</f>
        <v>41.902500000000003</v>
      </c>
      <c r="D92" s="26">
        <f t="shared" si="2"/>
        <v>3</v>
      </c>
      <c r="E92" s="26">
        <f t="shared" si="3"/>
        <v>2014</v>
      </c>
    </row>
    <row r="93" spans="1:5">
      <c r="A93" s="24">
        <v>41730</v>
      </c>
      <c r="B93" s="18">
        <f>AVERAGEIFS('Oil Share Data'!$B$2:$B$2000,'Oil Share Data'!$E$2:$E$2000,'MM Avg Monthly Position'!$D93,'Oil Share Data'!$F$2:$F$2000,'MM Avg Monthly Position'!$E93)</f>
        <v>-51715.199999999997</v>
      </c>
      <c r="C93" s="25">
        <f>AVERAGEIFS('Oil Share Data'!$C$2:$C$2000,'Oil Share Data'!$E$2:$E$2000,'MM Avg Monthly Position'!$D93,'Oil Share Data'!$F$2:$F$2000,'MM Avg Monthly Position'!$E93)</f>
        <v>42.257999999999996</v>
      </c>
      <c r="D93" s="26">
        <f t="shared" si="2"/>
        <v>4</v>
      </c>
      <c r="E93" s="26">
        <f t="shared" si="3"/>
        <v>2014</v>
      </c>
    </row>
    <row r="94" spans="1:5">
      <c r="A94" s="24">
        <v>41760</v>
      </c>
      <c r="B94" s="18">
        <f>AVERAGEIFS('Oil Share Data'!$B$2:$B$2000,'Oil Share Data'!$E$2:$E$2000,'MM Avg Monthly Position'!$D94,'Oil Share Data'!$F$2:$F$2000,'MM Avg Monthly Position'!$E94)</f>
        <v>-59249.25</v>
      </c>
      <c r="C94" s="25">
        <f>AVERAGEIFS('Oil Share Data'!$C$2:$C$2000,'Oil Share Data'!$E$2:$E$2000,'MM Avg Monthly Position'!$D94,'Oil Share Data'!$F$2:$F$2000,'MM Avg Monthly Position'!$E94)</f>
        <v>40.152499999999996</v>
      </c>
      <c r="D94" s="26">
        <f t="shared" si="2"/>
        <v>5</v>
      </c>
      <c r="E94" s="26">
        <f t="shared" si="3"/>
        <v>2014</v>
      </c>
    </row>
    <row r="95" spans="1:5">
      <c r="A95" s="24">
        <v>41791</v>
      </c>
      <c r="B95" s="18">
        <f>AVERAGEIFS('Oil Share Data'!$B$2:$B$2000,'Oil Share Data'!$E$2:$E$2000,'MM Avg Monthly Position'!$D95,'Oil Share Data'!$F$2:$F$2000,'MM Avg Monthly Position'!$E95)</f>
        <v>-72758.25</v>
      </c>
      <c r="C95" s="25">
        <f>AVERAGEIFS('Oil Share Data'!$C$2:$C$2000,'Oil Share Data'!$E$2:$E$2000,'MM Avg Monthly Position'!$D95,'Oil Share Data'!$F$2:$F$2000,'MM Avg Monthly Position'!$E95)</f>
        <v>39.702499999999993</v>
      </c>
      <c r="D95" s="26">
        <f t="shared" si="2"/>
        <v>6</v>
      </c>
      <c r="E95" s="26">
        <f t="shared" si="3"/>
        <v>2014</v>
      </c>
    </row>
    <row r="96" spans="1:5">
      <c r="A96" s="24">
        <v>41821</v>
      </c>
      <c r="B96" s="18">
        <f>AVERAGEIFS('Oil Share Data'!$B$2:$B$2000,'Oil Share Data'!$E$2:$E$2000,'MM Avg Monthly Position'!$D96,'Oil Share Data'!$F$2:$F$2000,'MM Avg Monthly Position'!$E96)</f>
        <v>-29264.2</v>
      </c>
      <c r="C96" s="25">
        <f>AVERAGEIFS('Oil Share Data'!$C$2:$C$2000,'Oil Share Data'!$E$2:$E$2000,'MM Avg Monthly Position'!$D96,'Oil Share Data'!$F$2:$F$2000,'MM Avg Monthly Position'!$E96)</f>
        <v>36.676000000000002</v>
      </c>
      <c r="D96" s="26">
        <f t="shared" si="2"/>
        <v>7</v>
      </c>
      <c r="E96" s="26">
        <f t="shared" si="3"/>
        <v>2014</v>
      </c>
    </row>
    <row r="97" spans="1:5">
      <c r="A97" s="24">
        <v>41852</v>
      </c>
      <c r="B97" s="18">
        <f>AVERAGEIFS('Oil Share Data'!$B$2:$B$2000,'Oil Share Data'!$E$2:$E$2000,'MM Avg Monthly Position'!$D97,'Oil Share Data'!$F$2:$F$2000,'MM Avg Monthly Position'!$E97)</f>
        <v>-47684.25</v>
      </c>
      <c r="C97" s="25">
        <f>AVERAGEIFS('Oil Share Data'!$C$2:$C$2000,'Oil Share Data'!$E$2:$E$2000,'MM Avg Monthly Position'!$D97,'Oil Share Data'!$F$2:$F$2000,'MM Avg Monthly Position'!$E97)</f>
        <v>33.177500000000002</v>
      </c>
      <c r="D97" s="26">
        <f t="shared" si="2"/>
        <v>8</v>
      </c>
      <c r="E97" s="26">
        <f t="shared" si="3"/>
        <v>2014</v>
      </c>
    </row>
    <row r="98" spans="1:5">
      <c r="A98" s="24">
        <v>41883</v>
      </c>
      <c r="B98" s="18">
        <f>AVERAGEIFS('Oil Share Data'!$B$2:$B$2000,'Oil Share Data'!$E$2:$E$2000,'MM Avg Monthly Position'!$D98,'Oil Share Data'!$F$2:$F$2000,'MM Avg Monthly Position'!$E98)</f>
        <v>-44224</v>
      </c>
      <c r="C98" s="25">
        <f>AVERAGEIFS('Oil Share Data'!$C$2:$C$2000,'Oil Share Data'!$E$2:$E$2000,'MM Avg Monthly Position'!$D98,'Oil Share Data'!$F$2:$F$2000,'MM Avg Monthly Position'!$E98)</f>
        <v>32.235999999999997</v>
      </c>
      <c r="D98" s="26">
        <f t="shared" si="2"/>
        <v>9</v>
      </c>
      <c r="E98" s="26">
        <f t="shared" si="3"/>
        <v>2014</v>
      </c>
    </row>
    <row r="99" spans="1:5">
      <c r="A99" s="24">
        <v>41913</v>
      </c>
      <c r="B99" s="18">
        <f>AVERAGEIFS('Oil Share Data'!$B$2:$B$2000,'Oil Share Data'!$E$2:$E$2000,'MM Avg Monthly Position'!$D99,'Oil Share Data'!$F$2:$F$2000,'MM Avg Monthly Position'!$E99)</f>
        <v>-25914.5</v>
      </c>
      <c r="C99" s="25">
        <f>AVERAGEIFS('Oil Share Data'!$C$2:$C$2000,'Oil Share Data'!$E$2:$E$2000,'MM Avg Monthly Position'!$D99,'Oil Share Data'!$F$2:$F$2000,'MM Avg Monthly Position'!$E99)</f>
        <v>32.872500000000002</v>
      </c>
      <c r="D99" s="26">
        <f t="shared" si="2"/>
        <v>10</v>
      </c>
      <c r="E99" s="26">
        <f t="shared" si="3"/>
        <v>2014</v>
      </c>
    </row>
    <row r="100" spans="1:5">
      <c r="A100" s="24">
        <v>41944</v>
      </c>
      <c r="B100" s="18">
        <f>AVERAGEIFS('Oil Share Data'!$B$2:$B$2000,'Oil Share Data'!$E$2:$E$2000,'MM Avg Monthly Position'!$D100,'Oil Share Data'!$F$2:$F$2000,'MM Avg Monthly Position'!$E100)</f>
        <v>-44758.75</v>
      </c>
      <c r="C100" s="25">
        <f>AVERAGEIFS('Oil Share Data'!$C$2:$C$2000,'Oil Share Data'!$E$2:$E$2000,'MM Avg Monthly Position'!$D100,'Oil Share Data'!$F$2:$F$2000,'MM Avg Monthly Position'!$E100)</f>
        <v>32.3675</v>
      </c>
      <c r="D100" s="26">
        <f t="shared" si="2"/>
        <v>11</v>
      </c>
      <c r="E100" s="26">
        <f t="shared" si="3"/>
        <v>2014</v>
      </c>
    </row>
    <row r="101" spans="1:5">
      <c r="A101" s="24">
        <v>41974</v>
      </c>
      <c r="B101" s="18">
        <f>AVERAGEIFS('Oil Share Data'!$B$2:$B$2000,'Oil Share Data'!$E$2:$E$2000,'MM Avg Monthly Position'!$D101,'Oil Share Data'!$F$2:$F$2000,'MM Avg Monthly Position'!$E101)</f>
        <v>-29869</v>
      </c>
      <c r="C101" s="25">
        <f>AVERAGEIFS('Oil Share Data'!$C$2:$C$2000,'Oil Share Data'!$E$2:$E$2000,'MM Avg Monthly Position'!$D101,'Oil Share Data'!$F$2:$F$2000,'MM Avg Monthly Position'!$E101)</f>
        <v>32.071999999999996</v>
      </c>
      <c r="D101" s="26">
        <f t="shared" si="2"/>
        <v>12</v>
      </c>
      <c r="E101" s="26">
        <f t="shared" si="3"/>
        <v>2014</v>
      </c>
    </row>
    <row r="102" spans="1:5">
      <c r="A102" s="24">
        <v>42005</v>
      </c>
      <c r="B102" s="18">
        <f>AVERAGEIFS('Oil Share Data'!$B$2:$B$2000,'Oil Share Data'!$E$2:$E$2000,'MM Avg Monthly Position'!$D102,'Oil Share Data'!$F$2:$F$2000,'MM Avg Monthly Position'!$E102)</f>
        <v>5109.25</v>
      </c>
      <c r="C102" s="25">
        <f>AVERAGEIFS('Oil Share Data'!$C$2:$C$2000,'Oil Share Data'!$E$2:$E$2000,'MM Avg Monthly Position'!$D102,'Oil Share Data'!$F$2:$F$2000,'MM Avg Monthly Position'!$E102)</f>
        <v>32.1325</v>
      </c>
      <c r="D102" s="26">
        <f t="shared" si="2"/>
        <v>1</v>
      </c>
      <c r="E102" s="26">
        <f t="shared" si="3"/>
        <v>2015</v>
      </c>
    </row>
    <row r="103" spans="1:5">
      <c r="A103" s="24">
        <v>42036</v>
      </c>
      <c r="B103" s="18">
        <f>AVERAGEIFS('Oil Share Data'!$B$2:$B$2000,'Oil Share Data'!$E$2:$E$2000,'MM Avg Monthly Position'!$D103,'Oil Share Data'!$F$2:$F$2000,'MM Avg Monthly Position'!$E103)</f>
        <v>-10143.25</v>
      </c>
      <c r="C103" s="25">
        <f>AVERAGEIFS('Oil Share Data'!$C$2:$C$2000,'Oil Share Data'!$E$2:$E$2000,'MM Avg Monthly Position'!$D103,'Oil Share Data'!$F$2:$F$2000,'MM Avg Monthly Position'!$E103)</f>
        <v>32.125</v>
      </c>
      <c r="D103" s="26">
        <f t="shared" si="2"/>
        <v>2</v>
      </c>
      <c r="E103" s="26">
        <f t="shared" si="3"/>
        <v>2015</v>
      </c>
    </row>
    <row r="104" spans="1:5">
      <c r="A104" s="24">
        <v>42064</v>
      </c>
      <c r="B104" s="18">
        <f>AVERAGEIFS('Oil Share Data'!$B$2:$B$2000,'Oil Share Data'!$E$2:$E$2000,'MM Avg Monthly Position'!$D104,'Oil Share Data'!$F$2:$F$2000,'MM Avg Monthly Position'!$E104)</f>
        <v>-2375.4</v>
      </c>
      <c r="C104" s="25">
        <f>AVERAGEIFS('Oil Share Data'!$C$2:$C$2000,'Oil Share Data'!$E$2:$E$2000,'MM Avg Monthly Position'!$D104,'Oil Share Data'!$F$2:$F$2000,'MM Avg Monthly Position'!$E104)</f>
        <v>30.729999999999997</v>
      </c>
      <c r="D104" s="26">
        <f t="shared" si="2"/>
        <v>3</v>
      </c>
      <c r="E104" s="26">
        <f t="shared" si="3"/>
        <v>2015</v>
      </c>
    </row>
    <row r="105" spans="1:5">
      <c r="A105" s="24">
        <v>42095</v>
      </c>
      <c r="B105" s="18">
        <f>AVERAGEIFS('Oil Share Data'!$B$2:$B$2000,'Oil Share Data'!$E$2:$E$2000,'MM Avg Monthly Position'!$D105,'Oil Share Data'!$F$2:$F$2000,'MM Avg Monthly Position'!$E105)</f>
        <v>23420.5</v>
      </c>
      <c r="C105" s="25">
        <f>AVERAGEIFS('Oil Share Data'!$C$2:$C$2000,'Oil Share Data'!$E$2:$E$2000,'MM Avg Monthly Position'!$D105,'Oil Share Data'!$F$2:$F$2000,'MM Avg Monthly Position'!$E105)</f>
        <v>31.43</v>
      </c>
      <c r="D105" s="26">
        <f t="shared" si="2"/>
        <v>4</v>
      </c>
      <c r="E105" s="26">
        <f t="shared" si="3"/>
        <v>2015</v>
      </c>
    </row>
    <row r="106" spans="1:5">
      <c r="A106" s="24">
        <v>42125</v>
      </c>
      <c r="B106" s="18">
        <f>AVERAGEIFS('Oil Share Data'!$B$2:$B$2000,'Oil Share Data'!$E$2:$E$2000,'MM Avg Monthly Position'!$D106,'Oil Share Data'!$F$2:$F$2000,'MM Avg Monthly Position'!$E106)</f>
        <v>41453.75</v>
      </c>
      <c r="C106" s="25">
        <f>AVERAGEIFS('Oil Share Data'!$C$2:$C$2000,'Oil Share Data'!$E$2:$E$2000,'MM Avg Monthly Position'!$D106,'Oil Share Data'!$F$2:$F$2000,'MM Avg Monthly Position'!$E106)</f>
        <v>32.71</v>
      </c>
      <c r="D106" s="26">
        <f t="shared" si="2"/>
        <v>5</v>
      </c>
      <c r="E106" s="26">
        <f t="shared" si="3"/>
        <v>2015</v>
      </c>
    </row>
    <row r="107" spans="1:5">
      <c r="A107" s="24">
        <v>42156</v>
      </c>
      <c r="B107" s="18">
        <f>AVERAGEIFS('Oil Share Data'!$B$2:$B$2000,'Oil Share Data'!$E$2:$E$2000,'MM Avg Monthly Position'!$D107,'Oil Share Data'!$F$2:$F$2000,'MM Avg Monthly Position'!$E107)</f>
        <v>29079.200000000001</v>
      </c>
      <c r="C107" s="25">
        <f>AVERAGEIFS('Oil Share Data'!$C$2:$C$2000,'Oil Share Data'!$E$2:$E$2000,'MM Avg Monthly Position'!$D107,'Oil Share Data'!$F$2:$F$2000,'MM Avg Monthly Position'!$E107)</f>
        <v>33.410000000000004</v>
      </c>
      <c r="D107" s="26">
        <f t="shared" si="2"/>
        <v>6</v>
      </c>
      <c r="E107" s="26">
        <f t="shared" si="3"/>
        <v>2015</v>
      </c>
    </row>
    <row r="108" spans="1:5">
      <c r="A108" s="24">
        <v>42186</v>
      </c>
      <c r="B108" s="18">
        <f>AVERAGEIFS('Oil Share Data'!$B$2:$B$2000,'Oil Share Data'!$E$2:$E$2000,'MM Avg Monthly Position'!$D108,'Oil Share Data'!$F$2:$F$2000,'MM Avg Monthly Position'!$E108)</f>
        <v>-40156.25</v>
      </c>
      <c r="C108" s="25">
        <f>AVERAGEIFS('Oil Share Data'!$C$2:$C$2000,'Oil Share Data'!$E$2:$E$2000,'MM Avg Monthly Position'!$D108,'Oil Share Data'!$F$2:$F$2000,'MM Avg Monthly Position'!$E108)</f>
        <v>31.137500000000003</v>
      </c>
      <c r="D108" s="26">
        <f t="shared" si="2"/>
        <v>7</v>
      </c>
      <c r="E108" s="26">
        <f t="shared" si="3"/>
        <v>2015</v>
      </c>
    </row>
    <row r="109" spans="1:5">
      <c r="A109" s="24">
        <v>42217</v>
      </c>
      <c r="B109" s="18">
        <f>AVERAGEIFS('Oil Share Data'!$B$2:$B$2000,'Oil Share Data'!$E$2:$E$2000,'MM Avg Monthly Position'!$D109,'Oil Share Data'!$F$2:$F$2000,'MM Avg Monthly Position'!$E109)</f>
        <v>-60217</v>
      </c>
      <c r="C109" s="25">
        <f>AVERAGEIFS('Oil Share Data'!$C$2:$C$2000,'Oil Share Data'!$E$2:$E$2000,'MM Avg Monthly Position'!$D109,'Oil Share Data'!$F$2:$F$2000,'MM Avg Monthly Position'!$E109)</f>
        <v>28.490000000000002</v>
      </c>
      <c r="D109" s="26">
        <f t="shared" si="2"/>
        <v>8</v>
      </c>
      <c r="E109" s="26">
        <f t="shared" si="3"/>
        <v>2015</v>
      </c>
    </row>
    <row r="110" spans="1:5">
      <c r="A110" s="24">
        <v>42248</v>
      </c>
      <c r="B110" s="18">
        <f>AVERAGEIFS('Oil Share Data'!$B$2:$B$2000,'Oil Share Data'!$E$2:$E$2000,'MM Avg Monthly Position'!$D110,'Oil Share Data'!$F$2:$F$2000,'MM Avg Monthly Position'!$E110)</f>
        <v>-39386.199999999997</v>
      </c>
      <c r="C110" s="25">
        <f>AVERAGEIFS('Oil Share Data'!$C$2:$C$2000,'Oil Share Data'!$E$2:$E$2000,'MM Avg Monthly Position'!$D110,'Oil Share Data'!$F$2:$F$2000,'MM Avg Monthly Position'!$E110)</f>
        <v>26.925999999999998</v>
      </c>
      <c r="D110" s="26">
        <f t="shared" si="2"/>
        <v>9</v>
      </c>
      <c r="E110" s="26">
        <f t="shared" si="3"/>
        <v>2015</v>
      </c>
    </row>
    <row r="111" spans="1:5">
      <c r="A111" s="24">
        <v>42278</v>
      </c>
      <c r="B111" s="18">
        <f>AVERAGEIFS('Oil Share Data'!$B$2:$B$2000,'Oil Share Data'!$E$2:$E$2000,'MM Avg Monthly Position'!$D111,'Oil Share Data'!$F$2:$F$2000,'MM Avg Monthly Position'!$E111)</f>
        <v>-2114.75</v>
      </c>
      <c r="C111" s="25">
        <f>AVERAGEIFS('Oil Share Data'!$C$2:$C$2000,'Oil Share Data'!$E$2:$E$2000,'MM Avg Monthly Position'!$D111,'Oil Share Data'!$F$2:$F$2000,'MM Avg Monthly Position'!$E111)</f>
        <v>28.385000000000002</v>
      </c>
      <c r="D111" s="26">
        <f t="shared" si="2"/>
        <v>10</v>
      </c>
      <c r="E111" s="26">
        <f t="shared" si="3"/>
        <v>2015</v>
      </c>
    </row>
    <row r="112" spans="1:5">
      <c r="A112" s="24">
        <v>42309</v>
      </c>
      <c r="B112" s="18">
        <f>AVERAGEIFS('Oil Share Data'!$B$2:$B$2000,'Oil Share Data'!$E$2:$E$2000,'MM Avg Monthly Position'!$D112,'Oil Share Data'!$F$2:$F$2000,'MM Avg Monthly Position'!$E112)</f>
        <v>20535.75</v>
      </c>
      <c r="C112" s="25">
        <f>AVERAGEIFS('Oil Share Data'!$C$2:$C$2000,'Oil Share Data'!$E$2:$E$2000,'MM Avg Monthly Position'!$D112,'Oil Share Data'!$F$2:$F$2000,'MM Avg Monthly Position'!$E112)</f>
        <v>27.932499999999997</v>
      </c>
      <c r="D112" s="26">
        <f t="shared" si="2"/>
        <v>11</v>
      </c>
      <c r="E112" s="26">
        <f t="shared" si="3"/>
        <v>2015</v>
      </c>
    </row>
    <row r="113" spans="1:5">
      <c r="A113" s="24">
        <v>42339</v>
      </c>
      <c r="B113" s="18">
        <f>AVERAGEIFS('Oil Share Data'!$B$2:$B$2000,'Oil Share Data'!$E$2:$E$2000,'MM Avg Monthly Position'!$D113,'Oil Share Data'!$F$2:$F$2000,'MM Avg Monthly Position'!$E113)</f>
        <v>90388.6</v>
      </c>
      <c r="C113" s="25">
        <f>AVERAGEIFS('Oil Share Data'!$C$2:$C$2000,'Oil Share Data'!$E$2:$E$2000,'MM Avg Monthly Position'!$D113,'Oil Share Data'!$F$2:$F$2000,'MM Avg Monthly Position'!$E113)</f>
        <v>30.966000000000001</v>
      </c>
      <c r="D113" s="26">
        <f t="shared" si="2"/>
        <v>12</v>
      </c>
      <c r="E113" s="26">
        <f t="shared" si="3"/>
        <v>2015</v>
      </c>
    </row>
    <row r="114" spans="1:5">
      <c r="A114" s="24">
        <v>42370</v>
      </c>
      <c r="B114" s="18">
        <f>AVERAGEIFS('Oil Share Data'!$B$2:$B$2000,'Oil Share Data'!$E$2:$E$2000,'MM Avg Monthly Position'!$D114,'Oil Share Data'!$F$2:$F$2000,'MM Avg Monthly Position'!$E114)</f>
        <v>87343.75</v>
      </c>
      <c r="C114" s="25">
        <f>AVERAGEIFS('Oil Share Data'!$C$2:$C$2000,'Oil Share Data'!$E$2:$E$2000,'MM Avg Monthly Position'!$D114,'Oil Share Data'!$F$2:$F$2000,'MM Avg Monthly Position'!$E114)</f>
        <v>30.119999999999997</v>
      </c>
      <c r="D114" s="26">
        <f t="shared" si="2"/>
        <v>1</v>
      </c>
      <c r="E114" s="26">
        <f t="shared" si="3"/>
        <v>2016</v>
      </c>
    </row>
    <row r="115" spans="1:5">
      <c r="A115" s="24">
        <v>42401</v>
      </c>
      <c r="B115" s="18">
        <f>AVERAGEIFS('Oil Share Data'!$B$2:$B$2000,'Oil Share Data'!$E$2:$E$2000,'MM Avg Monthly Position'!$D115,'Oil Share Data'!$F$2:$F$2000,'MM Avg Monthly Position'!$E115)</f>
        <v>94920.5</v>
      </c>
      <c r="C115" s="25">
        <f>AVERAGEIFS('Oil Share Data'!$C$2:$C$2000,'Oil Share Data'!$E$2:$E$2000,'MM Avg Monthly Position'!$D115,'Oil Share Data'!$F$2:$F$2000,'MM Avg Monthly Position'!$E115)</f>
        <v>31.362500000000001</v>
      </c>
      <c r="D115" s="26">
        <f t="shared" si="2"/>
        <v>2</v>
      </c>
      <c r="E115" s="26">
        <f t="shared" si="3"/>
        <v>2016</v>
      </c>
    </row>
    <row r="116" spans="1:5">
      <c r="A116" s="24">
        <v>42430</v>
      </c>
      <c r="B116" s="18">
        <f>AVERAGEIFS('Oil Share Data'!$B$2:$B$2000,'Oil Share Data'!$E$2:$E$2000,'MM Avg Monthly Position'!$D116,'Oil Share Data'!$F$2:$F$2000,'MM Avg Monthly Position'!$E116)</f>
        <v>98358.6</v>
      </c>
      <c r="C116" s="25">
        <f>AVERAGEIFS('Oil Share Data'!$C$2:$C$2000,'Oil Share Data'!$E$2:$E$2000,'MM Avg Monthly Position'!$D116,'Oil Share Data'!$F$2:$F$2000,'MM Avg Monthly Position'!$E116)</f>
        <v>32.741999999999997</v>
      </c>
      <c r="D116" s="26">
        <f t="shared" si="2"/>
        <v>3</v>
      </c>
      <c r="E116" s="26">
        <f t="shared" si="3"/>
        <v>2016</v>
      </c>
    </row>
    <row r="117" spans="1:5">
      <c r="A117" s="24">
        <v>42461</v>
      </c>
      <c r="B117" s="18">
        <f>AVERAGEIFS('Oil Share Data'!$B$2:$B$2000,'Oil Share Data'!$E$2:$E$2000,'MM Avg Monthly Position'!$D117,'Oil Share Data'!$F$2:$F$2000,'MM Avg Monthly Position'!$E117)</f>
        <v>93721</v>
      </c>
      <c r="C117" s="25">
        <f>AVERAGEIFS('Oil Share Data'!$C$2:$C$2000,'Oil Share Data'!$E$2:$E$2000,'MM Avg Monthly Position'!$D117,'Oil Share Data'!$F$2:$F$2000,'MM Avg Monthly Position'!$E117)</f>
        <v>33.547499999999999</v>
      </c>
      <c r="D117" s="26">
        <f t="shared" si="2"/>
        <v>4</v>
      </c>
      <c r="E117" s="26">
        <f t="shared" si="3"/>
        <v>2016</v>
      </c>
    </row>
    <row r="118" spans="1:5">
      <c r="A118" s="24">
        <v>42491</v>
      </c>
      <c r="B118" s="18">
        <f>AVERAGEIFS('Oil Share Data'!$B$2:$B$2000,'Oil Share Data'!$E$2:$E$2000,'MM Avg Monthly Position'!$D118,'Oil Share Data'!$F$2:$F$2000,'MM Avg Monthly Position'!$E118)</f>
        <v>-4395</v>
      </c>
      <c r="C118" s="25">
        <f>AVERAGEIFS('Oil Share Data'!$C$2:$C$2000,'Oil Share Data'!$E$2:$E$2000,'MM Avg Monthly Position'!$D118,'Oil Share Data'!$F$2:$F$2000,'MM Avg Monthly Position'!$E118)</f>
        <v>31.998000000000001</v>
      </c>
      <c r="D118" s="26">
        <f t="shared" si="2"/>
        <v>5</v>
      </c>
      <c r="E118" s="26">
        <f t="shared" si="3"/>
        <v>2016</v>
      </c>
    </row>
    <row r="119" spans="1:5">
      <c r="A119" s="24">
        <v>42522</v>
      </c>
      <c r="B119" s="18">
        <f>AVERAGEIFS('Oil Share Data'!$B$2:$B$2000,'Oil Share Data'!$E$2:$E$2000,'MM Avg Monthly Position'!$D119,'Oil Share Data'!$F$2:$F$2000,'MM Avg Monthly Position'!$E119)</f>
        <v>-30749</v>
      </c>
      <c r="C119" s="25">
        <f>AVERAGEIFS('Oil Share Data'!$C$2:$C$2000,'Oil Share Data'!$E$2:$E$2000,'MM Avg Monthly Position'!$D119,'Oil Share Data'!$F$2:$F$2000,'MM Avg Monthly Position'!$E119)</f>
        <v>31.677499999999998</v>
      </c>
      <c r="D119" s="26">
        <f t="shared" si="2"/>
        <v>6</v>
      </c>
      <c r="E119" s="26">
        <f t="shared" si="3"/>
        <v>2016</v>
      </c>
    </row>
    <row r="120" spans="1:5">
      <c r="A120" s="24">
        <v>42552</v>
      </c>
      <c r="B120" s="18">
        <f>AVERAGEIFS('Oil Share Data'!$B$2:$B$2000,'Oil Share Data'!$E$2:$E$2000,'MM Avg Monthly Position'!$D120,'Oil Share Data'!$F$2:$F$2000,'MM Avg Monthly Position'!$E120)</f>
        <v>-63780</v>
      </c>
      <c r="C120" s="25">
        <f>AVERAGEIFS('Oil Share Data'!$C$2:$C$2000,'Oil Share Data'!$E$2:$E$2000,'MM Avg Monthly Position'!$D120,'Oil Share Data'!$F$2:$F$2000,'MM Avg Monthly Position'!$E120)</f>
        <v>30.43</v>
      </c>
      <c r="D120" s="26">
        <f t="shared" si="2"/>
        <v>7</v>
      </c>
      <c r="E120" s="26">
        <f t="shared" si="3"/>
        <v>2016</v>
      </c>
    </row>
    <row r="121" spans="1:5">
      <c r="A121" s="24">
        <v>42583</v>
      </c>
      <c r="B121" s="18">
        <f>AVERAGEIFS('Oil Share Data'!$B$2:$B$2000,'Oil Share Data'!$E$2:$E$2000,'MM Avg Monthly Position'!$D121,'Oil Share Data'!$F$2:$F$2000,'MM Avg Monthly Position'!$E121)</f>
        <v>-12221.4</v>
      </c>
      <c r="C121" s="25">
        <f>AVERAGEIFS('Oil Share Data'!$C$2:$C$2000,'Oil Share Data'!$E$2:$E$2000,'MM Avg Monthly Position'!$D121,'Oil Share Data'!$F$2:$F$2000,'MM Avg Monthly Position'!$E121)</f>
        <v>32.433999999999997</v>
      </c>
      <c r="D121" s="26">
        <f t="shared" si="2"/>
        <v>8</v>
      </c>
      <c r="E121" s="26">
        <f t="shared" si="3"/>
        <v>2016</v>
      </c>
    </row>
    <row r="122" spans="1:5">
      <c r="A122" s="24">
        <v>42614</v>
      </c>
      <c r="B122" s="18">
        <f>AVERAGEIFS('Oil Share Data'!$B$2:$B$2000,'Oil Share Data'!$E$2:$E$2000,'MM Avg Monthly Position'!$D122,'Oil Share Data'!$F$2:$F$2000,'MM Avg Monthly Position'!$E122)</f>
        <v>54429.75</v>
      </c>
      <c r="C122" s="25">
        <f>AVERAGEIFS('Oil Share Data'!$C$2:$C$2000,'Oil Share Data'!$E$2:$E$2000,'MM Avg Monthly Position'!$D122,'Oil Share Data'!$F$2:$F$2000,'MM Avg Monthly Position'!$E122)</f>
        <v>32.89</v>
      </c>
      <c r="D122" s="26">
        <f t="shared" si="2"/>
        <v>9</v>
      </c>
      <c r="E122" s="26">
        <f t="shared" si="3"/>
        <v>2016</v>
      </c>
    </row>
    <row r="123" spans="1:5">
      <c r="A123" s="24">
        <v>42644</v>
      </c>
      <c r="B123" s="18">
        <f>AVERAGEIFS('Oil Share Data'!$B$2:$B$2000,'Oil Share Data'!$E$2:$E$2000,'MM Avg Monthly Position'!$D123,'Oil Share Data'!$F$2:$F$2000,'MM Avg Monthly Position'!$E123)</f>
        <v>83854.5</v>
      </c>
      <c r="C123" s="25">
        <f>AVERAGEIFS('Oil Share Data'!$C$2:$C$2000,'Oil Share Data'!$E$2:$E$2000,'MM Avg Monthly Position'!$D123,'Oil Share Data'!$F$2:$F$2000,'MM Avg Monthly Position'!$E123)</f>
        <v>34.447499999999998</v>
      </c>
      <c r="D123" s="26">
        <f t="shared" si="2"/>
        <v>10</v>
      </c>
      <c r="E123" s="26">
        <f t="shared" si="3"/>
        <v>2016</v>
      </c>
    </row>
    <row r="124" spans="1:5">
      <c r="A124" s="24">
        <v>42675</v>
      </c>
      <c r="B124" s="18">
        <f>AVERAGEIFS('Oil Share Data'!$B$2:$B$2000,'Oil Share Data'!$E$2:$E$2000,'MM Avg Monthly Position'!$D124,'Oil Share Data'!$F$2:$F$2000,'MM Avg Monthly Position'!$E124)</f>
        <v>92085.8</v>
      </c>
      <c r="C124" s="25">
        <f>AVERAGEIFS('Oil Share Data'!$C$2:$C$2000,'Oil Share Data'!$E$2:$E$2000,'MM Avg Monthly Position'!$D124,'Oil Share Data'!$F$2:$F$2000,'MM Avg Monthly Position'!$E124)</f>
        <v>35.474000000000004</v>
      </c>
      <c r="D124" s="26">
        <f t="shared" si="2"/>
        <v>11</v>
      </c>
      <c r="E124" s="26">
        <f t="shared" si="3"/>
        <v>2016</v>
      </c>
    </row>
    <row r="125" spans="1:5">
      <c r="A125" s="24">
        <v>42705</v>
      </c>
      <c r="B125" s="18">
        <f>AVERAGEIFS('Oil Share Data'!$B$2:$B$2000,'Oil Share Data'!$E$2:$E$2000,'MM Avg Monthly Position'!$D125,'Oil Share Data'!$F$2:$F$2000,'MM Avg Monthly Position'!$E125)</f>
        <v>79321.25</v>
      </c>
      <c r="C125" s="25">
        <f>AVERAGEIFS('Oil Share Data'!$C$2:$C$2000,'Oil Share Data'!$E$2:$E$2000,'MM Avg Monthly Position'!$D125,'Oil Share Data'!$F$2:$F$2000,'MM Avg Monthly Position'!$E125)</f>
        <v>35.625</v>
      </c>
      <c r="D125" s="26">
        <f t="shared" si="2"/>
        <v>12</v>
      </c>
      <c r="E125" s="26">
        <f t="shared" si="3"/>
        <v>2016</v>
      </c>
    </row>
    <row r="126" spans="1:5">
      <c r="A126" s="24">
        <v>42736</v>
      </c>
      <c r="B126" s="18">
        <f>AVERAGEIFS('Oil Share Data'!$B$2:$B$2000,'Oil Share Data'!$E$2:$E$2000,'MM Avg Monthly Position'!$D126,'Oil Share Data'!$F$2:$F$2000,'MM Avg Monthly Position'!$E126)</f>
        <v>34432</v>
      </c>
      <c r="C126" s="25">
        <f>AVERAGEIFS('Oil Share Data'!$C$2:$C$2000,'Oil Share Data'!$E$2:$E$2000,'MM Avg Monthly Position'!$D126,'Oil Share Data'!$F$2:$F$2000,'MM Avg Monthly Position'!$E126)</f>
        <v>34.684000000000005</v>
      </c>
      <c r="D126" s="26">
        <f t="shared" si="2"/>
        <v>1</v>
      </c>
      <c r="E126" s="26">
        <f t="shared" si="3"/>
        <v>2017</v>
      </c>
    </row>
    <row r="127" spans="1:5">
      <c r="A127" s="24">
        <v>42767</v>
      </c>
      <c r="B127" s="18">
        <f>AVERAGEIFS('Oil Share Data'!$B$2:$B$2000,'Oil Share Data'!$E$2:$E$2000,'MM Avg Monthly Position'!$D127,'Oil Share Data'!$F$2:$F$2000,'MM Avg Monthly Position'!$E127)</f>
        <v>-16986.25</v>
      </c>
      <c r="C127" s="25">
        <f>AVERAGEIFS('Oil Share Data'!$C$2:$C$2000,'Oil Share Data'!$E$2:$E$2000,'MM Avg Monthly Position'!$D127,'Oil Share Data'!$F$2:$F$2000,'MM Avg Monthly Position'!$E127)</f>
        <v>33.505000000000003</v>
      </c>
      <c r="D127" s="26">
        <f t="shared" si="2"/>
        <v>2</v>
      </c>
      <c r="E127" s="26">
        <f t="shared" si="3"/>
        <v>2017</v>
      </c>
    </row>
    <row r="128" spans="1:5">
      <c r="A128" s="24">
        <v>42795</v>
      </c>
      <c r="B128" s="18">
        <f>AVERAGEIFS('Oil Share Data'!$B$2:$B$2000,'Oil Share Data'!$E$2:$E$2000,'MM Avg Monthly Position'!$D128,'Oil Share Data'!$F$2:$F$2000,'MM Avg Monthly Position'!$E128)</f>
        <v>-57027.25</v>
      </c>
      <c r="C128" s="25">
        <f>AVERAGEIFS('Oil Share Data'!$C$2:$C$2000,'Oil Share Data'!$E$2:$E$2000,'MM Avg Monthly Position'!$D128,'Oil Share Data'!$F$2:$F$2000,'MM Avg Monthly Position'!$E128)</f>
        <v>32.1875</v>
      </c>
      <c r="D128" s="26">
        <f t="shared" si="2"/>
        <v>3</v>
      </c>
      <c r="E128" s="26">
        <f t="shared" si="3"/>
        <v>2017</v>
      </c>
    </row>
    <row r="129" spans="1:5">
      <c r="A129" s="24">
        <v>42826</v>
      </c>
      <c r="B129" s="18">
        <f>AVERAGEIFS('Oil Share Data'!$B$2:$B$2000,'Oil Share Data'!$E$2:$E$2000,'MM Avg Monthly Position'!$D129,'Oil Share Data'!$F$2:$F$2000,'MM Avg Monthly Position'!$E129)</f>
        <v>-49030.75</v>
      </c>
      <c r="C129" s="25">
        <f>AVERAGEIFS('Oil Share Data'!$C$2:$C$2000,'Oil Share Data'!$E$2:$E$2000,'MM Avg Monthly Position'!$D129,'Oil Share Data'!$F$2:$F$2000,'MM Avg Monthly Position'!$E129)</f>
        <v>31.55</v>
      </c>
      <c r="D129" s="26">
        <f t="shared" si="2"/>
        <v>4</v>
      </c>
      <c r="E129" s="26">
        <f t="shared" si="3"/>
        <v>2017</v>
      </c>
    </row>
    <row r="130" spans="1:5">
      <c r="A130" s="24">
        <v>42856</v>
      </c>
      <c r="B130" s="18">
        <f>AVERAGEIFS('Oil Share Data'!$B$2:$B$2000,'Oil Share Data'!$E$2:$E$2000,'MM Avg Monthly Position'!$D130,'Oil Share Data'!$F$2:$F$2000,'MM Avg Monthly Position'!$E130)</f>
        <v>3489.6</v>
      </c>
      <c r="C130" s="25">
        <f>AVERAGEIFS('Oil Share Data'!$C$2:$C$2000,'Oil Share Data'!$E$2:$E$2000,'MM Avg Monthly Position'!$D130,'Oil Share Data'!$F$2:$F$2000,'MM Avg Monthly Position'!$E130)</f>
        <v>32.197999999999993</v>
      </c>
      <c r="D130" s="26">
        <f t="shared" ref="D130:D193" si="4">MONTH(A130)</f>
        <v>5</v>
      </c>
      <c r="E130" s="26">
        <f t="shared" ref="E130:E193" si="5">YEAR(A130)</f>
        <v>2017</v>
      </c>
    </row>
    <row r="131" spans="1:5">
      <c r="A131" s="24">
        <v>42887</v>
      </c>
      <c r="B131" s="18">
        <f>AVERAGEIFS('Oil Share Data'!$B$2:$B$2000,'Oil Share Data'!$E$2:$E$2000,'MM Avg Monthly Position'!$D131,'Oil Share Data'!$F$2:$F$2000,'MM Avg Monthly Position'!$E131)</f>
        <v>39841.5</v>
      </c>
      <c r="C131" s="25">
        <f>AVERAGEIFS('Oil Share Data'!$C$2:$C$2000,'Oil Share Data'!$E$2:$E$2000,'MM Avg Monthly Position'!$D131,'Oil Share Data'!$F$2:$F$2000,'MM Avg Monthly Position'!$E131)</f>
        <v>32.484999999999999</v>
      </c>
      <c r="D131" s="26">
        <f t="shared" si="4"/>
        <v>6</v>
      </c>
      <c r="E131" s="26">
        <f t="shared" si="5"/>
        <v>2017</v>
      </c>
    </row>
    <row r="132" spans="1:5">
      <c r="A132" s="24">
        <v>42917</v>
      </c>
      <c r="B132" s="18">
        <f>AVERAGEIFS('Oil Share Data'!$B$2:$B$2000,'Oil Share Data'!$E$2:$E$2000,'MM Avg Monthly Position'!$D132,'Oil Share Data'!$F$2:$F$2000,'MM Avg Monthly Position'!$E132)</f>
        <v>57371</v>
      </c>
      <c r="C132" s="25">
        <f>AVERAGEIFS('Oil Share Data'!$C$2:$C$2000,'Oil Share Data'!$E$2:$E$2000,'MM Avg Monthly Position'!$D132,'Oil Share Data'!$F$2:$F$2000,'MM Avg Monthly Position'!$E132)</f>
        <v>33.5625</v>
      </c>
      <c r="D132" s="26">
        <f t="shared" si="4"/>
        <v>7</v>
      </c>
      <c r="E132" s="26">
        <f t="shared" si="5"/>
        <v>2017</v>
      </c>
    </row>
    <row r="133" spans="1:5">
      <c r="A133" s="24">
        <v>42948</v>
      </c>
      <c r="B133" s="18">
        <f>AVERAGEIFS('Oil Share Data'!$B$2:$B$2000,'Oil Share Data'!$E$2:$E$2000,'MM Avg Monthly Position'!$D133,'Oil Share Data'!$F$2:$F$2000,'MM Avg Monthly Position'!$E133)</f>
        <v>81697.2</v>
      </c>
      <c r="C133" s="25">
        <f>AVERAGEIFS('Oil Share Data'!$C$2:$C$2000,'Oil Share Data'!$E$2:$E$2000,'MM Avg Monthly Position'!$D133,'Oil Share Data'!$F$2:$F$2000,'MM Avg Monthly Position'!$E133)</f>
        <v>34.131999999999998</v>
      </c>
      <c r="D133" s="26">
        <f t="shared" si="4"/>
        <v>8</v>
      </c>
      <c r="E133" s="26">
        <f t="shared" si="5"/>
        <v>2017</v>
      </c>
    </row>
    <row r="134" spans="1:5">
      <c r="A134" s="24">
        <v>42979</v>
      </c>
      <c r="B134" s="18">
        <f>AVERAGEIFS('Oil Share Data'!$B$2:$B$2000,'Oil Share Data'!$E$2:$E$2000,'MM Avg Monthly Position'!$D134,'Oil Share Data'!$F$2:$F$2000,'MM Avg Monthly Position'!$E134)</f>
        <v>112035</v>
      </c>
      <c r="C134" s="25">
        <f>AVERAGEIFS('Oil Share Data'!$C$2:$C$2000,'Oil Share Data'!$E$2:$E$2000,'MM Avg Monthly Position'!$D134,'Oil Share Data'!$F$2:$F$2000,'MM Avg Monthly Position'!$E134)</f>
        <v>33.927500000000002</v>
      </c>
      <c r="D134" s="26">
        <f t="shared" si="4"/>
        <v>9</v>
      </c>
      <c r="E134" s="26">
        <f t="shared" si="5"/>
        <v>2017</v>
      </c>
    </row>
    <row r="135" spans="1:5">
      <c r="A135" s="24">
        <v>43009</v>
      </c>
      <c r="B135" s="18">
        <f>AVERAGEIFS('Oil Share Data'!$B$2:$B$2000,'Oil Share Data'!$E$2:$E$2000,'MM Avg Monthly Position'!$D135,'Oil Share Data'!$F$2:$F$2000,'MM Avg Monthly Position'!$E135)</f>
        <v>19361.400000000001</v>
      </c>
      <c r="C135" s="25">
        <f>AVERAGEIFS('Oil Share Data'!$C$2:$C$2000,'Oil Share Data'!$E$2:$E$2000,'MM Avg Monthly Position'!$D135,'Oil Share Data'!$F$2:$F$2000,'MM Avg Monthly Position'!$E135)</f>
        <v>33.923999999999999</v>
      </c>
      <c r="D135" s="26">
        <f t="shared" si="4"/>
        <v>10</v>
      </c>
      <c r="E135" s="26">
        <f t="shared" si="5"/>
        <v>2017</v>
      </c>
    </row>
    <row r="136" spans="1:5">
      <c r="A136" s="24">
        <v>43040</v>
      </c>
      <c r="B136" s="18">
        <f>AVERAGEIFS('Oil Share Data'!$B$2:$B$2000,'Oil Share Data'!$E$2:$E$2000,'MM Avg Monthly Position'!$D136,'Oil Share Data'!$F$2:$F$2000,'MM Avg Monthly Position'!$E136)</f>
        <v>28937.5</v>
      </c>
      <c r="C136" s="25">
        <f>AVERAGEIFS('Oil Share Data'!$C$2:$C$2000,'Oil Share Data'!$E$2:$E$2000,'MM Avg Monthly Position'!$D136,'Oil Share Data'!$F$2:$F$2000,'MM Avg Monthly Position'!$E136)</f>
        <v>34.197499999999998</v>
      </c>
      <c r="D136" s="26">
        <f t="shared" si="4"/>
        <v>11</v>
      </c>
      <c r="E136" s="26">
        <f t="shared" si="5"/>
        <v>2017</v>
      </c>
    </row>
    <row r="137" spans="1:5">
      <c r="A137" s="24">
        <v>43070</v>
      </c>
      <c r="B137" s="18">
        <f>AVERAGEIFS('Oil Share Data'!$B$2:$B$2000,'Oil Share Data'!$E$2:$E$2000,'MM Avg Monthly Position'!$D137,'Oil Share Data'!$F$2:$F$2000,'MM Avg Monthly Position'!$E137)</f>
        <v>-43105.5</v>
      </c>
      <c r="C137" s="25">
        <f>AVERAGEIFS('Oil Share Data'!$C$2:$C$2000,'Oil Share Data'!$E$2:$E$2000,'MM Avg Monthly Position'!$D137,'Oil Share Data'!$F$2:$F$2000,'MM Avg Monthly Position'!$E137)</f>
        <v>33.129999999999995</v>
      </c>
      <c r="D137" s="26">
        <f t="shared" si="4"/>
        <v>12</v>
      </c>
      <c r="E137" s="26">
        <f t="shared" si="5"/>
        <v>2017</v>
      </c>
    </row>
    <row r="138" spans="1:5">
      <c r="A138" s="24">
        <v>43101</v>
      </c>
      <c r="B138" s="18">
        <f>AVERAGEIFS('Oil Share Data'!$B$2:$B$2000,'Oil Share Data'!$E$2:$E$2000,'MM Avg Monthly Position'!$D138,'Oil Share Data'!$F$2:$F$2000,'MM Avg Monthly Position'!$E138)</f>
        <v>-31915.8</v>
      </c>
      <c r="C138" s="25">
        <f>AVERAGEIFS('Oil Share Data'!$C$2:$C$2000,'Oil Share Data'!$E$2:$E$2000,'MM Avg Monthly Position'!$D138,'Oil Share Data'!$F$2:$F$2000,'MM Avg Monthly Position'!$E138)</f>
        <v>32.832000000000001</v>
      </c>
      <c r="D138" s="26">
        <f t="shared" si="4"/>
        <v>1</v>
      </c>
      <c r="E138" s="26">
        <f t="shared" si="5"/>
        <v>2018</v>
      </c>
    </row>
    <row r="139" spans="1:5">
      <c r="A139" s="24">
        <v>43132</v>
      </c>
      <c r="B139" s="18">
        <f>AVERAGEIFS('Oil Share Data'!$B$2:$B$2000,'Oil Share Data'!$E$2:$E$2000,'MM Avg Monthly Position'!$D139,'Oil Share Data'!$F$2:$F$2000,'MM Avg Monthly Position'!$E139)</f>
        <v>-91790.75</v>
      </c>
      <c r="C139" s="25">
        <f>AVERAGEIFS('Oil Share Data'!$C$2:$C$2000,'Oil Share Data'!$E$2:$E$2000,'MM Avg Monthly Position'!$D139,'Oil Share Data'!$F$2:$F$2000,'MM Avg Monthly Position'!$E139)</f>
        <v>31.98</v>
      </c>
      <c r="D139" s="26">
        <f t="shared" si="4"/>
        <v>2</v>
      </c>
      <c r="E139" s="26">
        <f t="shared" si="5"/>
        <v>2018</v>
      </c>
    </row>
    <row r="140" spans="1:5">
      <c r="A140" s="24">
        <v>43160</v>
      </c>
      <c r="B140" s="18">
        <f>AVERAGEIFS('Oil Share Data'!$B$2:$B$2000,'Oil Share Data'!$E$2:$E$2000,'MM Avg Monthly Position'!$D140,'Oil Share Data'!$F$2:$F$2000,'MM Avg Monthly Position'!$E140)</f>
        <v>-129950.75</v>
      </c>
      <c r="C140" s="25">
        <f>AVERAGEIFS('Oil Share Data'!$C$2:$C$2000,'Oil Share Data'!$E$2:$E$2000,'MM Avg Monthly Position'!$D140,'Oil Share Data'!$F$2:$F$2000,'MM Avg Monthly Position'!$E140)</f>
        <v>31.672500000000003</v>
      </c>
      <c r="D140" s="26">
        <f t="shared" si="4"/>
        <v>3</v>
      </c>
      <c r="E140" s="26">
        <f t="shared" si="5"/>
        <v>2018</v>
      </c>
    </row>
    <row r="141" spans="1:5">
      <c r="A141" s="24">
        <v>43191</v>
      </c>
      <c r="B141" s="18">
        <f>AVERAGEIFS('Oil Share Data'!$B$2:$B$2000,'Oil Share Data'!$E$2:$E$2000,'MM Avg Monthly Position'!$D141,'Oil Share Data'!$F$2:$F$2000,'MM Avg Monthly Position'!$E141)</f>
        <v>-142741</v>
      </c>
      <c r="C141" s="25">
        <f>AVERAGEIFS('Oil Share Data'!$C$2:$C$2000,'Oil Share Data'!$E$2:$E$2000,'MM Avg Monthly Position'!$D141,'Oil Share Data'!$F$2:$F$2000,'MM Avg Monthly Position'!$E141)</f>
        <v>31.185000000000002</v>
      </c>
      <c r="D141" s="26">
        <f t="shared" si="4"/>
        <v>4</v>
      </c>
      <c r="E141" s="26">
        <f t="shared" si="5"/>
        <v>2018</v>
      </c>
    </row>
    <row r="142" spans="1:5">
      <c r="A142" s="24">
        <v>43221</v>
      </c>
      <c r="B142" s="18">
        <f>AVERAGEIFS('Oil Share Data'!$B$2:$B$2000,'Oil Share Data'!$E$2:$E$2000,'MM Avg Monthly Position'!$D142,'Oil Share Data'!$F$2:$F$2000,'MM Avg Monthly Position'!$E142)</f>
        <v>-181341</v>
      </c>
      <c r="C142" s="25">
        <f>AVERAGEIFS('Oil Share Data'!$C$2:$C$2000,'Oil Share Data'!$E$2:$E$2000,'MM Avg Monthly Position'!$D142,'Oil Share Data'!$F$2:$F$2000,'MM Avg Monthly Position'!$E142)</f>
        <v>31.048000000000002</v>
      </c>
      <c r="D142" s="26">
        <f t="shared" si="4"/>
        <v>5</v>
      </c>
      <c r="E142" s="26">
        <f t="shared" si="5"/>
        <v>2018</v>
      </c>
    </row>
    <row r="143" spans="1:5">
      <c r="A143" s="24">
        <v>43252</v>
      </c>
      <c r="B143" s="18">
        <f>AVERAGEIFS('Oil Share Data'!$B$2:$B$2000,'Oil Share Data'!$E$2:$E$2000,'MM Avg Monthly Position'!$D143,'Oil Share Data'!$F$2:$F$2000,'MM Avg Monthly Position'!$E143)</f>
        <v>-162936.75</v>
      </c>
      <c r="C143" s="25">
        <f>AVERAGEIFS('Oil Share Data'!$C$2:$C$2000,'Oil Share Data'!$E$2:$E$2000,'MM Avg Monthly Position'!$D143,'Oil Share Data'!$F$2:$F$2000,'MM Avg Monthly Position'!$E143)</f>
        <v>29.587499999999999</v>
      </c>
      <c r="D143" s="26">
        <f t="shared" si="4"/>
        <v>6</v>
      </c>
      <c r="E143" s="26">
        <f t="shared" si="5"/>
        <v>2018</v>
      </c>
    </row>
    <row r="144" spans="1:5">
      <c r="A144" s="24">
        <v>43282</v>
      </c>
      <c r="B144" s="18">
        <f>AVERAGEIFS('Oil Share Data'!$B$2:$B$2000,'Oil Share Data'!$E$2:$E$2000,'MM Avg Monthly Position'!$D144,'Oil Share Data'!$F$2:$F$2000,'MM Avg Monthly Position'!$E144)</f>
        <v>-141973</v>
      </c>
      <c r="C144" s="25">
        <f>AVERAGEIFS('Oil Share Data'!$C$2:$C$2000,'Oil Share Data'!$E$2:$E$2000,'MM Avg Monthly Position'!$D144,'Oil Share Data'!$F$2:$F$2000,'MM Avg Monthly Position'!$E144)</f>
        <v>28.366000000000003</v>
      </c>
      <c r="D144" s="26">
        <f t="shared" si="4"/>
        <v>7</v>
      </c>
      <c r="E144" s="26">
        <f t="shared" si="5"/>
        <v>2018</v>
      </c>
    </row>
    <row r="145" spans="1:5">
      <c r="A145" s="24">
        <v>43313</v>
      </c>
      <c r="B145" s="18">
        <f>AVERAGEIFS('Oil Share Data'!$B$2:$B$2000,'Oil Share Data'!$E$2:$E$2000,'MM Avg Monthly Position'!$D145,'Oil Share Data'!$F$2:$F$2000,'MM Avg Monthly Position'!$E145)</f>
        <v>-138518.5</v>
      </c>
      <c r="C145" s="25">
        <f>AVERAGEIFS('Oil Share Data'!$C$2:$C$2000,'Oil Share Data'!$E$2:$E$2000,'MM Avg Monthly Position'!$D145,'Oil Share Data'!$F$2:$F$2000,'MM Avg Monthly Position'!$E145)</f>
        <v>28.185000000000002</v>
      </c>
      <c r="D145" s="26">
        <f t="shared" si="4"/>
        <v>8</v>
      </c>
      <c r="E145" s="26">
        <f t="shared" si="5"/>
        <v>2018</v>
      </c>
    </row>
    <row r="146" spans="1:5">
      <c r="A146" s="24">
        <v>43344</v>
      </c>
      <c r="B146" s="18">
        <f>AVERAGEIFS('Oil Share Data'!$B$2:$B$2000,'Oil Share Data'!$E$2:$E$2000,'MM Avg Monthly Position'!$D146,'Oil Share Data'!$F$2:$F$2000,'MM Avg Monthly Position'!$E146)</f>
        <v>-118936.5</v>
      </c>
      <c r="C146" s="25">
        <f>AVERAGEIFS('Oil Share Data'!$C$2:$C$2000,'Oil Share Data'!$E$2:$E$2000,'MM Avg Monthly Position'!$D146,'Oil Share Data'!$F$2:$F$2000,'MM Avg Monthly Position'!$E146)</f>
        <v>28.035000000000004</v>
      </c>
      <c r="D146" s="26">
        <f t="shared" si="4"/>
        <v>9</v>
      </c>
      <c r="E146" s="26">
        <f t="shared" si="5"/>
        <v>2018</v>
      </c>
    </row>
    <row r="147" spans="1:5">
      <c r="A147" s="24">
        <v>43374</v>
      </c>
      <c r="B147" s="18">
        <f>AVERAGEIFS('Oil Share Data'!$B$2:$B$2000,'Oil Share Data'!$E$2:$E$2000,'MM Avg Monthly Position'!$D147,'Oil Share Data'!$F$2:$F$2000,'MM Avg Monthly Position'!$E147)</f>
        <v>-75930.399999999994</v>
      </c>
      <c r="C147" s="25">
        <f>AVERAGEIFS('Oil Share Data'!$C$2:$C$2000,'Oil Share Data'!$E$2:$E$2000,'MM Avg Monthly Position'!$D147,'Oil Share Data'!$F$2:$F$2000,'MM Avg Monthly Position'!$E147)</f>
        <v>28.723999999999997</v>
      </c>
      <c r="D147" s="26">
        <f t="shared" si="4"/>
        <v>10</v>
      </c>
      <c r="E147" s="26">
        <f t="shared" si="5"/>
        <v>2018</v>
      </c>
    </row>
    <row r="148" spans="1:5">
      <c r="A148" s="24">
        <v>43405</v>
      </c>
      <c r="B148" s="18">
        <f>AVERAGEIFS('Oil Share Data'!$B$2:$B$2000,'Oil Share Data'!$E$2:$E$2000,'MM Avg Monthly Position'!$D148,'Oil Share Data'!$F$2:$F$2000,'MM Avg Monthly Position'!$E148)</f>
        <v>-75891.75</v>
      </c>
      <c r="C148" s="25">
        <f>AVERAGEIFS('Oil Share Data'!$C$2:$C$2000,'Oil Share Data'!$E$2:$E$2000,'MM Avg Monthly Position'!$D148,'Oil Share Data'!$F$2:$F$2000,'MM Avg Monthly Position'!$E148)</f>
        <v>27.615000000000002</v>
      </c>
      <c r="D148" s="26">
        <f t="shared" si="4"/>
        <v>11</v>
      </c>
      <c r="E148" s="26">
        <f t="shared" si="5"/>
        <v>2018</v>
      </c>
    </row>
    <row r="149" spans="1:5">
      <c r="A149" s="24">
        <v>43435</v>
      </c>
      <c r="B149" s="18">
        <f>AVERAGEIFS('Oil Share Data'!$B$2:$B$2000,'Oil Share Data'!$E$2:$E$2000,'MM Avg Monthly Position'!$D149,'Oil Share Data'!$F$2:$F$2000,'MM Avg Monthly Position'!$E149)</f>
        <v>-47510</v>
      </c>
      <c r="C149" s="25">
        <f>AVERAGEIFS('Oil Share Data'!$C$2:$C$2000,'Oil Share Data'!$E$2:$E$2000,'MM Avg Monthly Position'!$D149,'Oil Share Data'!$F$2:$F$2000,'MM Avg Monthly Position'!$E149)</f>
        <v>28.074999999999999</v>
      </c>
      <c r="D149" s="26">
        <f t="shared" si="4"/>
        <v>12</v>
      </c>
      <c r="E149" s="26">
        <f t="shared" si="5"/>
        <v>2018</v>
      </c>
    </row>
    <row r="150" spans="1:5">
      <c r="A150" s="24">
        <v>43466</v>
      </c>
      <c r="B150" s="18">
        <f>AVERAGEIFS('Oil Share Data'!$B$2:$B$2000,'Oil Share Data'!$E$2:$E$2000,'MM Avg Monthly Position'!$D150,'Oil Share Data'!$F$2:$F$2000,'MM Avg Monthly Position'!$E150)</f>
        <v>-47371.4</v>
      </c>
      <c r="C150" s="25">
        <f>AVERAGEIFS('Oil Share Data'!$C$2:$C$2000,'Oil Share Data'!$E$2:$E$2000,'MM Avg Monthly Position'!$D150,'Oil Share Data'!$F$2:$F$2000,'MM Avg Monthly Position'!$E150)</f>
        <v>29.101999999999997</v>
      </c>
      <c r="D150" s="26">
        <f t="shared" si="4"/>
        <v>1</v>
      </c>
      <c r="E150" s="26">
        <f t="shared" si="5"/>
        <v>2019</v>
      </c>
    </row>
    <row r="151" spans="1:5">
      <c r="A151" s="24">
        <v>43497</v>
      </c>
      <c r="B151" s="18">
        <f>AVERAGEIFS('Oil Share Data'!$B$2:$B$2000,'Oil Share Data'!$E$2:$E$2000,'MM Avg Monthly Position'!$D151,'Oil Share Data'!$F$2:$F$2000,'MM Avg Monthly Position'!$E151)</f>
        <v>62280.25</v>
      </c>
      <c r="C151" s="25">
        <f>AVERAGEIFS('Oil Share Data'!$C$2:$C$2000,'Oil Share Data'!$E$2:$E$2000,'MM Avg Monthly Position'!$D151,'Oil Share Data'!$F$2:$F$2000,'MM Avg Monthly Position'!$E151)</f>
        <v>30.32</v>
      </c>
      <c r="D151" s="26">
        <f t="shared" si="4"/>
        <v>2</v>
      </c>
      <c r="E151" s="26">
        <f t="shared" si="5"/>
        <v>2019</v>
      </c>
    </row>
    <row r="152" spans="1:5">
      <c r="A152" s="24">
        <v>43525</v>
      </c>
      <c r="B152" s="18">
        <f>AVERAGEIFS('Oil Share Data'!$B$2:$B$2000,'Oil Share Data'!$E$2:$E$2000,'MM Avg Monthly Position'!$D152,'Oil Share Data'!$F$2:$F$2000,'MM Avg Monthly Position'!$E152)</f>
        <v>42676.75</v>
      </c>
      <c r="C152" s="25">
        <f>AVERAGEIFS('Oil Share Data'!$C$2:$C$2000,'Oil Share Data'!$E$2:$E$2000,'MM Avg Monthly Position'!$D152,'Oil Share Data'!$F$2:$F$2000,'MM Avg Monthly Position'!$E152)</f>
        <v>28.96</v>
      </c>
      <c r="D152" s="26">
        <f t="shared" si="4"/>
        <v>3</v>
      </c>
      <c r="E152" s="26">
        <f t="shared" si="5"/>
        <v>2019</v>
      </c>
    </row>
    <row r="153" spans="1:5">
      <c r="A153" s="24">
        <v>43556</v>
      </c>
      <c r="B153" s="18">
        <f>AVERAGEIFS('Oil Share Data'!$B$2:$B$2000,'Oil Share Data'!$E$2:$E$2000,'MM Avg Monthly Position'!$D153,'Oil Share Data'!$F$2:$F$2000,'MM Avg Monthly Position'!$E153)</f>
        <v>-26721</v>
      </c>
      <c r="C153" s="25">
        <f>AVERAGEIFS('Oil Share Data'!$C$2:$C$2000,'Oil Share Data'!$E$2:$E$2000,'MM Avg Monthly Position'!$D153,'Oil Share Data'!$F$2:$F$2000,'MM Avg Monthly Position'!$E153)</f>
        <v>28.297999999999995</v>
      </c>
      <c r="D153" s="26">
        <f t="shared" si="4"/>
        <v>4</v>
      </c>
      <c r="E153" s="26">
        <f t="shared" si="5"/>
        <v>2019</v>
      </c>
    </row>
    <row r="154" spans="1:5">
      <c r="A154" s="24">
        <v>43586</v>
      </c>
      <c r="B154" s="18">
        <f>AVERAGEIFS('Oil Share Data'!$B$2:$B$2000,'Oil Share Data'!$E$2:$E$2000,'MM Avg Monthly Position'!$D154,'Oil Share Data'!$F$2:$F$2000,'MM Avg Monthly Position'!$E154)</f>
        <v>-38569.25</v>
      </c>
      <c r="C154" s="25">
        <f>AVERAGEIFS('Oil Share Data'!$C$2:$C$2000,'Oil Share Data'!$E$2:$E$2000,'MM Avg Monthly Position'!$D154,'Oil Share Data'!$F$2:$F$2000,'MM Avg Monthly Position'!$E154)</f>
        <v>27.080000000000002</v>
      </c>
      <c r="D154" s="26">
        <f t="shared" si="4"/>
        <v>5</v>
      </c>
      <c r="E154" s="26">
        <f t="shared" si="5"/>
        <v>2019</v>
      </c>
    </row>
    <row r="155" spans="1:5">
      <c r="A155" s="24">
        <v>43617</v>
      </c>
      <c r="B155" s="18">
        <f>AVERAGEIFS('Oil Share Data'!$B$2:$B$2000,'Oil Share Data'!$E$2:$E$2000,'MM Avg Monthly Position'!$D155,'Oil Share Data'!$F$2:$F$2000,'MM Avg Monthly Position'!$E155)</f>
        <v>-48566.25</v>
      </c>
      <c r="C155" s="25">
        <f>AVERAGEIFS('Oil Share Data'!$C$2:$C$2000,'Oil Share Data'!$E$2:$E$2000,'MM Avg Monthly Position'!$D155,'Oil Share Data'!$F$2:$F$2000,'MM Avg Monthly Position'!$E155)</f>
        <v>27.917499999999997</v>
      </c>
      <c r="D155" s="26">
        <f t="shared" si="4"/>
        <v>6</v>
      </c>
      <c r="E155" s="26">
        <f t="shared" si="5"/>
        <v>2019</v>
      </c>
    </row>
    <row r="156" spans="1:5">
      <c r="A156" s="24">
        <v>43647</v>
      </c>
      <c r="B156" s="18">
        <f>AVERAGEIFS('Oil Share Data'!$B$2:$B$2000,'Oil Share Data'!$E$2:$E$2000,'MM Avg Monthly Position'!$D156,'Oil Share Data'!$F$2:$F$2000,'MM Avg Monthly Position'!$E156)</f>
        <v>-9528</v>
      </c>
      <c r="C156" s="25">
        <f>AVERAGEIFS('Oil Share Data'!$C$2:$C$2000,'Oil Share Data'!$E$2:$E$2000,'MM Avg Monthly Position'!$D156,'Oil Share Data'!$F$2:$F$2000,'MM Avg Monthly Position'!$E156)</f>
        <v>28.062000000000001</v>
      </c>
      <c r="D156" s="26">
        <f t="shared" si="4"/>
        <v>7</v>
      </c>
      <c r="E156" s="26">
        <f t="shared" si="5"/>
        <v>2019</v>
      </c>
    </row>
    <row r="157" spans="1:5">
      <c r="A157" s="24">
        <v>43678</v>
      </c>
      <c r="B157" s="18">
        <f>AVERAGEIFS('Oil Share Data'!$B$2:$B$2000,'Oil Share Data'!$E$2:$E$2000,'MM Avg Monthly Position'!$D157,'Oil Share Data'!$F$2:$F$2000,'MM Avg Monthly Position'!$E157)</f>
        <v>27094.75</v>
      </c>
      <c r="C157" s="25">
        <f>AVERAGEIFS('Oil Share Data'!$C$2:$C$2000,'Oil Share Data'!$E$2:$E$2000,'MM Avg Monthly Position'!$D157,'Oil Share Data'!$F$2:$F$2000,'MM Avg Monthly Position'!$E157)</f>
        <v>28.905000000000001</v>
      </c>
      <c r="D157" s="26">
        <f t="shared" si="4"/>
        <v>8</v>
      </c>
      <c r="E157" s="26">
        <f t="shared" si="5"/>
        <v>2019</v>
      </c>
    </row>
    <row r="158" spans="1:5">
      <c r="A158" s="24">
        <v>43709</v>
      </c>
      <c r="B158" s="18">
        <f>AVERAGEIFS('Oil Share Data'!$B$2:$B$2000,'Oil Share Data'!$E$2:$E$2000,'MM Avg Monthly Position'!$D158,'Oil Share Data'!$F$2:$F$2000,'MM Avg Monthly Position'!$E158)</f>
        <v>51090.25</v>
      </c>
      <c r="C158" s="25">
        <f>AVERAGEIFS('Oil Share Data'!$C$2:$C$2000,'Oil Share Data'!$E$2:$E$2000,'MM Avg Monthly Position'!$D158,'Oil Share Data'!$F$2:$F$2000,'MM Avg Monthly Position'!$E158)</f>
        <v>28.830000000000002</v>
      </c>
      <c r="D158" s="26">
        <f t="shared" si="4"/>
        <v>9</v>
      </c>
      <c r="E158" s="26">
        <f t="shared" si="5"/>
        <v>2019</v>
      </c>
    </row>
    <row r="159" spans="1:5">
      <c r="A159" s="24">
        <v>43739</v>
      </c>
      <c r="B159" s="18">
        <f>AVERAGEIFS('Oil Share Data'!$B$2:$B$2000,'Oil Share Data'!$E$2:$E$2000,'MM Avg Monthly Position'!$D159,'Oil Share Data'!$F$2:$F$2000,'MM Avg Monthly Position'!$E159)</f>
        <v>75050.399999999994</v>
      </c>
      <c r="C159" s="25">
        <f>AVERAGEIFS('Oil Share Data'!$C$2:$C$2000,'Oil Share Data'!$E$2:$E$2000,'MM Avg Monthly Position'!$D159,'Oil Share Data'!$F$2:$F$2000,'MM Avg Monthly Position'!$E159)</f>
        <v>30.393999999999998</v>
      </c>
      <c r="D159" s="26">
        <f t="shared" si="4"/>
        <v>10</v>
      </c>
      <c r="E159" s="26">
        <f t="shared" si="5"/>
        <v>2019</v>
      </c>
    </row>
    <row r="160" spans="1:5">
      <c r="A160" s="24">
        <v>43770</v>
      </c>
      <c r="B160" s="18">
        <f>AVERAGEIFS('Oil Share Data'!$B$2:$B$2000,'Oil Share Data'!$E$2:$E$2000,'MM Avg Monthly Position'!$D160,'Oil Share Data'!$F$2:$F$2000,'MM Avg Monthly Position'!$E160)</f>
        <v>108721.25</v>
      </c>
      <c r="C160" s="25">
        <f>AVERAGEIFS('Oil Share Data'!$C$2:$C$2000,'Oil Share Data'!$E$2:$E$2000,'MM Avg Monthly Position'!$D160,'Oil Share Data'!$F$2:$F$2000,'MM Avg Monthly Position'!$E160)</f>
        <v>30.807500000000001</v>
      </c>
      <c r="D160" s="26">
        <f t="shared" si="4"/>
        <v>11</v>
      </c>
      <c r="E160" s="26">
        <f t="shared" si="5"/>
        <v>2019</v>
      </c>
    </row>
    <row r="161" spans="1:5">
      <c r="A161" s="24">
        <v>43800</v>
      </c>
      <c r="B161" s="18">
        <f>AVERAGEIFS('Oil Share Data'!$B$2:$B$2000,'Oil Share Data'!$E$2:$E$2000,'MM Avg Monthly Position'!$D161,'Oil Share Data'!$F$2:$F$2000,'MM Avg Monthly Position'!$E161)</f>
        <v>125900.6</v>
      </c>
      <c r="C161" s="25">
        <f>AVERAGEIFS('Oil Share Data'!$C$2:$C$2000,'Oil Share Data'!$E$2:$E$2000,'MM Avg Monthly Position'!$D161,'Oil Share Data'!$F$2:$F$2000,'MM Avg Monthly Position'!$E161)</f>
        <v>33.321999999999996</v>
      </c>
      <c r="D161" s="26">
        <f t="shared" si="4"/>
        <v>12</v>
      </c>
      <c r="E161" s="26">
        <f t="shared" si="5"/>
        <v>2019</v>
      </c>
    </row>
    <row r="162" spans="1:5">
      <c r="A162" s="24">
        <v>43831</v>
      </c>
      <c r="B162" s="18">
        <f>AVERAGEIFS('Oil Share Data'!$B$2:$B$2000,'Oil Share Data'!$E$2:$E$2000,'MM Avg Monthly Position'!$D162,'Oil Share Data'!$F$2:$F$2000,'MM Avg Monthly Position'!$E162)</f>
        <v>139454.75</v>
      </c>
      <c r="C162" s="25">
        <f>AVERAGEIFS('Oil Share Data'!$C$2:$C$2000,'Oil Share Data'!$E$2:$E$2000,'MM Avg Monthly Position'!$D162,'Oil Share Data'!$F$2:$F$2000,'MM Avg Monthly Position'!$E162)</f>
        <v>32.344999999999999</v>
      </c>
      <c r="D162" s="26">
        <f t="shared" si="4"/>
        <v>1</v>
      </c>
      <c r="E162" s="26">
        <f t="shared" si="5"/>
        <v>2020</v>
      </c>
    </row>
    <row r="163" spans="1:5">
      <c r="A163" s="24">
        <v>43862</v>
      </c>
      <c r="B163" s="18">
        <f>AVERAGEIFS('Oil Share Data'!$B$2:$B$2000,'Oil Share Data'!$E$2:$E$2000,'MM Avg Monthly Position'!$D163,'Oil Share Data'!$F$2:$F$2000,'MM Avg Monthly Position'!$E163)</f>
        <v>116334.25</v>
      </c>
      <c r="C163" s="25">
        <f>AVERAGEIFS('Oil Share Data'!$C$2:$C$2000,'Oil Share Data'!$E$2:$E$2000,'MM Avg Monthly Position'!$D163,'Oil Share Data'!$F$2:$F$2000,'MM Avg Monthly Position'!$E163)</f>
        <v>30.122500000000002</v>
      </c>
      <c r="D163" s="26">
        <f t="shared" si="4"/>
        <v>2</v>
      </c>
      <c r="E163" s="26">
        <f t="shared" si="5"/>
        <v>2020</v>
      </c>
    </row>
    <row r="164" spans="1:5">
      <c r="A164" s="24">
        <v>43891</v>
      </c>
      <c r="B164" s="18">
        <f>AVERAGEIFS('Oil Share Data'!$B$2:$B$2000,'Oil Share Data'!$E$2:$E$2000,'MM Avg Monthly Position'!$D164,'Oil Share Data'!$F$2:$F$2000,'MM Avg Monthly Position'!$E164)</f>
        <v>-12459.2</v>
      </c>
      <c r="C164" s="25">
        <f>AVERAGEIFS('Oil Share Data'!$C$2:$C$2000,'Oil Share Data'!$E$2:$E$2000,'MM Avg Monthly Position'!$D164,'Oil Share Data'!$F$2:$F$2000,'MM Avg Monthly Position'!$E164)</f>
        <v>26.702000000000005</v>
      </c>
      <c r="D164" s="26">
        <f t="shared" si="4"/>
        <v>3</v>
      </c>
      <c r="E164" s="26">
        <f t="shared" si="5"/>
        <v>2020</v>
      </c>
    </row>
    <row r="165" spans="1:5">
      <c r="A165" s="24">
        <v>43922</v>
      </c>
      <c r="B165" s="18">
        <f>AVERAGEIFS('Oil Share Data'!$B$2:$B$2000,'Oil Share Data'!$E$2:$E$2000,'MM Avg Monthly Position'!$D165,'Oil Share Data'!$F$2:$F$2000,'MM Avg Monthly Position'!$E165)</f>
        <v>-13010</v>
      </c>
      <c r="C165" s="25">
        <f>AVERAGEIFS('Oil Share Data'!$C$2:$C$2000,'Oil Share Data'!$E$2:$E$2000,'MM Avg Monthly Position'!$D165,'Oil Share Data'!$F$2:$F$2000,'MM Avg Monthly Position'!$E165)</f>
        <v>26.2225</v>
      </c>
      <c r="D165" s="26">
        <f t="shared" si="4"/>
        <v>4</v>
      </c>
      <c r="E165" s="26">
        <f t="shared" si="5"/>
        <v>2020</v>
      </c>
    </row>
    <row r="166" spans="1:5">
      <c r="A166" s="24">
        <v>43952</v>
      </c>
      <c r="B166" s="18">
        <f>AVERAGEIFS('Oil Share Data'!$B$2:$B$2000,'Oil Share Data'!$E$2:$E$2000,'MM Avg Monthly Position'!$D166,'Oil Share Data'!$F$2:$F$2000,'MM Avg Monthly Position'!$E166)</f>
        <v>21513</v>
      </c>
      <c r="C166" s="25">
        <f>AVERAGEIFS('Oil Share Data'!$C$2:$C$2000,'Oil Share Data'!$E$2:$E$2000,'MM Avg Monthly Position'!$D166,'Oil Share Data'!$F$2:$F$2000,'MM Avg Monthly Position'!$E166)</f>
        <v>26.7075</v>
      </c>
      <c r="D166" s="26">
        <f t="shared" si="4"/>
        <v>5</v>
      </c>
      <c r="E166" s="26">
        <f t="shared" si="5"/>
        <v>2020</v>
      </c>
    </row>
    <row r="167" spans="1:5">
      <c r="A167" s="24">
        <v>43983</v>
      </c>
      <c r="B167" s="18">
        <f>AVERAGEIFS('Oil Share Data'!$B$2:$B$2000,'Oil Share Data'!$E$2:$E$2000,'MM Avg Monthly Position'!$D167,'Oil Share Data'!$F$2:$F$2000,'MM Avg Monthly Position'!$E167)</f>
        <v>51468.800000000003</v>
      </c>
      <c r="C167" s="25">
        <f>AVERAGEIFS('Oil Share Data'!$C$2:$C$2000,'Oil Share Data'!$E$2:$E$2000,'MM Avg Monthly Position'!$D167,'Oil Share Data'!$F$2:$F$2000,'MM Avg Monthly Position'!$E167)</f>
        <v>27.863999999999997</v>
      </c>
      <c r="D167" s="26">
        <f t="shared" si="4"/>
        <v>6</v>
      </c>
      <c r="E167" s="26">
        <f t="shared" si="5"/>
        <v>2020</v>
      </c>
    </row>
    <row r="168" spans="1:5">
      <c r="A168" s="24">
        <v>44013</v>
      </c>
      <c r="B168" s="18">
        <f>AVERAGEIFS('Oil Share Data'!$B$2:$B$2000,'Oil Share Data'!$E$2:$E$2000,'MM Avg Monthly Position'!$D168,'Oil Share Data'!$F$2:$F$2000,'MM Avg Monthly Position'!$E168)</f>
        <v>51266.25</v>
      </c>
      <c r="C168" s="25">
        <f>AVERAGEIFS('Oil Share Data'!$C$2:$C$2000,'Oil Share Data'!$E$2:$E$2000,'MM Avg Monthly Position'!$D168,'Oil Share Data'!$F$2:$F$2000,'MM Avg Monthly Position'!$E168)</f>
        <v>29.684999999999999</v>
      </c>
      <c r="D168" s="26">
        <f t="shared" si="4"/>
        <v>7</v>
      </c>
      <c r="E168" s="26">
        <f t="shared" si="5"/>
        <v>2020</v>
      </c>
    </row>
    <row r="169" spans="1:5">
      <c r="A169" s="24">
        <v>44044</v>
      </c>
      <c r="B169" s="18">
        <f>AVERAGEIFS('Oil Share Data'!$B$2:$B$2000,'Oil Share Data'!$E$2:$E$2000,'MM Avg Monthly Position'!$D169,'Oil Share Data'!$F$2:$F$2000,'MM Avg Monthly Position'!$E169)</f>
        <v>65356.75</v>
      </c>
      <c r="C169" s="25">
        <f>AVERAGEIFS('Oil Share Data'!$C$2:$C$2000,'Oil Share Data'!$E$2:$E$2000,'MM Avg Monthly Position'!$D169,'Oil Share Data'!$F$2:$F$2000,'MM Avg Monthly Position'!$E169)</f>
        <v>31.92</v>
      </c>
      <c r="D169" s="26">
        <f t="shared" si="4"/>
        <v>8</v>
      </c>
      <c r="E169" s="26">
        <f t="shared" si="5"/>
        <v>2020</v>
      </c>
    </row>
    <row r="170" spans="1:5">
      <c r="A170" s="24">
        <v>44075</v>
      </c>
      <c r="B170" s="18">
        <f>AVERAGEIFS('Oil Share Data'!$B$2:$B$2000,'Oil Share Data'!$E$2:$E$2000,'MM Avg Monthly Position'!$D170,'Oil Share Data'!$F$2:$F$2000,'MM Avg Monthly Position'!$E170)</f>
        <v>45457.2</v>
      </c>
      <c r="C170" s="25">
        <f>AVERAGEIFS('Oil Share Data'!$C$2:$C$2000,'Oil Share Data'!$E$2:$E$2000,'MM Avg Monthly Position'!$D170,'Oil Share Data'!$F$2:$F$2000,'MM Avg Monthly Position'!$E170)</f>
        <v>33.366</v>
      </c>
      <c r="D170" s="26">
        <f t="shared" si="4"/>
        <v>9</v>
      </c>
      <c r="E170" s="26">
        <f t="shared" si="5"/>
        <v>2020</v>
      </c>
    </row>
    <row r="171" spans="1:5">
      <c r="A171" s="24">
        <v>44105</v>
      </c>
      <c r="B171" s="18">
        <f>AVERAGEIFS('Oil Share Data'!$B$2:$B$2000,'Oil Share Data'!$E$2:$E$2000,'MM Avg Monthly Position'!$D171,'Oil Share Data'!$F$2:$F$2000,'MM Avg Monthly Position'!$E171)</f>
        <v>4901</v>
      </c>
      <c r="C171" s="25">
        <f>AVERAGEIFS('Oil Share Data'!$C$2:$C$2000,'Oil Share Data'!$E$2:$E$2000,'MM Avg Monthly Position'!$D171,'Oil Share Data'!$F$2:$F$2000,'MM Avg Monthly Position'!$E171)</f>
        <v>33.715000000000003</v>
      </c>
      <c r="D171" s="26">
        <f t="shared" si="4"/>
        <v>10</v>
      </c>
      <c r="E171" s="26">
        <f t="shared" si="5"/>
        <v>2020</v>
      </c>
    </row>
    <row r="172" spans="1:5">
      <c r="A172" s="24">
        <v>44136</v>
      </c>
      <c r="B172" s="18">
        <f>AVERAGEIFS('Oil Share Data'!$B$2:$B$2000,'Oil Share Data'!$E$2:$E$2000,'MM Avg Monthly Position'!$D172,'Oil Share Data'!$F$2:$F$2000,'MM Avg Monthly Position'!$E172)</f>
        <v>19183</v>
      </c>
      <c r="C172" s="25">
        <f>AVERAGEIFS('Oil Share Data'!$C$2:$C$2000,'Oil Share Data'!$E$2:$E$2000,'MM Avg Monthly Position'!$D172,'Oil Share Data'!$F$2:$F$2000,'MM Avg Monthly Position'!$E172)</f>
        <v>37.457499999999996</v>
      </c>
      <c r="D172" s="26">
        <f t="shared" si="4"/>
        <v>11</v>
      </c>
      <c r="E172" s="26">
        <f t="shared" si="5"/>
        <v>2020</v>
      </c>
    </row>
    <row r="173" spans="1:5">
      <c r="A173" s="24">
        <v>44166</v>
      </c>
      <c r="B173" s="18">
        <f>AVERAGEIFS('Oil Share Data'!$B$2:$B$2000,'Oil Share Data'!$E$2:$E$2000,'MM Avg Monthly Position'!$D173,'Oil Share Data'!$F$2:$F$2000,'MM Avg Monthly Position'!$E173)</f>
        <v>24526.400000000001</v>
      </c>
      <c r="C173" s="25">
        <f>AVERAGEIFS('Oil Share Data'!$C$2:$C$2000,'Oil Share Data'!$E$2:$E$2000,'MM Avg Monthly Position'!$D173,'Oil Share Data'!$F$2:$F$2000,'MM Avg Monthly Position'!$E173)</f>
        <v>40.802</v>
      </c>
      <c r="D173" s="26">
        <f t="shared" si="4"/>
        <v>12</v>
      </c>
      <c r="E173" s="26">
        <f t="shared" si="5"/>
        <v>2020</v>
      </c>
    </row>
    <row r="174" spans="1:5">
      <c r="A174" s="24">
        <v>44197</v>
      </c>
      <c r="B174" s="18">
        <f>AVERAGEIFS('Oil Share Data'!$B$2:$B$2000,'Oil Share Data'!$E$2:$E$2000,'MM Avg Monthly Position'!$D174,'Oil Share Data'!$F$2:$F$2000,'MM Avg Monthly Position'!$E174)</f>
        <v>20815.75</v>
      </c>
      <c r="C174" s="25">
        <f>AVERAGEIFS('Oil Share Data'!$C$2:$C$2000,'Oil Share Data'!$E$2:$E$2000,'MM Avg Monthly Position'!$D174,'Oil Share Data'!$F$2:$F$2000,'MM Avg Monthly Position'!$E174)</f>
        <v>43.125</v>
      </c>
      <c r="D174" s="26">
        <f t="shared" si="4"/>
        <v>1</v>
      </c>
      <c r="E174" s="26">
        <f t="shared" si="5"/>
        <v>2021</v>
      </c>
    </row>
    <row r="175" spans="1:5">
      <c r="A175" s="24">
        <v>44228</v>
      </c>
      <c r="B175" s="18">
        <f>AVERAGEIFS('Oil Share Data'!$B$2:$B$2000,'Oil Share Data'!$E$2:$E$2000,'MM Avg Monthly Position'!$D175,'Oil Share Data'!$F$2:$F$2000,'MM Avg Monthly Position'!$E175)</f>
        <v>40829.5</v>
      </c>
      <c r="C175" s="25">
        <f>AVERAGEIFS('Oil Share Data'!$C$2:$C$2000,'Oil Share Data'!$E$2:$E$2000,'MM Avg Monthly Position'!$D175,'Oil Share Data'!$F$2:$F$2000,'MM Avg Monthly Position'!$E175)</f>
        <v>47.397500000000001</v>
      </c>
      <c r="D175" s="26">
        <f t="shared" si="4"/>
        <v>2</v>
      </c>
      <c r="E175" s="26">
        <f t="shared" si="5"/>
        <v>2021</v>
      </c>
    </row>
    <row r="176" spans="1:5">
      <c r="A176" s="24">
        <v>44256</v>
      </c>
      <c r="B176" s="18">
        <f>AVERAGEIFS('Oil Share Data'!$B$2:$B$2000,'Oil Share Data'!$E$2:$E$2000,'MM Avg Monthly Position'!$D176,'Oil Share Data'!$F$2:$F$2000,'MM Avg Monthly Position'!$E176)</f>
        <v>34879.800000000003</v>
      </c>
      <c r="C176" s="25">
        <f>AVERAGEIFS('Oil Share Data'!$C$2:$C$2000,'Oil Share Data'!$E$2:$E$2000,'MM Avg Monthly Position'!$D176,'Oil Share Data'!$F$2:$F$2000,'MM Avg Monthly Position'!$E176)</f>
        <v>53.75</v>
      </c>
      <c r="D176" s="26">
        <f t="shared" si="4"/>
        <v>3</v>
      </c>
      <c r="E176" s="26">
        <f t="shared" si="5"/>
        <v>2021</v>
      </c>
    </row>
    <row r="177" spans="1:5">
      <c r="A177" s="24">
        <v>44287</v>
      </c>
      <c r="B177" s="18">
        <f>AVERAGEIFS('Oil Share Data'!$B$2:$B$2000,'Oil Share Data'!$E$2:$E$2000,'MM Avg Monthly Position'!$D177,'Oil Share Data'!$F$2:$F$2000,'MM Avg Monthly Position'!$E177)</f>
        <v>33368.25</v>
      </c>
      <c r="C177" s="25">
        <f>AVERAGEIFS('Oil Share Data'!$C$2:$C$2000,'Oil Share Data'!$E$2:$E$2000,'MM Avg Monthly Position'!$D177,'Oil Share Data'!$F$2:$F$2000,'MM Avg Monthly Position'!$E177)</f>
        <v>60.087500000000006</v>
      </c>
      <c r="D177" s="26">
        <f t="shared" si="4"/>
        <v>4</v>
      </c>
      <c r="E177" s="26">
        <f t="shared" si="5"/>
        <v>2021</v>
      </c>
    </row>
    <row r="178" spans="1:5">
      <c r="A178" s="24">
        <v>44317</v>
      </c>
      <c r="B178" s="18">
        <f>AVERAGEIFS('Oil Share Data'!$B$2:$B$2000,'Oil Share Data'!$E$2:$E$2000,'MM Avg Monthly Position'!$D178,'Oil Share Data'!$F$2:$F$2000,'MM Avg Monthly Position'!$E178)</f>
        <v>35514.75</v>
      </c>
      <c r="C178" s="25">
        <f>AVERAGEIFS('Oil Share Data'!$C$2:$C$2000,'Oil Share Data'!$E$2:$E$2000,'MM Avg Monthly Position'!$D178,'Oil Share Data'!$F$2:$F$2000,'MM Avg Monthly Position'!$E178)</f>
        <v>66.517499999999998</v>
      </c>
      <c r="D178" s="26">
        <f t="shared" si="4"/>
        <v>5</v>
      </c>
      <c r="E178" s="26">
        <f t="shared" si="5"/>
        <v>2021</v>
      </c>
    </row>
    <row r="179" spans="1:5">
      <c r="A179" s="24">
        <v>44348</v>
      </c>
      <c r="B179" s="18">
        <f>AVERAGEIFS('Oil Share Data'!$B$2:$B$2000,'Oil Share Data'!$E$2:$E$2000,'MM Avg Monthly Position'!$D179,'Oil Share Data'!$F$2:$F$2000,'MM Avg Monthly Position'!$E179)</f>
        <v>46462.8</v>
      </c>
      <c r="C179" s="25">
        <f>AVERAGEIFS('Oil Share Data'!$C$2:$C$2000,'Oil Share Data'!$E$2:$E$2000,'MM Avg Monthly Position'!$D179,'Oil Share Data'!$F$2:$F$2000,'MM Avg Monthly Position'!$E179)</f>
        <v>64.593999999999994</v>
      </c>
      <c r="D179" s="26">
        <f t="shared" si="4"/>
        <v>6</v>
      </c>
      <c r="E179" s="26">
        <f t="shared" si="5"/>
        <v>2021</v>
      </c>
    </row>
    <row r="180" spans="1:5">
      <c r="A180" s="24">
        <v>44378</v>
      </c>
      <c r="B180" s="18">
        <f>AVERAGEIFS('Oil Share Data'!$B$2:$B$2000,'Oil Share Data'!$E$2:$E$2000,'MM Avg Monthly Position'!$D180,'Oil Share Data'!$F$2:$F$2000,'MM Avg Monthly Position'!$E180)</f>
        <v>33538</v>
      </c>
      <c r="C180" s="25">
        <f>AVERAGEIFS('Oil Share Data'!$C$2:$C$2000,'Oil Share Data'!$E$2:$E$2000,'MM Avg Monthly Position'!$D180,'Oil Share Data'!$F$2:$F$2000,'MM Avg Monthly Position'!$E180)</f>
        <v>65.55</v>
      </c>
      <c r="D180" s="26">
        <f t="shared" si="4"/>
        <v>7</v>
      </c>
      <c r="E180" s="26">
        <f t="shared" si="5"/>
        <v>2021</v>
      </c>
    </row>
    <row r="181" spans="1:5">
      <c r="A181" s="24">
        <v>44409</v>
      </c>
      <c r="B181" s="18">
        <f>AVERAGEIFS('Oil Share Data'!$B$2:$B$2000,'Oil Share Data'!$E$2:$E$2000,'MM Avg Monthly Position'!$D181,'Oil Share Data'!$F$2:$F$2000,'MM Avg Monthly Position'!$E181)</f>
        <v>43227.6</v>
      </c>
      <c r="C181" s="25">
        <f>AVERAGEIFS('Oil Share Data'!$C$2:$C$2000,'Oil Share Data'!$E$2:$E$2000,'MM Avg Monthly Position'!$D181,'Oil Share Data'!$F$2:$F$2000,'MM Avg Monthly Position'!$E181)</f>
        <v>60.941999999999993</v>
      </c>
      <c r="D181" s="26">
        <f t="shared" si="4"/>
        <v>8</v>
      </c>
      <c r="E181" s="26">
        <f t="shared" si="5"/>
        <v>2021</v>
      </c>
    </row>
    <row r="182" spans="1:5">
      <c r="A182" s="24">
        <v>44440</v>
      </c>
      <c r="B182" s="18">
        <f>AVERAGEIFS('Oil Share Data'!$B$2:$B$2000,'Oil Share Data'!$E$2:$E$2000,'MM Avg Monthly Position'!$D182,'Oil Share Data'!$F$2:$F$2000,'MM Avg Monthly Position'!$E182)</f>
        <v>61063.75</v>
      </c>
      <c r="C182" s="25">
        <f>AVERAGEIFS('Oil Share Data'!$C$2:$C$2000,'Oil Share Data'!$E$2:$E$2000,'MM Avg Monthly Position'!$D182,'Oil Share Data'!$F$2:$F$2000,'MM Avg Monthly Position'!$E182)</f>
        <v>57.152500000000003</v>
      </c>
      <c r="D182" s="26">
        <f t="shared" si="4"/>
        <v>9</v>
      </c>
      <c r="E182" s="26">
        <f t="shared" si="5"/>
        <v>2021</v>
      </c>
    </row>
    <row r="183" spans="1:5">
      <c r="A183" s="24">
        <v>44470</v>
      </c>
      <c r="B183" s="18">
        <f>AVERAGEIFS('Oil Share Data'!$B$2:$B$2000,'Oil Share Data'!$E$2:$E$2000,'MM Avg Monthly Position'!$D183,'Oil Share Data'!$F$2:$F$2000,'MM Avg Monthly Position'!$E183)</f>
        <v>108923</v>
      </c>
      <c r="C183" s="25">
        <f>AVERAGEIFS('Oil Share Data'!$C$2:$C$2000,'Oil Share Data'!$E$2:$E$2000,'MM Avg Monthly Position'!$D183,'Oil Share Data'!$F$2:$F$2000,'MM Avg Monthly Position'!$E183)</f>
        <v>61.495000000000005</v>
      </c>
      <c r="D183" s="26">
        <f t="shared" si="4"/>
        <v>10</v>
      </c>
      <c r="E183" s="26">
        <f t="shared" si="5"/>
        <v>2021</v>
      </c>
    </row>
    <row r="184" spans="1:5">
      <c r="A184" s="24">
        <v>44501</v>
      </c>
      <c r="B184" s="18">
        <f>AVERAGEIFS('Oil Share Data'!$B$2:$B$2000,'Oil Share Data'!$E$2:$E$2000,'MM Avg Monthly Position'!$D184,'Oil Share Data'!$F$2:$F$2000,'MM Avg Monthly Position'!$E184)</f>
        <v>50517.2</v>
      </c>
      <c r="C184" s="25">
        <f>AVERAGEIFS('Oil Share Data'!$C$2:$C$2000,'Oil Share Data'!$E$2:$E$2000,'MM Avg Monthly Position'!$D184,'Oil Share Data'!$F$2:$F$2000,'MM Avg Monthly Position'!$E184)</f>
        <v>58.406000000000006</v>
      </c>
      <c r="D184" s="26">
        <f t="shared" si="4"/>
        <v>11</v>
      </c>
      <c r="E184" s="26">
        <f t="shared" si="5"/>
        <v>2021</v>
      </c>
    </row>
    <row r="185" spans="1:5">
      <c r="A185" s="24">
        <v>44531</v>
      </c>
      <c r="B185" s="18">
        <f>AVERAGEIFS('Oil Share Data'!$B$2:$B$2000,'Oil Share Data'!$E$2:$E$2000,'MM Avg Monthly Position'!$D185,'Oil Share Data'!$F$2:$F$2000,'MM Avg Monthly Position'!$E185)</f>
        <v>1984.5</v>
      </c>
      <c r="C185" s="25">
        <f>AVERAGEIFS('Oil Share Data'!$C$2:$C$2000,'Oil Share Data'!$E$2:$E$2000,'MM Avg Monthly Position'!$D185,'Oil Share Data'!$F$2:$F$2000,'MM Avg Monthly Position'!$E185)</f>
        <v>54.802499999999995</v>
      </c>
      <c r="D185" s="26">
        <f t="shared" si="4"/>
        <v>12</v>
      </c>
      <c r="E185" s="26">
        <f t="shared" si="5"/>
        <v>2021</v>
      </c>
    </row>
    <row r="186" spans="1:5">
      <c r="A186" s="24">
        <v>44562</v>
      </c>
      <c r="B186" s="18">
        <f>AVERAGEIFS('Oil Share Data'!$B$2:$B$2000,'Oil Share Data'!$E$2:$E$2000,'MM Avg Monthly Position'!$D186,'Oil Share Data'!$F$2:$F$2000,'MM Avg Monthly Position'!$E186)</f>
        <v>-9172.25</v>
      </c>
      <c r="C186" s="25">
        <f>AVERAGEIFS('Oil Share Data'!$C$2:$C$2000,'Oil Share Data'!$E$2:$E$2000,'MM Avg Monthly Position'!$D186,'Oil Share Data'!$F$2:$F$2000,'MM Avg Monthly Position'!$E186)</f>
        <v>61.262500000000003</v>
      </c>
      <c r="D186" s="26">
        <f t="shared" si="4"/>
        <v>1</v>
      </c>
      <c r="E186" s="26">
        <f t="shared" si="5"/>
        <v>2022</v>
      </c>
    </row>
    <row r="187" spans="1:5">
      <c r="A187" s="24">
        <v>44593</v>
      </c>
      <c r="B187" s="18">
        <f>AVERAGEIFS('Oil Share Data'!$B$2:$B$2000,'Oil Share Data'!$E$2:$E$2000,'MM Avg Monthly Position'!$D187,'Oil Share Data'!$F$2:$F$2000,'MM Avg Monthly Position'!$E187)</f>
        <v>-10407.25</v>
      </c>
      <c r="C187" s="25">
        <f>AVERAGEIFS('Oil Share Data'!$C$2:$C$2000,'Oil Share Data'!$E$2:$E$2000,'MM Avg Monthly Position'!$D187,'Oil Share Data'!$F$2:$F$2000,'MM Avg Monthly Position'!$E187)</f>
        <v>66.849999999999994</v>
      </c>
      <c r="D187" s="26">
        <f t="shared" si="4"/>
        <v>2</v>
      </c>
      <c r="E187" s="26">
        <f t="shared" si="5"/>
        <v>2022</v>
      </c>
    </row>
    <row r="188" spans="1:5">
      <c r="A188" s="24">
        <v>44621</v>
      </c>
      <c r="B188" s="18">
        <f>AVERAGEIFS('Oil Share Data'!$B$2:$B$2000,'Oil Share Data'!$E$2:$E$2000,'MM Avg Monthly Position'!$D188,'Oil Share Data'!$F$2:$F$2000,'MM Avg Monthly Position'!$E188)</f>
        <v>-15355.4</v>
      </c>
      <c r="C188" s="25">
        <f>AVERAGEIFS('Oil Share Data'!$C$2:$C$2000,'Oil Share Data'!$E$2:$E$2000,'MM Avg Monthly Position'!$D188,'Oil Share Data'!$F$2:$F$2000,'MM Avg Monthly Position'!$E188)</f>
        <v>75.444000000000003</v>
      </c>
      <c r="D188" s="26">
        <f t="shared" si="4"/>
        <v>3</v>
      </c>
      <c r="E188" s="26">
        <f t="shared" si="5"/>
        <v>2022</v>
      </c>
    </row>
    <row r="189" spans="1:5">
      <c r="A189" s="24">
        <v>44652</v>
      </c>
      <c r="B189" s="18">
        <f>AVERAGEIFS('Oil Share Data'!$B$2:$B$2000,'Oil Share Data'!$E$2:$E$2000,'MM Avg Monthly Position'!$D189,'Oil Share Data'!$F$2:$F$2000,'MM Avg Monthly Position'!$E189)</f>
        <v>-7551</v>
      </c>
      <c r="C189" s="25">
        <f>AVERAGEIFS('Oil Share Data'!$C$2:$C$2000,'Oil Share Data'!$E$2:$E$2000,'MM Avg Monthly Position'!$D189,'Oil Share Data'!$F$2:$F$2000,'MM Avg Monthly Position'!$E189)</f>
        <v>81.615000000000009</v>
      </c>
      <c r="D189" s="26">
        <f t="shared" si="4"/>
        <v>4</v>
      </c>
      <c r="E189" s="26">
        <f t="shared" si="5"/>
        <v>2022</v>
      </c>
    </row>
    <row r="190" spans="1:5">
      <c r="A190" s="24">
        <v>44682</v>
      </c>
      <c r="B190" s="18">
        <f>AVERAGEIFS('Oil Share Data'!$B$2:$B$2000,'Oil Share Data'!$E$2:$E$2000,'MM Avg Monthly Position'!$D190,'Oil Share Data'!$F$2:$F$2000,'MM Avg Monthly Position'!$E190)</f>
        <v>27041.4</v>
      </c>
      <c r="C190" s="25">
        <f>AVERAGEIFS('Oil Share Data'!$C$2:$C$2000,'Oil Share Data'!$E$2:$E$2000,'MM Avg Monthly Position'!$D190,'Oil Share Data'!$F$2:$F$2000,'MM Avg Monthly Position'!$E190)</f>
        <v>83.818000000000012</v>
      </c>
      <c r="D190" s="26">
        <f t="shared" si="4"/>
        <v>5</v>
      </c>
      <c r="E190" s="26">
        <f t="shared" si="5"/>
        <v>2022</v>
      </c>
    </row>
    <row r="191" spans="1:5">
      <c r="A191" s="24">
        <v>44713</v>
      </c>
      <c r="B191" s="18">
        <f>AVERAGEIFS('Oil Share Data'!$B$2:$B$2000,'Oil Share Data'!$E$2:$E$2000,'MM Avg Monthly Position'!$D191,'Oil Share Data'!$F$2:$F$2000,'MM Avg Monthly Position'!$E191)</f>
        <v>-3038.5</v>
      </c>
      <c r="C191" s="25">
        <f>AVERAGEIFS('Oil Share Data'!$C$2:$C$2000,'Oil Share Data'!$E$2:$E$2000,'MM Avg Monthly Position'!$D191,'Oil Share Data'!$F$2:$F$2000,'MM Avg Monthly Position'!$E191)</f>
        <v>72.507500000000007</v>
      </c>
      <c r="D191" s="26">
        <f t="shared" si="4"/>
        <v>6</v>
      </c>
      <c r="E191" s="26">
        <f t="shared" si="5"/>
        <v>2022</v>
      </c>
    </row>
    <row r="192" spans="1:5">
      <c r="A192" s="24">
        <v>44743</v>
      </c>
      <c r="B192" s="18">
        <f>AVERAGEIFS('Oil Share Data'!$B$2:$B$2000,'Oil Share Data'!$E$2:$E$2000,'MM Avg Monthly Position'!$D192,'Oil Share Data'!$F$2:$F$2000,'MM Avg Monthly Position'!$E192)</f>
        <v>-49369.25</v>
      </c>
      <c r="C192" s="25">
        <f>AVERAGEIFS('Oil Share Data'!$C$2:$C$2000,'Oil Share Data'!$E$2:$E$2000,'MM Avg Monthly Position'!$D192,'Oil Share Data'!$F$2:$F$2000,'MM Avg Monthly Position'!$E192)</f>
        <v>63.267499999999998</v>
      </c>
      <c r="D192" s="26">
        <f t="shared" si="4"/>
        <v>7</v>
      </c>
      <c r="E192" s="26">
        <f t="shared" si="5"/>
        <v>2022</v>
      </c>
    </row>
    <row r="193" spans="1:5">
      <c r="A193" s="24">
        <v>44774</v>
      </c>
      <c r="B193" s="18">
        <f>AVERAGEIFS('Oil Share Data'!$B$2:$B$2000,'Oil Share Data'!$E$2:$E$2000,'MM Avg Monthly Position'!$D193,'Oil Share Data'!$F$2:$F$2000,'MM Avg Monthly Position'!$E193)</f>
        <v>-54205.599999999999</v>
      </c>
      <c r="C193" s="25">
        <f>AVERAGEIFS('Oil Share Data'!$C$2:$C$2000,'Oil Share Data'!$E$2:$E$2000,'MM Avg Monthly Position'!$D193,'Oil Share Data'!$F$2:$F$2000,'MM Avg Monthly Position'!$E193)</f>
        <v>70.155999999999992</v>
      </c>
      <c r="D193" s="26">
        <f t="shared" si="4"/>
        <v>8</v>
      </c>
      <c r="E193" s="26">
        <f t="shared" si="5"/>
        <v>2022</v>
      </c>
    </row>
    <row r="194" spans="1:5">
      <c r="A194" s="24">
        <v>44805</v>
      </c>
      <c r="B194" s="18">
        <f>AVERAGEIFS('Oil Share Data'!$B$2:$B$2000,'Oil Share Data'!$E$2:$E$2000,'MM Avg Monthly Position'!$D194,'Oil Share Data'!$F$2:$F$2000,'MM Avg Monthly Position'!$E194)</f>
        <v>-37267.25</v>
      </c>
      <c r="C194" s="25">
        <f>AVERAGEIFS('Oil Share Data'!$C$2:$C$2000,'Oil Share Data'!$E$2:$E$2000,'MM Avg Monthly Position'!$D194,'Oil Share Data'!$F$2:$F$2000,'MM Avg Monthly Position'!$E194)</f>
        <v>67.814999999999998</v>
      </c>
      <c r="D194" s="26">
        <f t="shared" ref="D194:D219" si="6">MONTH(A194)</f>
        <v>9</v>
      </c>
      <c r="E194" s="26">
        <f t="shared" ref="E194:E219" si="7">YEAR(A194)</f>
        <v>2022</v>
      </c>
    </row>
    <row r="195" spans="1:5">
      <c r="A195" s="24">
        <v>44835</v>
      </c>
      <c r="B195" s="18">
        <f>AVERAGEIFS('Oil Share Data'!$B$2:$B$2000,'Oil Share Data'!$E$2:$E$2000,'MM Avg Monthly Position'!$D195,'Oil Share Data'!$F$2:$F$2000,'MM Avg Monthly Position'!$E195)</f>
        <v>-3260.75</v>
      </c>
      <c r="C195" s="25">
        <f>AVERAGEIFS('Oil Share Data'!$C$2:$C$2000,'Oil Share Data'!$E$2:$E$2000,'MM Avg Monthly Position'!$D195,'Oil Share Data'!$F$2:$F$2000,'MM Avg Monthly Position'!$E195)</f>
        <v>70.734999999999999</v>
      </c>
      <c r="D195" s="26">
        <f t="shared" si="6"/>
        <v>10</v>
      </c>
      <c r="E195" s="26">
        <f t="shared" si="7"/>
        <v>2022</v>
      </c>
    </row>
    <row r="196" spans="1:5">
      <c r="A196" s="24">
        <v>44866</v>
      </c>
      <c r="B196" s="18">
        <f>AVERAGEIFS('Oil Share Data'!$B$2:$B$2000,'Oil Share Data'!$E$2:$E$2000,'MM Avg Monthly Position'!$D196,'Oil Share Data'!$F$2:$F$2000,'MM Avg Monthly Position'!$E196)</f>
        <v>22050.6</v>
      </c>
      <c r="C196" s="25">
        <f>AVERAGEIFS('Oil Share Data'!$C$2:$C$2000,'Oil Share Data'!$E$2:$E$2000,'MM Avg Monthly Position'!$D196,'Oil Share Data'!$F$2:$F$2000,'MM Avg Monthly Position'!$E196)</f>
        <v>73.798000000000002</v>
      </c>
      <c r="D196" s="26">
        <f t="shared" si="6"/>
        <v>11</v>
      </c>
      <c r="E196" s="26">
        <f t="shared" si="7"/>
        <v>2022</v>
      </c>
    </row>
    <row r="197" spans="1:5">
      <c r="A197" s="24">
        <v>44896</v>
      </c>
      <c r="B197" s="18">
        <f>AVERAGEIFS('Oil Share Data'!$B$2:$B$2000,'Oil Share Data'!$E$2:$E$2000,'MM Avg Monthly Position'!$D197,'Oil Share Data'!$F$2:$F$2000,'MM Avg Monthly Position'!$E197)</f>
        <v>-56149.25</v>
      </c>
      <c r="C197" s="25">
        <f>AVERAGEIFS('Oil Share Data'!$C$2:$C$2000,'Oil Share Data'!$E$2:$E$2000,'MM Avg Monthly Position'!$D197,'Oil Share Data'!$F$2:$F$2000,'MM Avg Monthly Position'!$E197)</f>
        <v>63.825000000000003</v>
      </c>
      <c r="D197" s="26">
        <f t="shared" si="6"/>
        <v>12</v>
      </c>
      <c r="E197" s="26">
        <f t="shared" si="7"/>
        <v>2022</v>
      </c>
    </row>
    <row r="198" spans="1:5">
      <c r="A198" s="24">
        <v>44927</v>
      </c>
      <c r="B198" s="18">
        <f>AVERAGEIFS('Oil Share Data'!$B$2:$B$2000,'Oil Share Data'!$E$2:$E$2000,'MM Avg Monthly Position'!$D198,'Oil Share Data'!$F$2:$F$2000,'MM Avg Monthly Position'!$E198)</f>
        <v>-94480.8</v>
      </c>
      <c r="C198" s="25">
        <f>AVERAGEIFS('Oil Share Data'!$C$2:$C$2000,'Oil Share Data'!$E$2:$E$2000,'MM Avg Monthly Position'!$D198,'Oil Share Data'!$F$2:$F$2000,'MM Avg Monthly Position'!$E198)</f>
        <v>61.725999999999999</v>
      </c>
      <c r="D198" s="26">
        <f t="shared" si="6"/>
        <v>1</v>
      </c>
      <c r="E198" s="26">
        <f t="shared" si="7"/>
        <v>2023</v>
      </c>
    </row>
    <row r="199" spans="1:5">
      <c r="A199" s="24">
        <v>44958</v>
      </c>
      <c r="B199" s="18">
        <f>AVERAGEIFS('Oil Share Data'!$B$2:$B$2000,'Oil Share Data'!$E$2:$E$2000,'MM Avg Monthly Position'!$D199,'Oil Share Data'!$F$2:$F$2000,'MM Avg Monthly Position'!$E199)</f>
        <v>-120502.25</v>
      </c>
      <c r="C199" s="25">
        <f>AVERAGEIFS('Oil Share Data'!$C$2:$C$2000,'Oil Share Data'!$E$2:$E$2000,'MM Avg Monthly Position'!$D199,'Oil Share Data'!$F$2:$F$2000,'MM Avg Monthly Position'!$E199)</f>
        <v>60.942499999999995</v>
      </c>
      <c r="D199" s="26">
        <f t="shared" si="6"/>
        <v>2</v>
      </c>
      <c r="E199" s="26">
        <f t="shared" si="7"/>
        <v>2023</v>
      </c>
    </row>
    <row r="200" spans="1:5">
      <c r="A200" s="24">
        <v>44986</v>
      </c>
      <c r="B200" s="18">
        <f>AVERAGEIFS('Oil Share Data'!$B$2:$B$2000,'Oil Share Data'!$E$2:$E$2000,'MM Avg Monthly Position'!$D200,'Oil Share Data'!$F$2:$F$2000,'MM Avg Monthly Position'!$E200)</f>
        <v>-124804</v>
      </c>
      <c r="C200" s="25">
        <f>AVERAGEIFS('Oil Share Data'!$C$2:$C$2000,'Oil Share Data'!$E$2:$E$2000,'MM Avg Monthly Position'!$D200,'Oil Share Data'!$F$2:$F$2000,'MM Avg Monthly Position'!$E200)</f>
        <v>55.580000000000005</v>
      </c>
      <c r="D200" s="26">
        <f t="shared" si="6"/>
        <v>3</v>
      </c>
      <c r="E200" s="26">
        <f t="shared" si="7"/>
        <v>2023</v>
      </c>
    </row>
    <row r="201" spans="1:5">
      <c r="A201" s="24">
        <v>45017</v>
      </c>
      <c r="B201" s="18">
        <f>AVERAGEIFS('Oil Share Data'!$B$2:$B$2000,'Oil Share Data'!$E$2:$E$2000,'MM Avg Monthly Position'!$D201,'Oil Share Data'!$F$2:$F$2000,'MM Avg Monthly Position'!$E201)</f>
        <v>-110479.75</v>
      </c>
      <c r="C201" s="25">
        <f>AVERAGEIFS('Oil Share Data'!$C$2:$C$2000,'Oil Share Data'!$E$2:$E$2000,'MM Avg Monthly Position'!$D201,'Oil Share Data'!$F$2:$F$2000,'MM Avg Monthly Position'!$E201)</f>
        <v>53.3</v>
      </c>
      <c r="D201" s="26">
        <f t="shared" si="6"/>
        <v>4</v>
      </c>
      <c r="E201" s="26">
        <f t="shared" si="7"/>
        <v>2023</v>
      </c>
    </row>
    <row r="202" spans="1:5">
      <c r="A202" s="24">
        <v>45047</v>
      </c>
      <c r="B202" s="18">
        <f>AVERAGEIFS('Oil Share Data'!$B$2:$B$2000,'Oil Share Data'!$E$2:$E$2000,'MM Avg Monthly Position'!$D202,'Oil Share Data'!$F$2:$F$2000,'MM Avg Monthly Position'!$E202)</f>
        <v>-96899.199999999997</v>
      </c>
      <c r="C202" s="25">
        <f>AVERAGEIFS('Oil Share Data'!$C$2:$C$2000,'Oil Share Data'!$E$2:$E$2000,'MM Avg Monthly Position'!$D202,'Oil Share Data'!$F$2:$F$2000,'MM Avg Monthly Position'!$E202)</f>
        <v>49.914000000000001</v>
      </c>
      <c r="D202" s="26">
        <f t="shared" si="6"/>
        <v>5</v>
      </c>
      <c r="E202" s="26">
        <f t="shared" si="7"/>
        <v>2023</v>
      </c>
    </row>
    <row r="203" spans="1:5">
      <c r="A203" s="24">
        <v>45078</v>
      </c>
      <c r="B203" s="18">
        <f>AVERAGEIFS('Oil Share Data'!$B$2:$B$2000,'Oil Share Data'!$E$2:$E$2000,'MM Avg Monthly Position'!$D203,'Oil Share Data'!$F$2:$F$2000,'MM Avg Monthly Position'!$E203)</f>
        <v>-47579.5</v>
      </c>
      <c r="C203" s="25">
        <f>AVERAGEIFS('Oil Share Data'!$C$2:$C$2000,'Oil Share Data'!$E$2:$E$2000,'MM Avg Monthly Position'!$D203,'Oil Share Data'!$F$2:$F$2000,'MM Avg Monthly Position'!$E203)</f>
        <v>59.307500000000005</v>
      </c>
      <c r="D203" s="26">
        <f t="shared" si="6"/>
        <v>6</v>
      </c>
      <c r="E203" s="26">
        <f t="shared" si="7"/>
        <v>2023</v>
      </c>
    </row>
    <row r="204" spans="1:5">
      <c r="A204" s="24">
        <v>45108</v>
      </c>
      <c r="B204" s="18">
        <f>AVERAGEIFS('Oil Share Data'!$B$2:$B$2000,'Oil Share Data'!$E$2:$E$2000,'MM Avg Monthly Position'!$D204,'Oil Share Data'!$F$2:$F$2000,'MM Avg Monthly Position'!$E204)</f>
        <v>-11387</v>
      </c>
      <c r="C204" s="25">
        <f>AVERAGEIFS('Oil Share Data'!$C$2:$C$2000,'Oil Share Data'!$E$2:$E$2000,'MM Avg Monthly Position'!$D204,'Oil Share Data'!$F$2:$F$2000,'MM Avg Monthly Position'!$E204)</f>
        <v>67.86</v>
      </c>
      <c r="D204" s="26">
        <f t="shared" si="6"/>
        <v>7</v>
      </c>
      <c r="E204" s="26">
        <f t="shared" si="7"/>
        <v>2023</v>
      </c>
    </row>
    <row r="205" spans="1:5">
      <c r="A205" s="24">
        <v>45139</v>
      </c>
      <c r="B205" s="18">
        <f>AVERAGEIFS('Oil Share Data'!$B$2:$B$2000,'Oil Share Data'!$E$2:$E$2000,'MM Avg Monthly Position'!$D205,'Oil Share Data'!$F$2:$F$2000,'MM Avg Monthly Position'!$E205)</f>
        <v>-13373</v>
      </c>
      <c r="C205" s="25">
        <f>AVERAGEIFS('Oil Share Data'!$C$2:$C$2000,'Oil Share Data'!$E$2:$E$2000,'MM Avg Monthly Position'!$D205,'Oil Share Data'!$F$2:$F$2000,'MM Avg Monthly Position'!$E205)</f>
        <v>67.182000000000002</v>
      </c>
      <c r="D205" s="26">
        <f t="shared" si="6"/>
        <v>8</v>
      </c>
      <c r="E205" s="26">
        <f t="shared" si="7"/>
        <v>2023</v>
      </c>
    </row>
    <row r="206" spans="1:5">
      <c r="A206" s="24">
        <v>45170</v>
      </c>
      <c r="B206" s="18">
        <f>AVERAGEIFS('Oil Share Data'!$B$2:$B$2000,'Oil Share Data'!$E$2:$E$2000,'MM Avg Monthly Position'!$D206,'Oil Share Data'!$F$2:$F$2000,'MM Avg Monthly Position'!$E206)</f>
        <v>-16063.75</v>
      </c>
      <c r="C206" s="25">
        <f>AVERAGEIFS('Oil Share Data'!$C$2:$C$2000,'Oil Share Data'!$E$2:$E$2000,'MM Avg Monthly Position'!$D206,'Oil Share Data'!$F$2:$F$2000,'MM Avg Monthly Position'!$E206)</f>
        <v>61.204999999999998</v>
      </c>
      <c r="D206" s="26">
        <f t="shared" si="6"/>
        <v>9</v>
      </c>
      <c r="E206" s="26">
        <f t="shared" si="7"/>
        <v>2023</v>
      </c>
    </row>
    <row r="207" spans="1:5">
      <c r="A207" s="24">
        <v>45200</v>
      </c>
      <c r="B207" s="18">
        <f>AVERAGEIFS('Oil Share Data'!$B$2:$B$2000,'Oil Share Data'!$E$2:$E$2000,'MM Avg Monthly Position'!$D207,'Oil Share Data'!$F$2:$F$2000,'MM Avg Monthly Position'!$E207)</f>
        <v>-43650.8</v>
      </c>
      <c r="C207" s="25">
        <f>AVERAGEIFS('Oil Share Data'!$C$2:$C$2000,'Oil Share Data'!$E$2:$E$2000,'MM Avg Monthly Position'!$D207,'Oil Share Data'!$F$2:$F$2000,'MM Avg Monthly Position'!$E207)</f>
        <v>53.532000000000004</v>
      </c>
      <c r="D207" s="26">
        <f t="shared" si="6"/>
        <v>10</v>
      </c>
      <c r="E207" s="26">
        <f t="shared" si="7"/>
        <v>2023</v>
      </c>
    </row>
    <row r="208" spans="1:5">
      <c r="A208" s="24">
        <v>45231</v>
      </c>
      <c r="B208" s="18">
        <f>AVERAGEIFS('Oil Share Data'!$B$2:$B$2000,'Oil Share Data'!$E$2:$E$2000,'MM Avg Monthly Position'!$D208,'Oil Share Data'!$F$2:$F$2000,'MM Avg Monthly Position'!$E208)</f>
        <v>-135373</v>
      </c>
      <c r="C208" s="25">
        <f>AVERAGEIFS('Oil Share Data'!$C$2:$C$2000,'Oil Share Data'!$E$2:$E$2000,'MM Avg Monthly Position'!$D208,'Oil Share Data'!$F$2:$F$2000,'MM Avg Monthly Position'!$E208)</f>
        <v>51.53</v>
      </c>
      <c r="D208" s="26">
        <f t="shared" si="6"/>
        <v>11</v>
      </c>
      <c r="E208" s="26">
        <f t="shared" si="7"/>
        <v>2023</v>
      </c>
    </row>
    <row r="209" spans="1:5">
      <c r="A209" s="24">
        <v>45261</v>
      </c>
      <c r="B209" s="18">
        <f>AVERAGEIFS('Oil Share Data'!$B$2:$B$2000,'Oil Share Data'!$E$2:$E$2000,'MM Avg Monthly Position'!$D209,'Oil Share Data'!$F$2:$F$2000,'MM Avg Monthly Position'!$E209)</f>
        <v>-116766.25</v>
      </c>
      <c r="C209" s="25">
        <f>AVERAGEIFS('Oil Share Data'!$C$2:$C$2000,'Oil Share Data'!$E$2:$E$2000,'MM Avg Monthly Position'!$D209,'Oil Share Data'!$F$2:$F$2000,'MM Avg Monthly Position'!$E209)</f>
        <v>49.127500000000005</v>
      </c>
      <c r="D209" s="26">
        <f t="shared" si="6"/>
        <v>12</v>
      </c>
      <c r="E209" s="26">
        <f t="shared" si="7"/>
        <v>2023</v>
      </c>
    </row>
    <row r="210" spans="1:5">
      <c r="A210" s="24">
        <v>45292</v>
      </c>
      <c r="B210" s="18">
        <f>AVERAGEIFS('Oil Share Data'!$B$2:$B$2000,'Oil Share Data'!$E$2:$E$2000,'MM Avg Monthly Position'!$D210,'Oil Share Data'!$F$2:$F$2000,'MM Avg Monthly Position'!$E210)</f>
        <v>-50326.6</v>
      </c>
      <c r="C210" s="25">
        <f>AVERAGEIFS('Oil Share Data'!$C$2:$C$2000,'Oil Share Data'!$E$2:$E$2000,'MM Avg Monthly Position'!$D210,'Oil Share Data'!$F$2:$F$2000,'MM Avg Monthly Position'!$E210)</f>
        <v>46.695999999999998</v>
      </c>
      <c r="D210" s="26">
        <f t="shared" si="6"/>
        <v>1</v>
      </c>
      <c r="E210" s="26">
        <f t="shared" si="7"/>
        <v>2024</v>
      </c>
    </row>
    <row r="211" spans="1:5">
      <c r="A211" s="24">
        <v>45323</v>
      </c>
      <c r="B211" s="18">
        <f>AVERAGEIFS('Oil Share Data'!$B$2:$B$2000,'Oil Share Data'!$E$2:$E$2000,'MM Avg Monthly Position'!$D211,'Oil Share Data'!$F$2:$F$2000,'MM Avg Monthly Position'!$E211)</f>
        <v>-16079.75</v>
      </c>
      <c r="C211" s="25">
        <f>AVERAGEIFS('Oil Share Data'!$C$2:$C$2000,'Oil Share Data'!$E$2:$E$2000,'MM Avg Monthly Position'!$D211,'Oil Share Data'!$F$2:$F$2000,'MM Avg Monthly Position'!$E211)</f>
        <v>45.372500000000002</v>
      </c>
      <c r="D211" s="26">
        <f t="shared" si="6"/>
        <v>2</v>
      </c>
      <c r="E211" s="26">
        <f t="shared" si="7"/>
        <v>2024</v>
      </c>
    </row>
    <row r="212" spans="1:5">
      <c r="A212" s="24">
        <v>45352</v>
      </c>
      <c r="B212" s="18">
        <f>AVERAGEIFS('Oil Share Data'!$B$2:$B$2000,'Oil Share Data'!$E$2:$E$2000,'MM Avg Monthly Position'!$D212,'Oil Share Data'!$F$2:$F$2000,'MM Avg Monthly Position'!$E212)</f>
        <v>16861</v>
      </c>
      <c r="C212" s="25">
        <f>AVERAGEIFS('Oil Share Data'!$C$2:$C$2000,'Oil Share Data'!$E$2:$E$2000,'MM Avg Monthly Position'!$D212,'Oil Share Data'!$F$2:$F$2000,'MM Avg Monthly Position'!$E212)</f>
        <v>47.652500000000003</v>
      </c>
      <c r="D212" s="26">
        <f t="shared" si="6"/>
        <v>3</v>
      </c>
      <c r="E212" s="26">
        <f t="shared" si="7"/>
        <v>2024</v>
      </c>
    </row>
    <row r="213" spans="1:5">
      <c r="A213" s="24">
        <v>45383</v>
      </c>
      <c r="B213" s="18">
        <f>AVERAGEIFS('Oil Share Data'!$B$2:$B$2000,'Oil Share Data'!$E$2:$E$2000,'MM Avg Monthly Position'!$D213,'Oil Share Data'!$F$2:$F$2000,'MM Avg Monthly Position'!$E213)</f>
        <v>-30244</v>
      </c>
      <c r="C213" s="25">
        <f>AVERAGEIFS('Oil Share Data'!$C$2:$C$2000,'Oil Share Data'!$E$2:$E$2000,'MM Avg Monthly Position'!$D213,'Oil Share Data'!$F$2:$F$2000,'MM Avg Monthly Position'!$E213)</f>
        <v>45.302</v>
      </c>
      <c r="D213" s="26">
        <f t="shared" si="6"/>
        <v>4</v>
      </c>
      <c r="E213" s="26">
        <f t="shared" si="7"/>
        <v>2024</v>
      </c>
    </row>
    <row r="214" spans="1:5">
      <c r="A214" s="24">
        <v>45413</v>
      </c>
      <c r="B214" s="18">
        <f>AVERAGEIFS('Oil Share Data'!$B$2:$B$2000,'Oil Share Data'!$E$2:$E$2000,'MM Avg Monthly Position'!$D214,'Oil Share Data'!$F$2:$F$2000,'MM Avg Monthly Position'!$E214)</f>
        <v>-155577.5</v>
      </c>
      <c r="C214" s="25">
        <f>AVERAGEIFS('Oil Share Data'!$C$2:$C$2000,'Oil Share Data'!$E$2:$E$2000,'MM Avg Monthly Position'!$D214,'Oil Share Data'!$F$2:$F$2000,'MM Avg Monthly Position'!$E214)</f>
        <v>44.88750000000001</v>
      </c>
      <c r="D214" s="26">
        <f t="shared" si="6"/>
        <v>5</v>
      </c>
      <c r="E214" s="26">
        <f t="shared" si="7"/>
        <v>2024</v>
      </c>
    </row>
    <row r="215" spans="1:5">
      <c r="A215" s="24">
        <v>45444</v>
      </c>
      <c r="B215" s="18">
        <f>AVERAGEIFS('Oil Share Data'!$B$2:$B$2000,'Oil Share Data'!$E$2:$E$2000,'MM Avg Monthly Position'!$D215,'Oil Share Data'!$F$2:$F$2000,'MM Avg Monthly Position'!$E215)</f>
        <v>-176810.5</v>
      </c>
      <c r="C215" s="25">
        <f>AVERAGEIFS('Oil Share Data'!$C$2:$C$2000,'Oil Share Data'!$E$2:$E$2000,'MM Avg Monthly Position'!$D215,'Oil Share Data'!$F$2:$F$2000,'MM Avg Monthly Position'!$E215)</f>
        <v>43.755000000000003</v>
      </c>
      <c r="D215" s="26">
        <f t="shared" si="6"/>
        <v>6</v>
      </c>
      <c r="E215" s="26">
        <f t="shared" si="7"/>
        <v>2024</v>
      </c>
    </row>
    <row r="216" spans="1:5">
      <c r="A216" s="24">
        <v>45474</v>
      </c>
      <c r="B216" s="18">
        <f>AVERAGEIFS('Oil Share Data'!$B$2:$B$2000,'Oil Share Data'!$E$2:$E$2000,'MM Avg Monthly Position'!$D216,'Oil Share Data'!$F$2:$F$2000,'MM Avg Monthly Position'!$E216)</f>
        <v>-78573.2</v>
      </c>
      <c r="C216" s="25">
        <f>AVERAGEIFS('Oil Share Data'!$C$2:$C$2000,'Oil Share Data'!$E$2:$E$2000,'MM Avg Monthly Position'!$D216,'Oil Share Data'!$F$2:$F$2000,'MM Avg Monthly Position'!$E216)</f>
        <v>45.82</v>
      </c>
      <c r="D216" s="26">
        <f t="shared" si="6"/>
        <v>7</v>
      </c>
      <c r="E216" s="26">
        <f t="shared" si="7"/>
        <v>2024</v>
      </c>
    </row>
    <row r="217" spans="1:5">
      <c r="A217" s="24">
        <v>45505</v>
      </c>
      <c r="B217" s="18">
        <f>AVERAGEIFS('Oil Share Data'!$B$2:$B$2000,'Oil Share Data'!$E$2:$E$2000,'MM Avg Monthly Position'!$D217,'Oil Share Data'!$F$2:$F$2000,'MM Avg Monthly Position'!$E217)</f>
        <v>-90929.5</v>
      </c>
      <c r="C217" s="25">
        <f>AVERAGEIFS('Oil Share Data'!$C$2:$C$2000,'Oil Share Data'!$E$2:$E$2000,'MM Avg Monthly Position'!$D217,'Oil Share Data'!$F$2:$F$2000,'MM Avg Monthly Position'!$E217)</f>
        <v>41.825000000000003</v>
      </c>
      <c r="D217" s="26">
        <f t="shared" si="6"/>
        <v>8</v>
      </c>
      <c r="E217" s="26">
        <f t="shared" si="7"/>
        <v>2024</v>
      </c>
    </row>
    <row r="218" spans="1:5">
      <c r="A218" s="24">
        <v>45536</v>
      </c>
      <c r="B218" s="18">
        <f>AVERAGEIFS('Oil Share Data'!$B$2:$B$2000,'Oil Share Data'!$E$2:$E$2000,'MM Avg Monthly Position'!$D218,'Oil Share Data'!$F$2:$F$2000,'MM Avg Monthly Position'!$E218)</f>
        <v>-80706</v>
      </c>
      <c r="C218" s="25">
        <f>AVERAGEIFS('Oil Share Data'!$C$2:$C$2000,'Oil Share Data'!$E$2:$E$2000,'MM Avg Monthly Position'!$D218,'Oil Share Data'!$F$2:$F$2000,'MM Avg Monthly Position'!$E218)</f>
        <v>41.45</v>
      </c>
      <c r="D218" s="26">
        <f t="shared" si="6"/>
        <v>9</v>
      </c>
      <c r="E218" s="26">
        <f t="shared" si="7"/>
        <v>2024</v>
      </c>
    </row>
    <row r="219" spans="1:5">
      <c r="A219" s="24">
        <v>45566</v>
      </c>
      <c r="B219" s="18">
        <f>AVERAGEIFS('Oil Share Data'!$B$2:$B$2000,'Oil Share Data'!$E$2:$E$2000,'MM Avg Monthly Position'!$D219,'Oil Share Data'!$F$2:$F$2000,'MM Avg Monthly Position'!$E219)</f>
        <v>-34286.800000000003</v>
      </c>
      <c r="C219" s="25">
        <f>AVERAGEIFS('Oil Share Data'!$C$2:$C$2000,'Oil Share Data'!$E$2:$E$2000,'MM Avg Monthly Position'!$D219,'Oil Share Data'!$F$2:$F$2000,'MM Avg Monthly Position'!$E219)</f>
        <v>43.95</v>
      </c>
      <c r="D219" s="26">
        <f t="shared" si="6"/>
        <v>10</v>
      </c>
      <c r="E219" s="26">
        <f t="shared" si="7"/>
        <v>2024</v>
      </c>
    </row>
    <row r="220" spans="1:5">
      <c r="A220" s="24"/>
      <c r="C220" s="25"/>
      <c r="D220" s="26"/>
      <c r="E220" s="26"/>
    </row>
    <row r="221" spans="1:5">
      <c r="A221" s="24"/>
      <c r="C221" s="25"/>
      <c r="D221" s="26"/>
      <c r="E221" s="26"/>
    </row>
    <row r="222" spans="1:5">
      <c r="A222" s="24"/>
      <c r="C222" s="25"/>
      <c r="D222" s="26"/>
      <c r="E222" s="26"/>
    </row>
    <row r="223" spans="1:5">
      <c r="A223" s="24"/>
      <c r="C223" s="25"/>
      <c r="D223" s="26"/>
      <c r="E223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11</vt:i4>
      </vt:variant>
    </vt:vector>
  </HeadingPairs>
  <TitlesOfParts>
    <vt:vector size="15" baseType="lpstr">
      <vt:lpstr>Formulas</vt:lpstr>
      <vt:lpstr>Data</vt:lpstr>
      <vt:lpstr>Oil Share Data</vt:lpstr>
      <vt:lpstr>MM Avg Monthly Position</vt:lpstr>
      <vt:lpstr>Fund Oil Share v Price Chart</vt:lpstr>
      <vt:lpstr>Fund Pos Delta v Price Char</vt:lpstr>
      <vt:lpstr>MM Oil Share Position</vt:lpstr>
      <vt:lpstr>Oil Share v Price</vt:lpstr>
      <vt:lpstr>Oil MM Net</vt:lpstr>
      <vt:lpstr>Oil Comm Net</vt:lpstr>
      <vt:lpstr>Meal MM Net</vt:lpstr>
      <vt:lpstr>Meal Comm Net</vt:lpstr>
      <vt:lpstr>Corn MM Net</vt:lpstr>
      <vt:lpstr>Corn Comm Net</vt:lpstr>
      <vt:lpstr>Corn Prod 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2025-07-09T11:28:47Z</dcterms:created>
  <dcterms:modified xsi:type="dcterms:W3CDTF">2025-09-23T08:27:41Z</dcterms:modified>
</cp:coreProperties>
</file>